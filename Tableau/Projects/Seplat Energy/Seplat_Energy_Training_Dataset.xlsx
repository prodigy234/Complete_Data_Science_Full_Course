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- Data Model" sheetId="1" state="visible" r:id="rId3"/>
    <sheet name="Departments" sheetId="2" state="visible" r:id="rId4"/>
    <sheet name="Employees" sheetId="3" state="visible" r:id="rId5"/>
    <sheet name="Operations" sheetId="4" state="visible" r:id="rId6"/>
    <sheet name="Legal" sheetId="5" state="visible" r:id="rId7"/>
    <sheet name="SupplyChain" sheetId="6" state="visible" r:id="rId8"/>
    <sheet name="Admin" sheetId="7" state="visible" r:id="rId9"/>
    <sheet name="CustomerService" sheetId="8" state="visible" r:id="rId10"/>
    <sheet name="IT" sheetId="9" state="visible" r:id="rId11"/>
    <sheet name="AccountsFinance" sheetId="10" state="visible" r:id="rId12"/>
    <sheet name="InternalControl" sheetId="11" state="visible" r:id="rId13"/>
    <sheet name="RiskComplianceRegiste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<sst xmlns="http://schemas.openxmlformats.org/spreadsheetml/2006/main" count="14992" uniqueCount="4211">
  <si>
    <t xml:space="preserve">Seplat Energy PLC - Cross-Departmental Training Dataset</t>
  </si>
  <si>
    <t xml:space="preserve">Purpose: a single connected workbook spanning 10 departments, built for Tableau data connection, relationships and dashboard-building practice.</t>
  </si>
  <si>
    <t xml:space="preserve">Sheet</t>
  </si>
  <si>
    <t xml:space="preserve">Contents and how it connects to other sheets</t>
  </si>
  <si>
    <t xml:space="preserve">Departments</t>
  </si>
  <si>
    <t xml:space="preserve">Master list of the 10 departments (DepartmentID) with department head, function, location and budget. Every operational sheet links back here via DepartmentID or Department name.</t>
  </si>
  <si>
    <t xml:space="preserve">Employees</t>
  </si>
  <si>
    <t xml:space="preserve">Master HR record for every staff member (EmployeeID). This is the hub table: Operations, Legal, Supply Chain, Admin, Customer Service, IT, Accounts and Finance, Internal Control and Risk all reference EmployeeID as the officer/owner/custodian responsible for that record.</t>
  </si>
  <si>
    <t xml:space="preserve">Operations</t>
  </si>
  <si>
    <t xml:space="preserve">Field production records (OperationID) - asset, well, product, volumes, downtime. Referenced by Legal (RelatedOperationID) and Supply Chain (RelatedOperationID).</t>
  </si>
  <si>
    <t xml:space="preserve">Legal</t>
  </si>
  <si>
    <t xml:space="preserve">Contracts and agreements (ContractID) - counterparties, values, status. Referenced by Accounts and Finance (RelatedContractID) and Risk Management and Compliance (RelatedContractID). Links to Operations via RelatedOperationID.</t>
  </si>
  <si>
    <t xml:space="preserve">SupplyChain</t>
  </si>
  <si>
    <t xml:space="preserve">Purchase orders (PO_ID) - vendor, cost, delivery performance. Referenced by Accounts and Finance (RelatedPO_ID). Links to Operations via RelatedOperationID.</t>
  </si>
  <si>
    <t xml:space="preserve">Admin</t>
  </si>
  <si>
    <t xml:space="preserve">Fixed assets and facilities (AssetID) - custodian, value, depreciation, location. Links to Employees (CustodianEmployeeID) and Departments (DepartmentID).</t>
  </si>
  <si>
    <t xml:space="preserve">CustomerService</t>
  </si>
  <si>
    <t xml:space="preserve">Community and customer tickets (TicketID) - channel, issue, resolution and satisfaction. Links to Employees (AgentEmployeeID).</t>
  </si>
  <si>
    <t xml:space="preserve">IT</t>
  </si>
  <si>
    <t xml:space="preserve">IT service desk tickets (ITTicketID) - system, priority, resolution time. Links to Employees (RequesterEmployeeID, SupportOfficerEmployeeID).</t>
  </si>
  <si>
    <t xml:space="preserve">AccountsFinance</t>
  </si>
  <si>
    <t xml:space="preserve">Financial transactions (TransactionID) - revenue, opex, capex, payroll, tax. Links to Supply Chain (RelatedPO_ID) and Legal (RelatedContractID), and to Employees (ApprovedByEmployeeID).</t>
  </si>
  <si>
    <t xml:space="preserve">InternalControl</t>
  </si>
  <si>
    <t xml:space="preserve">Audit findings (AuditID) - department, severity, status. Links to Departments and Employees (ResponsibleEmployeeID). Referenced by Risk Management (RelatedAuditID).</t>
  </si>
  <si>
    <t xml:space="preserve">RiskComplianceRegister</t>
  </si>
  <si>
    <t xml:space="preserve">Enterprise risk register (RiskID) - likelihood, impact, computed risk score, mitigation status. Links to Departments, Employees (RiskOwnerEmployeeID), InternalControl (RelatedAuditID) and Legal (RelatedContractID).</t>
  </si>
  <si>
    <t xml:space="preserve">Suggested Tableau relationships (noun model):</t>
  </si>
  <si>
    <t xml:space="preserve">- Employees &lt;-&gt; Departments  on Department = DepartmentName</t>
  </si>
  <si>
    <t xml:space="preserve">- Operations &lt;-&gt; Employees   on SupervisorEmployeeID = EmployeeID</t>
  </si>
  <si>
    <t xml:space="preserve">- Legal &lt;-&gt; Operations       on RelatedOperationID = OperationID</t>
  </si>
  <si>
    <t xml:space="preserve">- Legal &lt;-&gt; Employees        on LegalOfficerEmployeeID = EmployeeID</t>
  </si>
  <si>
    <t xml:space="preserve">- SupplyChain &lt;-&gt; Operations on RelatedOperationID = OperationID</t>
  </si>
  <si>
    <t xml:space="preserve">- SupplyChain &lt;-&gt; Employees  on ProcurementOfficerEmployeeID = EmployeeID</t>
  </si>
  <si>
    <t xml:space="preserve">- AccountsFinance &lt;-&gt; SupplyChain on RelatedPO_ID = PO_ID</t>
  </si>
  <si>
    <t xml:space="preserve">- AccountsFinance &lt;-&gt; Legal  on RelatedContractID = ContractID</t>
  </si>
  <si>
    <t xml:space="preserve">- InternalControl &lt;-&gt; Departments on DepartmentID = DepartmentID</t>
  </si>
  <si>
    <t xml:space="preserve">- RiskComplianceRegister &lt;-&gt; InternalControl on RelatedAuditID = AuditID</t>
  </si>
  <si>
    <t xml:space="preserve">- RiskComplianceRegister &lt;-&gt; Legal on RelatedContractID = ContractID</t>
  </si>
  <si>
    <t xml:space="preserve">- Admin &lt;-&gt; Employees on CustodianEmployeeID = EmployeeID</t>
  </si>
  <si>
    <t xml:space="preserve">- CustomerService &lt;-&gt; Employees on AgentEmployeeID = EmployeeID</t>
  </si>
  <si>
    <t xml:space="preserve">- IT &lt;-&gt; Employees on RequesterEmployeeID / SupportOfficerEmployeeID = EmployeeID</t>
  </si>
  <si>
    <t xml:space="preserve">DepartmentID</t>
  </si>
  <si>
    <t xml:space="preserve">DepartmentName</t>
  </si>
  <si>
    <t xml:space="preserve">DepartmentHeadEmployeeID</t>
  </si>
  <si>
    <t xml:space="preserve">Function</t>
  </si>
  <si>
    <t xml:space="preserve">Location</t>
  </si>
  <si>
    <t xml:space="preserve">AnnualBudget_NGN</t>
  </si>
  <si>
    <t xml:space="preserve">D01</t>
  </si>
  <si>
    <t xml:space="preserve">E0011</t>
  </si>
  <si>
    <t xml:space="preserve">Production and field operations</t>
  </si>
  <si>
    <t xml:space="preserve">Warri</t>
  </si>
  <si>
    <t xml:space="preserve">D02</t>
  </si>
  <si>
    <t xml:space="preserve">E0002</t>
  </si>
  <si>
    <t xml:space="preserve">Legal, contracts and JV governance</t>
  </si>
  <si>
    <t xml:space="preserve">Lagos</t>
  </si>
  <si>
    <t xml:space="preserve">D03</t>
  </si>
  <si>
    <t xml:space="preserve">Supply Chain</t>
  </si>
  <si>
    <t xml:space="preserve">E0063</t>
  </si>
  <si>
    <t xml:space="preserve">Procurement and logistics</t>
  </si>
  <si>
    <t xml:space="preserve">D04</t>
  </si>
  <si>
    <t xml:space="preserve">E0004</t>
  </si>
  <si>
    <t xml:space="preserve">Administration and facilities</t>
  </si>
  <si>
    <t xml:space="preserve">D05</t>
  </si>
  <si>
    <t xml:space="preserve">Customer Service</t>
  </si>
  <si>
    <t xml:space="preserve">E0005</t>
  </si>
  <si>
    <t xml:space="preserve">Community and stakeholder relations</t>
  </si>
  <si>
    <t xml:space="preserve">D06</t>
  </si>
  <si>
    <t xml:space="preserve">Information Technology</t>
  </si>
  <si>
    <t xml:space="preserve">E0006</t>
  </si>
  <si>
    <t xml:space="preserve">IT infrastructure and applications</t>
  </si>
  <si>
    <t xml:space="preserve">D07</t>
  </si>
  <si>
    <t xml:space="preserve">Accounts and Finance</t>
  </si>
  <si>
    <t xml:space="preserve">E0007</t>
  </si>
  <si>
    <t xml:space="preserve">Finance, treasury and reporting</t>
  </si>
  <si>
    <t xml:space="preserve">D08</t>
  </si>
  <si>
    <t xml:space="preserve">Human Resources</t>
  </si>
  <si>
    <t xml:space="preserve">E0008</t>
  </si>
  <si>
    <t xml:space="preserve">People and talent management</t>
  </si>
  <si>
    <t xml:space="preserve">D09</t>
  </si>
  <si>
    <t xml:space="preserve">Internal Control</t>
  </si>
  <si>
    <t xml:space="preserve">E0029</t>
  </si>
  <si>
    <t xml:space="preserve">Internal audit and controls</t>
  </si>
  <si>
    <t xml:space="preserve">D10</t>
  </si>
  <si>
    <t xml:space="preserve">Risk Management and Compliance</t>
  </si>
  <si>
    <t xml:space="preserve">E0050</t>
  </si>
  <si>
    <t xml:space="preserve">Enterprise risk and regulatory compliance</t>
  </si>
  <si>
    <t xml:space="preserve">EmployeeID</t>
  </si>
  <si>
    <t xml:space="preserve">FullName</t>
  </si>
  <si>
    <t xml:space="preserve">Department</t>
  </si>
  <si>
    <t xml:space="preserve">JobGrade</t>
  </si>
  <si>
    <t xml:space="preserve">Gender</t>
  </si>
  <si>
    <t xml:space="preserve">DateOfBirth</t>
  </si>
  <si>
    <t xml:space="preserve">HireDate</t>
  </si>
  <si>
    <t xml:space="preserve">EmploymentType</t>
  </si>
  <si>
    <t xml:space="preserve">AnnualSalary_NGN</t>
  </si>
  <si>
    <t xml:space="preserve">PerformanceRating</t>
  </si>
  <si>
    <t xml:space="preserve">Status</t>
  </si>
  <si>
    <t xml:space="preserve">E0001</t>
  </si>
  <si>
    <t xml:space="preserve">Uche Okafor</t>
  </si>
  <si>
    <t xml:space="preserve">Officer</t>
  </si>
  <si>
    <t xml:space="preserve">Female</t>
  </si>
  <si>
    <t xml:space="preserve">1980-01-06</t>
  </si>
  <si>
    <t xml:space="preserve">2017-09-30</t>
  </si>
  <si>
    <t xml:space="preserve">Permanent</t>
  </si>
  <si>
    <t xml:space="preserve">Active</t>
  </si>
  <si>
    <t xml:space="preserve">Ifeoma Eze</t>
  </si>
  <si>
    <t xml:space="preserve">Manager</t>
  </si>
  <si>
    <t xml:space="preserve">Male</t>
  </si>
  <si>
    <t xml:space="preserve">1992-09-01</t>
  </si>
  <si>
    <t xml:space="preserve">2017-08-10</t>
  </si>
  <si>
    <t xml:space="preserve">Port Harcourt</t>
  </si>
  <si>
    <t xml:space="preserve">E0003</t>
  </si>
  <si>
    <t xml:space="preserve">Chinedu Nnaji</t>
  </si>
  <si>
    <t xml:space="preserve">Senior Officer</t>
  </si>
  <si>
    <t xml:space="preserve">1988-12-16</t>
  </si>
  <si>
    <t xml:space="preserve">2022-10-30</t>
  </si>
  <si>
    <t xml:space="preserve">Abuja</t>
  </si>
  <si>
    <t xml:space="preserve">Adaeze Yusuf</t>
  </si>
  <si>
    <t xml:space="preserve">General Manager</t>
  </si>
  <si>
    <t xml:space="preserve">1981-11-12</t>
  </si>
  <si>
    <t xml:space="preserve">2021-10-08</t>
  </si>
  <si>
    <t xml:space="preserve">Exited</t>
  </si>
  <si>
    <t xml:space="preserve">Bisi Sani</t>
  </si>
  <si>
    <t xml:space="preserve">1998-03-14</t>
  </si>
  <si>
    <t xml:space="preserve">2024-04-20</t>
  </si>
  <si>
    <t xml:space="preserve">Contract</t>
  </si>
  <si>
    <t xml:space="preserve">Chukwudi Nnaji</t>
  </si>
  <si>
    <t xml:space="preserve">1980-06-11</t>
  </si>
  <si>
    <t xml:space="preserve">2015-11-23</t>
  </si>
  <si>
    <t xml:space="preserve">Ibrahim Yusuf</t>
  </si>
  <si>
    <t xml:space="preserve">Senior Manager</t>
  </si>
  <si>
    <t xml:space="preserve">1981-12-23</t>
  </si>
  <si>
    <t xml:space="preserve">2017-05-08</t>
  </si>
  <si>
    <t xml:space="preserve">Ibrahim Danladi</t>
  </si>
  <si>
    <t xml:space="preserve">1998-09-16</t>
  </si>
  <si>
    <t xml:space="preserve">2018-01-10</t>
  </si>
  <si>
    <t xml:space="preserve">E0009</t>
  </si>
  <si>
    <t xml:space="preserve">Chukwudi Ekpo</t>
  </si>
  <si>
    <t xml:space="preserve">Supervisor</t>
  </si>
  <si>
    <t xml:space="preserve">1984-02-25</t>
  </si>
  <si>
    <t xml:space="preserve">2024-01-11</t>
  </si>
  <si>
    <t xml:space="preserve">E0010</t>
  </si>
  <si>
    <t xml:space="preserve">Ekene Obi</t>
  </si>
  <si>
    <t xml:space="preserve">1981-11-18</t>
  </si>
  <si>
    <t xml:space="preserve">2016-08-08</t>
  </si>
  <si>
    <t xml:space="preserve">Chike Chukwu</t>
  </si>
  <si>
    <t xml:space="preserve">1976-03-16</t>
  </si>
  <si>
    <t xml:space="preserve">2017-06-17</t>
  </si>
  <si>
    <t xml:space="preserve">E0012</t>
  </si>
  <si>
    <t xml:space="preserve">Ibrahim Musa</t>
  </si>
  <si>
    <t xml:space="preserve">1972-11-06</t>
  </si>
  <si>
    <t xml:space="preserve">2021-09-08</t>
  </si>
  <si>
    <t xml:space="preserve">E0013</t>
  </si>
  <si>
    <t xml:space="preserve">Uche Garba</t>
  </si>
  <si>
    <t xml:space="preserve">1998-10-02</t>
  </si>
  <si>
    <t xml:space="preserve">2023-08-15</t>
  </si>
  <si>
    <t xml:space="preserve">E0014</t>
  </si>
  <si>
    <t xml:space="preserve">Grace Nnaji</t>
  </si>
  <si>
    <t xml:space="preserve">1974-10-10</t>
  </si>
  <si>
    <t xml:space="preserve">2020-09-10</t>
  </si>
  <si>
    <t xml:space="preserve">E0015</t>
  </si>
  <si>
    <t xml:space="preserve">Patience Nnaji</t>
  </si>
  <si>
    <t xml:space="preserve">1984-07-16</t>
  </si>
  <si>
    <t xml:space="preserve">2021-09-19</t>
  </si>
  <si>
    <t xml:space="preserve">E0016</t>
  </si>
  <si>
    <t xml:space="preserve">Blessing Balogun</t>
  </si>
  <si>
    <t xml:space="preserve">Graduate Trainee</t>
  </si>
  <si>
    <t xml:space="preserve">1995-06-14</t>
  </si>
  <si>
    <t xml:space="preserve">2024-11-05</t>
  </si>
  <si>
    <t xml:space="preserve">E0017</t>
  </si>
  <si>
    <t xml:space="preserve">Kelechi Garba</t>
  </si>
  <si>
    <t xml:space="preserve">1994-08-30</t>
  </si>
  <si>
    <t xml:space="preserve">2025-08-14</t>
  </si>
  <si>
    <t xml:space="preserve">E0018</t>
  </si>
  <si>
    <t xml:space="preserve">Chiamaka Chukwu</t>
  </si>
  <si>
    <t xml:space="preserve">1993-03-20</t>
  </si>
  <si>
    <t xml:space="preserve">2019-11-30</t>
  </si>
  <si>
    <t xml:space="preserve">E0019</t>
  </si>
  <si>
    <t xml:space="preserve">Chike Okoro</t>
  </si>
  <si>
    <t xml:space="preserve">1998-04-23</t>
  </si>
  <si>
    <t xml:space="preserve">2015-10-18</t>
  </si>
  <si>
    <t xml:space="preserve">E0020</t>
  </si>
  <si>
    <t xml:space="preserve">Grace Okoro</t>
  </si>
  <si>
    <t xml:space="preserve">1991-10-11</t>
  </si>
  <si>
    <t xml:space="preserve">2022-07-03</t>
  </si>
  <si>
    <t xml:space="preserve">E0021</t>
  </si>
  <si>
    <t xml:space="preserve">Tolu Bello</t>
  </si>
  <si>
    <t xml:space="preserve">1999-07-24</t>
  </si>
  <si>
    <t xml:space="preserve">2016-02-02</t>
  </si>
  <si>
    <t xml:space="preserve">E0022</t>
  </si>
  <si>
    <t xml:space="preserve">Adaeze Balogun</t>
  </si>
  <si>
    <t xml:space="preserve">1985-03-22</t>
  </si>
  <si>
    <t xml:space="preserve">2023-03-02</t>
  </si>
  <si>
    <t xml:space="preserve">E0023</t>
  </si>
  <si>
    <t xml:space="preserve">Kelechi Ogunleye</t>
  </si>
  <si>
    <t xml:space="preserve">1990-10-02</t>
  </si>
  <si>
    <t xml:space="preserve">2018-02-14</t>
  </si>
  <si>
    <t xml:space="preserve">E0024</t>
  </si>
  <si>
    <t xml:space="preserve">Ngozi Ojo</t>
  </si>
  <si>
    <t xml:space="preserve">1974-03-09</t>
  </si>
  <si>
    <t xml:space="preserve">2025-11-13</t>
  </si>
  <si>
    <t xml:space="preserve">E0025</t>
  </si>
  <si>
    <t xml:space="preserve">1987-01-01</t>
  </si>
  <si>
    <t xml:space="preserve">2016-11-05</t>
  </si>
  <si>
    <t xml:space="preserve">E0026</t>
  </si>
  <si>
    <t xml:space="preserve">Folake Bello</t>
  </si>
  <si>
    <t xml:space="preserve">1972-08-16</t>
  </si>
  <si>
    <t xml:space="preserve">2017-06-10</t>
  </si>
  <si>
    <t xml:space="preserve">E0027</t>
  </si>
  <si>
    <t xml:space="preserve">Grace Sanni</t>
  </si>
  <si>
    <t xml:space="preserve">1992-10-12</t>
  </si>
  <si>
    <t xml:space="preserve">2015-08-21</t>
  </si>
  <si>
    <t xml:space="preserve">E0028</t>
  </si>
  <si>
    <t xml:space="preserve">Ekene Abubakar</t>
  </si>
  <si>
    <t xml:space="preserve">1996-09-01</t>
  </si>
  <si>
    <t xml:space="preserve">2021-06-29</t>
  </si>
  <si>
    <t xml:space="preserve">Segun Okoro</t>
  </si>
  <si>
    <t xml:space="preserve">1975-11-15</t>
  </si>
  <si>
    <t xml:space="preserve">2019-06-10</t>
  </si>
  <si>
    <t xml:space="preserve">E0030</t>
  </si>
  <si>
    <t xml:space="preserve">Chinedu Danladi</t>
  </si>
  <si>
    <t xml:space="preserve">1994-02-12</t>
  </si>
  <si>
    <t xml:space="preserve">2015-10-28</t>
  </si>
  <si>
    <t xml:space="preserve">E0031</t>
  </si>
  <si>
    <t xml:space="preserve">Yusuf Afolabi</t>
  </si>
  <si>
    <t xml:space="preserve">1994-05-15</t>
  </si>
  <si>
    <t xml:space="preserve">E0032</t>
  </si>
  <si>
    <t xml:space="preserve">Adaeze Obi</t>
  </si>
  <si>
    <t xml:space="preserve">1975-03-07</t>
  </si>
  <si>
    <t xml:space="preserve">2017-12-19</t>
  </si>
  <si>
    <t xml:space="preserve">E0033</t>
  </si>
  <si>
    <t xml:space="preserve">Funke Bello</t>
  </si>
  <si>
    <t xml:space="preserve">1991-12-01</t>
  </si>
  <si>
    <t xml:space="preserve">2020-09-01</t>
  </si>
  <si>
    <t xml:space="preserve">E0034</t>
  </si>
  <si>
    <t xml:space="preserve">Yetunde Balogun</t>
  </si>
  <si>
    <t xml:space="preserve">1975-11-14</t>
  </si>
  <si>
    <t xml:space="preserve">2018-09-28</t>
  </si>
  <si>
    <t xml:space="preserve">E0035</t>
  </si>
  <si>
    <t xml:space="preserve">Kunle Okafor</t>
  </si>
  <si>
    <t xml:space="preserve">1976-09-08</t>
  </si>
  <si>
    <t xml:space="preserve">2015-11-05</t>
  </si>
  <si>
    <t xml:space="preserve">E0036</t>
  </si>
  <si>
    <t xml:space="preserve">Chiamaka Yusuf</t>
  </si>
  <si>
    <t xml:space="preserve">1986-01-19</t>
  </si>
  <si>
    <t xml:space="preserve">2025-01-29</t>
  </si>
  <si>
    <t xml:space="preserve">E0037</t>
  </si>
  <si>
    <t xml:space="preserve">Femi Lawal</t>
  </si>
  <si>
    <t xml:space="preserve">1980-08-14</t>
  </si>
  <si>
    <t xml:space="preserve">2025-05-19</t>
  </si>
  <si>
    <t xml:space="preserve">E0038</t>
  </si>
  <si>
    <t xml:space="preserve">Amina Lawal</t>
  </si>
  <si>
    <t xml:space="preserve">1988-06-20</t>
  </si>
  <si>
    <t xml:space="preserve">2023-10-10</t>
  </si>
  <si>
    <t xml:space="preserve">E0039</t>
  </si>
  <si>
    <t xml:space="preserve">Nkechi Aliyu</t>
  </si>
  <si>
    <t xml:space="preserve">1991-02-11</t>
  </si>
  <si>
    <t xml:space="preserve">2024-08-17</t>
  </si>
  <si>
    <t xml:space="preserve">E0040</t>
  </si>
  <si>
    <t xml:space="preserve">Chukwudi Okafor</t>
  </si>
  <si>
    <t xml:space="preserve">1984-09-22</t>
  </si>
  <si>
    <t xml:space="preserve">2019-06-21</t>
  </si>
  <si>
    <t xml:space="preserve">E0041</t>
  </si>
  <si>
    <t xml:space="preserve">Patience Umeh</t>
  </si>
  <si>
    <t xml:space="preserve">1981-09-19</t>
  </si>
  <si>
    <t xml:space="preserve">2016-04-17</t>
  </si>
  <si>
    <t xml:space="preserve">E0042</t>
  </si>
  <si>
    <t xml:space="preserve">Aisha Lawal</t>
  </si>
  <si>
    <t xml:space="preserve">1997-03-12</t>
  </si>
  <si>
    <t xml:space="preserve">2019-11-23</t>
  </si>
  <si>
    <t xml:space="preserve">E0043</t>
  </si>
  <si>
    <t xml:space="preserve">Chinedu Okonkwo</t>
  </si>
  <si>
    <t xml:space="preserve">1989-05-07</t>
  </si>
  <si>
    <t xml:space="preserve">2019-01-31</t>
  </si>
  <si>
    <t xml:space="preserve">E0044</t>
  </si>
  <si>
    <t xml:space="preserve">Chiamaka Okonkwo</t>
  </si>
  <si>
    <t xml:space="preserve">1988-04-27</t>
  </si>
  <si>
    <t xml:space="preserve">2022-06-24</t>
  </si>
  <si>
    <t xml:space="preserve">E0045</t>
  </si>
  <si>
    <t xml:space="preserve">Amina Nnamdi</t>
  </si>
  <si>
    <t xml:space="preserve">1994-07-31</t>
  </si>
  <si>
    <t xml:space="preserve">2019-07-22</t>
  </si>
  <si>
    <t xml:space="preserve">E0046</t>
  </si>
  <si>
    <t xml:space="preserve">Godwin Danladi</t>
  </si>
  <si>
    <t xml:space="preserve">1979-08-03</t>
  </si>
  <si>
    <t xml:space="preserve">2022-07-30</t>
  </si>
  <si>
    <t xml:space="preserve">E0047</t>
  </si>
  <si>
    <t xml:space="preserve">Grace Garba</t>
  </si>
  <si>
    <t xml:space="preserve">1980-07-15</t>
  </si>
  <si>
    <t xml:space="preserve">2016-01-18</t>
  </si>
  <si>
    <t xml:space="preserve">E0048</t>
  </si>
  <si>
    <t xml:space="preserve">Blessing Ibe</t>
  </si>
  <si>
    <t xml:space="preserve">1988-08-04</t>
  </si>
  <si>
    <t xml:space="preserve">2020-02-09</t>
  </si>
  <si>
    <t xml:space="preserve">E0049</t>
  </si>
  <si>
    <t xml:space="preserve">Folake Ojo</t>
  </si>
  <si>
    <t xml:space="preserve">1974-10-13</t>
  </si>
  <si>
    <t xml:space="preserve">2025-01-04</t>
  </si>
  <si>
    <t xml:space="preserve">Uche Danladi</t>
  </si>
  <si>
    <t xml:space="preserve">1990-11-04</t>
  </si>
  <si>
    <t xml:space="preserve">2023-12-27</t>
  </si>
  <si>
    <t xml:space="preserve">E0051</t>
  </si>
  <si>
    <t xml:space="preserve">Femi Ekpo</t>
  </si>
  <si>
    <t xml:space="preserve">1994-07-30</t>
  </si>
  <si>
    <t xml:space="preserve">2024-04-25</t>
  </si>
  <si>
    <t xml:space="preserve">E0052</t>
  </si>
  <si>
    <t xml:space="preserve">Yetunde Nnaji</t>
  </si>
  <si>
    <t xml:space="preserve">1980-09-24</t>
  </si>
  <si>
    <t xml:space="preserve">2022-01-11</t>
  </si>
  <si>
    <t xml:space="preserve">E0053</t>
  </si>
  <si>
    <t xml:space="preserve">Segun Obi</t>
  </si>
  <si>
    <t xml:space="preserve">1976-10-07</t>
  </si>
  <si>
    <t xml:space="preserve">2016-07-20</t>
  </si>
  <si>
    <t xml:space="preserve">E0054</t>
  </si>
  <si>
    <t xml:space="preserve">Funke Sani</t>
  </si>
  <si>
    <t xml:space="preserve">1972-10-17</t>
  </si>
  <si>
    <t xml:space="preserve">2019-08-31</t>
  </si>
  <si>
    <t xml:space="preserve">E0055</t>
  </si>
  <si>
    <t xml:space="preserve">Precious Okafor</t>
  </si>
  <si>
    <t xml:space="preserve">1987-06-30</t>
  </si>
  <si>
    <t xml:space="preserve">2018-05-08</t>
  </si>
  <si>
    <t xml:space="preserve">E0056</t>
  </si>
  <si>
    <t xml:space="preserve">Sunday Okoro</t>
  </si>
  <si>
    <t xml:space="preserve">1991-10-14</t>
  </si>
  <si>
    <t xml:space="preserve">2019-11-21</t>
  </si>
  <si>
    <t xml:space="preserve">E0057</t>
  </si>
  <si>
    <t xml:space="preserve">Kelechi Nnamdi</t>
  </si>
  <si>
    <t xml:space="preserve">1987-09-04</t>
  </si>
  <si>
    <t xml:space="preserve">2025-03-03</t>
  </si>
  <si>
    <t xml:space="preserve">E0058</t>
  </si>
  <si>
    <t xml:space="preserve">Godwin Nwosu</t>
  </si>
  <si>
    <t xml:space="preserve">1987-01-03</t>
  </si>
  <si>
    <t xml:space="preserve">2017-12-01</t>
  </si>
  <si>
    <t xml:space="preserve">E0059</t>
  </si>
  <si>
    <t xml:space="preserve">1973-09-03</t>
  </si>
  <si>
    <t xml:space="preserve">2017-10-30</t>
  </si>
  <si>
    <t xml:space="preserve">E0060</t>
  </si>
  <si>
    <t xml:space="preserve">Chukwudi Ojo</t>
  </si>
  <si>
    <t xml:space="preserve">1999-03-28</t>
  </si>
  <si>
    <t xml:space="preserve">2023-10-05</t>
  </si>
  <si>
    <t xml:space="preserve">E0061</t>
  </si>
  <si>
    <t xml:space="preserve">Femi Adeyemi</t>
  </si>
  <si>
    <t xml:space="preserve">1991-03-30</t>
  </si>
  <si>
    <t xml:space="preserve">2016-06-01</t>
  </si>
  <si>
    <t xml:space="preserve">E0062</t>
  </si>
  <si>
    <t xml:space="preserve">Yusuf Nwosu</t>
  </si>
  <si>
    <t xml:space="preserve">1977-05-07</t>
  </si>
  <si>
    <t xml:space="preserve">2023-09-21</t>
  </si>
  <si>
    <t xml:space="preserve">Ekene Uzoma</t>
  </si>
  <si>
    <t xml:space="preserve">1996-07-23</t>
  </si>
  <si>
    <t xml:space="preserve">2015-11-08</t>
  </si>
  <si>
    <t xml:space="preserve">E0064</t>
  </si>
  <si>
    <t xml:space="preserve">Rukayat Musa</t>
  </si>
  <si>
    <t xml:space="preserve">1995-05-22</t>
  </si>
  <si>
    <t xml:space="preserve">2023-12-06</t>
  </si>
  <si>
    <t xml:space="preserve">E0065</t>
  </si>
  <si>
    <t xml:space="preserve">Grace Ojo</t>
  </si>
  <si>
    <t xml:space="preserve">1988-11-04</t>
  </si>
  <si>
    <t xml:space="preserve">2015-02-21</t>
  </si>
  <si>
    <t xml:space="preserve">E0066</t>
  </si>
  <si>
    <t xml:space="preserve">Folake Ogunleye</t>
  </si>
  <si>
    <t xml:space="preserve">1993-05-28</t>
  </si>
  <si>
    <t xml:space="preserve">2023-03-25</t>
  </si>
  <si>
    <t xml:space="preserve">E0067</t>
  </si>
  <si>
    <t xml:space="preserve">Segun Aliyu</t>
  </si>
  <si>
    <t xml:space="preserve">1973-11-20</t>
  </si>
  <si>
    <t xml:space="preserve">E0068</t>
  </si>
  <si>
    <t xml:space="preserve">Funke Okafor</t>
  </si>
  <si>
    <t xml:space="preserve">1984-07-31</t>
  </si>
  <si>
    <t xml:space="preserve">2024-07-17</t>
  </si>
  <si>
    <t xml:space="preserve">E0069</t>
  </si>
  <si>
    <t xml:space="preserve">1980-10-29</t>
  </si>
  <si>
    <t xml:space="preserve">2015-12-17</t>
  </si>
  <si>
    <t xml:space="preserve">E0070</t>
  </si>
  <si>
    <t xml:space="preserve">Chidinma Musa</t>
  </si>
  <si>
    <t xml:space="preserve">1983-03-14</t>
  </si>
  <si>
    <t xml:space="preserve">2016-01-17</t>
  </si>
  <si>
    <t xml:space="preserve">E0071</t>
  </si>
  <si>
    <t xml:space="preserve">Precious Sani</t>
  </si>
  <si>
    <t xml:space="preserve">1994-09-09</t>
  </si>
  <si>
    <t xml:space="preserve">2019-10-09</t>
  </si>
  <si>
    <t xml:space="preserve">E0072</t>
  </si>
  <si>
    <t xml:space="preserve">Uche Lawal</t>
  </si>
  <si>
    <t xml:space="preserve">1975-05-13</t>
  </si>
  <si>
    <t xml:space="preserve">2018-07-16</t>
  </si>
  <si>
    <t xml:space="preserve">E0073</t>
  </si>
  <si>
    <t xml:space="preserve">Yetunde Lawal</t>
  </si>
  <si>
    <t xml:space="preserve">1974-07-06</t>
  </si>
  <si>
    <t xml:space="preserve">2025-12-30</t>
  </si>
  <si>
    <t xml:space="preserve">E0074</t>
  </si>
  <si>
    <t xml:space="preserve">Patience Adeyemi</t>
  </si>
  <si>
    <t xml:space="preserve">1972-06-12</t>
  </si>
  <si>
    <t xml:space="preserve">2015-07-06</t>
  </si>
  <si>
    <t xml:space="preserve">E0075</t>
  </si>
  <si>
    <t xml:space="preserve">Adaeze Aliyu</t>
  </si>
  <si>
    <t xml:space="preserve">1982-10-03</t>
  </si>
  <si>
    <t xml:space="preserve">2021-06-09</t>
  </si>
  <si>
    <t xml:space="preserve">E0076</t>
  </si>
  <si>
    <t xml:space="preserve">Precious Abubakar</t>
  </si>
  <si>
    <t xml:space="preserve">1992-01-22</t>
  </si>
  <si>
    <t xml:space="preserve">2019-06-30</t>
  </si>
  <si>
    <t xml:space="preserve">E0077</t>
  </si>
  <si>
    <t xml:space="preserve">Bisi Okoro</t>
  </si>
  <si>
    <t xml:space="preserve">1988-09-01</t>
  </si>
  <si>
    <t xml:space="preserve">2021-04-04</t>
  </si>
  <si>
    <t xml:space="preserve">E0078</t>
  </si>
  <si>
    <t xml:space="preserve">Chidinma Sanni</t>
  </si>
  <si>
    <t xml:space="preserve">1996-05-26</t>
  </si>
  <si>
    <t xml:space="preserve">2018-05-02</t>
  </si>
  <si>
    <t xml:space="preserve">E0079</t>
  </si>
  <si>
    <t xml:space="preserve">Hauwa Ojo</t>
  </si>
  <si>
    <t xml:space="preserve">1999-08-17</t>
  </si>
  <si>
    <t xml:space="preserve">E0080</t>
  </si>
  <si>
    <t xml:space="preserve">Chidinma Uzoma</t>
  </si>
  <si>
    <t xml:space="preserve">1971-06-19</t>
  </si>
  <si>
    <t xml:space="preserve">2018-04-07</t>
  </si>
  <si>
    <t xml:space="preserve">E0081</t>
  </si>
  <si>
    <t xml:space="preserve">Oluwaseun Musa</t>
  </si>
  <si>
    <t xml:space="preserve">1975-02-24</t>
  </si>
  <si>
    <t xml:space="preserve">2019-10-08</t>
  </si>
  <si>
    <t xml:space="preserve">E0082</t>
  </si>
  <si>
    <t xml:space="preserve">Ngozi Nwosu</t>
  </si>
  <si>
    <t xml:space="preserve">1995-07-14</t>
  </si>
  <si>
    <t xml:space="preserve">2021-09-03</t>
  </si>
  <si>
    <t xml:space="preserve">E0083</t>
  </si>
  <si>
    <t xml:space="preserve">Grace Sani</t>
  </si>
  <si>
    <t xml:space="preserve">1973-08-10</t>
  </si>
  <si>
    <t xml:space="preserve">2019-11-29</t>
  </si>
  <si>
    <t xml:space="preserve">E0084</t>
  </si>
  <si>
    <t xml:space="preserve">1982-02-02</t>
  </si>
  <si>
    <t xml:space="preserve">2023-07-30</t>
  </si>
  <si>
    <t xml:space="preserve">E0085</t>
  </si>
  <si>
    <t xml:space="preserve">Yetunde Nwosu</t>
  </si>
  <si>
    <t xml:space="preserve">2022-02-13</t>
  </si>
  <si>
    <t xml:space="preserve">E0086</t>
  </si>
  <si>
    <t xml:space="preserve">Ibrahim Umeh</t>
  </si>
  <si>
    <t xml:space="preserve">1992-03-23</t>
  </si>
  <si>
    <t xml:space="preserve">2022-10-12</t>
  </si>
  <si>
    <t xml:space="preserve">E0087</t>
  </si>
  <si>
    <t xml:space="preserve">Oluwaseun Umeh</t>
  </si>
  <si>
    <t xml:space="preserve">1988-02-18</t>
  </si>
  <si>
    <t xml:space="preserve">2025-11-17</t>
  </si>
  <si>
    <t xml:space="preserve">E0088</t>
  </si>
  <si>
    <t xml:space="preserve">Tolu Balogun</t>
  </si>
  <si>
    <t xml:space="preserve">1986-03-25</t>
  </si>
  <si>
    <t xml:space="preserve">2020-10-24</t>
  </si>
  <si>
    <t xml:space="preserve">E0089</t>
  </si>
  <si>
    <t xml:space="preserve">Yetunde Sani</t>
  </si>
  <si>
    <t xml:space="preserve">1982-12-03</t>
  </si>
  <si>
    <t xml:space="preserve">2025-05-27</t>
  </si>
  <si>
    <t xml:space="preserve">E0090</t>
  </si>
  <si>
    <t xml:space="preserve">Ibrahim Afolabi</t>
  </si>
  <si>
    <t xml:space="preserve">1988-04-20</t>
  </si>
  <si>
    <t xml:space="preserve">2021-03-12</t>
  </si>
  <si>
    <t xml:space="preserve">E0091</t>
  </si>
  <si>
    <t xml:space="preserve">Folake Ibe</t>
  </si>
  <si>
    <t xml:space="preserve">1982-04-07</t>
  </si>
  <si>
    <t xml:space="preserve">2020-09-15</t>
  </si>
  <si>
    <t xml:space="preserve">E0092</t>
  </si>
  <si>
    <t xml:space="preserve">Nkechi Bello</t>
  </si>
  <si>
    <t xml:space="preserve">1973-02-17</t>
  </si>
  <si>
    <t xml:space="preserve">2024-09-09</t>
  </si>
  <si>
    <t xml:space="preserve">E0093</t>
  </si>
  <si>
    <t xml:space="preserve">Chinedu Afolabi</t>
  </si>
  <si>
    <t xml:space="preserve">1996-04-30</t>
  </si>
  <si>
    <t xml:space="preserve">2024-05-23</t>
  </si>
  <si>
    <t xml:space="preserve">E0094</t>
  </si>
  <si>
    <t xml:space="preserve">Aisha Umeh</t>
  </si>
  <si>
    <t xml:space="preserve">1984-06-08</t>
  </si>
  <si>
    <t xml:space="preserve">E0095</t>
  </si>
  <si>
    <t xml:space="preserve">1991-03-21</t>
  </si>
  <si>
    <t xml:space="preserve">2023-05-09</t>
  </si>
  <si>
    <t xml:space="preserve">E0096</t>
  </si>
  <si>
    <t xml:space="preserve">Kelechi Okonkwo</t>
  </si>
  <si>
    <t xml:space="preserve">1974-07-03</t>
  </si>
  <si>
    <t xml:space="preserve">2024-10-02</t>
  </si>
  <si>
    <t xml:space="preserve">E0097</t>
  </si>
  <si>
    <t xml:space="preserve">Tolu Aliyu</t>
  </si>
  <si>
    <t xml:space="preserve">1991-01-23</t>
  </si>
  <si>
    <t xml:space="preserve">2015-11-03</t>
  </si>
  <si>
    <t xml:space="preserve">E0098</t>
  </si>
  <si>
    <t xml:space="preserve">Patience Chukwu</t>
  </si>
  <si>
    <t xml:space="preserve">1991-11-21</t>
  </si>
  <si>
    <t xml:space="preserve">E0099</t>
  </si>
  <si>
    <t xml:space="preserve">Chukwudi Lawal</t>
  </si>
  <si>
    <t xml:space="preserve">1974-06-01</t>
  </si>
  <si>
    <t xml:space="preserve">2019-11-13</t>
  </si>
  <si>
    <t xml:space="preserve">E0100</t>
  </si>
  <si>
    <t xml:space="preserve">Ifeoma Balogun</t>
  </si>
  <si>
    <t xml:space="preserve">1972-07-08</t>
  </si>
  <si>
    <t xml:space="preserve">E0101</t>
  </si>
  <si>
    <t xml:space="preserve">Amina Nwosu</t>
  </si>
  <si>
    <t xml:space="preserve">1997-05-04</t>
  </si>
  <si>
    <t xml:space="preserve">2015-11-20</t>
  </si>
  <si>
    <t xml:space="preserve">E0102</t>
  </si>
  <si>
    <t xml:space="preserve">Godwin Ojo</t>
  </si>
  <si>
    <t xml:space="preserve">1981-06-15</t>
  </si>
  <si>
    <t xml:space="preserve">2020-02-26</t>
  </si>
  <si>
    <t xml:space="preserve">E0103</t>
  </si>
  <si>
    <t xml:space="preserve">Chidinma Yusuf</t>
  </si>
  <si>
    <t xml:space="preserve">1989-01-12</t>
  </si>
  <si>
    <t xml:space="preserve">2022-03-02</t>
  </si>
  <si>
    <t xml:space="preserve">E0104</t>
  </si>
  <si>
    <t xml:space="preserve">Adaeze Okoro</t>
  </si>
  <si>
    <t xml:space="preserve">1986-02-07</t>
  </si>
  <si>
    <t xml:space="preserve">2021-05-31</t>
  </si>
  <si>
    <t xml:space="preserve">E0105</t>
  </si>
  <si>
    <t xml:space="preserve">Chinedu Adebayo</t>
  </si>
  <si>
    <t xml:space="preserve">1997-03-15</t>
  </si>
  <si>
    <t xml:space="preserve">2025-03-18</t>
  </si>
  <si>
    <t xml:space="preserve">E0106</t>
  </si>
  <si>
    <t xml:space="preserve">Aisha Okoro</t>
  </si>
  <si>
    <t xml:space="preserve">1981-03-30</t>
  </si>
  <si>
    <t xml:space="preserve">2021-12-18</t>
  </si>
  <si>
    <t xml:space="preserve">E0107</t>
  </si>
  <si>
    <t xml:space="preserve">Chidinma Balogun</t>
  </si>
  <si>
    <t xml:space="preserve">1975-11-24</t>
  </si>
  <si>
    <t xml:space="preserve">2023-03-19</t>
  </si>
  <si>
    <t xml:space="preserve">E0108</t>
  </si>
  <si>
    <t xml:space="preserve">Yusuf Okonkwo</t>
  </si>
  <si>
    <t xml:space="preserve">1977-05-19</t>
  </si>
  <si>
    <t xml:space="preserve">2024-04-24</t>
  </si>
  <si>
    <t xml:space="preserve">E0109</t>
  </si>
  <si>
    <t xml:space="preserve">Godwin Eze</t>
  </si>
  <si>
    <t xml:space="preserve">1980-02-14</t>
  </si>
  <si>
    <t xml:space="preserve">2023-06-17</t>
  </si>
  <si>
    <t xml:space="preserve">E0110</t>
  </si>
  <si>
    <t xml:space="preserve">Ekene Okafor</t>
  </si>
  <si>
    <t xml:space="preserve">1975-07-18</t>
  </si>
  <si>
    <t xml:space="preserve">2021-01-06</t>
  </si>
  <si>
    <t xml:space="preserve">E0111</t>
  </si>
  <si>
    <t xml:space="preserve">Chukwudi Ibe</t>
  </si>
  <si>
    <t xml:space="preserve">1995-03-09</t>
  </si>
  <si>
    <t xml:space="preserve">2021-12-12</t>
  </si>
  <si>
    <t xml:space="preserve">E0112</t>
  </si>
  <si>
    <t xml:space="preserve">Tolu Abubakar</t>
  </si>
  <si>
    <t xml:space="preserve">1971-09-02</t>
  </si>
  <si>
    <t xml:space="preserve">2015-07-05</t>
  </si>
  <si>
    <t xml:space="preserve">E0113</t>
  </si>
  <si>
    <t xml:space="preserve">Godwin Yusuf</t>
  </si>
  <si>
    <t xml:space="preserve">1976-12-06</t>
  </si>
  <si>
    <t xml:space="preserve">2021-08-02</t>
  </si>
  <si>
    <t xml:space="preserve">E0114</t>
  </si>
  <si>
    <t xml:space="preserve">Yusuf Bello</t>
  </si>
  <si>
    <t xml:space="preserve">1980-08-04</t>
  </si>
  <si>
    <t xml:space="preserve">2019-12-27</t>
  </si>
  <si>
    <t xml:space="preserve">E0115</t>
  </si>
  <si>
    <t xml:space="preserve">Ekene Suleiman</t>
  </si>
  <si>
    <t xml:space="preserve">1975-06-25</t>
  </si>
  <si>
    <t xml:space="preserve">2025-11-09</t>
  </si>
  <si>
    <t xml:space="preserve">E0116</t>
  </si>
  <si>
    <t xml:space="preserve">Funke Okoro</t>
  </si>
  <si>
    <t xml:space="preserve">1995-04-30</t>
  </si>
  <si>
    <t xml:space="preserve">2023-10-29</t>
  </si>
  <si>
    <t xml:space="preserve">E0117</t>
  </si>
  <si>
    <t xml:space="preserve">Folake Musa</t>
  </si>
  <si>
    <t xml:space="preserve">1976-06-28</t>
  </si>
  <si>
    <t xml:space="preserve">2018-02-09</t>
  </si>
  <si>
    <t xml:space="preserve">E0118</t>
  </si>
  <si>
    <t xml:space="preserve">Chinedu Yusuf</t>
  </si>
  <si>
    <t xml:space="preserve">1984-07-10</t>
  </si>
  <si>
    <t xml:space="preserve">2021-08-08</t>
  </si>
  <si>
    <t xml:space="preserve">E0119</t>
  </si>
  <si>
    <t xml:space="preserve">Precious Danladi</t>
  </si>
  <si>
    <t xml:space="preserve">1996-08-18</t>
  </si>
  <si>
    <t xml:space="preserve">2020-10-03</t>
  </si>
  <si>
    <t xml:space="preserve">E0120</t>
  </si>
  <si>
    <t xml:space="preserve">1988-01-07</t>
  </si>
  <si>
    <t xml:space="preserve">2024-07-02</t>
  </si>
  <si>
    <t xml:space="preserve">E0121</t>
  </si>
  <si>
    <t xml:space="preserve">Rukayat Adeyemi</t>
  </si>
  <si>
    <t xml:space="preserve">1982-05-03</t>
  </si>
  <si>
    <t xml:space="preserve">2016-05-31</t>
  </si>
  <si>
    <t xml:space="preserve">E0122</t>
  </si>
  <si>
    <t xml:space="preserve">Grace Nnamdi</t>
  </si>
  <si>
    <t xml:space="preserve">1975-02-18</t>
  </si>
  <si>
    <t xml:space="preserve">2016-02-11</t>
  </si>
  <si>
    <t xml:space="preserve">E0123</t>
  </si>
  <si>
    <t xml:space="preserve">Funke Ekpo</t>
  </si>
  <si>
    <t xml:space="preserve">1988-08-29</t>
  </si>
  <si>
    <t xml:space="preserve">2019-06-22</t>
  </si>
  <si>
    <t xml:space="preserve">E0124</t>
  </si>
  <si>
    <t xml:space="preserve">Precious Eze</t>
  </si>
  <si>
    <t xml:space="preserve">1973-10-30</t>
  </si>
  <si>
    <t xml:space="preserve">2024-04-29</t>
  </si>
  <si>
    <t xml:space="preserve">E0125</t>
  </si>
  <si>
    <t xml:space="preserve">Kunle Sani</t>
  </si>
  <si>
    <t xml:space="preserve">1975-06-26</t>
  </si>
  <si>
    <t xml:space="preserve">2022-07-07</t>
  </si>
  <si>
    <t xml:space="preserve">E0126</t>
  </si>
  <si>
    <t xml:space="preserve">Rukayat Afolabi</t>
  </si>
  <si>
    <t xml:space="preserve">1995-12-04</t>
  </si>
  <si>
    <t xml:space="preserve">2016-02-29</t>
  </si>
  <si>
    <t xml:space="preserve">E0127</t>
  </si>
  <si>
    <t xml:space="preserve">Kunle Yusuf</t>
  </si>
  <si>
    <t xml:space="preserve">1982-07-01</t>
  </si>
  <si>
    <t xml:space="preserve">2023-07-21</t>
  </si>
  <si>
    <t xml:space="preserve">E0128</t>
  </si>
  <si>
    <t xml:space="preserve">Amina Suleiman</t>
  </si>
  <si>
    <t xml:space="preserve">1985-03-30</t>
  </si>
  <si>
    <t xml:space="preserve">2025-05-02</t>
  </si>
  <si>
    <t xml:space="preserve">E0129</t>
  </si>
  <si>
    <t xml:space="preserve">Folake Lawal</t>
  </si>
  <si>
    <t xml:space="preserve">1993-10-18</t>
  </si>
  <si>
    <t xml:space="preserve">2016-01-11</t>
  </si>
  <si>
    <t xml:space="preserve">E0130</t>
  </si>
  <si>
    <t xml:space="preserve">Ada Nnamdi</t>
  </si>
  <si>
    <t xml:space="preserve">1972-05-11</t>
  </si>
  <si>
    <t xml:space="preserve">2024-11-27</t>
  </si>
  <si>
    <t xml:space="preserve">E0131</t>
  </si>
  <si>
    <t xml:space="preserve">Damilola Ibe</t>
  </si>
  <si>
    <t xml:space="preserve">1982-04-03</t>
  </si>
  <si>
    <t xml:space="preserve">2019-08-24</t>
  </si>
  <si>
    <t xml:space="preserve">E0132</t>
  </si>
  <si>
    <t xml:space="preserve">Sunday Okonkwo</t>
  </si>
  <si>
    <t xml:space="preserve">1979-11-22</t>
  </si>
  <si>
    <t xml:space="preserve">E0133</t>
  </si>
  <si>
    <t xml:space="preserve">Oluwaseun Afolabi</t>
  </si>
  <si>
    <t xml:space="preserve">1970-05-07</t>
  </si>
  <si>
    <t xml:space="preserve">2016-05-06</t>
  </si>
  <si>
    <t xml:space="preserve">E0134</t>
  </si>
  <si>
    <t xml:space="preserve">Kunle Ekpo</t>
  </si>
  <si>
    <t xml:space="preserve">1987-10-24</t>
  </si>
  <si>
    <t xml:space="preserve">2015-10-23</t>
  </si>
  <si>
    <t xml:space="preserve">E0135</t>
  </si>
  <si>
    <t xml:space="preserve">Ada Ogunleye</t>
  </si>
  <si>
    <t xml:space="preserve">1998-09-19</t>
  </si>
  <si>
    <t xml:space="preserve">2022-12-16</t>
  </si>
  <si>
    <t xml:space="preserve">E0136</t>
  </si>
  <si>
    <t xml:space="preserve">Godwin Ekpo</t>
  </si>
  <si>
    <t xml:space="preserve">1989-08-04</t>
  </si>
  <si>
    <t xml:space="preserve">2015-12-27</t>
  </si>
  <si>
    <t xml:space="preserve">E0137</t>
  </si>
  <si>
    <t xml:space="preserve">1977-07-17</t>
  </si>
  <si>
    <t xml:space="preserve">2023-09-27</t>
  </si>
  <si>
    <t xml:space="preserve">E0138</t>
  </si>
  <si>
    <t xml:space="preserve">Folake Okoro</t>
  </si>
  <si>
    <t xml:space="preserve">1981-06-25</t>
  </si>
  <si>
    <t xml:space="preserve">2016-08-22</t>
  </si>
  <si>
    <t xml:space="preserve">E0139</t>
  </si>
  <si>
    <t xml:space="preserve">Ada Nnaji</t>
  </si>
  <si>
    <t xml:space="preserve">1995-04-28</t>
  </si>
  <si>
    <t xml:space="preserve">2022-08-21</t>
  </si>
  <si>
    <t xml:space="preserve">E0140</t>
  </si>
  <si>
    <t xml:space="preserve">Chidinma Eze</t>
  </si>
  <si>
    <t xml:space="preserve">1998-04-28</t>
  </si>
  <si>
    <t xml:space="preserve">2019-12-17</t>
  </si>
  <si>
    <t xml:space="preserve">E0141</t>
  </si>
  <si>
    <t xml:space="preserve">1986-07-17</t>
  </si>
  <si>
    <t xml:space="preserve">2015-08-22</t>
  </si>
  <si>
    <t xml:space="preserve">E0142</t>
  </si>
  <si>
    <t xml:space="preserve">Chike Sani</t>
  </si>
  <si>
    <t xml:space="preserve">1995-08-24</t>
  </si>
  <si>
    <t xml:space="preserve">2020-01-17</t>
  </si>
  <si>
    <t xml:space="preserve">E0143</t>
  </si>
  <si>
    <t xml:space="preserve">Adaeze Musa</t>
  </si>
  <si>
    <t xml:space="preserve">1973-10-13</t>
  </si>
  <si>
    <t xml:space="preserve">2023-01-04</t>
  </si>
  <si>
    <t xml:space="preserve">E0144</t>
  </si>
  <si>
    <t xml:space="preserve">Victor Nnamdi</t>
  </si>
  <si>
    <t xml:space="preserve">1986-09-22</t>
  </si>
  <si>
    <t xml:space="preserve">2019-01-30</t>
  </si>
  <si>
    <t xml:space="preserve">E0145</t>
  </si>
  <si>
    <t xml:space="preserve">Tunde Umeh</t>
  </si>
  <si>
    <t xml:space="preserve">1987-05-05</t>
  </si>
  <si>
    <t xml:space="preserve">E0146</t>
  </si>
  <si>
    <t xml:space="preserve">Chiamaka Ojo</t>
  </si>
  <si>
    <t xml:space="preserve">1996-09-10</t>
  </si>
  <si>
    <t xml:space="preserve">2016-06-12</t>
  </si>
  <si>
    <t xml:space="preserve">E0147</t>
  </si>
  <si>
    <t xml:space="preserve">Victor Eze</t>
  </si>
  <si>
    <t xml:space="preserve">1986-03-26</t>
  </si>
  <si>
    <t xml:space="preserve">2020-09-13</t>
  </si>
  <si>
    <t xml:space="preserve">E0148</t>
  </si>
  <si>
    <t xml:space="preserve">Chukwudi Adeyemi</t>
  </si>
  <si>
    <t xml:space="preserve">1983-04-09</t>
  </si>
  <si>
    <t xml:space="preserve">2015-11-13</t>
  </si>
  <si>
    <t xml:space="preserve">E0149</t>
  </si>
  <si>
    <t xml:space="preserve">Nkechi Adeyemi</t>
  </si>
  <si>
    <t xml:space="preserve">1998-01-09</t>
  </si>
  <si>
    <t xml:space="preserve">2017-01-10</t>
  </si>
  <si>
    <t xml:space="preserve">E0150</t>
  </si>
  <si>
    <t xml:space="preserve">Chidinma Nnamdi</t>
  </si>
  <si>
    <t xml:space="preserve">1990-02-20</t>
  </si>
  <si>
    <t xml:space="preserve">2023-06-09</t>
  </si>
  <si>
    <t xml:space="preserve">E0151</t>
  </si>
  <si>
    <t xml:space="preserve">Ada Danladi</t>
  </si>
  <si>
    <t xml:space="preserve">1982-08-22</t>
  </si>
  <si>
    <t xml:space="preserve">2023-08-18</t>
  </si>
  <si>
    <t xml:space="preserve">E0152</t>
  </si>
  <si>
    <t xml:space="preserve">Kelechi Aliyu</t>
  </si>
  <si>
    <t xml:space="preserve">1998-10-06</t>
  </si>
  <si>
    <t xml:space="preserve">2015-08-02</t>
  </si>
  <si>
    <t xml:space="preserve">E0153</t>
  </si>
  <si>
    <t xml:space="preserve">Bisi Nnaji</t>
  </si>
  <si>
    <t xml:space="preserve">1990-02-26</t>
  </si>
  <si>
    <t xml:space="preserve">2018-01-22</t>
  </si>
  <si>
    <t xml:space="preserve">E0154</t>
  </si>
  <si>
    <t xml:space="preserve">Aisha Sanni</t>
  </si>
  <si>
    <t xml:space="preserve">1972-05-22</t>
  </si>
  <si>
    <t xml:space="preserve">2019-08-27</t>
  </si>
  <si>
    <t xml:space="preserve">E0155</t>
  </si>
  <si>
    <t xml:space="preserve">Ifeoma Umeh</t>
  </si>
  <si>
    <t xml:space="preserve">1999-02-26</t>
  </si>
  <si>
    <t xml:space="preserve">2024-05-30</t>
  </si>
  <si>
    <t xml:space="preserve">E0156</t>
  </si>
  <si>
    <t xml:space="preserve">1973-07-22</t>
  </si>
  <si>
    <t xml:space="preserve">2025-02-27</t>
  </si>
  <si>
    <t xml:space="preserve">E0157</t>
  </si>
  <si>
    <t xml:space="preserve">Obinna Okoro</t>
  </si>
  <si>
    <t xml:space="preserve">1972-02-22</t>
  </si>
  <si>
    <t xml:space="preserve">2016-05-14</t>
  </si>
  <si>
    <t xml:space="preserve">E0158</t>
  </si>
  <si>
    <t xml:space="preserve">Patience Okafor</t>
  </si>
  <si>
    <t xml:space="preserve">1976-06-10</t>
  </si>
  <si>
    <t xml:space="preserve">2023-01-22</t>
  </si>
  <si>
    <t xml:space="preserve">E0159</t>
  </si>
  <si>
    <t xml:space="preserve">Bisi Okonkwo</t>
  </si>
  <si>
    <t xml:space="preserve">1993-08-06</t>
  </si>
  <si>
    <t xml:space="preserve">2015-10-05</t>
  </si>
  <si>
    <t xml:space="preserve">E0160</t>
  </si>
  <si>
    <t xml:space="preserve">Nkechi Yusuf</t>
  </si>
  <si>
    <t xml:space="preserve">1970-09-24</t>
  </si>
  <si>
    <t xml:space="preserve">2023-05-20</t>
  </si>
  <si>
    <t xml:space="preserve">OperationID</t>
  </si>
  <si>
    <t xml:space="preserve">AssetField</t>
  </si>
  <si>
    <t xml:space="preserve">WellName</t>
  </si>
  <si>
    <t xml:space="preserve">ProductionDate</t>
  </si>
  <si>
    <t xml:space="preserve">ProductType</t>
  </si>
  <si>
    <t xml:space="preserve">UnitOfMeasure</t>
  </si>
  <si>
    <t xml:space="preserve">PlannedVolume</t>
  </si>
  <si>
    <t xml:space="preserve">ActualVolume</t>
  </si>
  <si>
    <t xml:space="preserve">DowntimeHours</t>
  </si>
  <si>
    <t xml:space="preserve">DowntimeReason</t>
  </si>
  <si>
    <t xml:space="preserve">SupervisorEmployeeID</t>
  </si>
  <si>
    <t xml:space="preserve">OP0001</t>
  </si>
  <si>
    <t xml:space="preserve">OML 41 - Oben</t>
  </si>
  <si>
    <t xml:space="preserve">Well-09</t>
  </si>
  <si>
    <t xml:space="preserve">2023-05-10</t>
  </si>
  <si>
    <t xml:space="preserve">NGL</t>
  </si>
  <si>
    <t xml:space="preserve">mmscf</t>
  </si>
  <si>
    <t xml:space="preserve">Scheduled Maintenance</t>
  </si>
  <si>
    <t xml:space="preserve">OP0002</t>
  </si>
  <si>
    <t xml:space="preserve">OML 38 - Owaza</t>
  </si>
  <si>
    <t xml:space="preserve">Well-33</t>
  </si>
  <si>
    <t xml:space="preserve">2025-03-26</t>
  </si>
  <si>
    <t xml:space="preserve">OP0003</t>
  </si>
  <si>
    <t xml:space="preserve">Well-23</t>
  </si>
  <si>
    <t xml:space="preserve">2023-04-08</t>
  </si>
  <si>
    <t xml:space="preserve">OP0004</t>
  </si>
  <si>
    <t xml:space="preserve">OML 55 - Ubima</t>
  </si>
  <si>
    <t xml:space="preserve">Well-29</t>
  </si>
  <si>
    <t xml:space="preserve">2025-03-02</t>
  </si>
  <si>
    <t xml:space="preserve">Natural Gas</t>
  </si>
  <si>
    <t xml:space="preserve">OP0005</t>
  </si>
  <si>
    <t xml:space="preserve">Oben Gas Plant</t>
  </si>
  <si>
    <t xml:space="preserve">Well-18</t>
  </si>
  <si>
    <t xml:space="preserve">2023-06-19</t>
  </si>
  <si>
    <t xml:space="preserve">OP0006</t>
  </si>
  <si>
    <t xml:space="preserve">Well-35</t>
  </si>
  <si>
    <t xml:space="preserve">2024-08-24</t>
  </si>
  <si>
    <t xml:space="preserve">OP0007</t>
  </si>
  <si>
    <t xml:space="preserve">ANOH Gas Plant</t>
  </si>
  <si>
    <t xml:space="preserve">Well-39</t>
  </si>
  <si>
    <t xml:space="preserve">2025-05-22</t>
  </si>
  <si>
    <t xml:space="preserve">Crude Oil</t>
  </si>
  <si>
    <t xml:space="preserve">bbls</t>
  </si>
  <si>
    <t xml:space="preserve">OP0008</t>
  </si>
  <si>
    <t xml:space="preserve">OML 53 - Umuseti/Igbuku</t>
  </si>
  <si>
    <t xml:space="preserve">Well-40</t>
  </si>
  <si>
    <t xml:space="preserve">2025-06-09</t>
  </si>
  <si>
    <t xml:space="preserve">OP0009</t>
  </si>
  <si>
    <t xml:space="preserve">Well-24</t>
  </si>
  <si>
    <t xml:space="preserve">2025-11-16</t>
  </si>
  <si>
    <t xml:space="preserve">OP0010</t>
  </si>
  <si>
    <t xml:space="preserve">Well-03</t>
  </si>
  <si>
    <t xml:space="preserve">2023-09-16</t>
  </si>
  <si>
    <t xml:space="preserve">OP0011</t>
  </si>
  <si>
    <t xml:space="preserve">Sapele Gas Plant</t>
  </si>
  <si>
    <t xml:space="preserve">2026-05-24</t>
  </si>
  <si>
    <t xml:space="preserve">OP0012</t>
  </si>
  <si>
    <t xml:space="preserve">OML 40 - Sapele</t>
  </si>
  <si>
    <t xml:space="preserve">Well-37</t>
  </si>
  <si>
    <t xml:space="preserve">2023-10-09</t>
  </si>
  <si>
    <t xml:space="preserve">OP0013</t>
  </si>
  <si>
    <t xml:space="preserve">Well-02</t>
  </si>
  <si>
    <t xml:space="preserve">2024-01-17</t>
  </si>
  <si>
    <t xml:space="preserve">OP0014</t>
  </si>
  <si>
    <t xml:space="preserve">2024-03-15</t>
  </si>
  <si>
    <t xml:space="preserve">OP0015</t>
  </si>
  <si>
    <t xml:space="preserve">2023-06-01</t>
  </si>
  <si>
    <t xml:space="preserve">OP0016</t>
  </si>
  <si>
    <t xml:space="preserve">2023-05-13</t>
  </si>
  <si>
    <t xml:space="preserve">OP0017</t>
  </si>
  <si>
    <t xml:space="preserve">2025-11-07</t>
  </si>
  <si>
    <t xml:space="preserve">OP0018</t>
  </si>
  <si>
    <t xml:space="preserve">2025-01-09</t>
  </si>
  <si>
    <t xml:space="preserve">OP0019</t>
  </si>
  <si>
    <t xml:space="preserve">2023-06-26</t>
  </si>
  <si>
    <t xml:space="preserve">OP0020</t>
  </si>
  <si>
    <t xml:space="preserve">Well-27</t>
  </si>
  <si>
    <t xml:space="preserve">2025-04-18</t>
  </si>
  <si>
    <t xml:space="preserve">Weather</t>
  </si>
  <si>
    <t xml:space="preserve">OP0021</t>
  </si>
  <si>
    <t xml:space="preserve">2023-09-20</t>
  </si>
  <si>
    <t xml:space="preserve">OP0022</t>
  </si>
  <si>
    <t xml:space="preserve">2023-04-24</t>
  </si>
  <si>
    <t xml:space="preserve">OP0023</t>
  </si>
  <si>
    <t xml:space="preserve">Well-34</t>
  </si>
  <si>
    <t xml:space="preserve">2024-08-04</t>
  </si>
  <si>
    <t xml:space="preserve">OP0024</t>
  </si>
  <si>
    <t xml:space="preserve">Well-20</t>
  </si>
  <si>
    <t xml:space="preserve">2026-06-12</t>
  </si>
  <si>
    <t xml:space="preserve">Pipeline Vandalism</t>
  </si>
  <si>
    <t xml:space="preserve">OP0025</t>
  </si>
  <si>
    <t xml:space="preserve">2024-11-22</t>
  </si>
  <si>
    <t xml:space="preserve">OP0026</t>
  </si>
  <si>
    <t xml:space="preserve">Well-17</t>
  </si>
  <si>
    <t xml:space="preserve">2024-03-07</t>
  </si>
  <si>
    <t xml:space="preserve">Community Disruption</t>
  </si>
  <si>
    <t xml:space="preserve">OP0027</t>
  </si>
  <si>
    <t xml:space="preserve">Well-31</t>
  </si>
  <si>
    <t xml:space="preserve">2024-05-16</t>
  </si>
  <si>
    <t xml:space="preserve">OP0028</t>
  </si>
  <si>
    <t xml:space="preserve">Well-30</t>
  </si>
  <si>
    <t xml:space="preserve">2024-02-22</t>
  </si>
  <si>
    <t xml:space="preserve">OP0029</t>
  </si>
  <si>
    <t xml:space="preserve">Well-26</t>
  </si>
  <si>
    <t xml:space="preserve">2023-09-25</t>
  </si>
  <si>
    <t xml:space="preserve">Equipment Failure</t>
  </si>
  <si>
    <t xml:space="preserve">OP0030</t>
  </si>
  <si>
    <t xml:space="preserve">OML 41 - Ovhor</t>
  </si>
  <si>
    <t xml:space="preserve">Well-10</t>
  </si>
  <si>
    <t xml:space="preserve">2023-07-18</t>
  </si>
  <si>
    <t xml:space="preserve">OP0031</t>
  </si>
  <si>
    <t xml:space="preserve">Well-11</t>
  </si>
  <si>
    <t xml:space="preserve">2024-11-01</t>
  </si>
  <si>
    <t xml:space="preserve">OP0032</t>
  </si>
  <si>
    <t xml:space="preserve">Well-32</t>
  </si>
  <si>
    <t xml:space="preserve">2023-02-17</t>
  </si>
  <si>
    <t xml:space="preserve">OP0033</t>
  </si>
  <si>
    <t xml:space="preserve">2023-04-10</t>
  </si>
  <si>
    <t xml:space="preserve">OP0034</t>
  </si>
  <si>
    <t xml:space="preserve">Well-19</t>
  </si>
  <si>
    <t xml:space="preserve">2026-01-04</t>
  </si>
  <si>
    <t xml:space="preserve">OP0035</t>
  </si>
  <si>
    <t xml:space="preserve">2023-04-03</t>
  </si>
  <si>
    <t xml:space="preserve">OP0036</t>
  </si>
  <si>
    <t xml:space="preserve">2026-01-31</t>
  </si>
  <si>
    <t xml:space="preserve">OP0037</t>
  </si>
  <si>
    <t xml:space="preserve">Well-36</t>
  </si>
  <si>
    <t xml:space="preserve">2025-01-18</t>
  </si>
  <si>
    <t xml:space="preserve">OP0038</t>
  </si>
  <si>
    <t xml:space="preserve">OML 40 - Amukpe</t>
  </si>
  <si>
    <t xml:space="preserve">2023-10-08</t>
  </si>
  <si>
    <t xml:space="preserve">OP0039</t>
  </si>
  <si>
    <t xml:space="preserve">2023-10-14</t>
  </si>
  <si>
    <t xml:space="preserve">OP0040</t>
  </si>
  <si>
    <t xml:space="preserve">Well-38</t>
  </si>
  <si>
    <t xml:space="preserve">2024-11-19</t>
  </si>
  <si>
    <t xml:space="preserve">OP0041</t>
  </si>
  <si>
    <t xml:space="preserve">2025-01-24</t>
  </si>
  <si>
    <t xml:space="preserve">OP0042</t>
  </si>
  <si>
    <t xml:space="preserve">2025-08-29</t>
  </si>
  <si>
    <t xml:space="preserve">OP0043</t>
  </si>
  <si>
    <t xml:space="preserve">Well-04</t>
  </si>
  <si>
    <t xml:space="preserve">2026-04-10</t>
  </si>
  <si>
    <t xml:space="preserve">OP0044</t>
  </si>
  <si>
    <t xml:space="preserve">2024-05-11</t>
  </si>
  <si>
    <t xml:space="preserve">OP0045</t>
  </si>
  <si>
    <t xml:space="preserve">OP0046</t>
  </si>
  <si>
    <t xml:space="preserve">2025-11-28</t>
  </si>
  <si>
    <t xml:space="preserve">OP0047</t>
  </si>
  <si>
    <t xml:space="preserve">Well-21</t>
  </si>
  <si>
    <t xml:space="preserve">2023-12-21</t>
  </si>
  <si>
    <t xml:space="preserve">OP0048</t>
  </si>
  <si>
    <t xml:space="preserve">2025-09-18</t>
  </si>
  <si>
    <t xml:space="preserve">OP0049</t>
  </si>
  <si>
    <t xml:space="preserve">Well-14</t>
  </si>
  <si>
    <t xml:space="preserve">2025-09-28</t>
  </si>
  <si>
    <t xml:space="preserve">OP0050</t>
  </si>
  <si>
    <t xml:space="preserve">2023-09-07</t>
  </si>
  <si>
    <t xml:space="preserve">OP0051</t>
  </si>
  <si>
    <t xml:space="preserve">OP0052</t>
  </si>
  <si>
    <t xml:space="preserve">2024-02-18</t>
  </si>
  <si>
    <t xml:space="preserve">OP0053</t>
  </si>
  <si>
    <t xml:space="preserve">2026-04-16</t>
  </si>
  <si>
    <t xml:space="preserve">OP0054</t>
  </si>
  <si>
    <t xml:space="preserve">2023-07-25</t>
  </si>
  <si>
    <t xml:space="preserve">OP0055</t>
  </si>
  <si>
    <t xml:space="preserve">2025-09-01</t>
  </si>
  <si>
    <t xml:space="preserve">OP0056</t>
  </si>
  <si>
    <t xml:space="preserve">2023-07-03</t>
  </si>
  <si>
    <t xml:space="preserve">OP0057</t>
  </si>
  <si>
    <t xml:space="preserve">Well-12</t>
  </si>
  <si>
    <t xml:space="preserve">2025-05-05</t>
  </si>
  <si>
    <t xml:space="preserve">OP0058</t>
  </si>
  <si>
    <t xml:space="preserve">2023-03-18</t>
  </si>
  <si>
    <t xml:space="preserve">OP0059</t>
  </si>
  <si>
    <t xml:space="preserve">2025-10-08</t>
  </si>
  <si>
    <t xml:space="preserve">OP0060</t>
  </si>
  <si>
    <t xml:space="preserve">OP0061</t>
  </si>
  <si>
    <t xml:space="preserve">2025-05-25</t>
  </si>
  <si>
    <t xml:space="preserve">OP0062</t>
  </si>
  <si>
    <t xml:space="preserve">2024-10-24</t>
  </si>
  <si>
    <t xml:space="preserve">OP0063</t>
  </si>
  <si>
    <t xml:space="preserve">2023-01-24</t>
  </si>
  <si>
    <t xml:space="preserve">OP0064</t>
  </si>
  <si>
    <t xml:space="preserve">2025-10-26</t>
  </si>
  <si>
    <t xml:space="preserve">OP0065</t>
  </si>
  <si>
    <t xml:space="preserve">2024-03-28</t>
  </si>
  <si>
    <t xml:space="preserve">OP0066</t>
  </si>
  <si>
    <t xml:space="preserve">2026-01-29</t>
  </si>
  <si>
    <t xml:space="preserve">OP0067</t>
  </si>
  <si>
    <t xml:space="preserve">OP0068</t>
  </si>
  <si>
    <t xml:space="preserve">Well-08</t>
  </si>
  <si>
    <t xml:space="preserve">2023-05-07</t>
  </si>
  <si>
    <t xml:space="preserve">OP0069</t>
  </si>
  <si>
    <t xml:space="preserve">2025-06-23</t>
  </si>
  <si>
    <t xml:space="preserve">OP0070</t>
  </si>
  <si>
    <t xml:space="preserve">OP0071</t>
  </si>
  <si>
    <t xml:space="preserve">2024-09-23</t>
  </si>
  <si>
    <t xml:space="preserve">OP0072</t>
  </si>
  <si>
    <t xml:space="preserve">2023-05-30</t>
  </si>
  <si>
    <t xml:space="preserve">OP0073</t>
  </si>
  <si>
    <t xml:space="preserve">2024-08-10</t>
  </si>
  <si>
    <t xml:space="preserve">OP0074</t>
  </si>
  <si>
    <t xml:space="preserve">2025-02-22</t>
  </si>
  <si>
    <t xml:space="preserve">OP0075</t>
  </si>
  <si>
    <t xml:space="preserve">2024-12-13</t>
  </si>
  <si>
    <t xml:space="preserve">OP0076</t>
  </si>
  <si>
    <t xml:space="preserve">Well-01</t>
  </si>
  <si>
    <t xml:space="preserve">2023-02-16</t>
  </si>
  <si>
    <t xml:space="preserve">OP0077</t>
  </si>
  <si>
    <t xml:space="preserve">Well-15</t>
  </si>
  <si>
    <t xml:space="preserve">2024-05-21</t>
  </si>
  <si>
    <t xml:space="preserve">OP0078</t>
  </si>
  <si>
    <t xml:space="preserve">2023-02-02</t>
  </si>
  <si>
    <t xml:space="preserve">OP0079</t>
  </si>
  <si>
    <t xml:space="preserve">OP0080</t>
  </si>
  <si>
    <t xml:space="preserve">OP0081</t>
  </si>
  <si>
    <t xml:space="preserve">Well-16</t>
  </si>
  <si>
    <t xml:space="preserve">2024-09-10</t>
  </si>
  <si>
    <t xml:space="preserve">OP0082</t>
  </si>
  <si>
    <t xml:space="preserve">2026-04-26</t>
  </si>
  <si>
    <t xml:space="preserve">OP0083</t>
  </si>
  <si>
    <t xml:space="preserve">2025-02-19</t>
  </si>
  <si>
    <t xml:space="preserve">OP0084</t>
  </si>
  <si>
    <t xml:space="preserve">2026-01-06</t>
  </si>
  <si>
    <t xml:space="preserve">OP0085</t>
  </si>
  <si>
    <t xml:space="preserve">2025-04-25</t>
  </si>
  <si>
    <t xml:space="preserve">OP0086</t>
  </si>
  <si>
    <t xml:space="preserve">Well-22</t>
  </si>
  <si>
    <t xml:space="preserve">2023-06-11</t>
  </si>
  <si>
    <t xml:space="preserve">OP0087</t>
  </si>
  <si>
    <t xml:space="preserve">2025-02-11</t>
  </si>
  <si>
    <t xml:space="preserve">OP0088</t>
  </si>
  <si>
    <t xml:space="preserve">2024-03-20</t>
  </si>
  <si>
    <t xml:space="preserve">OP0089</t>
  </si>
  <si>
    <t xml:space="preserve">2025-09-07</t>
  </si>
  <si>
    <t xml:space="preserve">OP0090</t>
  </si>
  <si>
    <t xml:space="preserve">Well-25</t>
  </si>
  <si>
    <t xml:space="preserve">2025-08-12</t>
  </si>
  <si>
    <t xml:space="preserve">OP0091</t>
  </si>
  <si>
    <t xml:space="preserve">2024-10-17</t>
  </si>
  <si>
    <t xml:space="preserve">OP0092</t>
  </si>
  <si>
    <t xml:space="preserve">2026-02-07</t>
  </si>
  <si>
    <t xml:space="preserve">OP0093</t>
  </si>
  <si>
    <t xml:space="preserve">2025-10-19</t>
  </si>
  <si>
    <t xml:space="preserve">OP0094</t>
  </si>
  <si>
    <t xml:space="preserve">2023-12-11</t>
  </si>
  <si>
    <t xml:space="preserve">OP0095</t>
  </si>
  <si>
    <t xml:space="preserve">2023-05-01</t>
  </si>
  <si>
    <t xml:space="preserve">OP0096</t>
  </si>
  <si>
    <t xml:space="preserve">OP0097</t>
  </si>
  <si>
    <t xml:space="preserve">2026-06-16</t>
  </si>
  <si>
    <t xml:space="preserve">OP0098</t>
  </si>
  <si>
    <t xml:space="preserve">2026-01-02</t>
  </si>
  <si>
    <t xml:space="preserve">OP0099</t>
  </si>
  <si>
    <t xml:space="preserve">Well-07</t>
  </si>
  <si>
    <t xml:space="preserve">2023-07-17</t>
  </si>
  <si>
    <t xml:space="preserve">OP0100</t>
  </si>
  <si>
    <t xml:space="preserve">2025-03-23</t>
  </si>
  <si>
    <t xml:space="preserve">OP0101</t>
  </si>
  <si>
    <t xml:space="preserve">2023-06-15</t>
  </si>
  <si>
    <t xml:space="preserve">OP0102</t>
  </si>
  <si>
    <t xml:space="preserve">2023-12-17</t>
  </si>
  <si>
    <t xml:space="preserve">OP0103</t>
  </si>
  <si>
    <t xml:space="preserve">2025-12-17</t>
  </si>
  <si>
    <t xml:space="preserve">OP0104</t>
  </si>
  <si>
    <t xml:space="preserve">2024-07-09</t>
  </si>
  <si>
    <t xml:space="preserve">OP0105</t>
  </si>
  <si>
    <t xml:space="preserve">OP0106</t>
  </si>
  <si>
    <t xml:space="preserve">Well-05</t>
  </si>
  <si>
    <t xml:space="preserve">2024-09-04</t>
  </si>
  <si>
    <t xml:space="preserve">OP0107</t>
  </si>
  <si>
    <t xml:space="preserve">2025-02-25</t>
  </si>
  <si>
    <t xml:space="preserve">OP0108</t>
  </si>
  <si>
    <t xml:space="preserve">2023-04-20</t>
  </si>
  <si>
    <t xml:space="preserve">OP0109</t>
  </si>
  <si>
    <t xml:space="preserve">OP0110</t>
  </si>
  <si>
    <t xml:space="preserve">2025-02-07</t>
  </si>
  <si>
    <t xml:space="preserve">OP0111</t>
  </si>
  <si>
    <t xml:space="preserve">2024-05-19</t>
  </si>
  <si>
    <t xml:space="preserve">OP0112</t>
  </si>
  <si>
    <t xml:space="preserve">2025-01-08</t>
  </si>
  <si>
    <t xml:space="preserve">OP0113</t>
  </si>
  <si>
    <t xml:space="preserve">Well-06</t>
  </si>
  <si>
    <t xml:space="preserve">2024-01-19</t>
  </si>
  <si>
    <t xml:space="preserve">OP0114</t>
  </si>
  <si>
    <t xml:space="preserve">2024-12-25</t>
  </si>
  <si>
    <t xml:space="preserve">OP0115</t>
  </si>
  <si>
    <t xml:space="preserve">2024-08-20</t>
  </si>
  <si>
    <t xml:space="preserve">OP0116</t>
  </si>
  <si>
    <t xml:space="preserve">2025-12-03</t>
  </si>
  <si>
    <t xml:space="preserve">OP0117</t>
  </si>
  <si>
    <t xml:space="preserve">OP0118</t>
  </si>
  <si>
    <t xml:space="preserve">2025-10-12</t>
  </si>
  <si>
    <t xml:space="preserve">OP0119</t>
  </si>
  <si>
    <t xml:space="preserve">OP0120</t>
  </si>
  <si>
    <t xml:space="preserve">2024-09-07</t>
  </si>
  <si>
    <t xml:space="preserve">OP0121</t>
  </si>
  <si>
    <t xml:space="preserve">2026-03-25</t>
  </si>
  <si>
    <t xml:space="preserve">OP0122</t>
  </si>
  <si>
    <t xml:space="preserve">2026-02-28</t>
  </si>
  <si>
    <t xml:space="preserve">OP0123</t>
  </si>
  <si>
    <t xml:space="preserve">2025-06-16</t>
  </si>
  <si>
    <t xml:space="preserve">OP0124</t>
  </si>
  <si>
    <t xml:space="preserve">2024-09-12</t>
  </si>
  <si>
    <t xml:space="preserve">OP0125</t>
  </si>
  <si>
    <t xml:space="preserve">2025-07-08</t>
  </si>
  <si>
    <t xml:space="preserve">OP0126</t>
  </si>
  <si>
    <t xml:space="preserve">2023-03-17</t>
  </si>
  <si>
    <t xml:space="preserve">OP0127</t>
  </si>
  <si>
    <t xml:space="preserve">2023-12-07</t>
  </si>
  <si>
    <t xml:space="preserve">OP0128</t>
  </si>
  <si>
    <t xml:space="preserve">2025-05-31</t>
  </si>
  <si>
    <t xml:space="preserve">OP0129</t>
  </si>
  <si>
    <t xml:space="preserve">2025-07-01</t>
  </si>
  <si>
    <t xml:space="preserve">OP0130</t>
  </si>
  <si>
    <t xml:space="preserve">2024-12-07</t>
  </si>
  <si>
    <t xml:space="preserve">OP0131</t>
  </si>
  <si>
    <t xml:space="preserve">2024-12-14</t>
  </si>
  <si>
    <t xml:space="preserve">OP0132</t>
  </si>
  <si>
    <t xml:space="preserve">2024-10-15</t>
  </si>
  <si>
    <t xml:space="preserve">OP0133</t>
  </si>
  <si>
    <t xml:space="preserve">2023-12-03</t>
  </si>
  <si>
    <t xml:space="preserve">OP0134</t>
  </si>
  <si>
    <t xml:space="preserve">Well-28</t>
  </si>
  <si>
    <t xml:space="preserve">2025-08-04</t>
  </si>
  <si>
    <t xml:space="preserve">OP0135</t>
  </si>
  <si>
    <t xml:space="preserve">2024-02-09</t>
  </si>
  <si>
    <t xml:space="preserve">OP0136</t>
  </si>
  <si>
    <t xml:space="preserve">2023-07-28</t>
  </si>
  <si>
    <t xml:space="preserve">OP0137</t>
  </si>
  <si>
    <t xml:space="preserve">2024-10-03</t>
  </si>
  <si>
    <t xml:space="preserve">OP0138</t>
  </si>
  <si>
    <t xml:space="preserve">2026-06-18</t>
  </si>
  <si>
    <t xml:space="preserve">OP0139</t>
  </si>
  <si>
    <t xml:space="preserve">2023-06-23</t>
  </si>
  <si>
    <t xml:space="preserve">OP0140</t>
  </si>
  <si>
    <t xml:space="preserve">2025-03-06</t>
  </si>
  <si>
    <t xml:space="preserve">OP0141</t>
  </si>
  <si>
    <t xml:space="preserve">OP0142</t>
  </si>
  <si>
    <t xml:space="preserve">2023-01-20</t>
  </si>
  <si>
    <t xml:space="preserve">OP0143</t>
  </si>
  <si>
    <t xml:space="preserve">2025-04-17</t>
  </si>
  <si>
    <t xml:space="preserve">OP0144</t>
  </si>
  <si>
    <t xml:space="preserve">2026-03-03</t>
  </si>
  <si>
    <t xml:space="preserve">OP0145</t>
  </si>
  <si>
    <t xml:space="preserve">2026-03-04</t>
  </si>
  <si>
    <t xml:space="preserve">OP0146</t>
  </si>
  <si>
    <t xml:space="preserve">2023-03-27</t>
  </si>
  <si>
    <t xml:space="preserve">OP0147</t>
  </si>
  <si>
    <t xml:space="preserve">2023-03-08</t>
  </si>
  <si>
    <t xml:space="preserve">OP0148</t>
  </si>
  <si>
    <t xml:space="preserve">2024-03-05</t>
  </si>
  <si>
    <t xml:space="preserve">OP0149</t>
  </si>
  <si>
    <t xml:space="preserve">2026-06-15</t>
  </si>
  <si>
    <t xml:space="preserve">OP0150</t>
  </si>
  <si>
    <t xml:space="preserve">2026-01-08</t>
  </si>
  <si>
    <t xml:space="preserve">OP0151</t>
  </si>
  <si>
    <t xml:space="preserve">2025-04-22</t>
  </si>
  <si>
    <t xml:space="preserve">OP0152</t>
  </si>
  <si>
    <t xml:space="preserve">2025-03-15</t>
  </si>
  <si>
    <t xml:space="preserve">OP0153</t>
  </si>
  <si>
    <t xml:space="preserve">2025-11-21</t>
  </si>
  <si>
    <t xml:space="preserve">OP0154</t>
  </si>
  <si>
    <t xml:space="preserve">2026-04-06</t>
  </si>
  <si>
    <t xml:space="preserve">OP0155</t>
  </si>
  <si>
    <t xml:space="preserve">OP0156</t>
  </si>
  <si>
    <t xml:space="preserve">2024-10-23</t>
  </si>
  <si>
    <t xml:space="preserve">OP0157</t>
  </si>
  <si>
    <t xml:space="preserve">2023-07-23</t>
  </si>
  <si>
    <t xml:space="preserve">OP0158</t>
  </si>
  <si>
    <t xml:space="preserve">2023-01-02</t>
  </si>
  <si>
    <t xml:space="preserve">OP0159</t>
  </si>
  <si>
    <t xml:space="preserve">2024-07-15</t>
  </si>
  <si>
    <t xml:space="preserve">OP0160</t>
  </si>
  <si>
    <t xml:space="preserve">2024-09-17</t>
  </si>
  <si>
    <t xml:space="preserve">OP0161</t>
  </si>
  <si>
    <t xml:space="preserve">2026-04-30</t>
  </si>
  <si>
    <t xml:space="preserve">OP0162</t>
  </si>
  <si>
    <t xml:space="preserve">2025-09-05</t>
  </si>
  <si>
    <t xml:space="preserve">OP0163</t>
  </si>
  <si>
    <t xml:space="preserve">2025-01-22</t>
  </si>
  <si>
    <t xml:space="preserve">OP0164</t>
  </si>
  <si>
    <t xml:space="preserve">2023-05-21</t>
  </si>
  <si>
    <t xml:space="preserve">OP0165</t>
  </si>
  <si>
    <t xml:space="preserve">2023-11-07</t>
  </si>
  <si>
    <t xml:space="preserve">OP0166</t>
  </si>
  <si>
    <t xml:space="preserve">2023-09-10</t>
  </si>
  <si>
    <t xml:space="preserve">OP0167</t>
  </si>
  <si>
    <t xml:space="preserve">2024-07-21</t>
  </si>
  <si>
    <t xml:space="preserve">OP0168</t>
  </si>
  <si>
    <t xml:space="preserve">2023-02-24</t>
  </si>
  <si>
    <t xml:space="preserve">OP0169</t>
  </si>
  <si>
    <t xml:space="preserve">2023-04-22</t>
  </si>
  <si>
    <t xml:space="preserve">OP0170</t>
  </si>
  <si>
    <t xml:space="preserve">2024-10-10</t>
  </si>
  <si>
    <t xml:space="preserve">OP0171</t>
  </si>
  <si>
    <t xml:space="preserve">2025-08-22</t>
  </si>
  <si>
    <t xml:space="preserve">OP0172</t>
  </si>
  <si>
    <t xml:space="preserve">2024-08-09</t>
  </si>
  <si>
    <t xml:space="preserve">OP0173</t>
  </si>
  <si>
    <t xml:space="preserve">OP0174</t>
  </si>
  <si>
    <t xml:space="preserve">2024-10-31</t>
  </si>
  <si>
    <t xml:space="preserve">OP0175</t>
  </si>
  <si>
    <t xml:space="preserve">2025-06-14</t>
  </si>
  <si>
    <t xml:space="preserve">OP0176</t>
  </si>
  <si>
    <t xml:space="preserve">2024-09-25</t>
  </si>
  <si>
    <t xml:space="preserve">OP0177</t>
  </si>
  <si>
    <t xml:space="preserve">2024-12-11</t>
  </si>
  <si>
    <t xml:space="preserve">OP0178</t>
  </si>
  <si>
    <t xml:space="preserve">2024-07-04</t>
  </si>
  <si>
    <t xml:space="preserve">OP0179</t>
  </si>
  <si>
    <t xml:space="preserve">2026-03-26</t>
  </si>
  <si>
    <t xml:space="preserve">OP0180</t>
  </si>
  <si>
    <t xml:space="preserve">2023-12-08</t>
  </si>
  <si>
    <t xml:space="preserve">OP0181</t>
  </si>
  <si>
    <t xml:space="preserve">2023-01-06</t>
  </si>
  <si>
    <t xml:space="preserve">OP0182</t>
  </si>
  <si>
    <t xml:space="preserve">2023-03-14</t>
  </si>
  <si>
    <t xml:space="preserve">OP0183</t>
  </si>
  <si>
    <t xml:space="preserve">2026-03-16</t>
  </si>
  <si>
    <t xml:space="preserve">OP0184</t>
  </si>
  <si>
    <t xml:space="preserve">2023-04-05</t>
  </si>
  <si>
    <t xml:space="preserve">OP0185</t>
  </si>
  <si>
    <t xml:space="preserve">OP0186</t>
  </si>
  <si>
    <t xml:space="preserve">2025-08-08</t>
  </si>
  <si>
    <t xml:space="preserve">OP0187</t>
  </si>
  <si>
    <t xml:space="preserve">2024-05-17</t>
  </si>
  <si>
    <t xml:space="preserve">OP0188</t>
  </si>
  <si>
    <t xml:space="preserve">2023-01-03</t>
  </si>
  <si>
    <t xml:space="preserve">OP0189</t>
  </si>
  <si>
    <t xml:space="preserve">2024-05-02</t>
  </si>
  <si>
    <t xml:space="preserve">OP0190</t>
  </si>
  <si>
    <t xml:space="preserve">2023-03-31</t>
  </si>
  <si>
    <t xml:space="preserve">OP0191</t>
  </si>
  <si>
    <t xml:space="preserve">OP0192</t>
  </si>
  <si>
    <t xml:space="preserve">2026-03-08</t>
  </si>
  <si>
    <t xml:space="preserve">OP0193</t>
  </si>
  <si>
    <t xml:space="preserve">2024-10-13</t>
  </si>
  <si>
    <t xml:space="preserve">OP0194</t>
  </si>
  <si>
    <t xml:space="preserve">2023-11-15</t>
  </si>
  <si>
    <t xml:space="preserve">OP0195</t>
  </si>
  <si>
    <t xml:space="preserve">OP0196</t>
  </si>
  <si>
    <t xml:space="preserve">2024-03-16</t>
  </si>
  <si>
    <t xml:space="preserve">OP0197</t>
  </si>
  <si>
    <t xml:space="preserve">2023-12-23</t>
  </si>
  <si>
    <t xml:space="preserve">OP0198</t>
  </si>
  <si>
    <t xml:space="preserve">OP0199</t>
  </si>
  <si>
    <t xml:space="preserve">2025-02-01</t>
  </si>
  <si>
    <t xml:space="preserve">OP0200</t>
  </si>
  <si>
    <t xml:space="preserve">Well-13</t>
  </si>
  <si>
    <t xml:space="preserve">2025-06-27</t>
  </si>
  <si>
    <t xml:space="preserve">OP0201</t>
  </si>
  <si>
    <t xml:space="preserve">2025-08-02</t>
  </si>
  <si>
    <t xml:space="preserve">OP0202</t>
  </si>
  <si>
    <t xml:space="preserve">OP0203</t>
  </si>
  <si>
    <t xml:space="preserve">2024-07-27</t>
  </si>
  <si>
    <t xml:space="preserve">OP0204</t>
  </si>
  <si>
    <t xml:space="preserve">2025-04-23</t>
  </si>
  <si>
    <t xml:space="preserve">OP0205</t>
  </si>
  <si>
    <t xml:space="preserve">2026-01-18</t>
  </si>
  <si>
    <t xml:space="preserve">OP0206</t>
  </si>
  <si>
    <t xml:space="preserve">OP0207</t>
  </si>
  <si>
    <t xml:space="preserve">2025-08-24</t>
  </si>
  <si>
    <t xml:space="preserve">OP0208</t>
  </si>
  <si>
    <t xml:space="preserve">2024-05-08</t>
  </si>
  <si>
    <t xml:space="preserve">OP0209</t>
  </si>
  <si>
    <t xml:space="preserve">OP0210</t>
  </si>
  <si>
    <t xml:space="preserve">2023-02-27</t>
  </si>
  <si>
    <t xml:space="preserve">OP0211</t>
  </si>
  <si>
    <t xml:space="preserve">2026-01-15</t>
  </si>
  <si>
    <t xml:space="preserve">OP0212</t>
  </si>
  <si>
    <t xml:space="preserve">OP0213</t>
  </si>
  <si>
    <t xml:space="preserve">OP0214</t>
  </si>
  <si>
    <t xml:space="preserve">2025-02-04</t>
  </si>
  <si>
    <t xml:space="preserve">OP0215</t>
  </si>
  <si>
    <t xml:space="preserve">2024-10-11</t>
  </si>
  <si>
    <t xml:space="preserve">OP0216</t>
  </si>
  <si>
    <t xml:space="preserve">2024-04-02</t>
  </si>
  <si>
    <t xml:space="preserve">OP0217</t>
  </si>
  <si>
    <t xml:space="preserve">2023-12-30</t>
  </si>
  <si>
    <t xml:space="preserve">OP0218</t>
  </si>
  <si>
    <t xml:space="preserve">2024-01-08</t>
  </si>
  <si>
    <t xml:space="preserve">OP0219</t>
  </si>
  <si>
    <t xml:space="preserve">2025-10-13</t>
  </si>
  <si>
    <t xml:space="preserve">OP0220</t>
  </si>
  <si>
    <t xml:space="preserve">2025-07-03</t>
  </si>
  <si>
    <t xml:space="preserve">ContractID</t>
  </si>
  <si>
    <t xml:space="preserve">ContractTitle</t>
  </si>
  <si>
    <t xml:space="preserve">ContractType</t>
  </si>
  <si>
    <t xml:space="preserve">CounterpartyName</t>
  </si>
  <si>
    <t xml:space="preserve">CounterpartyType</t>
  </si>
  <si>
    <t xml:space="preserve">StartDate</t>
  </si>
  <si>
    <t xml:space="preserve">EndDate</t>
  </si>
  <si>
    <t xml:space="preserve">ContractValue_NGN</t>
  </si>
  <si>
    <t xml:space="preserve">RelatedOperationID</t>
  </si>
  <si>
    <t xml:space="preserve">LegalOfficerEmployeeID</t>
  </si>
  <si>
    <t xml:space="preserve">ComplianceRiskFlag</t>
  </si>
  <si>
    <t xml:space="preserve">CT0001</t>
  </si>
  <si>
    <t xml:space="preserve">Drilling License - Nigerian Content Board</t>
  </si>
  <si>
    <t xml:space="preserve">Drilling License</t>
  </si>
  <si>
    <t xml:space="preserve">Nigerian Content Board</t>
  </si>
  <si>
    <t xml:space="preserve">Government Agency</t>
  </si>
  <si>
    <t xml:space="preserve">2023-04-09</t>
  </si>
  <si>
    <t xml:space="preserve">2025-12-04</t>
  </si>
  <si>
    <t xml:space="preserve">Terminated</t>
  </si>
  <si>
    <t xml:space="preserve">N</t>
  </si>
  <si>
    <t xml:space="preserve">CT0002</t>
  </si>
  <si>
    <t xml:space="preserve">Farm-out Agreement - First Bank Plc</t>
  </si>
  <si>
    <t xml:space="preserve">Farm-out Agreement</t>
  </si>
  <si>
    <t xml:space="preserve">First Bank Plc</t>
  </si>
  <si>
    <t xml:space="preserve">Financial Institution</t>
  </si>
  <si>
    <t xml:space="preserve">2026-03-01</t>
  </si>
  <si>
    <t xml:space="preserve">Expired</t>
  </si>
  <si>
    <t xml:space="preserve">CT0003</t>
  </si>
  <si>
    <t xml:space="preserve">Gas Sales Agreement - Shell Petroleum Dev Co</t>
  </si>
  <si>
    <t xml:space="preserve">Gas Sales Agreement</t>
  </si>
  <si>
    <t xml:space="preserve">Shell Petroleum Dev Co</t>
  </si>
  <si>
    <t xml:space="preserve">2025-10-28</t>
  </si>
  <si>
    <t xml:space="preserve">CT0004</t>
  </si>
  <si>
    <t xml:space="preserve">Service Contract - Local Vendor Consortium</t>
  </si>
  <si>
    <t xml:space="preserve">Service Contract</t>
  </si>
  <si>
    <t xml:space="preserve">Local Vendor Consortium</t>
  </si>
  <si>
    <t xml:space="preserve">2025-06-02</t>
  </si>
  <si>
    <t xml:space="preserve">2026-11-01</t>
  </si>
  <si>
    <t xml:space="preserve">CT0005</t>
  </si>
  <si>
    <t xml:space="preserve">Lease Agreement - Zenith Bank Plc</t>
  </si>
  <si>
    <t xml:space="preserve">Lease Agreement</t>
  </si>
  <si>
    <t xml:space="preserve">Zenith Bank Plc</t>
  </si>
  <si>
    <t xml:space="preserve">2026-01-11</t>
  </si>
  <si>
    <t xml:space="preserve">2028-01-04</t>
  </si>
  <si>
    <t xml:space="preserve">Under Review</t>
  </si>
  <si>
    <t xml:space="preserve">CT0006</t>
  </si>
  <si>
    <t xml:space="preserve">Service Contract - Host Community Trust</t>
  </si>
  <si>
    <t xml:space="preserve">Host Community Trust</t>
  </si>
  <si>
    <t xml:space="preserve">2025-07-14</t>
  </si>
  <si>
    <t xml:space="preserve">Y</t>
  </si>
  <si>
    <t xml:space="preserve">CT0007</t>
  </si>
  <si>
    <t xml:space="preserve">Joint Venture Agreement - ExxonMobil Nigeria</t>
  </si>
  <si>
    <t xml:space="preserve">Joint Venture Agreement</t>
  </si>
  <si>
    <t xml:space="preserve">ExxonMobil Nigeria</t>
  </si>
  <si>
    <t xml:space="preserve">Vendor</t>
  </si>
  <si>
    <t xml:space="preserve">CT0008</t>
  </si>
  <si>
    <t xml:space="preserve">2025-03-04</t>
  </si>
  <si>
    <t xml:space="preserve">2026-09-13</t>
  </si>
  <si>
    <t xml:space="preserve">CT0009</t>
  </si>
  <si>
    <t xml:space="preserve">Service Contract - Shell Petroleum Dev Co</t>
  </si>
  <si>
    <t xml:space="preserve">2028-02-29</t>
  </si>
  <si>
    <t xml:space="preserve">CT0010</t>
  </si>
  <si>
    <t xml:space="preserve">Gas Sales Agreement - Baker Hughes Nigeria</t>
  </si>
  <si>
    <t xml:space="preserve">Baker Hughes Nigeria</t>
  </si>
  <si>
    <t xml:space="preserve">Host Community</t>
  </si>
  <si>
    <t xml:space="preserve">2026-04-22</t>
  </si>
  <si>
    <t xml:space="preserve">2028-01-27</t>
  </si>
  <si>
    <t xml:space="preserve">CT0011</t>
  </si>
  <si>
    <t xml:space="preserve">Service Contract - Halliburton Energy Services</t>
  </si>
  <si>
    <t xml:space="preserve">Halliburton Energy Services</t>
  </si>
  <si>
    <t xml:space="preserve">2025-09-02</t>
  </si>
  <si>
    <t xml:space="preserve">2027-11-03</t>
  </si>
  <si>
    <t xml:space="preserve">CT0012</t>
  </si>
  <si>
    <t xml:space="preserve">Community MOU - Nigerian Content Board</t>
  </si>
  <si>
    <t xml:space="preserve">Community MOU</t>
  </si>
  <si>
    <t xml:space="preserve">2025-05-26</t>
  </si>
  <si>
    <t xml:space="preserve">CT0013</t>
  </si>
  <si>
    <t xml:space="preserve">Farm-out Agreement - ExxonMobil Nigeria</t>
  </si>
  <si>
    <t xml:space="preserve">2026-05-03</t>
  </si>
  <si>
    <t xml:space="preserve">2028-04-10</t>
  </si>
  <si>
    <t xml:space="preserve">CT0014</t>
  </si>
  <si>
    <t xml:space="preserve">Drilling License - Baker Hughes Nigeria</t>
  </si>
  <si>
    <t xml:space="preserve">2023-01-26</t>
  </si>
  <si>
    <t xml:space="preserve">2027-01-21</t>
  </si>
  <si>
    <t xml:space="preserve">CT0015</t>
  </si>
  <si>
    <t xml:space="preserve">Vendor Contract - Nigerian Content Board</t>
  </si>
  <si>
    <t xml:space="preserve">Vendor Contract</t>
  </si>
  <si>
    <t xml:space="preserve">2023-07-26</t>
  </si>
  <si>
    <t xml:space="preserve">CT0016</t>
  </si>
  <si>
    <t xml:space="preserve">2025-08-26</t>
  </si>
  <si>
    <t xml:space="preserve">2026-05-09</t>
  </si>
  <si>
    <t xml:space="preserve">CT0017</t>
  </si>
  <si>
    <t xml:space="preserve">Gas Sales Agreement - Local Vendor Consortium</t>
  </si>
  <si>
    <t xml:space="preserve">2023-04-11</t>
  </si>
  <si>
    <t xml:space="preserve">2026-06-07</t>
  </si>
  <si>
    <t xml:space="preserve">CT0018</t>
  </si>
  <si>
    <t xml:space="preserve">2024-04-11</t>
  </si>
  <si>
    <t xml:space="preserve">2025-07-10</t>
  </si>
  <si>
    <t xml:space="preserve">CT0019</t>
  </si>
  <si>
    <t xml:space="preserve">Farm-out Agreement - Halliburton Energy Services</t>
  </si>
  <si>
    <t xml:space="preserve">2024-01-20</t>
  </si>
  <si>
    <t xml:space="preserve">2027-01-08</t>
  </si>
  <si>
    <t xml:space="preserve">CT0020</t>
  </si>
  <si>
    <t xml:space="preserve">Joint Venture Agreement - Baker Hughes Nigeria</t>
  </si>
  <si>
    <t xml:space="preserve">2023-05-15</t>
  </si>
  <si>
    <t xml:space="preserve">2025-08-09</t>
  </si>
  <si>
    <t xml:space="preserve">CT0021</t>
  </si>
  <si>
    <t xml:space="preserve">Joint Venture Agreement - Host Community Trust</t>
  </si>
  <si>
    <t xml:space="preserve">2024-02-16</t>
  </si>
  <si>
    <t xml:space="preserve">2024-12-10</t>
  </si>
  <si>
    <t xml:space="preserve">CT0022</t>
  </si>
  <si>
    <t xml:space="preserve">Service Contract - Baker Hughes Nigeria</t>
  </si>
  <si>
    <t xml:space="preserve">2023-09-11</t>
  </si>
  <si>
    <t xml:space="preserve">2024-05-10</t>
  </si>
  <si>
    <t xml:space="preserve">CT0023</t>
  </si>
  <si>
    <t xml:space="preserve">2024-12-17</t>
  </si>
  <si>
    <t xml:space="preserve">2027-05-21</t>
  </si>
  <si>
    <t xml:space="preserve">CT0024</t>
  </si>
  <si>
    <t xml:space="preserve">Farm-out Agreement - NNPC Ltd</t>
  </si>
  <si>
    <t xml:space="preserve">NNPC Ltd</t>
  </si>
  <si>
    <t xml:space="preserve">2026-03-17</t>
  </si>
  <si>
    <t xml:space="preserve">2027-11-25</t>
  </si>
  <si>
    <t xml:space="preserve">CT0025</t>
  </si>
  <si>
    <t xml:space="preserve">Joint Venture Agreement - Weatherford Nigeria</t>
  </si>
  <si>
    <t xml:space="preserve">Weatherford Nigeria</t>
  </si>
  <si>
    <t xml:space="preserve">2025-08-28</t>
  </si>
  <si>
    <t xml:space="preserve">2026-11-21</t>
  </si>
  <si>
    <t xml:space="preserve">CT0026</t>
  </si>
  <si>
    <t xml:space="preserve">Drilling License - Zenith Bank Plc</t>
  </si>
  <si>
    <t xml:space="preserve">2024-12-15</t>
  </si>
  <si>
    <t xml:space="preserve">2028-01-09</t>
  </si>
  <si>
    <t xml:space="preserve">CT0027</t>
  </si>
  <si>
    <t xml:space="preserve">2023-01-16</t>
  </si>
  <si>
    <t xml:space="preserve">2026-05-27</t>
  </si>
  <si>
    <t xml:space="preserve">CT0028</t>
  </si>
  <si>
    <t xml:space="preserve">Drilling License - Weatherford Nigeria</t>
  </si>
  <si>
    <t xml:space="preserve">JV Partner</t>
  </si>
  <si>
    <t xml:space="preserve">2026-07-05</t>
  </si>
  <si>
    <t xml:space="preserve">CT0029</t>
  </si>
  <si>
    <t xml:space="preserve">Farm-out Agreement - Weatherford Nigeria</t>
  </si>
  <si>
    <t xml:space="preserve">2024-06-02</t>
  </si>
  <si>
    <t xml:space="preserve">CT0030</t>
  </si>
  <si>
    <t xml:space="preserve">Joint Venture Agreement - Halliburton Energy Services</t>
  </si>
  <si>
    <t xml:space="preserve">2024-01-24</t>
  </si>
  <si>
    <t xml:space="preserve">2026-06-24</t>
  </si>
  <si>
    <t xml:space="preserve">CT0031</t>
  </si>
  <si>
    <t xml:space="preserve">Community MOU - Weatherford Nigeria</t>
  </si>
  <si>
    <t xml:space="preserve">2024-01-06</t>
  </si>
  <si>
    <t xml:space="preserve">2026-02-25</t>
  </si>
  <si>
    <t xml:space="preserve">CT0032</t>
  </si>
  <si>
    <t xml:space="preserve">Gas Sales Agreement - Weatherford Nigeria</t>
  </si>
  <si>
    <t xml:space="preserve">2024-03-31</t>
  </si>
  <si>
    <t xml:space="preserve">2026-09-24</t>
  </si>
  <si>
    <t xml:space="preserve">CT0033</t>
  </si>
  <si>
    <t xml:space="preserve">Drilling License - Julius Berger Nigeria</t>
  </si>
  <si>
    <t xml:space="preserve">Julius Berger Nigeria</t>
  </si>
  <si>
    <t xml:space="preserve">2025-08-21</t>
  </si>
  <si>
    <t xml:space="preserve">2026-06-06</t>
  </si>
  <si>
    <t xml:space="preserve">CT0034</t>
  </si>
  <si>
    <t xml:space="preserve">Farm-out Agreement - Baker Hughes Nigeria</t>
  </si>
  <si>
    <t xml:space="preserve">2025-04-26</t>
  </si>
  <si>
    <t xml:space="preserve">2026-02-10</t>
  </si>
  <si>
    <t xml:space="preserve">CT0035</t>
  </si>
  <si>
    <t xml:space="preserve">2024-01-05</t>
  </si>
  <si>
    <t xml:space="preserve">CT0036</t>
  </si>
  <si>
    <t xml:space="preserve">Joint Venture Agreement - NNPC Ltd</t>
  </si>
  <si>
    <t xml:space="preserve">2024-07-14</t>
  </si>
  <si>
    <t xml:space="preserve">2026-03-14</t>
  </si>
  <si>
    <t xml:space="preserve">CT0037</t>
  </si>
  <si>
    <t xml:space="preserve">2025-04-06</t>
  </si>
  <si>
    <t xml:space="preserve">2028-02-28</t>
  </si>
  <si>
    <t xml:space="preserve">CT0038</t>
  </si>
  <si>
    <t xml:space="preserve">Joint Venture Agreement - First Bank Plc</t>
  </si>
  <si>
    <t xml:space="preserve">2024-01-26</t>
  </si>
  <si>
    <t xml:space="preserve">2024-08-29</t>
  </si>
  <si>
    <t xml:space="preserve">CT0039</t>
  </si>
  <si>
    <t xml:space="preserve">2024-09-18</t>
  </si>
  <si>
    <t xml:space="preserve">2026-02-22</t>
  </si>
  <si>
    <t xml:space="preserve">CT0040</t>
  </si>
  <si>
    <t xml:space="preserve">Gas Sales Agreement - Zenith Bank Plc</t>
  </si>
  <si>
    <t xml:space="preserve">2024-12-02</t>
  </si>
  <si>
    <t xml:space="preserve">CT0041</t>
  </si>
  <si>
    <t xml:space="preserve">Lease Agreement - Local Vendor Consortium</t>
  </si>
  <si>
    <t xml:space="preserve">2024-03-08</t>
  </si>
  <si>
    <t xml:space="preserve">2024-10-18</t>
  </si>
  <si>
    <t xml:space="preserve">CT0042</t>
  </si>
  <si>
    <t xml:space="preserve">2027-02-04</t>
  </si>
  <si>
    <t xml:space="preserve">CT0043</t>
  </si>
  <si>
    <t xml:space="preserve">Vendor Contract - Zenith Bank Plc</t>
  </si>
  <si>
    <t xml:space="preserve">2025-02-17</t>
  </si>
  <si>
    <t xml:space="preserve">CT0044</t>
  </si>
  <si>
    <t xml:space="preserve">Joint Venture Agreement - Shell Petroleum Dev Co</t>
  </si>
  <si>
    <t xml:space="preserve">2026-12-22</t>
  </si>
  <si>
    <t xml:space="preserve">CT0045</t>
  </si>
  <si>
    <t xml:space="preserve">Vendor Contract - Shell Petroleum Dev Co</t>
  </si>
  <si>
    <t xml:space="preserve">2023-08-06</t>
  </si>
  <si>
    <t xml:space="preserve">2026-11-17</t>
  </si>
  <si>
    <t xml:space="preserve">CT0046</t>
  </si>
  <si>
    <t xml:space="preserve">2024-08-27</t>
  </si>
  <si>
    <t xml:space="preserve">2026-01-17</t>
  </si>
  <si>
    <t xml:space="preserve">CT0047</t>
  </si>
  <si>
    <t xml:space="preserve">2027-05-01</t>
  </si>
  <si>
    <t xml:space="preserve">CT0048</t>
  </si>
  <si>
    <t xml:space="preserve">2025-07-24</t>
  </si>
  <si>
    <t xml:space="preserve">2027-09-18</t>
  </si>
  <si>
    <t xml:space="preserve">CT0049</t>
  </si>
  <si>
    <t xml:space="preserve">Drilling License - First Bank Plc</t>
  </si>
  <si>
    <t xml:space="preserve">2026-07-13</t>
  </si>
  <si>
    <t xml:space="preserve">CT0050</t>
  </si>
  <si>
    <t xml:space="preserve">2023-07-10</t>
  </si>
  <si>
    <t xml:space="preserve">CT0051</t>
  </si>
  <si>
    <t xml:space="preserve">Farm-out Agreement - Local Vendor Consortium</t>
  </si>
  <si>
    <t xml:space="preserve">2025-05-13</t>
  </si>
  <si>
    <t xml:space="preserve">2026-10-16</t>
  </si>
  <si>
    <t xml:space="preserve">CT0052</t>
  </si>
  <si>
    <t xml:space="preserve">2026-04-24</t>
  </si>
  <si>
    <t xml:space="preserve">2029-07-05</t>
  </si>
  <si>
    <t xml:space="preserve">CT0053</t>
  </si>
  <si>
    <t xml:space="preserve">Community MOU - Julius Berger Nigeria</t>
  </si>
  <si>
    <t xml:space="preserve">2023-08-20</t>
  </si>
  <si>
    <t xml:space="preserve">CT0054</t>
  </si>
  <si>
    <t xml:space="preserve">Lease Agreement - Weatherford Nigeria</t>
  </si>
  <si>
    <t xml:space="preserve">2025-11-29</t>
  </si>
  <si>
    <t xml:space="preserve">2029-05-03</t>
  </si>
  <si>
    <t xml:space="preserve">CT0055</t>
  </si>
  <si>
    <t xml:space="preserve">Farm-out Agreement - Host Community Trust</t>
  </si>
  <si>
    <t xml:space="preserve">2026-06-09</t>
  </si>
  <si>
    <t xml:space="preserve">2027-03-27</t>
  </si>
  <si>
    <t xml:space="preserve">CT0056</t>
  </si>
  <si>
    <t xml:space="preserve">Vendor Contract - Julius Berger Nigeria</t>
  </si>
  <si>
    <t xml:space="preserve">2026-09-12</t>
  </si>
  <si>
    <t xml:space="preserve">CT0057</t>
  </si>
  <si>
    <t xml:space="preserve">Lease Agreement - Nigerian Content Board</t>
  </si>
  <si>
    <t xml:space="preserve">2025-06-28</t>
  </si>
  <si>
    <t xml:space="preserve">2029-03-12</t>
  </si>
  <si>
    <t xml:space="preserve">CT0058</t>
  </si>
  <si>
    <t xml:space="preserve">2026-05-01</t>
  </si>
  <si>
    <t xml:space="preserve">CT0059</t>
  </si>
  <si>
    <t xml:space="preserve">2024-02-28</t>
  </si>
  <si>
    <t xml:space="preserve">2027-03-18</t>
  </si>
  <si>
    <t xml:space="preserve">CT0060</t>
  </si>
  <si>
    <t xml:space="preserve">2026-05-13</t>
  </si>
  <si>
    <t xml:space="preserve">2029-07-04</t>
  </si>
  <si>
    <t xml:space="preserve">CT0061</t>
  </si>
  <si>
    <t xml:space="preserve">2026-01-26</t>
  </si>
  <si>
    <t xml:space="preserve">2029-06-28</t>
  </si>
  <si>
    <t xml:space="preserve">CT0062</t>
  </si>
  <si>
    <t xml:space="preserve">Farm-out Agreement - Nigerian Content Board</t>
  </si>
  <si>
    <t xml:space="preserve">2026-06-05</t>
  </si>
  <si>
    <t xml:space="preserve">2028-01-07</t>
  </si>
  <si>
    <t xml:space="preserve">CT0063</t>
  </si>
  <si>
    <t xml:space="preserve">2023-08-09</t>
  </si>
  <si>
    <t xml:space="preserve">2026-06-02</t>
  </si>
  <si>
    <t xml:space="preserve">CT0064</t>
  </si>
  <si>
    <t xml:space="preserve">2025-12-22</t>
  </si>
  <si>
    <t xml:space="preserve">2026-09-27</t>
  </si>
  <si>
    <t xml:space="preserve">CT0065</t>
  </si>
  <si>
    <t xml:space="preserve">Community MOU - Local Vendor Consortium</t>
  </si>
  <si>
    <t xml:space="preserve">2023-12-22</t>
  </si>
  <si>
    <t xml:space="preserve">2025-03-08</t>
  </si>
  <si>
    <t xml:space="preserve">CT0066</t>
  </si>
  <si>
    <t xml:space="preserve">Farm-out Agreement - Zenith Bank Plc</t>
  </si>
  <si>
    <t xml:space="preserve">CT0067</t>
  </si>
  <si>
    <t xml:space="preserve">Community MOU - Zenith Bank Plc</t>
  </si>
  <si>
    <t xml:space="preserve">2025-11-15</t>
  </si>
  <si>
    <t xml:space="preserve">2028-01-16</t>
  </si>
  <si>
    <t xml:space="preserve">CT0068</t>
  </si>
  <si>
    <t xml:space="preserve">2023-09-29</t>
  </si>
  <si>
    <t xml:space="preserve">CT0069</t>
  </si>
  <si>
    <t xml:space="preserve">2024-08-08</t>
  </si>
  <si>
    <t xml:space="preserve">2027-06-19</t>
  </si>
  <si>
    <t xml:space="preserve">CT0070</t>
  </si>
  <si>
    <t xml:space="preserve">Lease Agreement - Shell Petroleum Dev Co</t>
  </si>
  <si>
    <t xml:space="preserve">2026-07-03</t>
  </si>
  <si>
    <t xml:space="preserve">CT0071</t>
  </si>
  <si>
    <t xml:space="preserve">2023-07-29</t>
  </si>
  <si>
    <t xml:space="preserve">2027-07-09</t>
  </si>
  <si>
    <t xml:space="preserve">CT0072</t>
  </si>
  <si>
    <t xml:space="preserve">Drilling License - Local Vendor Consortium</t>
  </si>
  <si>
    <t xml:space="preserve">2025-02-20</t>
  </si>
  <si>
    <t xml:space="preserve">2027-10-21</t>
  </si>
  <si>
    <t xml:space="preserve">CT0073</t>
  </si>
  <si>
    <t xml:space="preserve">Drilling License - ExxonMobil Nigeria</t>
  </si>
  <si>
    <t xml:space="preserve">2025-06-26</t>
  </si>
  <si>
    <t xml:space="preserve">2027-03-29</t>
  </si>
  <si>
    <t xml:space="preserve">CT0074</t>
  </si>
  <si>
    <t xml:space="preserve">2024-01-18</t>
  </si>
  <si>
    <t xml:space="preserve">2025-07-06</t>
  </si>
  <si>
    <t xml:space="preserve">CT0075</t>
  </si>
  <si>
    <t xml:space="preserve">Community MOU - Host Community Trust</t>
  </si>
  <si>
    <t xml:space="preserve">2024-06-06</t>
  </si>
  <si>
    <t xml:space="preserve">CT0076</t>
  </si>
  <si>
    <t xml:space="preserve">Gas Sales Agreement - Halliburton Energy Services</t>
  </si>
  <si>
    <t xml:space="preserve">2026-06-14</t>
  </si>
  <si>
    <t xml:space="preserve">2028-08-18</t>
  </si>
  <si>
    <t xml:space="preserve">CT0077</t>
  </si>
  <si>
    <t xml:space="preserve">Community MOU - Baker Hughes Nigeria</t>
  </si>
  <si>
    <t xml:space="preserve">2025-10-31</t>
  </si>
  <si>
    <t xml:space="preserve">2027-03-21</t>
  </si>
  <si>
    <t xml:space="preserve">CT0078</t>
  </si>
  <si>
    <t xml:space="preserve">Gas Sales Agreement - First Bank Plc</t>
  </si>
  <si>
    <t xml:space="preserve">2024-03-23</t>
  </si>
  <si>
    <t xml:space="preserve">2028-03-08</t>
  </si>
  <si>
    <t xml:space="preserve">CT0079</t>
  </si>
  <si>
    <t xml:space="preserve">Gas Sales Agreement - Julius Berger Nigeria</t>
  </si>
  <si>
    <t xml:space="preserve">2026-06-10</t>
  </si>
  <si>
    <t xml:space="preserve">2030-06-01</t>
  </si>
  <si>
    <t xml:space="preserve">CT0080</t>
  </si>
  <si>
    <t xml:space="preserve">2028-02-09</t>
  </si>
  <si>
    <t xml:space="preserve">CT0081</t>
  </si>
  <si>
    <t xml:space="preserve">2028-03-03</t>
  </si>
  <si>
    <t xml:space="preserve">CT0082</t>
  </si>
  <si>
    <t xml:space="preserve">2025-05-18</t>
  </si>
  <si>
    <t xml:space="preserve">CT0083</t>
  </si>
  <si>
    <t xml:space="preserve">Community MOU - NNPC Ltd</t>
  </si>
  <si>
    <t xml:space="preserve">2024-11-10</t>
  </si>
  <si>
    <t xml:space="preserve">2025-07-25</t>
  </si>
  <si>
    <t xml:space="preserve">CT0084</t>
  </si>
  <si>
    <t xml:space="preserve">2025-03-05</t>
  </si>
  <si>
    <t xml:space="preserve">2028-03-12</t>
  </si>
  <si>
    <t xml:space="preserve">CT0085</t>
  </si>
  <si>
    <t xml:space="preserve">Vendor Contract - Local Vendor Consortium</t>
  </si>
  <si>
    <t xml:space="preserve">2023-04-04</t>
  </si>
  <si>
    <t xml:space="preserve">2024-02-26</t>
  </si>
  <si>
    <t xml:space="preserve">CT0086</t>
  </si>
  <si>
    <t xml:space="preserve">2025-03-20</t>
  </si>
  <si>
    <t xml:space="preserve">2025-11-18</t>
  </si>
  <si>
    <t xml:space="preserve">CT0087</t>
  </si>
  <si>
    <t xml:space="preserve">2024-09-02</t>
  </si>
  <si>
    <t xml:space="preserve">2027-04-04</t>
  </si>
  <si>
    <t xml:space="preserve">CT0088</t>
  </si>
  <si>
    <t xml:space="preserve">2024-12-05</t>
  </si>
  <si>
    <t xml:space="preserve">2026-08-10</t>
  </si>
  <si>
    <t xml:space="preserve">CT0089</t>
  </si>
  <si>
    <t xml:space="preserve">2026-11-16</t>
  </si>
  <si>
    <t xml:space="preserve">CT0090</t>
  </si>
  <si>
    <t xml:space="preserve">Service Contract - First Bank Plc</t>
  </si>
  <si>
    <t xml:space="preserve">2025-07-11</t>
  </si>
  <si>
    <t xml:space="preserve">CT0091</t>
  </si>
  <si>
    <t xml:space="preserve">2028-06-25</t>
  </si>
  <si>
    <t xml:space="preserve">CT0092</t>
  </si>
  <si>
    <t xml:space="preserve">Gas Sales Agreement - ExxonMobil Nigeria</t>
  </si>
  <si>
    <t xml:space="preserve">2025-06-12</t>
  </si>
  <si>
    <t xml:space="preserve">2027-06-28</t>
  </si>
  <si>
    <t xml:space="preserve">CT0093</t>
  </si>
  <si>
    <t xml:space="preserve">Service Contract - Julius Berger Nigeria</t>
  </si>
  <si>
    <t xml:space="preserve">2027-12-08</t>
  </si>
  <si>
    <t xml:space="preserve">CT0094</t>
  </si>
  <si>
    <t xml:space="preserve">2024-06-23</t>
  </si>
  <si>
    <t xml:space="preserve">CT0095</t>
  </si>
  <si>
    <t xml:space="preserve">CT0096</t>
  </si>
  <si>
    <t xml:space="preserve">Lease Agreement - Halliburton Energy Services</t>
  </si>
  <si>
    <t xml:space="preserve">2023-10-02</t>
  </si>
  <si>
    <t xml:space="preserve">2026-11-06</t>
  </si>
  <si>
    <t xml:space="preserve">CT0097</t>
  </si>
  <si>
    <t xml:space="preserve">2025-07-02</t>
  </si>
  <si>
    <t xml:space="preserve">2026-11-20</t>
  </si>
  <si>
    <t xml:space="preserve">CT0098</t>
  </si>
  <si>
    <t xml:space="preserve">2024-04-19</t>
  </si>
  <si>
    <t xml:space="preserve">2025-02-21</t>
  </si>
  <si>
    <t xml:space="preserve">CT0099</t>
  </si>
  <si>
    <t xml:space="preserve">2025-07-20</t>
  </si>
  <si>
    <t xml:space="preserve">2026-04-21</t>
  </si>
  <si>
    <t xml:space="preserve">CT0100</t>
  </si>
  <si>
    <t xml:space="preserve">Drilling License - Halliburton Energy Services</t>
  </si>
  <si>
    <t xml:space="preserve">2026-03-13</t>
  </si>
  <si>
    <t xml:space="preserve">2027-08-31</t>
  </si>
  <si>
    <t xml:space="preserve">CT0101</t>
  </si>
  <si>
    <t xml:space="preserve">2025-04-11</t>
  </si>
  <si>
    <t xml:space="preserve">2027-09-30</t>
  </si>
  <si>
    <t xml:space="preserve">CT0102</t>
  </si>
  <si>
    <t xml:space="preserve">2024-04-16</t>
  </si>
  <si>
    <t xml:space="preserve">2025-03-19</t>
  </si>
  <si>
    <t xml:space="preserve">CT0103</t>
  </si>
  <si>
    <t xml:space="preserve">Vendor Contract - Weatherford Nigeria</t>
  </si>
  <si>
    <t xml:space="preserve">2025-04-29</t>
  </si>
  <si>
    <t xml:space="preserve">2027-09-02</t>
  </si>
  <si>
    <t xml:space="preserve">CT0104</t>
  </si>
  <si>
    <t xml:space="preserve">2023-02-15</t>
  </si>
  <si>
    <t xml:space="preserve">CT0105</t>
  </si>
  <si>
    <t xml:space="preserve">2023-04-25</t>
  </si>
  <si>
    <t xml:space="preserve">2024-09-26</t>
  </si>
  <si>
    <t xml:space="preserve">CT0106</t>
  </si>
  <si>
    <t xml:space="preserve">2029-05-30</t>
  </si>
  <si>
    <t xml:space="preserve">CT0107</t>
  </si>
  <si>
    <t xml:space="preserve">Community MOU - Halliburton Energy Services</t>
  </si>
  <si>
    <t xml:space="preserve">2024-06-25</t>
  </si>
  <si>
    <t xml:space="preserve">2025-11-30</t>
  </si>
  <si>
    <t xml:space="preserve">CT0108</t>
  </si>
  <si>
    <t xml:space="preserve">2024-02-19</t>
  </si>
  <si>
    <t xml:space="preserve">2027-07-23</t>
  </si>
  <si>
    <t xml:space="preserve">CT0109</t>
  </si>
  <si>
    <t xml:space="preserve">2023-08-29</t>
  </si>
  <si>
    <t xml:space="preserve">CT0110</t>
  </si>
  <si>
    <t xml:space="preserve">2025-01-28</t>
  </si>
  <si>
    <t xml:space="preserve">2025-10-23</t>
  </si>
  <si>
    <t xml:space="preserve">CT0111</t>
  </si>
  <si>
    <t xml:space="preserve">2027-04-09</t>
  </si>
  <si>
    <t xml:space="preserve">CT0112</t>
  </si>
  <si>
    <t xml:space="preserve">2028-10-30</t>
  </si>
  <si>
    <t xml:space="preserve">CT0113</t>
  </si>
  <si>
    <t xml:space="preserve">Vendor Contract - Baker Hughes Nigeria</t>
  </si>
  <si>
    <t xml:space="preserve">2026-09-30</t>
  </si>
  <si>
    <t xml:space="preserve">CT0114</t>
  </si>
  <si>
    <t xml:space="preserve">Drilling License - Shell Petroleum Dev Co</t>
  </si>
  <si>
    <t xml:space="preserve">2025-05-17</t>
  </si>
  <si>
    <t xml:space="preserve">2029-01-12</t>
  </si>
  <si>
    <t xml:space="preserve">CT0115</t>
  </si>
  <si>
    <t xml:space="preserve">2025-09-15</t>
  </si>
  <si>
    <t xml:space="preserve">2027-03-15</t>
  </si>
  <si>
    <t xml:space="preserve">CT0116</t>
  </si>
  <si>
    <t xml:space="preserve">2023-09-01</t>
  </si>
  <si>
    <t xml:space="preserve">CT0117</t>
  </si>
  <si>
    <t xml:space="preserve">2023-01-11</t>
  </si>
  <si>
    <t xml:space="preserve">2024-01-12</t>
  </si>
  <si>
    <t xml:space="preserve">CT0118</t>
  </si>
  <si>
    <t xml:space="preserve">2023-06-13</t>
  </si>
  <si>
    <t xml:space="preserve">2027-05-10</t>
  </si>
  <si>
    <t xml:space="preserve">CT0119</t>
  </si>
  <si>
    <t xml:space="preserve">2023-04-28</t>
  </si>
  <si>
    <t xml:space="preserve">CT0120</t>
  </si>
  <si>
    <t xml:space="preserve">2025-11-22</t>
  </si>
  <si>
    <t xml:space="preserve">2027-09-07</t>
  </si>
  <si>
    <t xml:space="preserve">PO_ID</t>
  </si>
  <si>
    <t xml:space="preserve">VendorID</t>
  </si>
  <si>
    <t xml:space="preserve">VendorName</t>
  </si>
  <si>
    <t xml:space="preserve">ItemDescription</t>
  </si>
  <si>
    <t xml:space="preserve">Category</t>
  </si>
  <si>
    <t xml:space="preserve">OrderDate</t>
  </si>
  <si>
    <t xml:space="preserve">ExpectedDeliveryDate</t>
  </si>
  <si>
    <t xml:space="preserve">ActualDeliveryDate</t>
  </si>
  <si>
    <t xml:space="preserve">Quantity</t>
  </si>
  <si>
    <t xml:space="preserve">UnitCost_NGN</t>
  </si>
  <si>
    <t xml:space="preserve">TotalCost_NGN</t>
  </si>
  <si>
    <t xml:space="preserve">Currency</t>
  </si>
  <si>
    <t xml:space="preserve">ProcurementOfficerEmployeeID</t>
  </si>
  <si>
    <t xml:space="preserve">PO0001</t>
  </si>
  <si>
    <t xml:space="preserve">V002</t>
  </si>
  <si>
    <t xml:space="preserve">IT Equipment - Item 1</t>
  </si>
  <si>
    <t xml:space="preserve">IT Equipment</t>
  </si>
  <si>
    <t xml:space="preserve">2025-03-29</t>
  </si>
  <si>
    <t xml:space="preserve">NGN</t>
  </si>
  <si>
    <t xml:space="preserve">Delivered</t>
  </si>
  <si>
    <t xml:space="preserve">PO0002</t>
  </si>
  <si>
    <t xml:space="preserve">IT Equipment - Item 2</t>
  </si>
  <si>
    <t xml:space="preserve">2026-02-19</t>
  </si>
  <si>
    <t xml:space="preserve">2026-04-02</t>
  </si>
  <si>
    <t xml:space="preserve">2026-03-31</t>
  </si>
  <si>
    <t xml:space="preserve">Ordered</t>
  </si>
  <si>
    <t xml:space="preserve">PO0003</t>
  </si>
  <si>
    <t xml:space="preserve">V005</t>
  </si>
  <si>
    <t xml:space="preserve">SIMS Nigeria</t>
  </si>
  <si>
    <t xml:space="preserve">Chemicals - Item 3</t>
  </si>
  <si>
    <t xml:space="preserve">Chemicals</t>
  </si>
  <si>
    <t xml:space="preserve">2025-04-13</t>
  </si>
  <si>
    <t xml:space="preserve">2025-05-20</t>
  </si>
  <si>
    <t xml:space="preserve">2025-05-23</t>
  </si>
  <si>
    <t xml:space="preserve">Delayed</t>
  </si>
  <si>
    <t xml:space="preserve">PO0004</t>
  </si>
  <si>
    <t xml:space="preserve">IT Equipment - Item 4</t>
  </si>
  <si>
    <t xml:space="preserve">2025-06-25</t>
  </si>
  <si>
    <t xml:space="preserve">2025-07-23</t>
  </si>
  <si>
    <t xml:space="preserve">PO0005</t>
  </si>
  <si>
    <t xml:space="preserve">V008</t>
  </si>
  <si>
    <t xml:space="preserve">ABC Logistics Ltd</t>
  </si>
  <si>
    <t xml:space="preserve">PPE and Safety Gear - Item 5</t>
  </si>
  <si>
    <t xml:space="preserve">PPE and Safety Gear</t>
  </si>
  <si>
    <t xml:space="preserve">2024-06-12</t>
  </si>
  <si>
    <t xml:space="preserve">2024-06-21</t>
  </si>
  <si>
    <t xml:space="preserve">2024-06-20</t>
  </si>
  <si>
    <t xml:space="preserve">PO0006</t>
  </si>
  <si>
    <t xml:space="preserve">V006</t>
  </si>
  <si>
    <t xml:space="preserve">Lonestar Drilling</t>
  </si>
  <si>
    <t xml:space="preserve">Drilling Equipment - Item 6</t>
  </si>
  <si>
    <t xml:space="preserve">Drilling Equipment</t>
  </si>
  <si>
    <t xml:space="preserve">2024-07-13</t>
  </si>
  <si>
    <t xml:space="preserve">2024-07-10</t>
  </si>
  <si>
    <t xml:space="preserve">PO0007</t>
  </si>
  <si>
    <t xml:space="preserve">Office Supplies - Item 7</t>
  </si>
  <si>
    <t xml:space="preserve">Office Supplies</t>
  </si>
  <si>
    <t xml:space="preserve">2024-05-03</t>
  </si>
  <si>
    <t xml:space="preserve">PO0008</t>
  </si>
  <si>
    <t xml:space="preserve">V004</t>
  </si>
  <si>
    <t xml:space="preserve">Dover Engineering</t>
  </si>
  <si>
    <t xml:space="preserve">Logistics and Freight - Item 8</t>
  </si>
  <si>
    <t xml:space="preserve">Logistics and Freight</t>
  </si>
  <si>
    <t xml:space="preserve">2024-02-20</t>
  </si>
  <si>
    <t xml:space="preserve">2024-04-18</t>
  </si>
  <si>
    <t xml:space="preserve">PO0009</t>
  </si>
  <si>
    <t xml:space="preserve">Catering Services - Item 9</t>
  </si>
  <si>
    <t xml:space="preserve">Catering Services</t>
  </si>
  <si>
    <t xml:space="preserve">2026-06-11</t>
  </si>
  <si>
    <t xml:space="preserve">PO0010</t>
  </si>
  <si>
    <t xml:space="preserve">V010</t>
  </si>
  <si>
    <t xml:space="preserve">Guinness Catering Co</t>
  </si>
  <si>
    <t xml:space="preserve">IT Equipment - Item 10</t>
  </si>
  <si>
    <t xml:space="preserve">2025-10-02</t>
  </si>
  <si>
    <t xml:space="preserve">2025-10-18</t>
  </si>
  <si>
    <t xml:space="preserve">2025-10-16</t>
  </si>
  <si>
    <t xml:space="preserve">PO0011</t>
  </si>
  <si>
    <t xml:space="preserve">Drilling Equipment - Item 11</t>
  </si>
  <si>
    <t xml:space="preserve">PO0012</t>
  </si>
  <si>
    <t xml:space="preserve">V011</t>
  </si>
  <si>
    <t xml:space="preserve">PPE Direct Nigeria</t>
  </si>
  <si>
    <t xml:space="preserve">Logistics and Freight - Item 12</t>
  </si>
  <si>
    <t xml:space="preserve">2025-02-16</t>
  </si>
  <si>
    <t xml:space="preserve">2025-03-30</t>
  </si>
  <si>
    <t xml:space="preserve">PO0013</t>
  </si>
  <si>
    <t xml:space="preserve">IT Equipment - Item 13</t>
  </si>
  <si>
    <t xml:space="preserve">2025-08-23</t>
  </si>
  <si>
    <t xml:space="preserve">2025-10-06</t>
  </si>
  <si>
    <t xml:space="preserve">2025-10-05</t>
  </si>
  <si>
    <t xml:space="preserve">PO0014</t>
  </si>
  <si>
    <t xml:space="preserve">Spare Parts - Item 14</t>
  </si>
  <si>
    <t xml:space="preserve">Spare Parts</t>
  </si>
  <si>
    <t xml:space="preserve">2024-07-26</t>
  </si>
  <si>
    <t xml:space="preserve">2024-08-28</t>
  </si>
  <si>
    <t xml:space="preserve">PO0015</t>
  </si>
  <si>
    <t xml:space="preserve">Spare Parts - Item 15</t>
  </si>
  <si>
    <t xml:space="preserve">2025-03-13</t>
  </si>
  <si>
    <t xml:space="preserve">PO0016</t>
  </si>
  <si>
    <t xml:space="preserve">V003</t>
  </si>
  <si>
    <t xml:space="preserve">Office Supplies - Item 16</t>
  </si>
  <si>
    <t xml:space="preserve">2025-09-23</t>
  </si>
  <si>
    <t xml:space="preserve">2025-10-17</t>
  </si>
  <si>
    <t xml:space="preserve">PO0017</t>
  </si>
  <si>
    <t xml:space="preserve">PPE and Safety Gear - Item 17</t>
  </si>
  <si>
    <t xml:space="preserve">2025-08-31</t>
  </si>
  <si>
    <t xml:space="preserve">PO0018</t>
  </si>
  <si>
    <t xml:space="preserve">Logistics and Freight - Item 18</t>
  </si>
  <si>
    <t xml:space="preserve">2026-03-27</t>
  </si>
  <si>
    <t xml:space="preserve">2026-05-07</t>
  </si>
  <si>
    <t xml:space="preserve">2026-05-06</t>
  </si>
  <si>
    <t xml:space="preserve">PO0019</t>
  </si>
  <si>
    <t xml:space="preserve">V012</t>
  </si>
  <si>
    <t xml:space="preserve">National Oilwell Varco</t>
  </si>
  <si>
    <t xml:space="preserve">Catering Services - Item 19</t>
  </si>
  <si>
    <t xml:space="preserve">2023-06-10</t>
  </si>
  <si>
    <t xml:space="preserve">2023-07-09</t>
  </si>
  <si>
    <t xml:space="preserve">2023-07-06</t>
  </si>
  <si>
    <t xml:space="preserve">PO0020</t>
  </si>
  <si>
    <t xml:space="preserve">V007</t>
  </si>
  <si>
    <t xml:space="preserve">Saipem Nigeria</t>
  </si>
  <si>
    <t xml:space="preserve">Spare Parts - Item 20</t>
  </si>
  <si>
    <t xml:space="preserve">2023-05-27</t>
  </si>
  <si>
    <t xml:space="preserve">2023-06-06</t>
  </si>
  <si>
    <t xml:space="preserve">2023-06-14</t>
  </si>
  <si>
    <t xml:space="preserve">PO0021</t>
  </si>
  <si>
    <t xml:space="preserve">Spare Parts - Item 21</t>
  </si>
  <si>
    <t xml:space="preserve">2024-08-11</t>
  </si>
  <si>
    <t xml:space="preserve">PO0022</t>
  </si>
  <si>
    <t xml:space="preserve">Logistics and Freight - Item 22</t>
  </si>
  <si>
    <t xml:space="preserve">PO0023</t>
  </si>
  <si>
    <t xml:space="preserve">V009</t>
  </si>
  <si>
    <t xml:space="preserve">TechServe IT Solutions</t>
  </si>
  <si>
    <t xml:space="preserve">Drilling Equipment - Item 23</t>
  </si>
  <si>
    <t xml:space="preserve">2023-02-23</t>
  </si>
  <si>
    <t xml:space="preserve">2023-04-18</t>
  </si>
  <si>
    <t xml:space="preserve">PO0024</t>
  </si>
  <si>
    <t xml:space="preserve">Logistics and Freight - Item 24</t>
  </si>
  <si>
    <t xml:space="preserve">2024-09-06</t>
  </si>
  <si>
    <t xml:space="preserve">2024-09-05</t>
  </si>
  <si>
    <t xml:space="preserve">PO0025</t>
  </si>
  <si>
    <t xml:space="preserve">Catering Services - Item 25</t>
  </si>
  <si>
    <t xml:space="preserve">2025-10-11</t>
  </si>
  <si>
    <t xml:space="preserve">PO0026</t>
  </si>
  <si>
    <t xml:space="preserve">Catering Services - Item 26</t>
  </si>
  <si>
    <t xml:space="preserve">PO0027</t>
  </si>
  <si>
    <t xml:space="preserve">IT Equipment - Item 27</t>
  </si>
  <si>
    <t xml:space="preserve">2025-01-19</t>
  </si>
  <si>
    <t xml:space="preserve">PO0028</t>
  </si>
  <si>
    <t xml:space="preserve">Catering Services - Item 28</t>
  </si>
  <si>
    <t xml:space="preserve">2025-09-04</t>
  </si>
  <si>
    <t xml:space="preserve">PO0029</t>
  </si>
  <si>
    <t xml:space="preserve">Office Supplies - Item 29</t>
  </si>
  <si>
    <t xml:space="preserve">2024-01-22</t>
  </si>
  <si>
    <t xml:space="preserve">PO0030</t>
  </si>
  <si>
    <t xml:space="preserve">Logistics and Freight - Item 30</t>
  </si>
  <si>
    <t xml:space="preserve">2024-06-22</t>
  </si>
  <si>
    <t xml:space="preserve">2024-07-01</t>
  </si>
  <si>
    <t xml:space="preserve">PO0031</t>
  </si>
  <si>
    <t xml:space="preserve">Logistics and Freight - Item 31</t>
  </si>
  <si>
    <t xml:space="preserve">PO0032</t>
  </si>
  <si>
    <t xml:space="preserve">Catering Services - Item 32</t>
  </si>
  <si>
    <t xml:space="preserve">2024-02-14</t>
  </si>
  <si>
    <t xml:space="preserve">PO0033</t>
  </si>
  <si>
    <t xml:space="preserve">Chemicals - Item 33</t>
  </si>
  <si>
    <t xml:space="preserve">2025-08-06</t>
  </si>
  <si>
    <t xml:space="preserve">PO0034</t>
  </si>
  <si>
    <t xml:space="preserve">Catering Services - Item 34</t>
  </si>
  <si>
    <t xml:space="preserve">2025-01-30</t>
  </si>
  <si>
    <t xml:space="preserve">PO0035</t>
  </si>
  <si>
    <t xml:space="preserve">Catering Services - Item 35</t>
  </si>
  <si>
    <t xml:space="preserve">2024-01-07</t>
  </si>
  <si>
    <t xml:space="preserve">PO0036</t>
  </si>
  <si>
    <t xml:space="preserve">Catering Services - Item 36</t>
  </si>
  <si>
    <t xml:space="preserve">2024-07-12</t>
  </si>
  <si>
    <t xml:space="preserve">2024-07-11</t>
  </si>
  <si>
    <t xml:space="preserve">PO0037</t>
  </si>
  <si>
    <t xml:space="preserve">Spare Parts - Item 37</t>
  </si>
  <si>
    <t xml:space="preserve">2024-10-01</t>
  </si>
  <si>
    <t xml:space="preserve">2024-10-26</t>
  </si>
  <si>
    <t xml:space="preserve">2024-10-28</t>
  </si>
  <si>
    <t xml:space="preserve">PO0038</t>
  </si>
  <si>
    <t xml:space="preserve">Catering Services - Item 38</t>
  </si>
  <si>
    <t xml:space="preserve">2024-09-03</t>
  </si>
  <si>
    <t xml:space="preserve">2024-09-20</t>
  </si>
  <si>
    <t xml:space="preserve">PO0039</t>
  </si>
  <si>
    <t xml:space="preserve">Spare Parts - Item 39</t>
  </si>
  <si>
    <t xml:space="preserve">2024-11-09</t>
  </si>
  <si>
    <t xml:space="preserve">PO0040</t>
  </si>
  <si>
    <t xml:space="preserve">V001</t>
  </si>
  <si>
    <t xml:space="preserve">Catering Services - Item 40</t>
  </si>
  <si>
    <t xml:space="preserve">2026-05-20</t>
  </si>
  <si>
    <t xml:space="preserve">PO0041</t>
  </si>
  <si>
    <t xml:space="preserve">Drilling Equipment - Item 41</t>
  </si>
  <si>
    <t xml:space="preserve">2023-05-03</t>
  </si>
  <si>
    <t xml:space="preserve">PO0042</t>
  </si>
  <si>
    <t xml:space="preserve">Logistics and Freight - Item 42</t>
  </si>
  <si>
    <t xml:space="preserve">2023-02-13</t>
  </si>
  <si>
    <t xml:space="preserve">2023-04-02</t>
  </si>
  <si>
    <t xml:space="preserve">PO0043</t>
  </si>
  <si>
    <t xml:space="preserve">Catering Services - Item 43</t>
  </si>
  <si>
    <t xml:space="preserve">2024-03-17</t>
  </si>
  <si>
    <t xml:space="preserve">PO0044</t>
  </si>
  <si>
    <t xml:space="preserve">Chemicals - Item 44</t>
  </si>
  <si>
    <t xml:space="preserve">2025-07-09</t>
  </si>
  <si>
    <t xml:space="preserve">2025-08-01</t>
  </si>
  <si>
    <t xml:space="preserve">2025-07-30</t>
  </si>
  <si>
    <t xml:space="preserve">PO0045</t>
  </si>
  <si>
    <t xml:space="preserve">Office Supplies - Item 45</t>
  </si>
  <si>
    <t xml:space="preserve">2026-07-14</t>
  </si>
  <si>
    <t xml:space="preserve">PO0046</t>
  </si>
  <si>
    <t xml:space="preserve">Chemicals - Item 46</t>
  </si>
  <si>
    <t xml:space="preserve">2026-07-02</t>
  </si>
  <si>
    <t xml:space="preserve">2026-06-30</t>
  </si>
  <si>
    <t xml:space="preserve">PO0047</t>
  </si>
  <si>
    <t xml:space="preserve">Logistics and Freight - Item 47</t>
  </si>
  <si>
    <t xml:space="preserve">2023-08-08</t>
  </si>
  <si>
    <t xml:space="preserve">2023-09-13</t>
  </si>
  <si>
    <t xml:space="preserve">2023-09-15</t>
  </si>
  <si>
    <t xml:space="preserve">PO0048</t>
  </si>
  <si>
    <t xml:space="preserve">IT Equipment - Item 48</t>
  </si>
  <si>
    <t xml:space="preserve">2023-05-12</t>
  </si>
  <si>
    <t xml:space="preserve">PO0049</t>
  </si>
  <si>
    <t xml:space="preserve">Catering Services - Item 49</t>
  </si>
  <si>
    <t xml:space="preserve">2023-05-05</t>
  </si>
  <si>
    <t xml:space="preserve">2023-06-02</t>
  </si>
  <si>
    <t xml:space="preserve">PO0050</t>
  </si>
  <si>
    <t xml:space="preserve">Drilling Equipment - Item 50</t>
  </si>
  <si>
    <t xml:space="preserve">2023-05-25</t>
  </si>
  <si>
    <t xml:space="preserve">2023-07-22</t>
  </si>
  <si>
    <t xml:space="preserve">PO0051</t>
  </si>
  <si>
    <t xml:space="preserve">Logistics and Freight - Item 51</t>
  </si>
  <si>
    <t xml:space="preserve">2025-12-13</t>
  </si>
  <si>
    <t xml:space="preserve">2026-02-04</t>
  </si>
  <si>
    <t xml:space="preserve">PO0052</t>
  </si>
  <si>
    <t xml:space="preserve">Office Supplies - Item 52</t>
  </si>
  <si>
    <t xml:space="preserve">2025-07-28</t>
  </si>
  <si>
    <t xml:space="preserve">PO0053</t>
  </si>
  <si>
    <t xml:space="preserve">Chemicals - Item 53</t>
  </si>
  <si>
    <t xml:space="preserve">2025-12-29</t>
  </si>
  <si>
    <t xml:space="preserve">2026-02-08</t>
  </si>
  <si>
    <t xml:space="preserve">PO0054</t>
  </si>
  <si>
    <t xml:space="preserve">Spare Parts - Item 54</t>
  </si>
  <si>
    <t xml:space="preserve">2024-12-06</t>
  </si>
  <si>
    <t xml:space="preserve">2024-12-24</t>
  </si>
  <si>
    <t xml:space="preserve">PO0055</t>
  </si>
  <si>
    <t xml:space="preserve">Catering Services - Item 55</t>
  </si>
  <si>
    <t xml:space="preserve">2025-07-05</t>
  </si>
  <si>
    <t xml:space="preserve">PO0056</t>
  </si>
  <si>
    <t xml:space="preserve">IT Equipment - Item 56</t>
  </si>
  <si>
    <t xml:space="preserve">2024-03-30</t>
  </si>
  <si>
    <t xml:space="preserve">2024-04-17</t>
  </si>
  <si>
    <t xml:space="preserve">PO0057</t>
  </si>
  <si>
    <t xml:space="preserve">Chemicals - Item 57</t>
  </si>
  <si>
    <t xml:space="preserve">2023-07-13</t>
  </si>
  <si>
    <t xml:space="preserve">2023-07-20</t>
  </si>
  <si>
    <t xml:space="preserve">2023-07-19</t>
  </si>
  <si>
    <t xml:space="preserve">PO0058</t>
  </si>
  <si>
    <t xml:space="preserve">IT Equipment - Item 58</t>
  </si>
  <si>
    <t xml:space="preserve">2024-09-16</t>
  </si>
  <si>
    <t xml:space="preserve">PO0059</t>
  </si>
  <si>
    <t xml:space="preserve">PPE and Safety Gear - Item 59</t>
  </si>
  <si>
    <t xml:space="preserve">2026-05-04</t>
  </si>
  <si>
    <t xml:space="preserve">2026-06-19</t>
  </si>
  <si>
    <t xml:space="preserve">PO0060</t>
  </si>
  <si>
    <t xml:space="preserve">Spare Parts - Item 60</t>
  </si>
  <si>
    <t xml:space="preserve">2025-05-03</t>
  </si>
  <si>
    <t xml:space="preserve">PO0061</t>
  </si>
  <si>
    <t xml:space="preserve">Spare Parts - Item 61</t>
  </si>
  <si>
    <t xml:space="preserve">2023-04-21</t>
  </si>
  <si>
    <t xml:space="preserve">PO0062</t>
  </si>
  <si>
    <t xml:space="preserve">Drilling Equipment - Item 62</t>
  </si>
  <si>
    <t xml:space="preserve">PO0063</t>
  </si>
  <si>
    <t xml:space="preserve">Office Supplies - Item 63</t>
  </si>
  <si>
    <t xml:space="preserve">2023-07-24</t>
  </si>
  <si>
    <t xml:space="preserve">PO0064</t>
  </si>
  <si>
    <t xml:space="preserve">Chemicals - Item 64</t>
  </si>
  <si>
    <t xml:space="preserve">2023-10-04</t>
  </si>
  <si>
    <t xml:space="preserve">2023-11-08</t>
  </si>
  <si>
    <t xml:space="preserve">2023-11-05</t>
  </si>
  <si>
    <t xml:space="preserve">PO0065</t>
  </si>
  <si>
    <t xml:space="preserve">Logistics and Freight - Item 65</t>
  </si>
  <si>
    <t xml:space="preserve">2023-06-18</t>
  </si>
  <si>
    <t xml:space="preserve">2023-06-16</t>
  </si>
  <si>
    <t xml:space="preserve">PO0066</t>
  </si>
  <si>
    <t xml:space="preserve">Office Supplies - Item 66</t>
  </si>
  <si>
    <t xml:space="preserve">PO0067</t>
  </si>
  <si>
    <t xml:space="preserve">Chemicals - Item 67</t>
  </si>
  <si>
    <t xml:space="preserve">2025-06-21</t>
  </si>
  <si>
    <t xml:space="preserve">PO0068</t>
  </si>
  <si>
    <t xml:space="preserve">Drilling Equipment - Item 68</t>
  </si>
  <si>
    <t xml:space="preserve">2024-05-12</t>
  </si>
  <si>
    <t xml:space="preserve">PO0069</t>
  </si>
  <si>
    <t xml:space="preserve">Logistics and Freight - Item 69</t>
  </si>
  <si>
    <t xml:space="preserve">2026-01-24</t>
  </si>
  <si>
    <t xml:space="preserve">PO0070</t>
  </si>
  <si>
    <t xml:space="preserve">Drilling Equipment - Item 70</t>
  </si>
  <si>
    <t xml:space="preserve">2025-02-10</t>
  </si>
  <si>
    <t xml:space="preserve">2025-03-24</t>
  </si>
  <si>
    <t xml:space="preserve">PO0071</t>
  </si>
  <si>
    <t xml:space="preserve">Catering Services - Item 71</t>
  </si>
  <si>
    <t xml:space="preserve">2023-01-18</t>
  </si>
  <si>
    <t xml:space="preserve">2023-01-27</t>
  </si>
  <si>
    <t xml:space="preserve">2023-01-25</t>
  </si>
  <si>
    <t xml:space="preserve">PO0072</t>
  </si>
  <si>
    <t xml:space="preserve">Spare Parts - Item 72</t>
  </si>
  <si>
    <t xml:space="preserve">PO0073</t>
  </si>
  <si>
    <t xml:space="preserve">Logistics and Freight - Item 73</t>
  </si>
  <si>
    <t xml:space="preserve">2025-10-22</t>
  </si>
  <si>
    <t xml:space="preserve">2025-11-25</t>
  </si>
  <si>
    <t xml:space="preserve">PO0074</t>
  </si>
  <si>
    <t xml:space="preserve">Office Supplies - Item 74</t>
  </si>
  <si>
    <t xml:space="preserve">2024-12-21</t>
  </si>
  <si>
    <t xml:space="preserve">2025-01-17</t>
  </si>
  <si>
    <t xml:space="preserve">2025-01-16</t>
  </si>
  <si>
    <t xml:space="preserve">PO0075</t>
  </si>
  <si>
    <t xml:space="preserve">IT Equipment - Item 75</t>
  </si>
  <si>
    <t xml:space="preserve">2024-04-06</t>
  </si>
  <si>
    <t xml:space="preserve">PO0076</t>
  </si>
  <si>
    <t xml:space="preserve">Logistics and Freight - Item 76</t>
  </si>
  <si>
    <t xml:space="preserve">2025-05-04</t>
  </si>
  <si>
    <t xml:space="preserve">2025-05-24</t>
  </si>
  <si>
    <t xml:space="preserve">2025-05-21</t>
  </si>
  <si>
    <t xml:space="preserve">PO0077</t>
  </si>
  <si>
    <t xml:space="preserve">Chemicals - Item 77</t>
  </si>
  <si>
    <t xml:space="preserve">2026-04-04</t>
  </si>
  <si>
    <t xml:space="preserve">2026-05-12</t>
  </si>
  <si>
    <t xml:space="preserve">PO0078</t>
  </si>
  <si>
    <t xml:space="preserve">Spare Parts - Item 78</t>
  </si>
  <si>
    <t xml:space="preserve">2023-10-25</t>
  </si>
  <si>
    <t xml:space="preserve">2023-12-10</t>
  </si>
  <si>
    <t xml:space="preserve">2023-12-09</t>
  </si>
  <si>
    <t xml:space="preserve">PO0079</t>
  </si>
  <si>
    <t xml:space="preserve">Drilling Equipment - Item 79</t>
  </si>
  <si>
    <t xml:space="preserve">2024-10-14</t>
  </si>
  <si>
    <t xml:space="preserve">2024-11-14</t>
  </si>
  <si>
    <t xml:space="preserve">2024-11-12</t>
  </si>
  <si>
    <t xml:space="preserve">PO0080</t>
  </si>
  <si>
    <t xml:space="preserve">Chemicals - Item 80</t>
  </si>
  <si>
    <t xml:space="preserve">2023-04-17</t>
  </si>
  <si>
    <t xml:space="preserve">2023-04-15</t>
  </si>
  <si>
    <t xml:space="preserve">PO0081</t>
  </si>
  <si>
    <t xml:space="preserve">Drilling Equipment - Item 81</t>
  </si>
  <si>
    <t xml:space="preserve">2025-01-05</t>
  </si>
  <si>
    <t xml:space="preserve">2025-01-15</t>
  </si>
  <si>
    <t xml:space="preserve">2025-01-12</t>
  </si>
  <si>
    <t xml:space="preserve">PO0082</t>
  </si>
  <si>
    <t xml:space="preserve">Spare Parts - Item 82</t>
  </si>
  <si>
    <t xml:space="preserve">2025-10-03</t>
  </si>
  <si>
    <t xml:space="preserve">2025-11-14</t>
  </si>
  <si>
    <t xml:space="preserve">PO0083</t>
  </si>
  <si>
    <t xml:space="preserve">Logistics and Freight - Item 83</t>
  </si>
  <si>
    <t xml:space="preserve">2024-04-13</t>
  </si>
  <si>
    <t xml:space="preserve">PO0084</t>
  </si>
  <si>
    <t xml:space="preserve">Office Supplies - Item 84</t>
  </si>
  <si>
    <t xml:space="preserve">2025-07-26</t>
  </si>
  <si>
    <t xml:space="preserve">2025-08-15</t>
  </si>
  <si>
    <t xml:space="preserve">PO0085</t>
  </si>
  <si>
    <t xml:space="preserve">Drilling Equipment - Item 85</t>
  </si>
  <si>
    <t xml:space="preserve">2025-12-02</t>
  </si>
  <si>
    <t xml:space="preserve">PO0086</t>
  </si>
  <si>
    <t xml:space="preserve">Spare Parts - Item 86</t>
  </si>
  <si>
    <t xml:space="preserve">2025-11-23</t>
  </si>
  <si>
    <t xml:space="preserve">PO0087</t>
  </si>
  <si>
    <t xml:space="preserve">Chemicals - Item 87</t>
  </si>
  <si>
    <t xml:space="preserve">2025-05-15</t>
  </si>
  <si>
    <t xml:space="preserve">2025-06-07</t>
  </si>
  <si>
    <t xml:space="preserve">PO0088</t>
  </si>
  <si>
    <t xml:space="preserve">PPE and Safety Gear - Item 88</t>
  </si>
  <si>
    <t xml:space="preserve">2024-01-04</t>
  </si>
  <si>
    <t xml:space="preserve">2024-02-27</t>
  </si>
  <si>
    <t xml:space="preserve">PO0089</t>
  </si>
  <si>
    <t xml:space="preserve">Logistics and Freight - Item 89</t>
  </si>
  <si>
    <t xml:space="preserve">2025-07-29</t>
  </si>
  <si>
    <t xml:space="preserve">PO0090</t>
  </si>
  <si>
    <t xml:space="preserve">Office Supplies - Item 90</t>
  </si>
  <si>
    <t xml:space="preserve">2023-06-24</t>
  </si>
  <si>
    <t xml:space="preserve">2023-08-01</t>
  </si>
  <si>
    <t xml:space="preserve">2023-07-31</t>
  </si>
  <si>
    <t xml:space="preserve">PO0091</t>
  </si>
  <si>
    <t xml:space="preserve">Chemicals - Item 91</t>
  </si>
  <si>
    <t xml:space="preserve">2023-11-29</t>
  </si>
  <si>
    <t xml:space="preserve">2024-01-28</t>
  </si>
  <si>
    <t xml:space="preserve">2024-01-30</t>
  </si>
  <si>
    <t xml:space="preserve">PO0092</t>
  </si>
  <si>
    <t xml:space="preserve">Chemicals - Item 92</t>
  </si>
  <si>
    <t xml:space="preserve">PO0093</t>
  </si>
  <si>
    <t xml:space="preserve">Drilling Equipment - Item 93</t>
  </si>
  <si>
    <t xml:space="preserve">2026-05-30</t>
  </si>
  <si>
    <t xml:space="preserve">2026-07-24</t>
  </si>
  <si>
    <t xml:space="preserve">PO0094</t>
  </si>
  <si>
    <t xml:space="preserve">Drilling Equipment - Item 94</t>
  </si>
  <si>
    <t xml:space="preserve">2024-06-24</t>
  </si>
  <si>
    <t xml:space="preserve">PO0095</t>
  </si>
  <si>
    <t xml:space="preserve">Drilling Equipment - Item 95</t>
  </si>
  <si>
    <t xml:space="preserve">2026-03-29</t>
  </si>
  <si>
    <t xml:space="preserve">2026-05-26</t>
  </si>
  <si>
    <t xml:space="preserve">PO0096</t>
  </si>
  <si>
    <t xml:space="preserve">IT Equipment - Item 96</t>
  </si>
  <si>
    <t xml:space="preserve">2026-07-22</t>
  </si>
  <si>
    <t xml:space="preserve">2026-07-21</t>
  </si>
  <si>
    <t xml:space="preserve">PO0097</t>
  </si>
  <si>
    <t xml:space="preserve">Office Supplies - Item 97</t>
  </si>
  <si>
    <t xml:space="preserve">PO0098</t>
  </si>
  <si>
    <t xml:space="preserve">IT Equipment - Item 98</t>
  </si>
  <si>
    <t xml:space="preserve">2024-12-12</t>
  </si>
  <si>
    <t xml:space="preserve">PO0099</t>
  </si>
  <si>
    <t xml:space="preserve">Catering Services - Item 99</t>
  </si>
  <si>
    <t xml:space="preserve">2026-05-23</t>
  </si>
  <si>
    <t xml:space="preserve">2026-07-17</t>
  </si>
  <si>
    <t xml:space="preserve">2026-07-15</t>
  </si>
  <si>
    <t xml:space="preserve">PO0100</t>
  </si>
  <si>
    <t xml:space="preserve">Catering Services - Item 100</t>
  </si>
  <si>
    <t xml:space="preserve">2026-01-20</t>
  </si>
  <si>
    <t xml:space="preserve">PO0101</t>
  </si>
  <si>
    <t xml:space="preserve">PPE and Safety Gear - Item 101</t>
  </si>
  <si>
    <t xml:space="preserve">2023-02-19</t>
  </si>
  <si>
    <t xml:space="preserve">PO0102</t>
  </si>
  <si>
    <t xml:space="preserve">Drilling Equipment - Item 102</t>
  </si>
  <si>
    <t xml:space="preserve">PO0103</t>
  </si>
  <si>
    <t xml:space="preserve">IT Equipment - Item 103</t>
  </si>
  <si>
    <t xml:space="preserve">PO0104</t>
  </si>
  <si>
    <t xml:space="preserve">Logistics and Freight - Item 104</t>
  </si>
  <si>
    <t xml:space="preserve">2024-11-07</t>
  </si>
  <si>
    <t xml:space="preserve">2025-01-01</t>
  </si>
  <si>
    <t xml:space="preserve">PO0105</t>
  </si>
  <si>
    <t xml:space="preserve">Catering Services - Item 105</t>
  </si>
  <si>
    <t xml:space="preserve">2026-01-30</t>
  </si>
  <si>
    <t xml:space="preserve">2026-01-27</t>
  </si>
  <si>
    <t xml:space="preserve">PO0106</t>
  </si>
  <si>
    <t xml:space="preserve">Office Supplies - Item 106</t>
  </si>
  <si>
    <t xml:space="preserve">2026-02-11</t>
  </si>
  <si>
    <t xml:space="preserve">2026-03-22</t>
  </si>
  <si>
    <t xml:space="preserve">PO0107</t>
  </si>
  <si>
    <t xml:space="preserve">Chemicals - Item 107</t>
  </si>
  <si>
    <t xml:space="preserve">2024-07-28</t>
  </si>
  <si>
    <t xml:space="preserve">2024-09-24</t>
  </si>
  <si>
    <t xml:space="preserve">2024-10-07</t>
  </si>
  <si>
    <t xml:space="preserve">PO0108</t>
  </si>
  <si>
    <t xml:space="preserve">PPE and Safety Gear - Item 108</t>
  </si>
  <si>
    <t xml:space="preserve">PO0109</t>
  </si>
  <si>
    <t xml:space="preserve">IT Equipment - Item 109</t>
  </si>
  <si>
    <t xml:space="preserve">2024-03-18</t>
  </si>
  <si>
    <t xml:space="preserve">PO0110</t>
  </si>
  <si>
    <t xml:space="preserve">Drilling Equipment - Item 110</t>
  </si>
  <si>
    <t xml:space="preserve">2025-11-02</t>
  </si>
  <si>
    <t xml:space="preserve">PO0111</t>
  </si>
  <si>
    <t xml:space="preserve">Office Supplies - Item 111</t>
  </si>
  <si>
    <t xml:space="preserve">2023-10-21</t>
  </si>
  <si>
    <t xml:space="preserve">2023-12-14</t>
  </si>
  <si>
    <t xml:space="preserve">2023-12-13</t>
  </si>
  <si>
    <t xml:space="preserve">PO0112</t>
  </si>
  <si>
    <t xml:space="preserve">Drilling Equipment - Item 112</t>
  </si>
  <si>
    <t xml:space="preserve">2024-09-28</t>
  </si>
  <si>
    <t xml:space="preserve">2024-10-05</t>
  </si>
  <si>
    <t xml:space="preserve">PO0113</t>
  </si>
  <si>
    <t xml:space="preserve">IT Equipment - Item 113</t>
  </si>
  <si>
    <t xml:space="preserve">2024-04-09</t>
  </si>
  <si>
    <t xml:space="preserve">PO0114</t>
  </si>
  <si>
    <t xml:space="preserve">Chemicals - Item 114</t>
  </si>
  <si>
    <t xml:space="preserve">2023-11-19</t>
  </si>
  <si>
    <t xml:space="preserve">2023-12-31</t>
  </si>
  <si>
    <t xml:space="preserve">PO0115</t>
  </si>
  <si>
    <t xml:space="preserve">Office Supplies - Item 115</t>
  </si>
  <si>
    <t xml:space="preserve">2024-07-23</t>
  </si>
  <si>
    <t xml:space="preserve">PO0116</t>
  </si>
  <si>
    <t xml:space="preserve">Catering Services - Item 116</t>
  </si>
  <si>
    <t xml:space="preserve">2023-04-14</t>
  </si>
  <si>
    <t xml:space="preserve">2023-04-27</t>
  </si>
  <si>
    <t xml:space="preserve">2023-04-29</t>
  </si>
  <si>
    <t xml:space="preserve">PO0117</t>
  </si>
  <si>
    <t xml:space="preserve">Catering Services - Item 117</t>
  </si>
  <si>
    <t xml:space="preserve">2026-07-12</t>
  </si>
  <si>
    <t xml:space="preserve">PO0118</t>
  </si>
  <si>
    <t xml:space="preserve">Chemicals - Item 118</t>
  </si>
  <si>
    <t xml:space="preserve">2023-09-05</t>
  </si>
  <si>
    <t xml:space="preserve">2023-09-02</t>
  </si>
  <si>
    <t xml:space="preserve">PO0119</t>
  </si>
  <si>
    <t xml:space="preserve">Logistics and Freight - Item 119</t>
  </si>
  <si>
    <t xml:space="preserve">2024-04-03</t>
  </si>
  <si>
    <t xml:space="preserve">2024-04-15</t>
  </si>
  <si>
    <t xml:space="preserve">PO0120</t>
  </si>
  <si>
    <t xml:space="preserve">Catering Services - Item 120</t>
  </si>
  <si>
    <t xml:space="preserve">2025-09-25</t>
  </si>
  <si>
    <t xml:space="preserve">2025-10-01</t>
  </si>
  <si>
    <t xml:space="preserve">PO0121</t>
  </si>
  <si>
    <t xml:space="preserve">Chemicals - Item 121</t>
  </si>
  <si>
    <t xml:space="preserve">2025-11-06</t>
  </si>
  <si>
    <t xml:space="preserve">PO0122</t>
  </si>
  <si>
    <t xml:space="preserve">Spare Parts - Item 122</t>
  </si>
  <si>
    <t xml:space="preserve">2024-06-16</t>
  </si>
  <si>
    <t xml:space="preserve">PO0123</t>
  </si>
  <si>
    <t xml:space="preserve">Spare Parts - Item 123</t>
  </si>
  <si>
    <t xml:space="preserve">2025-06-10</t>
  </si>
  <si>
    <t xml:space="preserve">2025-07-21</t>
  </si>
  <si>
    <t xml:space="preserve">PO0124</t>
  </si>
  <si>
    <t xml:space="preserve">Catering Services - Item 124</t>
  </si>
  <si>
    <t xml:space="preserve">2024-12-22</t>
  </si>
  <si>
    <t xml:space="preserve">PO0125</t>
  </si>
  <si>
    <t xml:space="preserve">PPE and Safety Gear - Item 125</t>
  </si>
  <si>
    <t xml:space="preserve">2026-06-29</t>
  </si>
  <si>
    <t xml:space="preserve">2026-06-27</t>
  </si>
  <si>
    <t xml:space="preserve">PO0126</t>
  </si>
  <si>
    <t xml:space="preserve">Drilling Equipment - Item 126</t>
  </si>
  <si>
    <t xml:space="preserve">2023-10-28</t>
  </si>
  <si>
    <t xml:space="preserve">2024-01-01</t>
  </si>
  <si>
    <t xml:space="preserve">PO0127</t>
  </si>
  <si>
    <t xml:space="preserve">Logistics and Freight - Item 127</t>
  </si>
  <si>
    <t xml:space="preserve">2024-11-03</t>
  </si>
  <si>
    <t xml:space="preserve">PO0128</t>
  </si>
  <si>
    <t xml:space="preserve">Drilling Equipment - Item 128</t>
  </si>
  <si>
    <t xml:space="preserve">PO0129</t>
  </si>
  <si>
    <t xml:space="preserve">Office Supplies - Item 129</t>
  </si>
  <si>
    <t xml:space="preserve">2023-08-13</t>
  </si>
  <si>
    <t xml:space="preserve">2023-10-12</t>
  </si>
  <si>
    <t xml:space="preserve">PO0130</t>
  </si>
  <si>
    <t xml:space="preserve">Spare Parts - Item 130</t>
  </si>
  <si>
    <t xml:space="preserve">2025-07-19</t>
  </si>
  <si>
    <t xml:space="preserve">PO0131</t>
  </si>
  <si>
    <t xml:space="preserve">Chemicals - Item 131</t>
  </si>
  <si>
    <t xml:space="preserve">2024-08-13</t>
  </si>
  <si>
    <t xml:space="preserve">2024-10-12</t>
  </si>
  <si>
    <t xml:space="preserve">PO0132</t>
  </si>
  <si>
    <t xml:space="preserve">PPE and Safety Gear - Item 132</t>
  </si>
  <si>
    <t xml:space="preserve">2023-11-24</t>
  </si>
  <si>
    <t xml:space="preserve">2023-11-21</t>
  </si>
  <si>
    <t xml:space="preserve">PO0133</t>
  </si>
  <si>
    <t xml:space="preserve">Spare Parts - Item 133</t>
  </si>
  <si>
    <t xml:space="preserve">PO0134</t>
  </si>
  <si>
    <t xml:space="preserve">Logistics and Freight - Item 134</t>
  </si>
  <si>
    <t xml:space="preserve">2025-10-24</t>
  </si>
  <si>
    <t xml:space="preserve">PO0135</t>
  </si>
  <si>
    <t xml:space="preserve">Catering Services - Item 135</t>
  </si>
  <si>
    <t xml:space="preserve">2023-06-27</t>
  </si>
  <si>
    <t xml:space="preserve">2023-06-25</t>
  </si>
  <si>
    <t xml:space="preserve">PO0136</t>
  </si>
  <si>
    <t xml:space="preserve">Catering Services - Item 136</t>
  </si>
  <si>
    <t xml:space="preserve">2023-07-27</t>
  </si>
  <si>
    <t xml:space="preserve">PO0137</t>
  </si>
  <si>
    <t xml:space="preserve">Catering Services - Item 137</t>
  </si>
  <si>
    <t xml:space="preserve">2025-12-20</t>
  </si>
  <si>
    <t xml:space="preserve">2025-12-18</t>
  </si>
  <si>
    <t xml:space="preserve">PO0138</t>
  </si>
  <si>
    <t xml:space="preserve">IT Equipment - Item 138</t>
  </si>
  <si>
    <t xml:space="preserve">2023-05-06</t>
  </si>
  <si>
    <t xml:space="preserve">2023-06-20</t>
  </si>
  <si>
    <t xml:space="preserve">PO0139</t>
  </si>
  <si>
    <t xml:space="preserve">Catering Services - Item 139</t>
  </si>
  <si>
    <t xml:space="preserve">2023-07-01</t>
  </si>
  <si>
    <t xml:space="preserve">2023-06-29</t>
  </si>
  <si>
    <t xml:space="preserve">PO0140</t>
  </si>
  <si>
    <t xml:space="preserve">PPE and Safety Gear - Item 140</t>
  </si>
  <si>
    <t xml:space="preserve">2026-05-21</t>
  </si>
  <si>
    <t xml:space="preserve">PO0141</t>
  </si>
  <si>
    <t xml:space="preserve">Logistics and Freight - Item 141</t>
  </si>
  <si>
    <t xml:space="preserve">2025-09-20</t>
  </si>
  <si>
    <t xml:space="preserve">PO0142</t>
  </si>
  <si>
    <t xml:space="preserve">Spare Parts - Item 142</t>
  </si>
  <si>
    <t xml:space="preserve">2025-02-23</t>
  </si>
  <si>
    <t xml:space="preserve">2025-03-14</t>
  </si>
  <si>
    <t xml:space="preserve">PO0143</t>
  </si>
  <si>
    <t xml:space="preserve">Chemicals - Item 143</t>
  </si>
  <si>
    <t xml:space="preserve">PO0144</t>
  </si>
  <si>
    <t xml:space="preserve">IT Equipment - Item 144</t>
  </si>
  <si>
    <t xml:space="preserve">2023-12-02</t>
  </si>
  <si>
    <t xml:space="preserve">PO0145</t>
  </si>
  <si>
    <t xml:space="preserve">Drilling Equipment - Item 145</t>
  </si>
  <si>
    <t xml:space="preserve">2023-08-27</t>
  </si>
  <si>
    <t xml:space="preserve">2023-08-24</t>
  </si>
  <si>
    <t xml:space="preserve">PO0146</t>
  </si>
  <si>
    <t xml:space="preserve">Spare Parts - Item 146</t>
  </si>
  <si>
    <t xml:space="preserve">2025-09-24</t>
  </si>
  <si>
    <t xml:space="preserve">PO0147</t>
  </si>
  <si>
    <t xml:space="preserve">Drilling Equipment - Item 147</t>
  </si>
  <si>
    <t xml:space="preserve">PO0148</t>
  </si>
  <si>
    <t xml:space="preserve">IT Equipment - Item 148</t>
  </si>
  <si>
    <t xml:space="preserve">2024-07-06</t>
  </si>
  <si>
    <t xml:space="preserve">PO0149</t>
  </si>
  <si>
    <t xml:space="preserve">PPE and Safety Gear - Item 149</t>
  </si>
  <si>
    <t xml:space="preserve">2023-09-03</t>
  </si>
  <si>
    <t xml:space="preserve">2023-09-12</t>
  </si>
  <si>
    <t xml:space="preserve">PO0150</t>
  </si>
  <si>
    <t xml:space="preserve">IT Equipment - Item 150</t>
  </si>
  <si>
    <t xml:space="preserve">2025-09-30</t>
  </si>
  <si>
    <t xml:space="preserve">2025-09-27</t>
  </si>
  <si>
    <t xml:space="preserve">PO0151</t>
  </si>
  <si>
    <t xml:space="preserve">Chemicals - Item 151</t>
  </si>
  <si>
    <t xml:space="preserve">PO0152</t>
  </si>
  <si>
    <t xml:space="preserve">Catering Services - Item 152</t>
  </si>
  <si>
    <t xml:space="preserve">2023-05-23</t>
  </si>
  <si>
    <t xml:space="preserve">2023-06-28</t>
  </si>
  <si>
    <t xml:space="preserve">PO0153</t>
  </si>
  <si>
    <t xml:space="preserve">Spare Parts - Item 153</t>
  </si>
  <si>
    <t xml:space="preserve">2024-05-06</t>
  </si>
  <si>
    <t xml:space="preserve">PO0154</t>
  </si>
  <si>
    <t xml:space="preserve">Drilling Equipment - Item 154</t>
  </si>
  <si>
    <t xml:space="preserve">2025-10-30</t>
  </si>
  <si>
    <t xml:space="preserve">PO0155</t>
  </si>
  <si>
    <t xml:space="preserve">Drilling Equipment - Item 155</t>
  </si>
  <si>
    <t xml:space="preserve">2026-01-10</t>
  </si>
  <si>
    <t xml:space="preserve">2026-01-07</t>
  </si>
  <si>
    <t xml:space="preserve">PO0156</t>
  </si>
  <si>
    <t xml:space="preserve">Logistics and Freight - Item 156</t>
  </si>
  <si>
    <t xml:space="preserve">2023-01-07</t>
  </si>
  <si>
    <t xml:space="preserve">2023-02-05</t>
  </si>
  <si>
    <t xml:space="preserve">PO0157</t>
  </si>
  <si>
    <t xml:space="preserve">PPE and Safety Gear - Item 157</t>
  </si>
  <si>
    <t xml:space="preserve">2025-02-26</t>
  </si>
  <si>
    <t xml:space="preserve">2025-02-24</t>
  </si>
  <si>
    <t xml:space="preserve">PO0158</t>
  </si>
  <si>
    <t xml:space="preserve">Logistics and Freight - Item 158</t>
  </si>
  <si>
    <t xml:space="preserve">2023-12-28</t>
  </si>
  <si>
    <t xml:space="preserve">2024-02-06</t>
  </si>
  <si>
    <t xml:space="preserve">PO0159</t>
  </si>
  <si>
    <t xml:space="preserve">Office Supplies - Item 159</t>
  </si>
  <si>
    <t xml:space="preserve">PO0160</t>
  </si>
  <si>
    <t xml:space="preserve">Spare Parts - Item 160</t>
  </si>
  <si>
    <t xml:space="preserve">2023-07-04</t>
  </si>
  <si>
    <t xml:space="preserve">2023-07-02</t>
  </si>
  <si>
    <t xml:space="preserve">PO0161</t>
  </si>
  <si>
    <t xml:space="preserve">Office Supplies - Item 161</t>
  </si>
  <si>
    <t xml:space="preserve">PO0162</t>
  </si>
  <si>
    <t xml:space="preserve">Chemicals - Item 162</t>
  </si>
  <si>
    <t xml:space="preserve">2026-04-01</t>
  </si>
  <si>
    <t xml:space="preserve">2026-04-20</t>
  </si>
  <si>
    <t xml:space="preserve">PO0163</t>
  </si>
  <si>
    <t xml:space="preserve">Drilling Equipment - Item 163</t>
  </si>
  <si>
    <t xml:space="preserve">2024-06-30</t>
  </si>
  <si>
    <t xml:space="preserve">PO0164</t>
  </si>
  <si>
    <t xml:space="preserve">Chemicals - Item 164</t>
  </si>
  <si>
    <t xml:space="preserve">2026-04-25</t>
  </si>
  <si>
    <t xml:space="preserve">PO0165</t>
  </si>
  <si>
    <t xml:space="preserve">Spare Parts - Item 165</t>
  </si>
  <si>
    <t xml:space="preserve">2024-11-06</t>
  </si>
  <si>
    <t xml:space="preserve">PO0166</t>
  </si>
  <si>
    <t xml:space="preserve">PPE and Safety Gear - Item 166</t>
  </si>
  <si>
    <t xml:space="preserve">2023-10-11</t>
  </si>
  <si>
    <t xml:space="preserve">PO0167</t>
  </si>
  <si>
    <t xml:space="preserve">Drilling Equipment - Item 167</t>
  </si>
  <si>
    <t xml:space="preserve">2023-10-01</t>
  </si>
  <si>
    <t xml:space="preserve">PO0168</t>
  </si>
  <si>
    <t xml:space="preserve">Drilling Equipment - Item 168</t>
  </si>
  <si>
    <t xml:space="preserve">2024-01-03</t>
  </si>
  <si>
    <t xml:space="preserve">2024-01-13</t>
  </si>
  <si>
    <t xml:space="preserve">PO0169</t>
  </si>
  <si>
    <t xml:space="preserve">IT Equipment - Item 169</t>
  </si>
  <si>
    <t xml:space="preserve">2025-12-07</t>
  </si>
  <si>
    <t xml:space="preserve">2026-01-09</t>
  </si>
  <si>
    <t xml:space="preserve">PO0170</t>
  </si>
  <si>
    <t xml:space="preserve">PPE and Safety Gear - Item 170</t>
  </si>
  <si>
    <t xml:space="preserve">2024-09-08</t>
  </si>
  <si>
    <t xml:space="preserve">2024-10-04</t>
  </si>
  <si>
    <t xml:space="preserve">PO0171</t>
  </si>
  <si>
    <t xml:space="preserve">Catering Services - Item 171</t>
  </si>
  <si>
    <t xml:space="preserve">2024-03-02</t>
  </si>
  <si>
    <t xml:space="preserve">2024-03-24</t>
  </si>
  <si>
    <t xml:space="preserve">PO0172</t>
  </si>
  <si>
    <t xml:space="preserve">Chemicals - Item 172</t>
  </si>
  <si>
    <t xml:space="preserve">2024-01-10</t>
  </si>
  <si>
    <t xml:space="preserve">PO0173</t>
  </si>
  <si>
    <t xml:space="preserve">Catering Services - Item 173</t>
  </si>
  <si>
    <t xml:space="preserve">2023-03-30</t>
  </si>
  <si>
    <t xml:space="preserve">PO0174</t>
  </si>
  <si>
    <t xml:space="preserve">Catering Services - Item 174</t>
  </si>
  <si>
    <t xml:space="preserve">2026-04-28</t>
  </si>
  <si>
    <t xml:space="preserve">2026-06-08</t>
  </si>
  <si>
    <t xml:space="preserve">PO0175</t>
  </si>
  <si>
    <t xml:space="preserve">PPE and Safety Gear - Item 175</t>
  </si>
  <si>
    <t xml:space="preserve">2024-04-30</t>
  </si>
  <si>
    <t xml:space="preserve">PO0176</t>
  </si>
  <si>
    <t xml:space="preserve">Spare Parts - Item 176</t>
  </si>
  <si>
    <t xml:space="preserve">2023-10-24</t>
  </si>
  <si>
    <t xml:space="preserve">2023-11-11</t>
  </si>
  <si>
    <t xml:space="preserve">PO0177</t>
  </si>
  <si>
    <t xml:space="preserve">Office Supplies - Item 177</t>
  </si>
  <si>
    <t xml:space="preserve">PO0178</t>
  </si>
  <si>
    <t xml:space="preserve">Spare Parts - Item 178</t>
  </si>
  <si>
    <t xml:space="preserve">2024-02-08</t>
  </si>
  <si>
    <t xml:space="preserve">PO0179</t>
  </si>
  <si>
    <t xml:space="preserve">Spare Parts - Item 179</t>
  </si>
  <si>
    <t xml:space="preserve">PO0180</t>
  </si>
  <si>
    <t xml:space="preserve">Logistics and Freight - Item 180</t>
  </si>
  <si>
    <t xml:space="preserve">2024-05-22</t>
  </si>
  <si>
    <t xml:space="preserve">2024-06-15</t>
  </si>
  <si>
    <t xml:space="preserve">PO0181</t>
  </si>
  <si>
    <t xml:space="preserve">Drilling Equipment - Item 181</t>
  </si>
  <si>
    <t xml:space="preserve">2023-03-24</t>
  </si>
  <si>
    <t xml:space="preserve">PO0182</t>
  </si>
  <si>
    <t xml:space="preserve">Catering Services - Item 182</t>
  </si>
  <si>
    <t xml:space="preserve">2024-05-07</t>
  </si>
  <si>
    <t xml:space="preserve">PO0183</t>
  </si>
  <si>
    <t xml:space="preserve">IT Equipment - Item 183</t>
  </si>
  <si>
    <t xml:space="preserve">2024-05-04</t>
  </si>
  <si>
    <t xml:space="preserve">2024-06-19</t>
  </si>
  <si>
    <t xml:space="preserve">PO0184</t>
  </si>
  <si>
    <t xml:space="preserve">Catering Services - Item 184</t>
  </si>
  <si>
    <t xml:space="preserve">PO0185</t>
  </si>
  <si>
    <t xml:space="preserve">PPE and Safety Gear - Item 185</t>
  </si>
  <si>
    <t xml:space="preserve">PO0186</t>
  </si>
  <si>
    <t xml:space="preserve">PPE and Safety Gear - Item 186</t>
  </si>
  <si>
    <t xml:space="preserve">2026-07-20</t>
  </si>
  <si>
    <t xml:space="preserve">PO0187</t>
  </si>
  <si>
    <t xml:space="preserve">Office Supplies - Item 187</t>
  </si>
  <si>
    <t xml:space="preserve">2025-08-11</t>
  </si>
  <si>
    <t xml:space="preserve">PO0188</t>
  </si>
  <si>
    <t xml:space="preserve">Logistics and Freight - Item 188</t>
  </si>
  <si>
    <t xml:space="preserve">2023-11-06</t>
  </si>
  <si>
    <t xml:space="preserve">2023-11-10</t>
  </si>
  <si>
    <t xml:space="preserve">PO0189</t>
  </si>
  <si>
    <t xml:space="preserve">Logistics and Freight - Item 189</t>
  </si>
  <si>
    <t xml:space="preserve">2024-11-11</t>
  </si>
  <si>
    <t xml:space="preserve">PO0190</t>
  </si>
  <si>
    <t xml:space="preserve">PPE and Safety Gear - Item 190</t>
  </si>
  <si>
    <t xml:space="preserve">2025-08-20</t>
  </si>
  <si>
    <t xml:space="preserve">2025-10-09</t>
  </si>
  <si>
    <t xml:space="preserve">2025-10-07</t>
  </si>
  <si>
    <t xml:space="preserve">PO0191</t>
  </si>
  <si>
    <t xml:space="preserve">Catering Services - Item 191</t>
  </si>
  <si>
    <t xml:space="preserve">2023-07-08</t>
  </si>
  <si>
    <t xml:space="preserve">2023-07-07</t>
  </si>
  <si>
    <t xml:space="preserve">PO0192</t>
  </si>
  <si>
    <t xml:space="preserve">Chemicals - Item 192</t>
  </si>
  <si>
    <t xml:space="preserve">2024-02-23</t>
  </si>
  <si>
    <t xml:space="preserve">2024-04-01</t>
  </si>
  <si>
    <t xml:space="preserve">PO0193</t>
  </si>
  <si>
    <t xml:space="preserve">Drilling Equipment - Item 193</t>
  </si>
  <si>
    <t xml:space="preserve">2024-09-14</t>
  </si>
  <si>
    <t xml:space="preserve">PO0194</t>
  </si>
  <si>
    <t xml:space="preserve">Office Supplies - Item 194</t>
  </si>
  <si>
    <t xml:space="preserve">2024-10-30</t>
  </si>
  <si>
    <t xml:space="preserve">PO0195</t>
  </si>
  <si>
    <t xml:space="preserve">IT Equipment - Item 195</t>
  </si>
  <si>
    <t xml:space="preserve">2024-05-14</t>
  </si>
  <si>
    <t xml:space="preserve">PO0196</t>
  </si>
  <si>
    <t xml:space="preserve">Chemicals - Item 196</t>
  </si>
  <si>
    <t xml:space="preserve">2026-01-01</t>
  </si>
  <si>
    <t xml:space="preserve">PO0197</t>
  </si>
  <si>
    <t xml:space="preserve">Logistics and Freight - Item 197</t>
  </si>
  <si>
    <t xml:space="preserve">2023-08-28</t>
  </si>
  <si>
    <t xml:space="preserve">2023-09-04</t>
  </si>
  <si>
    <t xml:space="preserve">PO0198</t>
  </si>
  <si>
    <t xml:space="preserve">Office Supplies - Item 198</t>
  </si>
  <si>
    <t xml:space="preserve">2024-12-19</t>
  </si>
  <si>
    <t xml:space="preserve">2024-12-18</t>
  </si>
  <si>
    <t xml:space="preserve">PO0199</t>
  </si>
  <si>
    <t xml:space="preserve">Chemicals - Item 199</t>
  </si>
  <si>
    <t xml:space="preserve">2025-07-27</t>
  </si>
  <si>
    <t xml:space="preserve">2025-09-08</t>
  </si>
  <si>
    <t xml:space="preserve">PO0200</t>
  </si>
  <si>
    <t xml:space="preserve">IT Equipment - Item 200</t>
  </si>
  <si>
    <t xml:space="preserve">2026-03-20</t>
  </si>
  <si>
    <t xml:space="preserve">2026-05-25</t>
  </si>
  <si>
    <t xml:space="preserve">AssetID</t>
  </si>
  <si>
    <t xml:space="preserve">AssetType</t>
  </si>
  <si>
    <t xml:space="preserve">Description</t>
  </si>
  <si>
    <t xml:space="preserve">PurchaseDate</t>
  </si>
  <si>
    <t xml:space="preserve">PurchaseValue_NGN</t>
  </si>
  <si>
    <t xml:space="preserve">CurrentValue_NGN</t>
  </si>
  <si>
    <t xml:space="preserve">CustodianEmployeeID</t>
  </si>
  <si>
    <t xml:space="preserve">AS0001</t>
  </si>
  <si>
    <t xml:space="preserve">Site Equipment</t>
  </si>
  <si>
    <t xml:space="preserve">Site Equipment - Asset 1</t>
  </si>
  <si>
    <t xml:space="preserve">Lagos HQ</t>
  </si>
  <si>
    <t xml:space="preserve">In Use</t>
  </si>
  <si>
    <t xml:space="preserve">AS0002</t>
  </si>
  <si>
    <t xml:space="preserve">Vehicle</t>
  </si>
  <si>
    <t xml:space="preserve">Vehicle - Asset 2</t>
  </si>
  <si>
    <t xml:space="preserve">Port Harcourt Base</t>
  </si>
  <si>
    <t xml:space="preserve">2016-04-11</t>
  </si>
  <si>
    <t xml:space="preserve">AS0003</t>
  </si>
  <si>
    <t xml:space="preserve">Vehicle - Asset 3</t>
  </si>
  <si>
    <t xml:space="preserve">2016-08-13</t>
  </si>
  <si>
    <t xml:space="preserve">AS0004</t>
  </si>
  <si>
    <t xml:space="preserve">Office Furniture</t>
  </si>
  <si>
    <t xml:space="preserve">Office Furniture - Asset 4</t>
  </si>
  <si>
    <t xml:space="preserve">Warri Office</t>
  </si>
  <si>
    <t xml:space="preserve">2016-04-02</t>
  </si>
  <si>
    <t xml:space="preserve">AS0005</t>
  </si>
  <si>
    <t xml:space="preserve">Vehicle - Asset 5</t>
  </si>
  <si>
    <t xml:space="preserve">Sapele Field Site</t>
  </si>
  <si>
    <t xml:space="preserve">2020-06-03</t>
  </si>
  <si>
    <t xml:space="preserve">AS0006</t>
  </si>
  <si>
    <t xml:space="preserve">Vehicle - Asset 6</t>
  </si>
  <si>
    <t xml:space="preserve">2020-06-16</t>
  </si>
  <si>
    <t xml:space="preserve">AS0007</t>
  </si>
  <si>
    <t xml:space="preserve">Office Furniture - Asset 7</t>
  </si>
  <si>
    <t xml:space="preserve">2019-03-11</t>
  </si>
  <si>
    <t xml:space="preserve">Under Maintenance</t>
  </si>
  <si>
    <t xml:space="preserve">AS0008</t>
  </si>
  <si>
    <t xml:space="preserve">Vehicle - Asset 8</t>
  </si>
  <si>
    <t xml:space="preserve">2024-02-29</t>
  </si>
  <si>
    <t xml:space="preserve">AS0009</t>
  </si>
  <si>
    <t xml:space="preserve">Office Furniture - Asset 9</t>
  </si>
  <si>
    <t xml:space="preserve">2025-01-13</t>
  </si>
  <si>
    <t xml:space="preserve">AS0010</t>
  </si>
  <si>
    <t xml:space="preserve">Laptop</t>
  </si>
  <si>
    <t xml:space="preserve">Laptop - Asset 10</t>
  </si>
  <si>
    <t xml:space="preserve">2016-12-18</t>
  </si>
  <si>
    <t xml:space="preserve">Disposed</t>
  </si>
  <si>
    <t xml:space="preserve">AS0011</t>
  </si>
  <si>
    <t xml:space="preserve">Laptop - Asset 11</t>
  </si>
  <si>
    <t xml:space="preserve">2016-09-27</t>
  </si>
  <si>
    <t xml:space="preserve">AS0012</t>
  </si>
  <si>
    <t xml:space="preserve">Site Equipment - Asset 12</t>
  </si>
  <si>
    <t xml:space="preserve">2020-08-24</t>
  </si>
  <si>
    <t xml:space="preserve">AS0013</t>
  </si>
  <si>
    <t xml:space="preserve">Generator</t>
  </si>
  <si>
    <t xml:space="preserve">Generator - Asset 13</t>
  </si>
  <si>
    <t xml:space="preserve">2018-01-31</t>
  </si>
  <si>
    <t xml:space="preserve">AS0014</t>
  </si>
  <si>
    <t xml:space="preserve">Office Furniture - Asset 14</t>
  </si>
  <si>
    <t xml:space="preserve">2019-05-29</t>
  </si>
  <si>
    <t xml:space="preserve">AS0015</t>
  </si>
  <si>
    <t xml:space="preserve">Vehicle - Asset 15</t>
  </si>
  <si>
    <t xml:space="preserve">2018-12-11</t>
  </si>
  <si>
    <t xml:space="preserve">AS0016</t>
  </si>
  <si>
    <t xml:space="preserve">Vehicle - Asset 16</t>
  </si>
  <si>
    <t xml:space="preserve">2020-09-04</t>
  </si>
  <si>
    <t xml:space="preserve">AS0017</t>
  </si>
  <si>
    <t xml:space="preserve">Vehicle - Asset 17</t>
  </si>
  <si>
    <t xml:space="preserve">2024-07-29</t>
  </si>
  <si>
    <t xml:space="preserve">AS0018</t>
  </si>
  <si>
    <t xml:space="preserve">Office Furniture - Asset 18</t>
  </si>
  <si>
    <t xml:space="preserve">2021-05-22</t>
  </si>
  <si>
    <t xml:space="preserve">AS0019</t>
  </si>
  <si>
    <t xml:space="preserve">Building/Facility</t>
  </si>
  <si>
    <t xml:space="preserve">Building/Facility - Asset 19</t>
  </si>
  <si>
    <t xml:space="preserve">2020-03-08</t>
  </si>
  <si>
    <t xml:space="preserve">AS0020</t>
  </si>
  <si>
    <t xml:space="preserve">Generator - Asset 20</t>
  </si>
  <si>
    <t xml:space="preserve">2016-08-27</t>
  </si>
  <si>
    <t xml:space="preserve">AS0021</t>
  </si>
  <si>
    <t xml:space="preserve">Generator - Asset 21</t>
  </si>
  <si>
    <t xml:space="preserve">2019-01-21</t>
  </si>
  <si>
    <t xml:space="preserve">AS0022</t>
  </si>
  <si>
    <t xml:space="preserve">Office Furniture - Asset 22</t>
  </si>
  <si>
    <t xml:space="preserve">AS0023</t>
  </si>
  <si>
    <t xml:space="preserve">Vehicle - Asset 23</t>
  </si>
  <si>
    <t xml:space="preserve">2024-06-09</t>
  </si>
  <si>
    <t xml:space="preserve">AS0024</t>
  </si>
  <si>
    <t xml:space="preserve">Site Equipment - Asset 24</t>
  </si>
  <si>
    <t xml:space="preserve">2019-01-16</t>
  </si>
  <si>
    <t xml:space="preserve">AS0025</t>
  </si>
  <si>
    <t xml:space="preserve">Generator - Asset 25</t>
  </si>
  <si>
    <t xml:space="preserve">2017-07-14</t>
  </si>
  <si>
    <t xml:space="preserve">AS0026</t>
  </si>
  <si>
    <t xml:space="preserve">Office Furniture - Asset 26</t>
  </si>
  <si>
    <t xml:space="preserve">2017-02-23</t>
  </si>
  <si>
    <t xml:space="preserve">AS0027</t>
  </si>
  <si>
    <t xml:space="preserve">Laptop - Asset 27</t>
  </si>
  <si>
    <t xml:space="preserve">AS0028</t>
  </si>
  <si>
    <t xml:space="preserve">Vehicle - Asset 28</t>
  </si>
  <si>
    <t xml:space="preserve">Oben Field Site</t>
  </si>
  <si>
    <t xml:space="preserve">2021-03-01</t>
  </si>
  <si>
    <t xml:space="preserve">AS0029</t>
  </si>
  <si>
    <t xml:space="preserve">Building/Facility - Asset 29</t>
  </si>
  <si>
    <t xml:space="preserve">AS0030</t>
  </si>
  <si>
    <t xml:space="preserve">Laptop - Asset 30</t>
  </si>
  <si>
    <t xml:space="preserve">2024-07-24</t>
  </si>
  <si>
    <t xml:space="preserve">AS0031</t>
  </si>
  <si>
    <t xml:space="preserve">Vehicle - Asset 31</t>
  </si>
  <si>
    <t xml:space="preserve">2017-06-11</t>
  </si>
  <si>
    <t xml:space="preserve">AS0032</t>
  </si>
  <si>
    <t xml:space="preserve">Generator - Asset 32</t>
  </si>
  <si>
    <t xml:space="preserve">2020-10-06</t>
  </si>
  <si>
    <t xml:space="preserve">AS0033</t>
  </si>
  <si>
    <t xml:space="preserve">Building/Facility - Asset 33</t>
  </si>
  <si>
    <t xml:space="preserve">2018-03-15</t>
  </si>
  <si>
    <t xml:space="preserve">AS0034</t>
  </si>
  <si>
    <t xml:space="preserve">Vehicle - Asset 34</t>
  </si>
  <si>
    <t xml:space="preserve">2017-05-02</t>
  </si>
  <si>
    <t xml:space="preserve">AS0035</t>
  </si>
  <si>
    <t xml:space="preserve">Vehicle - Asset 35</t>
  </si>
  <si>
    <t xml:space="preserve">AS0036</t>
  </si>
  <si>
    <t xml:space="preserve">Office Furniture - Asset 36</t>
  </si>
  <si>
    <t xml:space="preserve">2017-01-06</t>
  </si>
  <si>
    <t xml:space="preserve">AS0037</t>
  </si>
  <si>
    <t xml:space="preserve">Office Furniture - Asset 37</t>
  </si>
  <si>
    <t xml:space="preserve">2017-10-19</t>
  </si>
  <si>
    <t xml:space="preserve">AS0038</t>
  </si>
  <si>
    <t xml:space="preserve">Laptop - Asset 38</t>
  </si>
  <si>
    <t xml:space="preserve">2017-02-09</t>
  </si>
  <si>
    <t xml:space="preserve">AS0039</t>
  </si>
  <si>
    <t xml:space="preserve">Generator - Asset 39</t>
  </si>
  <si>
    <t xml:space="preserve">2017-12-04</t>
  </si>
  <si>
    <t xml:space="preserve">AS0040</t>
  </si>
  <si>
    <t xml:space="preserve">Generator - Asset 40</t>
  </si>
  <si>
    <t xml:space="preserve">2025-07-18</t>
  </si>
  <si>
    <t xml:space="preserve">AS0041</t>
  </si>
  <si>
    <t xml:space="preserve">Site Equipment - Asset 41</t>
  </si>
  <si>
    <t xml:space="preserve">AS0042</t>
  </si>
  <si>
    <t xml:space="preserve">Generator - Asset 42</t>
  </si>
  <si>
    <t xml:space="preserve">2017-04-07</t>
  </si>
  <si>
    <t xml:space="preserve">AS0043</t>
  </si>
  <si>
    <t xml:space="preserve">Building/Facility - Asset 43</t>
  </si>
  <si>
    <t xml:space="preserve">2023-11-26</t>
  </si>
  <si>
    <t xml:space="preserve">AS0044</t>
  </si>
  <si>
    <t xml:space="preserve">Building/Facility - Asset 44</t>
  </si>
  <si>
    <t xml:space="preserve">2020-04-25</t>
  </si>
  <si>
    <t xml:space="preserve">AS0045</t>
  </si>
  <si>
    <t xml:space="preserve">Building/Facility - Asset 45</t>
  </si>
  <si>
    <t xml:space="preserve">2022-03-18</t>
  </si>
  <si>
    <t xml:space="preserve">AS0046</t>
  </si>
  <si>
    <t xml:space="preserve">Vehicle - Asset 46</t>
  </si>
  <si>
    <t xml:space="preserve">AS0047</t>
  </si>
  <si>
    <t xml:space="preserve">Vehicle - Asset 47</t>
  </si>
  <si>
    <t xml:space="preserve">2020-11-29</t>
  </si>
  <si>
    <t xml:space="preserve">AS0048</t>
  </si>
  <si>
    <t xml:space="preserve">Building/Facility - Asset 48</t>
  </si>
  <si>
    <t xml:space="preserve">2023-10-17</t>
  </si>
  <si>
    <t xml:space="preserve">AS0049</t>
  </si>
  <si>
    <t xml:space="preserve">Generator - Asset 49</t>
  </si>
  <si>
    <t xml:space="preserve">2020-01-29</t>
  </si>
  <si>
    <t xml:space="preserve">AS0050</t>
  </si>
  <si>
    <t xml:space="preserve">Building/Facility - Asset 50</t>
  </si>
  <si>
    <t xml:space="preserve">2018-08-11</t>
  </si>
  <si>
    <t xml:space="preserve">AS0051</t>
  </si>
  <si>
    <t xml:space="preserve">Laptop - Asset 51</t>
  </si>
  <si>
    <t xml:space="preserve">2019-01-23</t>
  </si>
  <si>
    <t xml:space="preserve">AS0052</t>
  </si>
  <si>
    <t xml:space="preserve">Building/Facility - Asset 52</t>
  </si>
  <si>
    <t xml:space="preserve">2021-09-25</t>
  </si>
  <si>
    <t xml:space="preserve">AS0053</t>
  </si>
  <si>
    <t xml:space="preserve">Office Furniture - Asset 53</t>
  </si>
  <si>
    <t xml:space="preserve">2021-07-29</t>
  </si>
  <si>
    <t xml:space="preserve">AS0054</t>
  </si>
  <si>
    <t xml:space="preserve">Site Equipment - Asset 54</t>
  </si>
  <si>
    <t xml:space="preserve">AS0055</t>
  </si>
  <si>
    <t xml:space="preserve">Building/Facility - Asset 55</t>
  </si>
  <si>
    <t xml:space="preserve">2023-08-14</t>
  </si>
  <si>
    <t xml:space="preserve">AS0056</t>
  </si>
  <si>
    <t xml:space="preserve">Vehicle - Asset 56</t>
  </si>
  <si>
    <t xml:space="preserve">AS0057</t>
  </si>
  <si>
    <t xml:space="preserve">Building/Facility - Asset 57</t>
  </si>
  <si>
    <t xml:space="preserve">2021-08-29</t>
  </si>
  <si>
    <t xml:space="preserve">AS0058</t>
  </si>
  <si>
    <t xml:space="preserve">Laptop - Asset 58</t>
  </si>
  <si>
    <t xml:space="preserve">AS0059</t>
  </si>
  <si>
    <t xml:space="preserve">Office Furniture - Asset 59</t>
  </si>
  <si>
    <t xml:space="preserve">2020-12-17</t>
  </si>
  <si>
    <t xml:space="preserve">AS0060</t>
  </si>
  <si>
    <t xml:space="preserve">Office Furniture - Asset 60</t>
  </si>
  <si>
    <t xml:space="preserve">2021-07-06</t>
  </si>
  <si>
    <t xml:space="preserve">AS0061</t>
  </si>
  <si>
    <t xml:space="preserve">Vehicle - Asset 61</t>
  </si>
  <si>
    <t xml:space="preserve">AS0062</t>
  </si>
  <si>
    <t xml:space="preserve">Building/Facility - Asset 62</t>
  </si>
  <si>
    <t xml:space="preserve">2022-04-21</t>
  </si>
  <si>
    <t xml:space="preserve">AS0063</t>
  </si>
  <si>
    <t xml:space="preserve">Laptop - Asset 63</t>
  </si>
  <si>
    <t xml:space="preserve">2022-12-01</t>
  </si>
  <si>
    <t xml:space="preserve">AS0064</t>
  </si>
  <si>
    <t xml:space="preserve">Vehicle - Asset 64</t>
  </si>
  <si>
    <t xml:space="preserve">2016-07-03</t>
  </si>
  <si>
    <t xml:space="preserve">AS0065</t>
  </si>
  <si>
    <t xml:space="preserve">Laptop - Asset 65</t>
  </si>
  <si>
    <t xml:space="preserve">2024-07-31</t>
  </si>
  <si>
    <t xml:space="preserve">AS0066</t>
  </si>
  <si>
    <t xml:space="preserve">Office Furniture - Asset 66</t>
  </si>
  <si>
    <t xml:space="preserve">2019-12-09</t>
  </si>
  <si>
    <t xml:space="preserve">AS0067</t>
  </si>
  <si>
    <t xml:space="preserve">Office Furniture - Asset 67</t>
  </si>
  <si>
    <t xml:space="preserve">2016-12-13</t>
  </si>
  <si>
    <t xml:space="preserve">AS0068</t>
  </si>
  <si>
    <t xml:space="preserve">Vehicle - Asset 68</t>
  </si>
  <si>
    <t xml:space="preserve">2019-08-28</t>
  </si>
  <si>
    <t xml:space="preserve">AS0069</t>
  </si>
  <si>
    <t xml:space="preserve">Laptop - Asset 69</t>
  </si>
  <si>
    <t xml:space="preserve">2018-12-28</t>
  </si>
  <si>
    <t xml:space="preserve">AS0070</t>
  </si>
  <si>
    <t xml:space="preserve">Office Furniture - Asset 70</t>
  </si>
  <si>
    <t xml:space="preserve">2022-05-25</t>
  </si>
  <si>
    <t xml:space="preserve">AS0071</t>
  </si>
  <si>
    <t xml:space="preserve">Vehicle - Asset 71</t>
  </si>
  <si>
    <t xml:space="preserve">AS0072</t>
  </si>
  <si>
    <t xml:space="preserve">Generator - Asset 72</t>
  </si>
  <si>
    <t xml:space="preserve">2019-05-11</t>
  </si>
  <si>
    <t xml:space="preserve">AS0073</t>
  </si>
  <si>
    <t xml:space="preserve">Vehicle - Asset 73</t>
  </si>
  <si>
    <t xml:space="preserve">2018-05-26</t>
  </si>
  <si>
    <t xml:space="preserve">AS0074</t>
  </si>
  <si>
    <t xml:space="preserve">Building/Facility - Asset 74</t>
  </si>
  <si>
    <t xml:space="preserve">AS0075</t>
  </si>
  <si>
    <t xml:space="preserve">Office Furniture - Asset 75</t>
  </si>
  <si>
    <t xml:space="preserve">2016-10-02</t>
  </si>
  <si>
    <t xml:space="preserve">AS0076</t>
  </si>
  <si>
    <t xml:space="preserve">Office Furniture - Asset 76</t>
  </si>
  <si>
    <t xml:space="preserve">AS0077</t>
  </si>
  <si>
    <t xml:space="preserve">Laptop - Asset 77</t>
  </si>
  <si>
    <t xml:space="preserve">2018-03-30</t>
  </si>
  <si>
    <t xml:space="preserve">AS0078</t>
  </si>
  <si>
    <t xml:space="preserve">Site Equipment - Asset 78</t>
  </si>
  <si>
    <t xml:space="preserve">2018-01-09</t>
  </si>
  <si>
    <t xml:space="preserve">AS0079</t>
  </si>
  <si>
    <t xml:space="preserve">Laptop - Asset 79</t>
  </si>
  <si>
    <t xml:space="preserve">2018-05-22</t>
  </si>
  <si>
    <t xml:space="preserve">AS0080</t>
  </si>
  <si>
    <t xml:space="preserve">Laptop - Asset 80</t>
  </si>
  <si>
    <t xml:space="preserve">2026-06-25</t>
  </si>
  <si>
    <t xml:space="preserve">AS0081</t>
  </si>
  <si>
    <t xml:space="preserve">Office Furniture - Asset 81</t>
  </si>
  <si>
    <t xml:space="preserve">2017-08-28</t>
  </si>
  <si>
    <t xml:space="preserve">AS0082</t>
  </si>
  <si>
    <t xml:space="preserve">Building/Facility - Asset 82</t>
  </si>
  <si>
    <t xml:space="preserve">2019-07-29</t>
  </si>
  <si>
    <t xml:space="preserve">AS0083</t>
  </si>
  <si>
    <t xml:space="preserve">Office Furniture - Asset 83</t>
  </si>
  <si>
    <t xml:space="preserve">2018-11-16</t>
  </si>
  <si>
    <t xml:space="preserve">AS0084</t>
  </si>
  <si>
    <t xml:space="preserve">Vehicle - Asset 84</t>
  </si>
  <si>
    <t xml:space="preserve">2024-12-08</t>
  </si>
  <si>
    <t xml:space="preserve">AS0085</t>
  </si>
  <si>
    <t xml:space="preserve">Building/Facility - Asset 85</t>
  </si>
  <si>
    <t xml:space="preserve">AS0086</t>
  </si>
  <si>
    <t xml:space="preserve">Office Furniture - Asset 86</t>
  </si>
  <si>
    <t xml:space="preserve">2017-12-21</t>
  </si>
  <si>
    <t xml:space="preserve">AS0087</t>
  </si>
  <si>
    <t xml:space="preserve">Vehicle - Asset 87</t>
  </si>
  <si>
    <t xml:space="preserve">2019-07-09</t>
  </si>
  <si>
    <t xml:space="preserve">AS0088</t>
  </si>
  <si>
    <t xml:space="preserve">Site Equipment - Asset 88</t>
  </si>
  <si>
    <t xml:space="preserve">2020-06-13</t>
  </si>
  <si>
    <t xml:space="preserve">AS0089</t>
  </si>
  <si>
    <t xml:space="preserve">Vehicle - Asset 89</t>
  </si>
  <si>
    <t xml:space="preserve">AS0090</t>
  </si>
  <si>
    <t xml:space="preserve">Vehicle - Asset 90</t>
  </si>
  <si>
    <t xml:space="preserve">2022-09-22</t>
  </si>
  <si>
    <t xml:space="preserve">AS0091</t>
  </si>
  <si>
    <t xml:space="preserve">Laptop - Asset 91</t>
  </si>
  <si>
    <t xml:space="preserve">AS0092</t>
  </si>
  <si>
    <t xml:space="preserve">Generator - Asset 92</t>
  </si>
  <si>
    <t xml:space="preserve">2019-01-29</t>
  </si>
  <si>
    <t xml:space="preserve">AS0093</t>
  </si>
  <si>
    <t xml:space="preserve">Building/Facility - Asset 93</t>
  </si>
  <si>
    <t xml:space="preserve">2020-03-14</t>
  </si>
  <si>
    <t xml:space="preserve">AS0094</t>
  </si>
  <si>
    <t xml:space="preserve">Generator - Asset 94</t>
  </si>
  <si>
    <t xml:space="preserve">2025-11-11</t>
  </si>
  <si>
    <t xml:space="preserve">AS0095</t>
  </si>
  <si>
    <t xml:space="preserve">Office Furniture - Asset 95</t>
  </si>
  <si>
    <t xml:space="preserve">2023-03-28</t>
  </si>
  <si>
    <t xml:space="preserve">AS0096</t>
  </si>
  <si>
    <t xml:space="preserve">Vehicle - Asset 96</t>
  </si>
  <si>
    <t xml:space="preserve">2018-11-02</t>
  </si>
  <si>
    <t xml:space="preserve">AS0097</t>
  </si>
  <si>
    <t xml:space="preserve">Office Furniture - Asset 97</t>
  </si>
  <si>
    <t xml:space="preserve">2021-12-30</t>
  </si>
  <si>
    <t xml:space="preserve">AS0098</t>
  </si>
  <si>
    <t xml:space="preserve">Building/Facility - Asset 98</t>
  </si>
  <si>
    <t xml:space="preserve">2019-05-17</t>
  </si>
  <si>
    <t xml:space="preserve">AS0099</t>
  </si>
  <si>
    <t xml:space="preserve">Generator - Asset 99</t>
  </si>
  <si>
    <t xml:space="preserve">2026-04-09</t>
  </si>
  <si>
    <t xml:space="preserve">AS0100</t>
  </si>
  <si>
    <t xml:space="preserve">Building/Facility - Asset 100</t>
  </si>
  <si>
    <t xml:space="preserve">2019-01-27</t>
  </si>
  <si>
    <t xml:space="preserve">AS0101</t>
  </si>
  <si>
    <t xml:space="preserve">Building/Facility - Asset 101</t>
  </si>
  <si>
    <t xml:space="preserve">AS0102</t>
  </si>
  <si>
    <t xml:space="preserve">Generator - Asset 102</t>
  </si>
  <si>
    <t xml:space="preserve">2021-09-04</t>
  </si>
  <si>
    <t xml:space="preserve">AS0103</t>
  </si>
  <si>
    <t xml:space="preserve">Laptop - Asset 103</t>
  </si>
  <si>
    <t xml:space="preserve">2021-01-30</t>
  </si>
  <si>
    <t xml:space="preserve">AS0104</t>
  </si>
  <si>
    <t xml:space="preserve">Site Equipment - Asset 104</t>
  </si>
  <si>
    <t xml:space="preserve">AS0105</t>
  </si>
  <si>
    <t xml:space="preserve">Office Furniture - Asset 105</t>
  </si>
  <si>
    <t xml:space="preserve">2016-12-02</t>
  </si>
  <si>
    <t xml:space="preserve">AS0106</t>
  </si>
  <si>
    <t xml:space="preserve">Site Equipment - Asset 106</t>
  </si>
  <si>
    <t xml:space="preserve">AS0107</t>
  </si>
  <si>
    <t xml:space="preserve">Building/Facility - Asset 107</t>
  </si>
  <si>
    <t xml:space="preserve">AS0108</t>
  </si>
  <si>
    <t xml:space="preserve">Office Furniture - Asset 108</t>
  </si>
  <si>
    <t xml:space="preserve">2018-03-24</t>
  </si>
  <si>
    <t xml:space="preserve">AS0109</t>
  </si>
  <si>
    <t xml:space="preserve">Building/Facility - Asset 109</t>
  </si>
  <si>
    <t xml:space="preserve">2018-07-08</t>
  </si>
  <si>
    <t xml:space="preserve">AS0110</t>
  </si>
  <si>
    <t xml:space="preserve">Site Equipment - Asset 110</t>
  </si>
  <si>
    <t xml:space="preserve">AS0111</t>
  </si>
  <si>
    <t xml:space="preserve">Generator - Asset 111</t>
  </si>
  <si>
    <t xml:space="preserve">2020-06-30</t>
  </si>
  <si>
    <t xml:space="preserve">AS0112</t>
  </si>
  <si>
    <t xml:space="preserve">Office Furniture - Asset 112</t>
  </si>
  <si>
    <t xml:space="preserve">2022-05-12</t>
  </si>
  <si>
    <t xml:space="preserve">AS0113</t>
  </si>
  <si>
    <t xml:space="preserve">Building/Facility - Asset 113</t>
  </si>
  <si>
    <t xml:space="preserve">2017-04-30</t>
  </si>
  <si>
    <t xml:space="preserve">AS0114</t>
  </si>
  <si>
    <t xml:space="preserve">Office Furniture - Asset 114</t>
  </si>
  <si>
    <t xml:space="preserve">2024-05-15</t>
  </si>
  <si>
    <t xml:space="preserve">AS0115</t>
  </si>
  <si>
    <t xml:space="preserve">Laptop - Asset 115</t>
  </si>
  <si>
    <t xml:space="preserve">AS0116</t>
  </si>
  <si>
    <t xml:space="preserve">Building/Facility - Asset 116</t>
  </si>
  <si>
    <t xml:space="preserve">2016-04-27</t>
  </si>
  <si>
    <t xml:space="preserve">AS0117</t>
  </si>
  <si>
    <t xml:space="preserve">Generator - Asset 117</t>
  </si>
  <si>
    <t xml:space="preserve">2022-07-15</t>
  </si>
  <si>
    <t xml:space="preserve">AS0118</t>
  </si>
  <si>
    <t xml:space="preserve">Office Furniture - Asset 118</t>
  </si>
  <si>
    <t xml:space="preserve">2023-09-14</t>
  </si>
  <si>
    <t xml:space="preserve">AS0119</t>
  </si>
  <si>
    <t xml:space="preserve">Laptop - Asset 119</t>
  </si>
  <si>
    <t xml:space="preserve">2016-10-26</t>
  </si>
  <si>
    <t xml:space="preserve">AS0120</t>
  </si>
  <si>
    <t xml:space="preserve">Generator - Asset 120</t>
  </si>
  <si>
    <t xml:space="preserve">2026-03-09</t>
  </si>
  <si>
    <t xml:space="preserve">AS0121</t>
  </si>
  <si>
    <t xml:space="preserve">Laptop - Asset 121</t>
  </si>
  <si>
    <t xml:space="preserve">2016-01-22</t>
  </si>
  <si>
    <t xml:space="preserve">AS0122</t>
  </si>
  <si>
    <t xml:space="preserve">Building/Facility - Asset 122</t>
  </si>
  <si>
    <t xml:space="preserve">2017-06-25</t>
  </si>
  <si>
    <t xml:space="preserve">AS0123</t>
  </si>
  <si>
    <t xml:space="preserve">Laptop - Asset 123</t>
  </si>
  <si>
    <t xml:space="preserve">AS0124</t>
  </si>
  <si>
    <t xml:space="preserve">Site Equipment - Asset 124</t>
  </si>
  <si>
    <t xml:space="preserve">2020-11-08</t>
  </si>
  <si>
    <t xml:space="preserve">AS0125</t>
  </si>
  <si>
    <t xml:space="preserve">Generator - Asset 125</t>
  </si>
  <si>
    <t xml:space="preserve">2025-10-10</t>
  </si>
  <si>
    <t xml:space="preserve">AS0126</t>
  </si>
  <si>
    <t xml:space="preserve">Office Furniture - Asset 126</t>
  </si>
  <si>
    <t xml:space="preserve">2025-04-20</t>
  </si>
  <si>
    <t xml:space="preserve">AS0127</t>
  </si>
  <si>
    <t xml:space="preserve">Office Furniture - Asset 127</t>
  </si>
  <si>
    <t xml:space="preserve">2024-07-25</t>
  </si>
  <si>
    <t xml:space="preserve">AS0128</t>
  </si>
  <si>
    <t xml:space="preserve">Building/Facility - Asset 128</t>
  </si>
  <si>
    <t xml:space="preserve">2018-02-12</t>
  </si>
  <si>
    <t xml:space="preserve">AS0129</t>
  </si>
  <si>
    <t xml:space="preserve">Office Furniture - Asset 129</t>
  </si>
  <si>
    <t xml:space="preserve">2023-12-01</t>
  </si>
  <si>
    <t xml:space="preserve">AS0130</t>
  </si>
  <si>
    <t xml:space="preserve">Office Furniture - Asset 130</t>
  </si>
  <si>
    <t xml:space="preserve">2021-06-10</t>
  </si>
  <si>
    <t xml:space="preserve">AS0131</t>
  </si>
  <si>
    <t xml:space="preserve">Generator - Asset 131</t>
  </si>
  <si>
    <t xml:space="preserve">2019-12-02</t>
  </si>
  <si>
    <t xml:space="preserve">AS0132</t>
  </si>
  <si>
    <t xml:space="preserve">Generator - Asset 132</t>
  </si>
  <si>
    <t xml:space="preserve">AS0133</t>
  </si>
  <si>
    <t xml:space="preserve">Laptop - Asset 133</t>
  </si>
  <si>
    <t xml:space="preserve">2021-11-24</t>
  </si>
  <si>
    <t xml:space="preserve">AS0134</t>
  </si>
  <si>
    <t xml:space="preserve">Building/Facility - Asset 134</t>
  </si>
  <si>
    <t xml:space="preserve">AS0135</t>
  </si>
  <si>
    <t xml:space="preserve">Vehicle - Asset 135</t>
  </si>
  <si>
    <t xml:space="preserve">2020-03-10</t>
  </si>
  <si>
    <t xml:space="preserve">AS0136</t>
  </si>
  <si>
    <t xml:space="preserve">Generator - Asset 136</t>
  </si>
  <si>
    <t xml:space="preserve">2016-11-28</t>
  </si>
  <si>
    <t xml:space="preserve">AS0137</t>
  </si>
  <si>
    <t xml:space="preserve">Site Equipment - Asset 137</t>
  </si>
  <si>
    <t xml:space="preserve">2022-08-30</t>
  </si>
  <si>
    <t xml:space="preserve">AS0138</t>
  </si>
  <si>
    <t xml:space="preserve">Building/Facility - Asset 138</t>
  </si>
  <si>
    <t xml:space="preserve">AS0139</t>
  </si>
  <si>
    <t xml:space="preserve">Site Equipment - Asset 139</t>
  </si>
  <si>
    <t xml:space="preserve">2019-08-16</t>
  </si>
  <si>
    <t xml:space="preserve">AS0140</t>
  </si>
  <si>
    <t xml:space="preserve">Building/Facility - Asset 140</t>
  </si>
  <si>
    <t xml:space="preserve">2020-06-21</t>
  </si>
  <si>
    <t xml:space="preserve">AS0141</t>
  </si>
  <si>
    <t xml:space="preserve">Vehicle - Asset 141</t>
  </si>
  <si>
    <t xml:space="preserve">AS0142</t>
  </si>
  <si>
    <t xml:space="preserve">Site Equipment - Asset 142</t>
  </si>
  <si>
    <t xml:space="preserve">AS0143</t>
  </si>
  <si>
    <t xml:space="preserve">Office Furniture - Asset 143</t>
  </si>
  <si>
    <t xml:space="preserve">2017-06-21</t>
  </si>
  <si>
    <t xml:space="preserve">AS0144</t>
  </si>
  <si>
    <t xml:space="preserve">Generator - Asset 144</t>
  </si>
  <si>
    <t xml:space="preserve">2020-12-29</t>
  </si>
  <si>
    <t xml:space="preserve">AS0145</t>
  </si>
  <si>
    <t xml:space="preserve">Vehicle - Asset 145</t>
  </si>
  <si>
    <t xml:space="preserve">2025-02-03</t>
  </si>
  <si>
    <t xml:space="preserve">AS0146</t>
  </si>
  <si>
    <t xml:space="preserve">Vehicle - Asset 146</t>
  </si>
  <si>
    <t xml:space="preserve">2021-10-03</t>
  </si>
  <si>
    <t xml:space="preserve">AS0147</t>
  </si>
  <si>
    <t xml:space="preserve">Site Equipment - Asset 147</t>
  </si>
  <si>
    <t xml:space="preserve">AS0148</t>
  </si>
  <si>
    <t xml:space="preserve">Office Furniture - Asset 148</t>
  </si>
  <si>
    <t xml:space="preserve">2020-11-26</t>
  </si>
  <si>
    <t xml:space="preserve">AS0149</t>
  </si>
  <si>
    <t xml:space="preserve">Generator - Asset 149</t>
  </si>
  <si>
    <t xml:space="preserve">2025-06-08</t>
  </si>
  <si>
    <t xml:space="preserve">AS0150</t>
  </si>
  <si>
    <t xml:space="preserve">Laptop - Asset 150</t>
  </si>
  <si>
    <t xml:space="preserve">2026-04-15</t>
  </si>
  <si>
    <t xml:space="preserve">TicketID</t>
  </si>
  <si>
    <t xml:space="preserve">CustomerName</t>
  </si>
  <si>
    <t xml:space="preserve">CustomerType</t>
  </si>
  <si>
    <t xml:space="preserve">Channel</t>
  </si>
  <si>
    <t xml:space="preserve">IssueCategory</t>
  </si>
  <si>
    <t xml:space="preserve">DateOpened</t>
  </si>
  <si>
    <t xml:space="preserve">DateClosed</t>
  </si>
  <si>
    <t xml:space="preserve">ResolutionTimeDays</t>
  </si>
  <si>
    <t xml:space="preserve">SatisfactionScore_1to5</t>
  </si>
  <si>
    <t xml:space="preserve">AgentEmployeeID</t>
  </si>
  <si>
    <t xml:space="preserve">CS0001</t>
  </si>
  <si>
    <t xml:space="preserve">Community 1</t>
  </si>
  <si>
    <t xml:space="preserve">Individual</t>
  </si>
  <si>
    <t xml:space="preserve">Town Hall</t>
  </si>
  <si>
    <t xml:space="preserve">Service Request</t>
  </si>
  <si>
    <t xml:space="preserve">2024-12-28</t>
  </si>
  <si>
    <t xml:space="preserve">2024-12-30</t>
  </si>
  <si>
    <t xml:space="preserve">Closed</t>
  </si>
  <si>
    <t xml:space="preserve">CS0002</t>
  </si>
  <si>
    <t xml:space="preserve">Community 2</t>
  </si>
  <si>
    <t xml:space="preserve">Email</t>
  </si>
  <si>
    <t xml:space="preserve">Environmental Complaint</t>
  </si>
  <si>
    <t xml:space="preserve">2025-03-28</t>
  </si>
  <si>
    <t xml:space="preserve">CS0003</t>
  </si>
  <si>
    <t xml:space="preserve">Government Office 3</t>
  </si>
  <si>
    <t xml:space="preserve">2024-11-30</t>
  </si>
  <si>
    <t xml:space="preserve">Open</t>
  </si>
  <si>
    <t xml:space="preserve">CS0004</t>
  </si>
  <si>
    <t xml:space="preserve">Individual 4</t>
  </si>
  <si>
    <t xml:space="preserve">Retail/Business</t>
  </si>
  <si>
    <t xml:space="preserve">Phone</t>
  </si>
  <si>
    <t xml:space="preserve">CS0005</t>
  </si>
  <si>
    <t xml:space="preserve">Community 5</t>
  </si>
  <si>
    <t xml:space="preserve">General Complaint</t>
  </si>
  <si>
    <t xml:space="preserve">2025-07-31</t>
  </si>
  <si>
    <t xml:space="preserve">2025-08-27</t>
  </si>
  <si>
    <t xml:space="preserve">CS0006</t>
  </si>
  <si>
    <t xml:space="preserve">Contractor 6</t>
  </si>
  <si>
    <t xml:space="preserve">Government</t>
  </si>
  <si>
    <t xml:space="preserve">Portal</t>
  </si>
  <si>
    <t xml:space="preserve">CS0007</t>
  </si>
  <si>
    <t xml:space="preserve">Community 7</t>
  </si>
  <si>
    <t xml:space="preserve">Land Compensation</t>
  </si>
  <si>
    <t xml:space="preserve">2025-09-12</t>
  </si>
  <si>
    <t xml:space="preserve">CS0008</t>
  </si>
  <si>
    <t xml:space="preserve">Individual 8</t>
  </si>
  <si>
    <t xml:space="preserve">Walk-in</t>
  </si>
  <si>
    <t xml:space="preserve">2023-10-31</t>
  </si>
  <si>
    <t xml:space="preserve">CS0009</t>
  </si>
  <si>
    <t xml:space="preserve">Individual 9</t>
  </si>
  <si>
    <t xml:space="preserve">2023-02-10</t>
  </si>
  <si>
    <t xml:space="preserve">CS0010</t>
  </si>
  <si>
    <t xml:space="preserve">Individual 10</t>
  </si>
  <si>
    <t xml:space="preserve">CSR Project Enquiry</t>
  </si>
  <si>
    <t xml:space="preserve">CS0011</t>
  </si>
  <si>
    <t xml:space="preserve">Government Office 11</t>
  </si>
  <si>
    <t xml:space="preserve">2025-04-16</t>
  </si>
  <si>
    <t xml:space="preserve">CS0012</t>
  </si>
  <si>
    <t xml:space="preserve">Individual 12</t>
  </si>
  <si>
    <t xml:space="preserve">Community Grievance</t>
  </si>
  <si>
    <t xml:space="preserve">2025-05-14</t>
  </si>
  <si>
    <t xml:space="preserve">CS0013</t>
  </si>
  <si>
    <t xml:space="preserve">Government Office 13</t>
  </si>
  <si>
    <t xml:space="preserve">CS0014</t>
  </si>
  <si>
    <t xml:space="preserve">Government Office 14</t>
  </si>
  <si>
    <t xml:space="preserve">2024-08-12</t>
  </si>
  <si>
    <t xml:space="preserve">CS0015</t>
  </si>
  <si>
    <t xml:space="preserve">Individual 15</t>
  </si>
  <si>
    <t xml:space="preserve">Scholarship Enquiry</t>
  </si>
  <si>
    <t xml:space="preserve">2026-05-18</t>
  </si>
  <si>
    <t xml:space="preserve">CS0016</t>
  </si>
  <si>
    <t xml:space="preserve">Individual 16</t>
  </si>
  <si>
    <t xml:space="preserve">2025-01-07</t>
  </si>
  <si>
    <t xml:space="preserve">CS0017</t>
  </si>
  <si>
    <t xml:space="preserve">Contractor 17</t>
  </si>
  <si>
    <t xml:space="preserve">2024-01-09</t>
  </si>
  <si>
    <t xml:space="preserve">CS0018</t>
  </si>
  <si>
    <t xml:space="preserve">Government Office 18</t>
  </si>
  <si>
    <t xml:space="preserve">2024-03-04</t>
  </si>
  <si>
    <t xml:space="preserve">CS0019</t>
  </si>
  <si>
    <t xml:space="preserve">Contractor 19</t>
  </si>
  <si>
    <t xml:space="preserve">2023-05-11</t>
  </si>
  <si>
    <t xml:space="preserve">2023-05-14</t>
  </si>
  <si>
    <t xml:space="preserve">CS0020</t>
  </si>
  <si>
    <t xml:space="preserve">Community 20</t>
  </si>
  <si>
    <t xml:space="preserve">CS0021</t>
  </si>
  <si>
    <t xml:space="preserve">Individual 21</t>
  </si>
  <si>
    <t xml:space="preserve">CS0022</t>
  </si>
  <si>
    <t xml:space="preserve">Community 22</t>
  </si>
  <si>
    <t xml:space="preserve">2025-11-04</t>
  </si>
  <si>
    <t xml:space="preserve">2025-11-24</t>
  </si>
  <si>
    <t xml:space="preserve">CS0023</t>
  </si>
  <si>
    <t xml:space="preserve">Contractor 23</t>
  </si>
  <si>
    <t xml:space="preserve">CS0024</t>
  </si>
  <si>
    <t xml:space="preserve">Contractor 24</t>
  </si>
  <si>
    <t xml:space="preserve">Billing Enquiry</t>
  </si>
  <si>
    <t xml:space="preserve">CS0025</t>
  </si>
  <si>
    <t xml:space="preserve">Government Office 25</t>
  </si>
  <si>
    <t xml:space="preserve">2023-07-16</t>
  </si>
  <si>
    <t xml:space="preserve">CS0026</t>
  </si>
  <si>
    <t xml:space="preserve">Individual 26</t>
  </si>
  <si>
    <t xml:space="preserve">2024-04-12</t>
  </si>
  <si>
    <t xml:space="preserve">CS0027</t>
  </si>
  <si>
    <t xml:space="preserve">Government Office 27</t>
  </si>
  <si>
    <t xml:space="preserve">2023-10-26</t>
  </si>
  <si>
    <t xml:space="preserve">2023-11-17</t>
  </si>
  <si>
    <t xml:space="preserve">CS0028</t>
  </si>
  <si>
    <t xml:space="preserve">Community 28</t>
  </si>
  <si>
    <t xml:space="preserve">2023-12-15</t>
  </si>
  <si>
    <t xml:space="preserve">CS0029</t>
  </si>
  <si>
    <t xml:space="preserve">Community 29</t>
  </si>
  <si>
    <t xml:space="preserve">CS0030</t>
  </si>
  <si>
    <t xml:space="preserve">Contractor 30</t>
  </si>
  <si>
    <t xml:space="preserve">2025-04-07</t>
  </si>
  <si>
    <t xml:space="preserve">CS0031</t>
  </si>
  <si>
    <t xml:space="preserve">Contractor 31</t>
  </si>
  <si>
    <t xml:space="preserve">2023-06-22</t>
  </si>
  <si>
    <t xml:space="preserve">CS0032</t>
  </si>
  <si>
    <t xml:space="preserve">Contractor 32</t>
  </si>
  <si>
    <t xml:space="preserve">2025-12-23</t>
  </si>
  <si>
    <t xml:space="preserve">CS0033</t>
  </si>
  <si>
    <t xml:space="preserve">Community 33</t>
  </si>
  <si>
    <t xml:space="preserve">CS0034</t>
  </si>
  <si>
    <t xml:space="preserve">Community 34</t>
  </si>
  <si>
    <t xml:space="preserve">CS0035</t>
  </si>
  <si>
    <t xml:space="preserve">Contractor 35</t>
  </si>
  <si>
    <t xml:space="preserve">2024-04-28</t>
  </si>
  <si>
    <t xml:space="preserve">CS0036</t>
  </si>
  <si>
    <t xml:space="preserve">Contractor 36</t>
  </si>
  <si>
    <t xml:space="preserve">2025-02-12</t>
  </si>
  <si>
    <t xml:space="preserve">CS0037</t>
  </si>
  <si>
    <t xml:space="preserve">Individual 37</t>
  </si>
  <si>
    <t xml:space="preserve">2023-11-23</t>
  </si>
  <si>
    <t xml:space="preserve">CS0038</t>
  </si>
  <si>
    <t xml:space="preserve">Community 38</t>
  </si>
  <si>
    <t xml:space="preserve">CS0039</t>
  </si>
  <si>
    <t xml:space="preserve">Government Office 39</t>
  </si>
  <si>
    <t xml:space="preserve">CS0040</t>
  </si>
  <si>
    <t xml:space="preserve">Government Office 40</t>
  </si>
  <si>
    <t xml:space="preserve">2025-09-19</t>
  </si>
  <si>
    <t xml:space="preserve">CS0041</t>
  </si>
  <si>
    <t xml:space="preserve">Community 41</t>
  </si>
  <si>
    <t xml:space="preserve">2023-04-07</t>
  </si>
  <si>
    <t xml:space="preserve">CS0042</t>
  </si>
  <si>
    <t xml:space="preserve">Community 42</t>
  </si>
  <si>
    <t xml:space="preserve">2025-01-26</t>
  </si>
  <si>
    <t xml:space="preserve">2025-01-27</t>
  </si>
  <si>
    <t xml:space="preserve">CS0043</t>
  </si>
  <si>
    <t xml:space="preserve">Community 43</t>
  </si>
  <si>
    <t xml:space="preserve">2024-09-13</t>
  </si>
  <si>
    <t xml:space="preserve">CS0044</t>
  </si>
  <si>
    <t xml:space="preserve">Government Office 44</t>
  </si>
  <si>
    <t xml:space="preserve">CS0045</t>
  </si>
  <si>
    <t xml:space="preserve">Community 45</t>
  </si>
  <si>
    <t xml:space="preserve">CS0046</t>
  </si>
  <si>
    <t xml:space="preserve">Contractor 46</t>
  </si>
  <si>
    <t xml:space="preserve">CS0047</t>
  </si>
  <si>
    <t xml:space="preserve">Individual 47</t>
  </si>
  <si>
    <t xml:space="preserve">2025-03-16</t>
  </si>
  <si>
    <t xml:space="preserve">CS0048</t>
  </si>
  <si>
    <t xml:space="preserve">Government Office 48</t>
  </si>
  <si>
    <t xml:space="preserve">2023-02-20</t>
  </si>
  <si>
    <t xml:space="preserve">CS0049</t>
  </si>
  <si>
    <t xml:space="preserve">Community 49</t>
  </si>
  <si>
    <t xml:space="preserve">CS0050</t>
  </si>
  <si>
    <t xml:space="preserve">Community 50</t>
  </si>
  <si>
    <t xml:space="preserve">2023-02-08</t>
  </si>
  <si>
    <t xml:space="preserve">2023-02-14</t>
  </si>
  <si>
    <t xml:space="preserve">CS0051</t>
  </si>
  <si>
    <t xml:space="preserve">Community 51</t>
  </si>
  <si>
    <t xml:space="preserve">CS0052</t>
  </si>
  <si>
    <t xml:space="preserve">Contractor 52</t>
  </si>
  <si>
    <t xml:space="preserve">CS0053</t>
  </si>
  <si>
    <t xml:space="preserve">Government Office 53</t>
  </si>
  <si>
    <t xml:space="preserve">CS0054</t>
  </si>
  <si>
    <t xml:space="preserve">Contractor 54</t>
  </si>
  <si>
    <t xml:space="preserve">2025-04-14</t>
  </si>
  <si>
    <t xml:space="preserve">2025-04-15</t>
  </si>
  <si>
    <t xml:space="preserve">CS0055</t>
  </si>
  <si>
    <t xml:space="preserve">Individual 55</t>
  </si>
  <si>
    <t xml:space="preserve">2025-03-09</t>
  </si>
  <si>
    <t xml:space="preserve">CS0056</t>
  </si>
  <si>
    <t xml:space="preserve">Contractor 56</t>
  </si>
  <si>
    <t xml:space="preserve">2024-03-09</t>
  </si>
  <si>
    <t xml:space="preserve">CS0057</t>
  </si>
  <si>
    <t xml:space="preserve">Government Office 57</t>
  </si>
  <si>
    <t xml:space="preserve">2023-05-22</t>
  </si>
  <si>
    <t xml:space="preserve">CS0058</t>
  </si>
  <si>
    <t xml:space="preserve">Government Office 58</t>
  </si>
  <si>
    <t xml:space="preserve">2023-03-10</t>
  </si>
  <si>
    <t xml:space="preserve">CS0059</t>
  </si>
  <si>
    <t xml:space="preserve">Individual 59</t>
  </si>
  <si>
    <t xml:space="preserve">2025-07-22</t>
  </si>
  <si>
    <t xml:space="preserve">CS0060</t>
  </si>
  <si>
    <t xml:space="preserve">Individual 60</t>
  </si>
  <si>
    <t xml:space="preserve">CS0061</t>
  </si>
  <si>
    <t xml:space="preserve">Community 61</t>
  </si>
  <si>
    <t xml:space="preserve">CS0062</t>
  </si>
  <si>
    <t xml:space="preserve">Contractor 62</t>
  </si>
  <si>
    <t xml:space="preserve">2026-04-13</t>
  </si>
  <si>
    <t xml:space="preserve">CS0063</t>
  </si>
  <si>
    <t xml:space="preserve">Community 63</t>
  </si>
  <si>
    <t xml:space="preserve">2023-09-09</t>
  </si>
  <si>
    <t xml:space="preserve">CS0064</t>
  </si>
  <si>
    <t xml:space="preserve">Government Office 64</t>
  </si>
  <si>
    <t xml:space="preserve">2024-12-26</t>
  </si>
  <si>
    <t xml:space="preserve">CS0065</t>
  </si>
  <si>
    <t xml:space="preserve">Individual 65</t>
  </si>
  <si>
    <t xml:space="preserve">CS0066</t>
  </si>
  <si>
    <t xml:space="preserve">Community 66</t>
  </si>
  <si>
    <t xml:space="preserve">2023-01-09</t>
  </si>
  <si>
    <t xml:space="preserve">CS0067</t>
  </si>
  <si>
    <t xml:space="preserve">Government Office 67</t>
  </si>
  <si>
    <t xml:space="preserve">2023-06-08</t>
  </si>
  <si>
    <t xml:space="preserve">CS0068</t>
  </si>
  <si>
    <t xml:space="preserve">Contractor 68</t>
  </si>
  <si>
    <t xml:space="preserve">2025-03-27</t>
  </si>
  <si>
    <t xml:space="preserve">CS0069</t>
  </si>
  <si>
    <t xml:space="preserve">Government Office 69</t>
  </si>
  <si>
    <t xml:space="preserve">CS0070</t>
  </si>
  <si>
    <t xml:space="preserve">Individual 70</t>
  </si>
  <si>
    <t xml:space="preserve">CS0071</t>
  </si>
  <si>
    <t xml:space="preserve">Contractor 71</t>
  </si>
  <si>
    <t xml:space="preserve">2023-01-15</t>
  </si>
  <si>
    <t xml:space="preserve">CS0072</t>
  </si>
  <si>
    <t xml:space="preserve">Contractor 72</t>
  </si>
  <si>
    <t xml:space="preserve">2026-03-23</t>
  </si>
  <si>
    <t xml:space="preserve">CS0073</t>
  </si>
  <si>
    <t xml:space="preserve">Community 73</t>
  </si>
  <si>
    <t xml:space="preserve">CS0074</t>
  </si>
  <si>
    <t xml:space="preserve">Contractor 74</t>
  </si>
  <si>
    <t xml:space="preserve">2026-02-21</t>
  </si>
  <si>
    <t xml:space="preserve">CS0075</t>
  </si>
  <si>
    <t xml:space="preserve">Government Office 75</t>
  </si>
  <si>
    <t xml:space="preserve">CS0076</t>
  </si>
  <si>
    <t xml:space="preserve">Government Office 76</t>
  </si>
  <si>
    <t xml:space="preserve">2024-04-04</t>
  </si>
  <si>
    <t xml:space="preserve">CS0077</t>
  </si>
  <si>
    <t xml:space="preserve">Contractor 77</t>
  </si>
  <si>
    <t xml:space="preserve">2024-11-16</t>
  </si>
  <si>
    <t xml:space="preserve">2024-12-04</t>
  </si>
  <si>
    <t xml:space="preserve">CS0078</t>
  </si>
  <si>
    <t xml:space="preserve">Government Office 78</t>
  </si>
  <si>
    <t xml:space="preserve">2023-12-05</t>
  </si>
  <si>
    <t xml:space="preserve">CS0079</t>
  </si>
  <si>
    <t xml:space="preserve">Government Office 79</t>
  </si>
  <si>
    <t xml:space="preserve">2024-05-27</t>
  </si>
  <si>
    <t xml:space="preserve">2024-06-11</t>
  </si>
  <si>
    <t xml:space="preserve">CS0080</t>
  </si>
  <si>
    <t xml:space="preserve">Community 80</t>
  </si>
  <si>
    <t xml:space="preserve">CS0081</t>
  </si>
  <si>
    <t xml:space="preserve">Government Office 81</t>
  </si>
  <si>
    <t xml:space="preserve">CS0082</t>
  </si>
  <si>
    <t xml:space="preserve">Community 82</t>
  </si>
  <si>
    <t xml:space="preserve">2026-06-04</t>
  </si>
  <si>
    <t xml:space="preserve">CS0083</t>
  </si>
  <si>
    <t xml:space="preserve">Community 83</t>
  </si>
  <si>
    <t xml:space="preserve">CS0084</t>
  </si>
  <si>
    <t xml:space="preserve">Government Office 84</t>
  </si>
  <si>
    <t xml:space="preserve">2026-07-04</t>
  </si>
  <si>
    <t xml:space="preserve">CS0085</t>
  </si>
  <si>
    <t xml:space="preserve">Contractor 85</t>
  </si>
  <si>
    <t xml:space="preserve">2023-01-28</t>
  </si>
  <si>
    <t xml:space="preserve">CS0086</t>
  </si>
  <si>
    <t xml:space="preserve">Individual 86</t>
  </si>
  <si>
    <t xml:space="preserve">2025-09-26</t>
  </si>
  <si>
    <t xml:space="preserve">CS0087</t>
  </si>
  <si>
    <t xml:space="preserve">Individual 87</t>
  </si>
  <si>
    <t xml:space="preserve">2024-09-30</t>
  </si>
  <si>
    <t xml:space="preserve">2024-10-16</t>
  </si>
  <si>
    <t xml:space="preserve">CS0088</t>
  </si>
  <si>
    <t xml:space="preserve">Individual 88</t>
  </si>
  <si>
    <t xml:space="preserve">2026-05-31</t>
  </si>
  <si>
    <t xml:space="preserve">CS0089</t>
  </si>
  <si>
    <t xml:space="preserve">Individual 89</t>
  </si>
  <si>
    <t xml:space="preserve">CS0090</t>
  </si>
  <si>
    <t xml:space="preserve">Contractor 90</t>
  </si>
  <si>
    <t xml:space="preserve">CS0091</t>
  </si>
  <si>
    <t xml:space="preserve">Contractor 91</t>
  </si>
  <si>
    <t xml:space="preserve">2023-08-03</t>
  </si>
  <si>
    <t xml:space="preserve">CS0092</t>
  </si>
  <si>
    <t xml:space="preserve">Individual 92</t>
  </si>
  <si>
    <t xml:space="preserve">2025-08-13</t>
  </si>
  <si>
    <t xml:space="preserve">CS0093</t>
  </si>
  <si>
    <t xml:space="preserve">Government Office 93</t>
  </si>
  <si>
    <t xml:space="preserve">2023-01-14</t>
  </si>
  <si>
    <t xml:space="preserve">CS0094</t>
  </si>
  <si>
    <t xml:space="preserve">Community 94</t>
  </si>
  <si>
    <t xml:space="preserve">2024-02-03</t>
  </si>
  <si>
    <t xml:space="preserve">2024-03-03</t>
  </si>
  <si>
    <t xml:space="preserve">CS0095</t>
  </si>
  <si>
    <t xml:space="preserve">Community 95</t>
  </si>
  <si>
    <t xml:space="preserve">CS0096</t>
  </si>
  <si>
    <t xml:space="preserve">Individual 96</t>
  </si>
  <si>
    <t xml:space="preserve">2024-01-25</t>
  </si>
  <si>
    <t xml:space="preserve">CS0097</t>
  </si>
  <si>
    <t xml:space="preserve">Individual 97</t>
  </si>
  <si>
    <t xml:space="preserve">2024-03-06</t>
  </si>
  <si>
    <t xml:space="preserve">2024-03-13</t>
  </si>
  <si>
    <t xml:space="preserve">CS0098</t>
  </si>
  <si>
    <t xml:space="preserve">Individual 98</t>
  </si>
  <si>
    <t xml:space="preserve">2023-10-23</t>
  </si>
  <si>
    <t xml:space="preserve">CS0099</t>
  </si>
  <si>
    <t xml:space="preserve">Individual 99</t>
  </si>
  <si>
    <t xml:space="preserve">2025-02-05</t>
  </si>
  <si>
    <t xml:space="preserve">2025-02-18</t>
  </si>
  <si>
    <t xml:space="preserve">CS0100</t>
  </si>
  <si>
    <t xml:space="preserve">Individual 100</t>
  </si>
  <si>
    <t xml:space="preserve">CS0101</t>
  </si>
  <si>
    <t xml:space="preserve">Government Office 101</t>
  </si>
  <si>
    <t xml:space="preserve">2026-06-13</t>
  </si>
  <si>
    <t xml:space="preserve">CS0102</t>
  </si>
  <si>
    <t xml:space="preserve">Contractor 102</t>
  </si>
  <si>
    <t xml:space="preserve">2024-01-02</t>
  </si>
  <si>
    <t xml:space="preserve">CS0103</t>
  </si>
  <si>
    <t xml:space="preserve">Government Office 103</t>
  </si>
  <si>
    <t xml:space="preserve">CS0104</t>
  </si>
  <si>
    <t xml:space="preserve">Government Office 104</t>
  </si>
  <si>
    <t xml:space="preserve">CS0105</t>
  </si>
  <si>
    <t xml:space="preserve">Contractor 105</t>
  </si>
  <si>
    <t xml:space="preserve">2023-10-03</t>
  </si>
  <si>
    <t xml:space="preserve">CS0106</t>
  </si>
  <si>
    <t xml:space="preserve">Contractor 106</t>
  </si>
  <si>
    <t xml:space="preserve">2025-08-10</t>
  </si>
  <si>
    <t xml:space="preserve">CS0107</t>
  </si>
  <si>
    <t xml:space="preserve">Government Office 107</t>
  </si>
  <si>
    <t xml:space="preserve">2025-10-15</t>
  </si>
  <si>
    <t xml:space="preserve">2025-10-27</t>
  </si>
  <si>
    <t xml:space="preserve">CS0108</t>
  </si>
  <si>
    <t xml:space="preserve">Government Office 108</t>
  </si>
  <si>
    <t xml:space="preserve">CS0109</t>
  </si>
  <si>
    <t xml:space="preserve">Community 109</t>
  </si>
  <si>
    <t xml:space="preserve">2023-08-31</t>
  </si>
  <si>
    <t xml:space="preserve">CS0110</t>
  </si>
  <si>
    <t xml:space="preserve">Contractor 110</t>
  </si>
  <si>
    <t xml:space="preserve">2024-09-11</t>
  </si>
  <si>
    <t xml:space="preserve">CS0111</t>
  </si>
  <si>
    <t xml:space="preserve">Individual 111</t>
  </si>
  <si>
    <t xml:space="preserve">2024-08-25</t>
  </si>
  <si>
    <t xml:space="preserve">CS0112</t>
  </si>
  <si>
    <t xml:space="preserve">Community 112</t>
  </si>
  <si>
    <t xml:space="preserve">2025-03-25</t>
  </si>
  <si>
    <t xml:space="preserve">CS0113</t>
  </si>
  <si>
    <t xml:space="preserve">Individual 113</t>
  </si>
  <si>
    <t xml:space="preserve">CS0114</t>
  </si>
  <si>
    <t xml:space="preserve">Individual 114</t>
  </si>
  <si>
    <t xml:space="preserve">2025-02-06</t>
  </si>
  <si>
    <t xml:space="preserve">CS0115</t>
  </si>
  <si>
    <t xml:space="preserve">Community 115</t>
  </si>
  <si>
    <t xml:space="preserve">2024-04-27</t>
  </si>
  <si>
    <t xml:space="preserve">CS0116</t>
  </si>
  <si>
    <t xml:space="preserve">Contractor 116</t>
  </si>
  <si>
    <t xml:space="preserve">CS0117</t>
  </si>
  <si>
    <t xml:space="preserve">Government Office 117</t>
  </si>
  <si>
    <t xml:space="preserve">2026-01-14</t>
  </si>
  <si>
    <t xml:space="preserve">CS0118</t>
  </si>
  <si>
    <t xml:space="preserve">Government Office 118</t>
  </si>
  <si>
    <t xml:space="preserve">2023-08-02</t>
  </si>
  <si>
    <t xml:space="preserve">2023-08-07</t>
  </si>
  <si>
    <t xml:space="preserve">CS0119</t>
  </si>
  <si>
    <t xml:space="preserve">Community 119</t>
  </si>
  <si>
    <t xml:space="preserve">2025-03-01</t>
  </si>
  <si>
    <t xml:space="preserve">CS0120</t>
  </si>
  <si>
    <t xml:space="preserve">Community 120</t>
  </si>
  <si>
    <t xml:space="preserve">2025-11-27</t>
  </si>
  <si>
    <t xml:space="preserve">CS0121</t>
  </si>
  <si>
    <t xml:space="preserve">Individual 121</t>
  </si>
  <si>
    <t xml:space="preserve">2025-09-06</t>
  </si>
  <si>
    <t xml:space="preserve">CS0122</t>
  </si>
  <si>
    <t xml:space="preserve">Individual 122</t>
  </si>
  <si>
    <t xml:space="preserve">2023-11-22</t>
  </si>
  <si>
    <t xml:space="preserve">CS0123</t>
  </si>
  <si>
    <t xml:space="preserve">Government Office 123</t>
  </si>
  <si>
    <t xml:space="preserve">2023-10-20</t>
  </si>
  <si>
    <t xml:space="preserve">CS0124</t>
  </si>
  <si>
    <t xml:space="preserve">Contractor 124</t>
  </si>
  <si>
    <t xml:space="preserve">CS0125</t>
  </si>
  <si>
    <t xml:space="preserve">Contractor 125</t>
  </si>
  <si>
    <t xml:space="preserve">2025-04-30</t>
  </si>
  <si>
    <t xml:space="preserve">2025-05-28</t>
  </si>
  <si>
    <t xml:space="preserve">CS0126</t>
  </si>
  <si>
    <t xml:space="preserve">Government Office 126</t>
  </si>
  <si>
    <t xml:space="preserve">2025-03-17</t>
  </si>
  <si>
    <t xml:space="preserve">CS0127</t>
  </si>
  <si>
    <t xml:space="preserve">Contractor 127</t>
  </si>
  <si>
    <t xml:space="preserve">CS0128</t>
  </si>
  <si>
    <t xml:space="preserve">Contractor 128</t>
  </si>
  <si>
    <t xml:space="preserve">2025-04-19</t>
  </si>
  <si>
    <t xml:space="preserve">2025-04-27</t>
  </si>
  <si>
    <t xml:space="preserve">CS0129</t>
  </si>
  <si>
    <t xml:space="preserve">Community 129</t>
  </si>
  <si>
    <t xml:space="preserve">2025-08-03</t>
  </si>
  <si>
    <t xml:space="preserve">CS0130</t>
  </si>
  <si>
    <t xml:space="preserve">Government Office 130</t>
  </si>
  <si>
    <t xml:space="preserve">2023-08-23</t>
  </si>
  <si>
    <t xml:space="preserve">CS0131</t>
  </si>
  <si>
    <t xml:space="preserve">Government Office 131</t>
  </si>
  <si>
    <t xml:space="preserve">2026-01-28</t>
  </si>
  <si>
    <t xml:space="preserve">CS0132</t>
  </si>
  <si>
    <t xml:space="preserve">Government Office 132</t>
  </si>
  <si>
    <t xml:space="preserve">2023-02-06</t>
  </si>
  <si>
    <t xml:space="preserve">2023-02-11</t>
  </si>
  <si>
    <t xml:space="preserve">CS0133</t>
  </si>
  <si>
    <t xml:space="preserve">Government Office 133</t>
  </si>
  <si>
    <t xml:space="preserve">CS0134</t>
  </si>
  <si>
    <t xml:space="preserve">Community 134</t>
  </si>
  <si>
    <t xml:space="preserve">2025-12-06</t>
  </si>
  <si>
    <t xml:space="preserve">2025-12-28</t>
  </si>
  <si>
    <t xml:space="preserve">CS0135</t>
  </si>
  <si>
    <t xml:space="preserve">Contractor 135</t>
  </si>
  <si>
    <t xml:space="preserve">2023-05-04</t>
  </si>
  <si>
    <t xml:space="preserve">CS0136</t>
  </si>
  <si>
    <t xml:space="preserve">Contractor 136</t>
  </si>
  <si>
    <t xml:space="preserve">CS0137</t>
  </si>
  <si>
    <t xml:space="preserve">Community 137</t>
  </si>
  <si>
    <t xml:space="preserve">2023-12-25</t>
  </si>
  <si>
    <t xml:space="preserve">CS0138</t>
  </si>
  <si>
    <t xml:space="preserve">Contractor 138</t>
  </si>
  <si>
    <t xml:space="preserve">CS0139</t>
  </si>
  <si>
    <t xml:space="preserve">Individual 139</t>
  </si>
  <si>
    <t xml:space="preserve">CS0140</t>
  </si>
  <si>
    <t xml:space="preserve">Government Office 140</t>
  </si>
  <si>
    <t xml:space="preserve">2023-05-16</t>
  </si>
  <si>
    <t xml:space="preserve">2023-05-24</t>
  </si>
  <si>
    <t xml:space="preserve">CS0141</t>
  </si>
  <si>
    <t xml:space="preserve">Community 141</t>
  </si>
  <si>
    <t xml:space="preserve">CS0142</t>
  </si>
  <si>
    <t xml:space="preserve">Contractor 142</t>
  </si>
  <si>
    <t xml:space="preserve">CS0143</t>
  </si>
  <si>
    <t xml:space="preserve">Individual 143</t>
  </si>
  <si>
    <t xml:space="preserve">2024-11-17</t>
  </si>
  <si>
    <t xml:space="preserve">2024-12-16</t>
  </si>
  <si>
    <t xml:space="preserve">CS0144</t>
  </si>
  <si>
    <t xml:space="preserve">Government Office 144</t>
  </si>
  <si>
    <t xml:space="preserve">2024-04-21</t>
  </si>
  <si>
    <t xml:space="preserve">CS0145</t>
  </si>
  <si>
    <t xml:space="preserve">Individual 145</t>
  </si>
  <si>
    <t xml:space="preserve">2023-05-18</t>
  </si>
  <si>
    <t xml:space="preserve">CS0146</t>
  </si>
  <si>
    <t xml:space="preserve">Individual 146</t>
  </si>
  <si>
    <t xml:space="preserve">CS0147</t>
  </si>
  <si>
    <t xml:space="preserve">Contractor 147</t>
  </si>
  <si>
    <t xml:space="preserve">2023-03-23</t>
  </si>
  <si>
    <t xml:space="preserve">CS0148</t>
  </si>
  <si>
    <t xml:space="preserve">Individual 148</t>
  </si>
  <si>
    <t xml:space="preserve">2024-03-26</t>
  </si>
  <si>
    <t xml:space="preserve">CS0149</t>
  </si>
  <si>
    <t xml:space="preserve">Government Office 149</t>
  </si>
  <si>
    <t xml:space="preserve">2023-01-13</t>
  </si>
  <si>
    <t xml:space="preserve">CS0150</t>
  </si>
  <si>
    <t xml:space="preserve">Community 150</t>
  </si>
  <si>
    <t xml:space="preserve">CS0151</t>
  </si>
  <si>
    <t xml:space="preserve">Community 151</t>
  </si>
  <si>
    <t xml:space="preserve">CS0152</t>
  </si>
  <si>
    <t xml:space="preserve">Individual 152</t>
  </si>
  <si>
    <t xml:space="preserve">2024-02-17</t>
  </si>
  <si>
    <t xml:space="preserve">CS0153</t>
  </si>
  <si>
    <t xml:space="preserve">Contractor 153</t>
  </si>
  <si>
    <t xml:space="preserve">CS0154</t>
  </si>
  <si>
    <t xml:space="preserve">Individual 154</t>
  </si>
  <si>
    <t xml:space="preserve">CS0155</t>
  </si>
  <si>
    <t xml:space="preserve">Individual 155</t>
  </si>
  <si>
    <t xml:space="preserve">2025-08-07</t>
  </si>
  <si>
    <t xml:space="preserve">2025-08-16</t>
  </si>
  <si>
    <t xml:space="preserve">CS0156</t>
  </si>
  <si>
    <t xml:space="preserve">Community 156</t>
  </si>
  <si>
    <t xml:space="preserve">2024-02-05</t>
  </si>
  <si>
    <t xml:space="preserve">2024-02-11</t>
  </si>
  <si>
    <t xml:space="preserve">CS0157</t>
  </si>
  <si>
    <t xml:space="preserve">Contractor 157</t>
  </si>
  <si>
    <t xml:space="preserve">CS0158</t>
  </si>
  <si>
    <t xml:space="preserve">Government Office 158</t>
  </si>
  <si>
    <t xml:space="preserve">CS0159</t>
  </si>
  <si>
    <t xml:space="preserve">Government Office 159</t>
  </si>
  <si>
    <t xml:space="preserve">CS0160</t>
  </si>
  <si>
    <t xml:space="preserve">Government Office 160</t>
  </si>
  <si>
    <t xml:space="preserve">CS0161</t>
  </si>
  <si>
    <t xml:space="preserve">Contractor 161</t>
  </si>
  <si>
    <t xml:space="preserve">CS0162</t>
  </si>
  <si>
    <t xml:space="preserve">Individual 162</t>
  </si>
  <si>
    <t xml:space="preserve">CS0163</t>
  </si>
  <si>
    <t xml:space="preserve">Community 163</t>
  </si>
  <si>
    <t xml:space="preserve">CS0164</t>
  </si>
  <si>
    <t xml:space="preserve">Contractor 164</t>
  </si>
  <si>
    <t xml:space="preserve">2026-03-18</t>
  </si>
  <si>
    <t xml:space="preserve">CS0165</t>
  </si>
  <si>
    <t xml:space="preserve">Individual 165</t>
  </si>
  <si>
    <t xml:space="preserve">CS0166</t>
  </si>
  <si>
    <t xml:space="preserve">Government Office 166</t>
  </si>
  <si>
    <t xml:space="preserve">2023-12-16</t>
  </si>
  <si>
    <t xml:space="preserve">CS0167</t>
  </si>
  <si>
    <t xml:space="preserve">Government Office 167</t>
  </si>
  <si>
    <t xml:space="preserve">2025-07-17</t>
  </si>
  <si>
    <t xml:space="preserve">CS0168</t>
  </si>
  <si>
    <t xml:space="preserve">Community 168</t>
  </si>
  <si>
    <t xml:space="preserve">2025-05-16</t>
  </si>
  <si>
    <t xml:space="preserve">CS0169</t>
  </si>
  <si>
    <t xml:space="preserve">Individual 169</t>
  </si>
  <si>
    <t xml:space="preserve">2025-02-14</t>
  </si>
  <si>
    <t xml:space="preserve">CS0170</t>
  </si>
  <si>
    <t xml:space="preserve">Individual 170</t>
  </si>
  <si>
    <t xml:space="preserve">CS0171</t>
  </si>
  <si>
    <t xml:space="preserve">Community 171</t>
  </si>
  <si>
    <t xml:space="preserve">2025-02-08</t>
  </si>
  <si>
    <t xml:space="preserve">2025-03-10</t>
  </si>
  <si>
    <t xml:space="preserve">CS0172</t>
  </si>
  <si>
    <t xml:space="preserve">Government Office 172</t>
  </si>
  <si>
    <t xml:space="preserve">2024-11-20</t>
  </si>
  <si>
    <t xml:space="preserve">CS0173</t>
  </si>
  <si>
    <t xml:space="preserve">Individual 173</t>
  </si>
  <si>
    <t xml:space="preserve">CS0174</t>
  </si>
  <si>
    <t xml:space="preserve">Community 174</t>
  </si>
  <si>
    <t xml:space="preserve">2023-02-22</t>
  </si>
  <si>
    <t xml:space="preserve">2023-03-21</t>
  </si>
  <si>
    <t xml:space="preserve">CS0175</t>
  </si>
  <si>
    <t xml:space="preserve">Individual 175</t>
  </si>
  <si>
    <t xml:space="preserve">2025-11-20</t>
  </si>
  <si>
    <t xml:space="preserve">2025-11-26</t>
  </si>
  <si>
    <t xml:space="preserve">CS0176</t>
  </si>
  <si>
    <t xml:space="preserve">Community 176</t>
  </si>
  <si>
    <t xml:space="preserve">2025-07-13</t>
  </si>
  <si>
    <t xml:space="preserve">CS0177</t>
  </si>
  <si>
    <t xml:space="preserve">Contractor 177</t>
  </si>
  <si>
    <t xml:space="preserve">CS0178</t>
  </si>
  <si>
    <t xml:space="preserve">Community 178</t>
  </si>
  <si>
    <t xml:space="preserve">CS0179</t>
  </si>
  <si>
    <t xml:space="preserve">Government Office 179</t>
  </si>
  <si>
    <t xml:space="preserve">2024-05-13</t>
  </si>
  <si>
    <t xml:space="preserve">CS0180</t>
  </si>
  <si>
    <t xml:space="preserve">Government Office 180</t>
  </si>
  <si>
    <t xml:space="preserve">ITTicketID</t>
  </si>
  <si>
    <t xml:space="preserve">RequesterEmployeeID</t>
  </si>
  <si>
    <t xml:space="preserve">System</t>
  </si>
  <si>
    <t xml:space="preserve">IssueType</t>
  </si>
  <si>
    <t xml:space="preserve">Priority</t>
  </si>
  <si>
    <t xml:space="preserve">DateLogged</t>
  </si>
  <si>
    <t xml:space="preserve">DateResolved</t>
  </si>
  <si>
    <t xml:space="preserve">ResolutionTimeHours</t>
  </si>
  <si>
    <t xml:space="preserve">SupportOfficerEmployeeID</t>
  </si>
  <si>
    <t xml:space="preserve">IT0001</t>
  </si>
  <si>
    <t xml:space="preserve">Field SCADA</t>
  </si>
  <si>
    <t xml:space="preserve">Network</t>
  </si>
  <si>
    <t xml:space="preserve">Low</t>
  </si>
  <si>
    <t xml:space="preserve">Resolved</t>
  </si>
  <si>
    <t xml:space="preserve">IT0002</t>
  </si>
  <si>
    <t xml:space="preserve">Payroll System</t>
  </si>
  <si>
    <t xml:space="preserve">Access/Permissions</t>
  </si>
  <si>
    <t xml:space="preserve">Medium</t>
  </si>
  <si>
    <t xml:space="preserve">IT0003</t>
  </si>
  <si>
    <t xml:space="preserve">Tableau Server</t>
  </si>
  <si>
    <t xml:space="preserve">2023-06-30</t>
  </si>
  <si>
    <t xml:space="preserve">IT0004</t>
  </si>
  <si>
    <t xml:space="preserve">SAP ERP</t>
  </si>
  <si>
    <t xml:space="preserve">Data/Reporting</t>
  </si>
  <si>
    <t xml:space="preserve">IT0005</t>
  </si>
  <si>
    <t xml:space="preserve">IT0006</t>
  </si>
  <si>
    <t xml:space="preserve">IT0007</t>
  </si>
  <si>
    <t xml:space="preserve">Email/Exchange</t>
  </si>
  <si>
    <t xml:space="preserve">Software</t>
  </si>
  <si>
    <t xml:space="preserve">IT0008</t>
  </si>
  <si>
    <t xml:space="preserve">IT0009</t>
  </si>
  <si>
    <t xml:space="preserve">Corporate Network</t>
  </si>
  <si>
    <t xml:space="preserve">High</t>
  </si>
  <si>
    <t xml:space="preserve">IT0010</t>
  </si>
  <si>
    <t xml:space="preserve">IT0011</t>
  </si>
  <si>
    <t xml:space="preserve">Critical</t>
  </si>
  <si>
    <t xml:space="preserve">IT0012</t>
  </si>
  <si>
    <t xml:space="preserve">Hardware</t>
  </si>
  <si>
    <t xml:space="preserve">2024-08-02</t>
  </si>
  <si>
    <t xml:space="preserve">2024-08-06</t>
  </si>
  <si>
    <t xml:space="preserve">IT0013</t>
  </si>
  <si>
    <t xml:space="preserve">2026-04-03</t>
  </si>
  <si>
    <t xml:space="preserve">IT0014</t>
  </si>
  <si>
    <t xml:space="preserve">IT0015</t>
  </si>
  <si>
    <t xml:space="preserve">2023-01-19</t>
  </si>
  <si>
    <t xml:space="preserve">2023-01-23</t>
  </si>
  <si>
    <t xml:space="preserve">IT0016</t>
  </si>
  <si>
    <t xml:space="preserve">IT0017</t>
  </si>
  <si>
    <t xml:space="preserve">IT0018</t>
  </si>
  <si>
    <t xml:space="preserve">IT0019</t>
  </si>
  <si>
    <t xml:space="preserve">IT0020</t>
  </si>
  <si>
    <t xml:space="preserve">IT0021</t>
  </si>
  <si>
    <t xml:space="preserve">2025-09-09</t>
  </si>
  <si>
    <t xml:space="preserve">2025-09-13</t>
  </si>
  <si>
    <t xml:space="preserve">IT0022</t>
  </si>
  <si>
    <t xml:space="preserve">IT0023</t>
  </si>
  <si>
    <t xml:space="preserve">IT0024</t>
  </si>
  <si>
    <t xml:space="preserve">2026-01-12</t>
  </si>
  <si>
    <t xml:space="preserve">IT0025</t>
  </si>
  <si>
    <t xml:space="preserve">IT0026</t>
  </si>
  <si>
    <t xml:space="preserve">2023-11-27</t>
  </si>
  <si>
    <t xml:space="preserve">2023-11-28</t>
  </si>
  <si>
    <t xml:space="preserve">IT0027</t>
  </si>
  <si>
    <t xml:space="preserve">2026-01-19</t>
  </si>
  <si>
    <t xml:space="preserve">2026-01-22</t>
  </si>
  <si>
    <t xml:space="preserve">IT0028</t>
  </si>
  <si>
    <t xml:space="preserve">2024-08-23</t>
  </si>
  <si>
    <t xml:space="preserve">IT0029</t>
  </si>
  <si>
    <t xml:space="preserve">IT0030</t>
  </si>
  <si>
    <t xml:space="preserve">IT0031</t>
  </si>
  <si>
    <t xml:space="preserve">2023-09-23</t>
  </si>
  <si>
    <t xml:space="preserve">IT0032</t>
  </si>
  <si>
    <t xml:space="preserve">IT0033</t>
  </si>
  <si>
    <t xml:space="preserve">2024-07-05</t>
  </si>
  <si>
    <t xml:space="preserve">IT0034</t>
  </si>
  <si>
    <t xml:space="preserve">2025-05-09</t>
  </si>
  <si>
    <t xml:space="preserve">2025-05-10</t>
  </si>
  <si>
    <t xml:space="preserve">IT0035</t>
  </si>
  <si>
    <t xml:space="preserve">IT0036</t>
  </si>
  <si>
    <t xml:space="preserve">IT0037</t>
  </si>
  <si>
    <t xml:space="preserve">IT0038</t>
  </si>
  <si>
    <t xml:space="preserve">2025-09-29</t>
  </si>
  <si>
    <t xml:space="preserve">IT0039</t>
  </si>
  <si>
    <t xml:space="preserve">2023-12-20</t>
  </si>
  <si>
    <t xml:space="preserve">IT0040</t>
  </si>
  <si>
    <t xml:space="preserve">2025-04-04</t>
  </si>
  <si>
    <t xml:space="preserve">IT0041</t>
  </si>
  <si>
    <t xml:space="preserve">IT0042</t>
  </si>
  <si>
    <t xml:space="preserve">2024-05-25</t>
  </si>
  <si>
    <t xml:space="preserve">IT0043</t>
  </si>
  <si>
    <t xml:space="preserve">2024-07-18</t>
  </si>
  <si>
    <t xml:space="preserve">IT0044</t>
  </si>
  <si>
    <t xml:space="preserve">2025-04-12</t>
  </si>
  <si>
    <t xml:space="preserve">IT0045</t>
  </si>
  <si>
    <t xml:space="preserve">IT0046</t>
  </si>
  <si>
    <t xml:space="preserve">2023-10-07</t>
  </si>
  <si>
    <t xml:space="preserve">IT0047</t>
  </si>
  <si>
    <t xml:space="preserve">IT0048</t>
  </si>
  <si>
    <t xml:space="preserve">IT0049</t>
  </si>
  <si>
    <t xml:space="preserve">IT0050</t>
  </si>
  <si>
    <t xml:space="preserve">2024-11-23</t>
  </si>
  <si>
    <t xml:space="preserve">IT0051</t>
  </si>
  <si>
    <t xml:space="preserve">IT0052</t>
  </si>
  <si>
    <t xml:space="preserve">IT0053</t>
  </si>
  <si>
    <t xml:space="preserve">IT0054</t>
  </si>
  <si>
    <t xml:space="preserve">2025-10-04</t>
  </si>
  <si>
    <t xml:space="preserve">IT0055</t>
  </si>
  <si>
    <t xml:space="preserve">2024-05-29</t>
  </si>
  <si>
    <t xml:space="preserve">IT0056</t>
  </si>
  <si>
    <t xml:space="preserve">2024-07-07</t>
  </si>
  <si>
    <t xml:space="preserve">IT0057</t>
  </si>
  <si>
    <t xml:space="preserve">2024-02-12</t>
  </si>
  <si>
    <t xml:space="preserve">IT0058</t>
  </si>
  <si>
    <t xml:space="preserve">2023-11-25</t>
  </si>
  <si>
    <t xml:space="preserve">IT0059</t>
  </si>
  <si>
    <t xml:space="preserve">2023-09-18</t>
  </si>
  <si>
    <t xml:space="preserve">2023-09-22</t>
  </si>
  <si>
    <t xml:space="preserve">IT0060</t>
  </si>
  <si>
    <t xml:space="preserve">IT0061</t>
  </si>
  <si>
    <t xml:space="preserve">2024-12-01</t>
  </si>
  <si>
    <t xml:space="preserve">IT0062</t>
  </si>
  <si>
    <t xml:space="preserve">IT0063</t>
  </si>
  <si>
    <t xml:space="preserve">IT0064</t>
  </si>
  <si>
    <t xml:space="preserve">IT0065</t>
  </si>
  <si>
    <t xml:space="preserve">IT0066</t>
  </si>
  <si>
    <t xml:space="preserve">IT0067</t>
  </si>
  <si>
    <t xml:space="preserve">2025-11-10</t>
  </si>
  <si>
    <t xml:space="preserve">IT0068</t>
  </si>
  <si>
    <t xml:space="preserve">2025-05-06</t>
  </si>
  <si>
    <t xml:space="preserve">IT0069</t>
  </si>
  <si>
    <t xml:space="preserve">2024-10-20</t>
  </si>
  <si>
    <t xml:space="preserve">2024-10-22</t>
  </si>
  <si>
    <t xml:space="preserve">IT0070</t>
  </si>
  <si>
    <t xml:space="preserve">IT0071</t>
  </si>
  <si>
    <t xml:space="preserve">2023-09-24</t>
  </si>
  <si>
    <t xml:space="preserve">IT0072</t>
  </si>
  <si>
    <t xml:space="preserve">2024-07-19</t>
  </si>
  <si>
    <t xml:space="preserve">IT0073</t>
  </si>
  <si>
    <t xml:space="preserve">IT0074</t>
  </si>
  <si>
    <t xml:space="preserve">2026-01-25</t>
  </si>
  <si>
    <t xml:space="preserve">IT0075</t>
  </si>
  <si>
    <t xml:space="preserve">2024-01-31</t>
  </si>
  <si>
    <t xml:space="preserve">IT0076</t>
  </si>
  <si>
    <t xml:space="preserve">IT0077</t>
  </si>
  <si>
    <t xml:space="preserve">IT0078</t>
  </si>
  <si>
    <t xml:space="preserve">2024-01-27</t>
  </si>
  <si>
    <t xml:space="preserve">IT0079</t>
  </si>
  <si>
    <t xml:space="preserve">IT0080</t>
  </si>
  <si>
    <t xml:space="preserve">IT0081</t>
  </si>
  <si>
    <t xml:space="preserve">2024-03-27</t>
  </si>
  <si>
    <t xml:space="preserve">IT0082</t>
  </si>
  <si>
    <t xml:space="preserve">IT0083</t>
  </si>
  <si>
    <t xml:space="preserve">IT0084</t>
  </si>
  <si>
    <t xml:space="preserve">IT0085</t>
  </si>
  <si>
    <t xml:space="preserve">IT0086</t>
  </si>
  <si>
    <t xml:space="preserve">IT0087</t>
  </si>
  <si>
    <t xml:space="preserve">IT0088</t>
  </si>
  <si>
    <t xml:space="preserve">IT0089</t>
  </si>
  <si>
    <t xml:space="preserve">IT0090</t>
  </si>
  <si>
    <t xml:space="preserve">2023-10-22</t>
  </si>
  <si>
    <t xml:space="preserve">IT0091</t>
  </si>
  <si>
    <t xml:space="preserve">IT0092</t>
  </si>
  <si>
    <t xml:space="preserve">2023-06-21</t>
  </si>
  <si>
    <t xml:space="preserve">IT0093</t>
  </si>
  <si>
    <t xml:space="preserve">2024-11-24</t>
  </si>
  <si>
    <t xml:space="preserve">IT0094</t>
  </si>
  <si>
    <t xml:space="preserve">2024-09-21</t>
  </si>
  <si>
    <t xml:space="preserve">IT0095</t>
  </si>
  <si>
    <t xml:space="preserve">IT0096</t>
  </si>
  <si>
    <t xml:space="preserve">IT0097</t>
  </si>
  <si>
    <t xml:space="preserve">2024-08-14</t>
  </si>
  <si>
    <t xml:space="preserve">IT0098</t>
  </si>
  <si>
    <t xml:space="preserve">2024-08-03</t>
  </si>
  <si>
    <t xml:space="preserve">IT0099</t>
  </si>
  <si>
    <t xml:space="preserve">IT0100</t>
  </si>
  <si>
    <t xml:space="preserve">IT0101</t>
  </si>
  <si>
    <t xml:space="preserve">2023-11-01</t>
  </si>
  <si>
    <t xml:space="preserve">IT0102</t>
  </si>
  <si>
    <t xml:space="preserve">IT0103</t>
  </si>
  <si>
    <t xml:space="preserve">IT0104</t>
  </si>
  <si>
    <t xml:space="preserve">2024-05-18</t>
  </si>
  <si>
    <t xml:space="preserve">2024-05-20</t>
  </si>
  <si>
    <t xml:space="preserve">IT0105</t>
  </si>
  <si>
    <t xml:space="preserve">IT0106</t>
  </si>
  <si>
    <t xml:space="preserve">2024-04-26</t>
  </si>
  <si>
    <t xml:space="preserve">IT0107</t>
  </si>
  <si>
    <t xml:space="preserve">IT0108</t>
  </si>
  <si>
    <t xml:space="preserve">2026-02-03</t>
  </si>
  <si>
    <t xml:space="preserve">IT0109</t>
  </si>
  <si>
    <t xml:space="preserve">IT0110</t>
  </si>
  <si>
    <t xml:space="preserve">IT0111</t>
  </si>
  <si>
    <t xml:space="preserve">IT0112</t>
  </si>
  <si>
    <t xml:space="preserve">2025-12-16</t>
  </si>
  <si>
    <t xml:space="preserve">IT0113</t>
  </si>
  <si>
    <t xml:space="preserve">IT0114</t>
  </si>
  <si>
    <t xml:space="preserve">2025-03-22</t>
  </si>
  <si>
    <t xml:space="preserve">IT0115</t>
  </si>
  <si>
    <t xml:space="preserve">2024-04-10</t>
  </si>
  <si>
    <t xml:space="preserve">IT0116</t>
  </si>
  <si>
    <t xml:space="preserve">2025-03-31</t>
  </si>
  <si>
    <t xml:space="preserve">2025-04-01</t>
  </si>
  <si>
    <t xml:space="preserve">IT0117</t>
  </si>
  <si>
    <t xml:space="preserve">2025-04-09</t>
  </si>
  <si>
    <t xml:space="preserve">IT0118</t>
  </si>
  <si>
    <t xml:space="preserve">IT0119</t>
  </si>
  <si>
    <t xml:space="preserve">IT0120</t>
  </si>
  <si>
    <t xml:space="preserve">IT0121</t>
  </si>
  <si>
    <t xml:space="preserve">IT0122</t>
  </si>
  <si>
    <t xml:space="preserve">2025-03-11</t>
  </si>
  <si>
    <t xml:space="preserve">IT0123</t>
  </si>
  <si>
    <t xml:space="preserve">2023-11-04</t>
  </si>
  <si>
    <t xml:space="preserve">IT0124</t>
  </si>
  <si>
    <t xml:space="preserve">IT0125</t>
  </si>
  <si>
    <t xml:space="preserve">IT0126</t>
  </si>
  <si>
    <t xml:space="preserve">IT0127</t>
  </si>
  <si>
    <t xml:space="preserve">2025-03-07</t>
  </si>
  <si>
    <t xml:space="preserve">IT0128</t>
  </si>
  <si>
    <t xml:space="preserve">2024-09-29</t>
  </si>
  <si>
    <t xml:space="preserve">IT0129</t>
  </si>
  <si>
    <t xml:space="preserve">IT0130</t>
  </si>
  <si>
    <t xml:space="preserve">IT0131</t>
  </si>
  <si>
    <t xml:space="preserve">2025-01-14</t>
  </si>
  <si>
    <t xml:space="preserve">IT0132</t>
  </si>
  <si>
    <t xml:space="preserve">IT0133</t>
  </si>
  <si>
    <t xml:space="preserve">IT0134</t>
  </si>
  <si>
    <t xml:space="preserve">IT0135</t>
  </si>
  <si>
    <t xml:space="preserve">2025-08-17</t>
  </si>
  <si>
    <t xml:space="preserve">IT0136</t>
  </si>
  <si>
    <t xml:space="preserve">IT0137</t>
  </si>
  <si>
    <t xml:space="preserve">2025-09-22</t>
  </si>
  <si>
    <t xml:space="preserve">IT0138</t>
  </si>
  <si>
    <t xml:space="preserve">IT0139</t>
  </si>
  <si>
    <t xml:space="preserve">2025-01-10</t>
  </si>
  <si>
    <t xml:space="preserve">IT0140</t>
  </si>
  <si>
    <t xml:space="preserve">IT0141</t>
  </si>
  <si>
    <t xml:space="preserve">2025-12-10</t>
  </si>
  <si>
    <t xml:space="preserve">2025-12-14</t>
  </si>
  <si>
    <t xml:space="preserve">IT0142</t>
  </si>
  <si>
    <t xml:space="preserve">2024-08-31</t>
  </si>
  <si>
    <t xml:space="preserve">2024-09-01</t>
  </si>
  <si>
    <t xml:space="preserve">IT0143</t>
  </si>
  <si>
    <t xml:space="preserve">2025-06-13</t>
  </si>
  <si>
    <t xml:space="preserve">IT0144</t>
  </si>
  <si>
    <t xml:space="preserve">2026-03-30</t>
  </si>
  <si>
    <t xml:space="preserve">IT0145</t>
  </si>
  <si>
    <t xml:space="preserve">IT0146</t>
  </si>
  <si>
    <t xml:space="preserve">IT0147</t>
  </si>
  <si>
    <t xml:space="preserve">2026-01-23</t>
  </si>
  <si>
    <t xml:space="preserve">IT0148</t>
  </si>
  <si>
    <t xml:space="preserve">IT0149</t>
  </si>
  <si>
    <t xml:space="preserve">IT0150</t>
  </si>
  <si>
    <t xml:space="preserve">IT0151</t>
  </si>
  <si>
    <t xml:space="preserve">2026-02-06</t>
  </si>
  <si>
    <t xml:space="preserve">IT0152</t>
  </si>
  <si>
    <t xml:space="preserve">IT0153</t>
  </si>
  <si>
    <t xml:space="preserve">IT0154</t>
  </si>
  <si>
    <t xml:space="preserve">2024-08-16</t>
  </si>
  <si>
    <t xml:space="preserve">IT0155</t>
  </si>
  <si>
    <t xml:space="preserve">2025-08-19</t>
  </si>
  <si>
    <t xml:space="preserve">IT0156</t>
  </si>
  <si>
    <t xml:space="preserve">IT0157</t>
  </si>
  <si>
    <t xml:space="preserve">IT0158</t>
  </si>
  <si>
    <t xml:space="preserve">2025-12-01</t>
  </si>
  <si>
    <t xml:space="preserve">IT0159</t>
  </si>
  <si>
    <t xml:space="preserve">2025-03-12</t>
  </si>
  <si>
    <t xml:space="preserve">IT0160</t>
  </si>
  <si>
    <t xml:space="preserve">TransactionID</t>
  </si>
  <si>
    <t xml:space="preserve">TransactionDate</t>
  </si>
  <si>
    <t xml:space="preserve">TransactionType</t>
  </si>
  <si>
    <t xml:space="preserve">RelatedPO_ID</t>
  </si>
  <si>
    <t xml:space="preserve">RelatedContractID</t>
  </si>
  <si>
    <t xml:space="preserve">Amount_NGN</t>
  </si>
  <si>
    <t xml:space="preserve">ApprovedByEmployeeID</t>
  </si>
  <si>
    <t xml:space="preserve">FN0001</t>
  </si>
  <si>
    <t xml:space="preserve">2025-04-05</t>
  </si>
  <si>
    <t xml:space="preserve">Capital Expenditure</t>
  </si>
  <si>
    <t xml:space="preserve">Posted</t>
  </si>
  <si>
    <t xml:space="preserve">FN0002</t>
  </si>
  <si>
    <t xml:space="preserve">2025-10-29</t>
  </si>
  <si>
    <t xml:space="preserve">Revenue</t>
  </si>
  <si>
    <t xml:space="preserve">Pending</t>
  </si>
  <si>
    <t xml:space="preserve">FN0003</t>
  </si>
  <si>
    <t xml:space="preserve">Operating Expense</t>
  </si>
  <si>
    <t xml:space="preserve">FN0004</t>
  </si>
  <si>
    <t xml:space="preserve">Vendor Payment</t>
  </si>
  <si>
    <t xml:space="preserve">FN0005</t>
  </si>
  <si>
    <t xml:space="preserve">Payroll</t>
  </si>
  <si>
    <t xml:space="preserve">FN0006</t>
  </si>
  <si>
    <t xml:space="preserve">FN0007</t>
  </si>
  <si>
    <t xml:space="preserve">FN0008</t>
  </si>
  <si>
    <t xml:space="preserve">2023-08-16</t>
  </si>
  <si>
    <t xml:space="preserve">FN0009</t>
  </si>
  <si>
    <t xml:space="preserve">FN0010</t>
  </si>
  <si>
    <t xml:space="preserve">FN0011</t>
  </si>
  <si>
    <t xml:space="preserve">FN0012</t>
  </si>
  <si>
    <t xml:space="preserve">FN0013</t>
  </si>
  <si>
    <t xml:space="preserve">FN0014</t>
  </si>
  <si>
    <t xml:space="preserve">Tax Remittance</t>
  </si>
  <si>
    <t xml:space="preserve">FN0015</t>
  </si>
  <si>
    <t xml:space="preserve">FN0016</t>
  </si>
  <si>
    <t xml:space="preserve">FN0017</t>
  </si>
  <si>
    <t xml:space="preserve">FN0018</t>
  </si>
  <si>
    <t xml:space="preserve">FN0019</t>
  </si>
  <si>
    <t xml:space="preserve">FN0020</t>
  </si>
  <si>
    <t xml:space="preserve">FN0021</t>
  </si>
  <si>
    <t xml:space="preserve">2026-05-28</t>
  </si>
  <si>
    <t xml:space="preserve">FN0022</t>
  </si>
  <si>
    <t xml:space="preserve">FN0023</t>
  </si>
  <si>
    <t xml:space="preserve">FN0024</t>
  </si>
  <si>
    <t xml:space="preserve">FN0025</t>
  </si>
  <si>
    <t xml:space="preserve">2025-01-31</t>
  </si>
  <si>
    <t xml:space="preserve">FN0026</t>
  </si>
  <si>
    <t xml:space="preserve">2024-11-04</t>
  </si>
  <si>
    <t xml:space="preserve">FN0027</t>
  </si>
  <si>
    <t xml:space="preserve">2026-05-17</t>
  </si>
  <si>
    <t xml:space="preserve">FN0028</t>
  </si>
  <si>
    <t xml:space="preserve">2023-06-03</t>
  </si>
  <si>
    <t xml:space="preserve">FN0029</t>
  </si>
  <si>
    <t xml:space="preserve">FN0030</t>
  </si>
  <si>
    <t xml:space="preserve">FN0031</t>
  </si>
  <si>
    <t xml:space="preserve">FN0032</t>
  </si>
  <si>
    <t xml:space="preserve">FN0033</t>
  </si>
  <si>
    <t xml:space="preserve">FN0034</t>
  </si>
  <si>
    <t xml:space="preserve">FN0035</t>
  </si>
  <si>
    <t xml:space="preserve">2024-12-09</t>
  </si>
  <si>
    <t xml:space="preserve">FN0036</t>
  </si>
  <si>
    <t xml:space="preserve">FN0037</t>
  </si>
  <si>
    <t xml:space="preserve">2023-09-06</t>
  </si>
  <si>
    <t xml:space="preserve">FN0038</t>
  </si>
  <si>
    <t xml:space="preserve">FN0039</t>
  </si>
  <si>
    <t xml:space="preserve">2025-01-25</t>
  </si>
  <si>
    <t xml:space="preserve">FN0040</t>
  </si>
  <si>
    <t xml:space="preserve">FN0041</t>
  </si>
  <si>
    <t xml:space="preserve">FN0042</t>
  </si>
  <si>
    <t xml:space="preserve">FN0043</t>
  </si>
  <si>
    <t xml:space="preserve">FN0044</t>
  </si>
  <si>
    <t xml:space="preserve">FN0045</t>
  </si>
  <si>
    <t xml:space="preserve">FN0046</t>
  </si>
  <si>
    <t xml:space="preserve">FN0047</t>
  </si>
  <si>
    <t xml:space="preserve">FN0048</t>
  </si>
  <si>
    <t xml:space="preserve">FN0049</t>
  </si>
  <si>
    <t xml:space="preserve">2025-02-28</t>
  </si>
  <si>
    <t xml:space="preserve">FN0050</t>
  </si>
  <si>
    <t xml:space="preserve">FN0051</t>
  </si>
  <si>
    <t xml:space="preserve">FN0052</t>
  </si>
  <si>
    <t xml:space="preserve">FN0053</t>
  </si>
  <si>
    <t xml:space="preserve">2026-02-01</t>
  </si>
  <si>
    <t xml:space="preserve">FN0054</t>
  </si>
  <si>
    <t xml:space="preserve">FN0055</t>
  </si>
  <si>
    <t xml:space="preserve">FN0056</t>
  </si>
  <si>
    <t xml:space="preserve">FN0057</t>
  </si>
  <si>
    <t xml:space="preserve">2024-05-24</t>
  </si>
  <si>
    <t xml:space="preserve">FN0058</t>
  </si>
  <si>
    <t xml:space="preserve">2025-12-25</t>
  </si>
  <si>
    <t xml:space="preserve">FN0059</t>
  </si>
  <si>
    <t xml:space="preserve">FN0060</t>
  </si>
  <si>
    <t xml:space="preserve">2024-02-21</t>
  </si>
  <si>
    <t xml:space="preserve">FN0061</t>
  </si>
  <si>
    <t xml:space="preserve">2024-01-15</t>
  </si>
  <si>
    <t xml:space="preserve">FN0062</t>
  </si>
  <si>
    <t xml:space="preserve">FN0063</t>
  </si>
  <si>
    <t xml:space="preserve">2023-10-18</t>
  </si>
  <si>
    <t xml:space="preserve">FN0064</t>
  </si>
  <si>
    <t xml:space="preserve">FN0065</t>
  </si>
  <si>
    <t xml:space="preserve">FN0066</t>
  </si>
  <si>
    <t xml:space="preserve">FN0067</t>
  </si>
  <si>
    <t xml:space="preserve">FN0068</t>
  </si>
  <si>
    <t xml:space="preserve">FN0069</t>
  </si>
  <si>
    <t xml:space="preserve">2024-12-23</t>
  </si>
  <si>
    <t xml:space="preserve">FN0070</t>
  </si>
  <si>
    <t xml:space="preserve">2026-05-05</t>
  </si>
  <si>
    <t xml:space="preserve">FN0071</t>
  </si>
  <si>
    <t xml:space="preserve">2023-02-12</t>
  </si>
  <si>
    <t xml:space="preserve">FN0072</t>
  </si>
  <si>
    <t xml:space="preserve">2023-03-05</t>
  </si>
  <si>
    <t xml:space="preserve">FN0073</t>
  </si>
  <si>
    <t xml:space="preserve">2024-02-01</t>
  </si>
  <si>
    <t xml:space="preserve">FN0074</t>
  </si>
  <si>
    <t xml:space="preserve">FN0075</t>
  </si>
  <si>
    <t xml:space="preserve">FN0076</t>
  </si>
  <si>
    <t xml:space="preserve">2023-03-26</t>
  </si>
  <si>
    <t xml:space="preserve">FN0077</t>
  </si>
  <si>
    <t xml:space="preserve">FN0078</t>
  </si>
  <si>
    <t xml:space="preserve">FN0079</t>
  </si>
  <si>
    <t xml:space="preserve">FN0080</t>
  </si>
  <si>
    <t xml:space="preserve">FN0081</t>
  </si>
  <si>
    <t xml:space="preserve">2026-04-29</t>
  </si>
  <si>
    <t xml:space="preserve">FN0082</t>
  </si>
  <si>
    <t xml:space="preserve">FN0083</t>
  </si>
  <si>
    <t xml:space="preserve">FN0084</t>
  </si>
  <si>
    <t xml:space="preserve">FN0085</t>
  </si>
  <si>
    <t xml:space="preserve">FN0086</t>
  </si>
  <si>
    <t xml:space="preserve">FN0087</t>
  </si>
  <si>
    <t xml:space="preserve">2024-02-13</t>
  </si>
  <si>
    <t xml:space="preserve">FN0088</t>
  </si>
  <si>
    <t xml:space="preserve">2026-03-06</t>
  </si>
  <si>
    <t xml:space="preserve">FN0089</t>
  </si>
  <si>
    <t xml:space="preserve">FN0090</t>
  </si>
  <si>
    <t xml:space="preserve">2025-05-11</t>
  </si>
  <si>
    <t xml:space="preserve">FN0091</t>
  </si>
  <si>
    <t xml:space="preserve">2025-05-12</t>
  </si>
  <si>
    <t xml:space="preserve">FN0092</t>
  </si>
  <si>
    <t xml:space="preserve">FN0093</t>
  </si>
  <si>
    <t xml:space="preserve">FN0094</t>
  </si>
  <si>
    <t xml:space="preserve">FN0095</t>
  </si>
  <si>
    <t xml:space="preserve">2024-08-18</t>
  </si>
  <si>
    <t xml:space="preserve">FN0096</t>
  </si>
  <si>
    <t xml:space="preserve">FN0097</t>
  </si>
  <si>
    <t xml:space="preserve">FN0098</t>
  </si>
  <si>
    <t xml:space="preserve">FN0099</t>
  </si>
  <si>
    <t xml:space="preserve">2023-01-01</t>
  </si>
  <si>
    <t xml:space="preserve">FN0100</t>
  </si>
  <si>
    <t xml:space="preserve">FN0101</t>
  </si>
  <si>
    <t xml:space="preserve">FN0102</t>
  </si>
  <si>
    <t xml:space="preserve">FN0103</t>
  </si>
  <si>
    <t xml:space="preserve">2025-06-04</t>
  </si>
  <si>
    <t xml:space="preserve">FN0104</t>
  </si>
  <si>
    <t xml:space="preserve">FN0105</t>
  </si>
  <si>
    <t xml:space="preserve">2024-08-15</t>
  </si>
  <si>
    <t xml:space="preserve">FN0106</t>
  </si>
  <si>
    <t xml:space="preserve">FN0107</t>
  </si>
  <si>
    <t xml:space="preserve">FN0108</t>
  </si>
  <si>
    <t xml:space="preserve">FN0109</t>
  </si>
  <si>
    <t xml:space="preserve">2024-12-27</t>
  </si>
  <si>
    <t xml:space="preserve">Reversed</t>
  </si>
  <si>
    <t xml:space="preserve">FN0110</t>
  </si>
  <si>
    <t xml:space="preserve">2025-01-02</t>
  </si>
  <si>
    <t xml:space="preserve">FN0111</t>
  </si>
  <si>
    <t xml:space="preserve">2025-12-11</t>
  </si>
  <si>
    <t xml:space="preserve">FN0112</t>
  </si>
  <si>
    <t xml:space="preserve">FN0113</t>
  </si>
  <si>
    <t xml:space="preserve">FN0114</t>
  </si>
  <si>
    <t xml:space="preserve">FN0115</t>
  </si>
  <si>
    <t xml:space="preserve">FN0116</t>
  </si>
  <si>
    <t xml:space="preserve">FN0117</t>
  </si>
  <si>
    <t xml:space="preserve">FN0118</t>
  </si>
  <si>
    <t xml:space="preserve">FN0119</t>
  </si>
  <si>
    <t xml:space="preserve">FN0120</t>
  </si>
  <si>
    <t xml:space="preserve">FN0121</t>
  </si>
  <si>
    <t xml:space="preserve">FN0122</t>
  </si>
  <si>
    <t xml:space="preserve">FN0123</t>
  </si>
  <si>
    <t xml:space="preserve">FN0124</t>
  </si>
  <si>
    <t xml:space="preserve">2023-05-28</t>
  </si>
  <si>
    <t xml:space="preserve">FN0125</t>
  </si>
  <si>
    <t xml:space="preserve">FN0126</t>
  </si>
  <si>
    <t xml:space="preserve">2026-02-18</t>
  </si>
  <si>
    <t xml:space="preserve">FN0127</t>
  </si>
  <si>
    <t xml:space="preserve">2023-05-26</t>
  </si>
  <si>
    <t xml:space="preserve">FN0128</t>
  </si>
  <si>
    <t xml:space="preserve">2023-08-30</t>
  </si>
  <si>
    <t xml:space="preserve">FN0129</t>
  </si>
  <si>
    <t xml:space="preserve">FN0130</t>
  </si>
  <si>
    <t xml:space="preserve">FN0131</t>
  </si>
  <si>
    <t xml:space="preserve">2024-05-09</t>
  </si>
  <si>
    <t xml:space="preserve">FN0132</t>
  </si>
  <si>
    <t xml:space="preserve">FN0133</t>
  </si>
  <si>
    <t xml:space="preserve">FN0134</t>
  </si>
  <si>
    <t xml:space="preserve">FN0135</t>
  </si>
  <si>
    <t xml:space="preserve">FN0136</t>
  </si>
  <si>
    <t xml:space="preserve">2026-05-10</t>
  </si>
  <si>
    <t xml:space="preserve">FN0137</t>
  </si>
  <si>
    <t xml:space="preserve">FN0138</t>
  </si>
  <si>
    <t xml:space="preserve">FN0139</t>
  </si>
  <si>
    <t xml:space="preserve">2025-02-15</t>
  </si>
  <si>
    <t xml:space="preserve">FN0140</t>
  </si>
  <si>
    <t xml:space="preserve">2025-05-30</t>
  </si>
  <si>
    <t xml:space="preserve">FN0141</t>
  </si>
  <si>
    <t xml:space="preserve">FN0142</t>
  </si>
  <si>
    <t xml:space="preserve">2026-01-03</t>
  </si>
  <si>
    <t xml:space="preserve">FN0143</t>
  </si>
  <si>
    <t xml:space="preserve">2024-05-26</t>
  </si>
  <si>
    <t xml:space="preserve">FN0144</t>
  </si>
  <si>
    <t xml:space="preserve">FN0145</t>
  </si>
  <si>
    <t xml:space="preserve">FN0146</t>
  </si>
  <si>
    <t xml:space="preserve">FN0147</t>
  </si>
  <si>
    <t xml:space="preserve">FN0148</t>
  </si>
  <si>
    <t xml:space="preserve">FN0149</t>
  </si>
  <si>
    <t xml:space="preserve">FN0150</t>
  </si>
  <si>
    <t xml:space="preserve">FN0151</t>
  </si>
  <si>
    <t xml:space="preserve">FN0152</t>
  </si>
  <si>
    <t xml:space="preserve">FN0153</t>
  </si>
  <si>
    <t xml:space="preserve">FN0154</t>
  </si>
  <si>
    <t xml:space="preserve">FN0155</t>
  </si>
  <si>
    <t xml:space="preserve">FN0156</t>
  </si>
  <si>
    <t xml:space="preserve">2023-02-26</t>
  </si>
  <si>
    <t xml:space="preserve">FN0157</t>
  </si>
  <si>
    <t xml:space="preserve">FN0158</t>
  </si>
  <si>
    <t xml:space="preserve">FN0159</t>
  </si>
  <si>
    <t xml:space="preserve">2023-02-01</t>
  </si>
  <si>
    <t xml:space="preserve">FN0160</t>
  </si>
  <si>
    <t xml:space="preserve">FN0161</t>
  </si>
  <si>
    <t xml:space="preserve">2024-05-28</t>
  </si>
  <si>
    <t xml:space="preserve">FN0162</t>
  </si>
  <si>
    <t xml:space="preserve">FN0163</t>
  </si>
  <si>
    <t xml:space="preserve">FN0164</t>
  </si>
  <si>
    <t xml:space="preserve">2023-06-12</t>
  </si>
  <si>
    <t xml:space="preserve">FN0165</t>
  </si>
  <si>
    <t xml:space="preserve">FN0166</t>
  </si>
  <si>
    <t xml:space="preserve">FN0167</t>
  </si>
  <si>
    <t xml:space="preserve">FN0168</t>
  </si>
  <si>
    <t xml:space="preserve">FN0169</t>
  </si>
  <si>
    <t xml:space="preserve">FN0170</t>
  </si>
  <si>
    <t xml:space="preserve">FN0171</t>
  </si>
  <si>
    <t xml:space="preserve">FN0172</t>
  </si>
  <si>
    <t xml:space="preserve">FN0173</t>
  </si>
  <si>
    <t xml:space="preserve">FN0174</t>
  </si>
  <si>
    <t xml:space="preserve">FN0175</t>
  </si>
  <si>
    <t xml:space="preserve">FN0176</t>
  </si>
  <si>
    <t xml:space="preserve">FN0177</t>
  </si>
  <si>
    <t xml:space="preserve">FN0178</t>
  </si>
  <si>
    <t xml:space="preserve">FN0179</t>
  </si>
  <si>
    <t xml:space="preserve">2026-03-24</t>
  </si>
  <si>
    <t xml:space="preserve">FN0180</t>
  </si>
  <si>
    <t xml:space="preserve">2024-10-06</t>
  </si>
  <si>
    <t xml:space="preserve">FN0181</t>
  </si>
  <si>
    <t xml:space="preserve">FN0182</t>
  </si>
  <si>
    <t xml:space="preserve">FN0183</t>
  </si>
  <si>
    <t xml:space="preserve">FN0184</t>
  </si>
  <si>
    <t xml:space="preserve">FN0185</t>
  </si>
  <si>
    <t xml:space="preserve">FN0186</t>
  </si>
  <si>
    <t xml:space="preserve">FN0187</t>
  </si>
  <si>
    <t xml:space="preserve">FN0188</t>
  </si>
  <si>
    <t xml:space="preserve">FN0189</t>
  </si>
  <si>
    <t xml:space="preserve">2025-04-03</t>
  </si>
  <si>
    <t xml:space="preserve">FN0190</t>
  </si>
  <si>
    <t xml:space="preserve">FN0191</t>
  </si>
  <si>
    <t xml:space="preserve">2025-06-11</t>
  </si>
  <si>
    <t xml:space="preserve">FN0192</t>
  </si>
  <si>
    <t xml:space="preserve">FN0193</t>
  </si>
  <si>
    <t xml:space="preserve">FN0194</t>
  </si>
  <si>
    <t xml:space="preserve">FN0195</t>
  </si>
  <si>
    <t xml:space="preserve">FN0196</t>
  </si>
  <si>
    <t xml:space="preserve">FN0197</t>
  </si>
  <si>
    <t xml:space="preserve">FN0198</t>
  </si>
  <si>
    <t xml:space="preserve">2025-06-17</t>
  </si>
  <si>
    <t xml:space="preserve">FN0199</t>
  </si>
  <si>
    <t xml:space="preserve">FN0200</t>
  </si>
  <si>
    <t xml:space="preserve">FN0201</t>
  </si>
  <si>
    <t xml:space="preserve">FN0202</t>
  </si>
  <si>
    <t xml:space="preserve">FN0203</t>
  </si>
  <si>
    <t xml:space="preserve">FN0204</t>
  </si>
  <si>
    <t xml:space="preserve">FN0205</t>
  </si>
  <si>
    <t xml:space="preserve">FN0206</t>
  </si>
  <si>
    <t xml:space="preserve">FN0207</t>
  </si>
  <si>
    <t xml:space="preserve">FN0208</t>
  </si>
  <si>
    <t xml:space="preserve">2024-06-27</t>
  </si>
  <si>
    <t xml:space="preserve">FN0209</t>
  </si>
  <si>
    <t xml:space="preserve">2024-08-01</t>
  </si>
  <si>
    <t xml:space="preserve">FN0210</t>
  </si>
  <si>
    <t xml:space="preserve">FN0211</t>
  </si>
  <si>
    <t xml:space="preserve">FN0212</t>
  </si>
  <si>
    <t xml:space="preserve">FN0213</t>
  </si>
  <si>
    <t xml:space="preserve">2024-08-21</t>
  </si>
  <si>
    <t xml:space="preserve">FN0214</t>
  </si>
  <si>
    <t xml:space="preserve">2023-08-19</t>
  </si>
  <si>
    <t xml:space="preserve">FN0215</t>
  </si>
  <si>
    <t xml:space="preserve">FN0216</t>
  </si>
  <si>
    <t xml:space="preserve">FN0217</t>
  </si>
  <si>
    <t xml:space="preserve">2023-03-01</t>
  </si>
  <si>
    <t xml:space="preserve">FN0218</t>
  </si>
  <si>
    <t xml:space="preserve">FN0219</t>
  </si>
  <si>
    <t xml:space="preserve">2024-07-03</t>
  </si>
  <si>
    <t xml:space="preserve">FN0220</t>
  </si>
  <si>
    <t xml:space="preserve">FN0221</t>
  </si>
  <si>
    <t xml:space="preserve">FN0222</t>
  </si>
  <si>
    <t xml:space="preserve">FN0223</t>
  </si>
  <si>
    <t xml:space="preserve">FN0224</t>
  </si>
  <si>
    <t xml:space="preserve">FN0225</t>
  </si>
  <si>
    <t xml:space="preserve">FN0226</t>
  </si>
  <si>
    <t xml:space="preserve">2023-03-15</t>
  </si>
  <si>
    <t xml:space="preserve">FN0227</t>
  </si>
  <si>
    <t xml:space="preserve">FN0228</t>
  </si>
  <si>
    <t xml:space="preserve">FN0229</t>
  </si>
  <si>
    <t xml:space="preserve">FN0230</t>
  </si>
  <si>
    <t xml:space="preserve">FN0231</t>
  </si>
  <si>
    <t xml:space="preserve">FN0232</t>
  </si>
  <si>
    <t xml:space="preserve">FN0233</t>
  </si>
  <si>
    <t xml:space="preserve">FN0234</t>
  </si>
  <si>
    <t xml:space="preserve">FN0235</t>
  </si>
  <si>
    <t xml:space="preserve">FN0236</t>
  </si>
  <si>
    <t xml:space="preserve">FN0237</t>
  </si>
  <si>
    <t xml:space="preserve">2023-08-12</t>
  </si>
  <si>
    <t xml:space="preserve">FN0238</t>
  </si>
  <si>
    <t xml:space="preserve">FN0239</t>
  </si>
  <si>
    <t xml:space="preserve">FN0240</t>
  </si>
  <si>
    <t xml:space="preserve">FN0241</t>
  </si>
  <si>
    <t xml:space="preserve">FN0242</t>
  </si>
  <si>
    <t xml:space="preserve">FN0243</t>
  </si>
  <si>
    <t xml:space="preserve">FN0244</t>
  </si>
  <si>
    <t xml:space="preserve">FN0245</t>
  </si>
  <si>
    <t xml:space="preserve">FN0246</t>
  </si>
  <si>
    <t xml:space="preserve">2023-08-21</t>
  </si>
  <si>
    <t xml:space="preserve">FN0247</t>
  </si>
  <si>
    <t xml:space="preserve">FN0248</t>
  </si>
  <si>
    <t xml:space="preserve">FN0249</t>
  </si>
  <si>
    <t xml:space="preserve">FN0250</t>
  </si>
  <si>
    <t xml:space="preserve">AuditID</t>
  </si>
  <si>
    <t xml:space="preserve">AuditDate</t>
  </si>
  <si>
    <t xml:space="preserve">AuditType</t>
  </si>
  <si>
    <t xml:space="preserve">FindingDescription</t>
  </si>
  <si>
    <t xml:space="preserve">Severity</t>
  </si>
  <si>
    <t xml:space="preserve">ResponsibleEmployeeID</t>
  </si>
  <si>
    <t xml:space="preserve">AU0001</t>
  </si>
  <si>
    <t xml:space="preserve">HSE Audit</t>
  </si>
  <si>
    <t xml:space="preserve">Missing approval evidence</t>
  </si>
  <si>
    <t xml:space="preserve">AU0002</t>
  </si>
  <si>
    <t xml:space="preserve">Documentation gap</t>
  </si>
  <si>
    <t xml:space="preserve">AU0003</t>
  </si>
  <si>
    <t xml:space="preserve">IT Audit</t>
  </si>
  <si>
    <t xml:space="preserve">Segregation of duties gap</t>
  </si>
  <si>
    <t xml:space="preserve">AU0004</t>
  </si>
  <si>
    <t xml:space="preserve">2023-07-12</t>
  </si>
  <si>
    <t xml:space="preserve">Policy non-compliance</t>
  </si>
  <si>
    <t xml:space="preserve">AU0005</t>
  </si>
  <si>
    <t xml:space="preserve">Financial Audit</t>
  </si>
  <si>
    <t xml:space="preserve">AU0006</t>
  </si>
  <si>
    <t xml:space="preserve">Compliance Audit</t>
  </si>
  <si>
    <t xml:space="preserve">AU0007</t>
  </si>
  <si>
    <t xml:space="preserve">No exception noted</t>
  </si>
  <si>
    <t xml:space="preserve">In Progress</t>
  </si>
  <si>
    <t xml:space="preserve">AU0008</t>
  </si>
  <si>
    <t xml:space="preserve">Operational Audit</t>
  </si>
  <si>
    <t xml:space="preserve">AU0009</t>
  </si>
  <si>
    <t xml:space="preserve">AU0010</t>
  </si>
  <si>
    <t xml:space="preserve">Access control weakness</t>
  </si>
  <si>
    <t xml:space="preserve">AU0011</t>
  </si>
  <si>
    <t xml:space="preserve">AU0012</t>
  </si>
  <si>
    <t xml:space="preserve">Late reconciliation</t>
  </si>
  <si>
    <t xml:space="preserve">AU0013</t>
  </si>
  <si>
    <t xml:space="preserve">AU0014</t>
  </si>
  <si>
    <t xml:space="preserve">2025-10-21</t>
  </si>
  <si>
    <t xml:space="preserve">AU0015</t>
  </si>
  <si>
    <t xml:space="preserve">AU0016</t>
  </si>
  <si>
    <t xml:space="preserve">2024-07-22</t>
  </si>
  <si>
    <t xml:space="preserve">AU0017</t>
  </si>
  <si>
    <t xml:space="preserve">2026-02-16</t>
  </si>
  <si>
    <t xml:space="preserve">AU0018</t>
  </si>
  <si>
    <t xml:space="preserve">AU0019</t>
  </si>
  <si>
    <t xml:space="preserve">AU0020</t>
  </si>
  <si>
    <t xml:space="preserve">2024-02-04</t>
  </si>
  <si>
    <t xml:space="preserve">AU0021</t>
  </si>
  <si>
    <t xml:space="preserve">AU0022</t>
  </si>
  <si>
    <t xml:space="preserve">AU0023</t>
  </si>
  <si>
    <t xml:space="preserve">2026-05-29</t>
  </si>
  <si>
    <t xml:space="preserve">AU0024</t>
  </si>
  <si>
    <t xml:space="preserve">2023-03-20</t>
  </si>
  <si>
    <t xml:space="preserve">AU0025</t>
  </si>
  <si>
    <t xml:space="preserve">AU0026</t>
  </si>
  <si>
    <t xml:space="preserve">AU0027</t>
  </si>
  <si>
    <t xml:space="preserve">AU0028</t>
  </si>
  <si>
    <t xml:space="preserve">AU0029</t>
  </si>
  <si>
    <t xml:space="preserve">AU0030</t>
  </si>
  <si>
    <t xml:space="preserve">AU0031</t>
  </si>
  <si>
    <t xml:space="preserve">AU0032</t>
  </si>
  <si>
    <t xml:space="preserve">AU0033</t>
  </si>
  <si>
    <t xml:space="preserve">2024-03-21</t>
  </si>
  <si>
    <t xml:space="preserve">AU0034</t>
  </si>
  <si>
    <t xml:space="preserve">AU0035</t>
  </si>
  <si>
    <t xml:space="preserve">2023-10-15</t>
  </si>
  <si>
    <t xml:space="preserve">AU0036</t>
  </si>
  <si>
    <t xml:space="preserve">2023-12-29</t>
  </si>
  <si>
    <t xml:space="preserve">AU0037</t>
  </si>
  <si>
    <t xml:space="preserve">AU0038</t>
  </si>
  <si>
    <t xml:space="preserve">AU0039</t>
  </si>
  <si>
    <t xml:space="preserve">AU0040</t>
  </si>
  <si>
    <t xml:space="preserve">2023-07-05</t>
  </si>
  <si>
    <t xml:space="preserve">AU0041</t>
  </si>
  <si>
    <t xml:space="preserve">2023-08-25</t>
  </si>
  <si>
    <t xml:space="preserve">AU0042</t>
  </si>
  <si>
    <t xml:space="preserve">AU0043</t>
  </si>
  <si>
    <t xml:space="preserve">AU0044</t>
  </si>
  <si>
    <t xml:space="preserve">AU0045</t>
  </si>
  <si>
    <t xml:space="preserve">AU0046</t>
  </si>
  <si>
    <t xml:space="preserve">AU0047</t>
  </si>
  <si>
    <t xml:space="preserve">AU0048</t>
  </si>
  <si>
    <t xml:space="preserve">AU0049</t>
  </si>
  <si>
    <t xml:space="preserve">2023-02-28</t>
  </si>
  <si>
    <t xml:space="preserve">AU0050</t>
  </si>
  <si>
    <t xml:space="preserve">AU0051</t>
  </si>
  <si>
    <t xml:space="preserve">AU0052</t>
  </si>
  <si>
    <t xml:space="preserve">2023-10-30</t>
  </si>
  <si>
    <t xml:space="preserve">AU0053</t>
  </si>
  <si>
    <t xml:space="preserve">AU0054</t>
  </si>
  <si>
    <t xml:space="preserve">AU0055</t>
  </si>
  <si>
    <t xml:space="preserve">2025-08-25</t>
  </si>
  <si>
    <t xml:space="preserve">AU0056</t>
  </si>
  <si>
    <t xml:space="preserve">AU0057</t>
  </si>
  <si>
    <t xml:space="preserve">AU0058</t>
  </si>
  <si>
    <t xml:space="preserve">AU0059</t>
  </si>
  <si>
    <t xml:space="preserve">AU0060</t>
  </si>
  <si>
    <t xml:space="preserve">2025-10-20</t>
  </si>
  <si>
    <t xml:space="preserve">AU0061</t>
  </si>
  <si>
    <t xml:space="preserve">AU0062</t>
  </si>
  <si>
    <t xml:space="preserve">2024-06-18</t>
  </si>
  <si>
    <t xml:space="preserve">AU0063</t>
  </si>
  <si>
    <t xml:space="preserve">AU0064</t>
  </si>
  <si>
    <t xml:space="preserve">AU0065</t>
  </si>
  <si>
    <t xml:space="preserve">AU0066</t>
  </si>
  <si>
    <t xml:space="preserve">AU0067</t>
  </si>
  <si>
    <t xml:space="preserve">AU0068</t>
  </si>
  <si>
    <t xml:space="preserve">AU0069</t>
  </si>
  <si>
    <t xml:space="preserve">AU0070</t>
  </si>
  <si>
    <t xml:space="preserve">AU0071</t>
  </si>
  <si>
    <t xml:space="preserve">AU0072</t>
  </si>
  <si>
    <t xml:space="preserve">2026-01-16</t>
  </si>
  <si>
    <t xml:space="preserve">AU0073</t>
  </si>
  <si>
    <t xml:space="preserve">AU0074</t>
  </si>
  <si>
    <t xml:space="preserve">AU0075</t>
  </si>
  <si>
    <t xml:space="preserve">2025-06-01</t>
  </si>
  <si>
    <t xml:space="preserve">AU0076</t>
  </si>
  <si>
    <t xml:space="preserve">2026-03-11</t>
  </si>
  <si>
    <t xml:space="preserve">AU0077</t>
  </si>
  <si>
    <t xml:space="preserve">AU0078</t>
  </si>
  <si>
    <t xml:space="preserve">AU0079</t>
  </si>
  <si>
    <t xml:space="preserve">2025-06-06</t>
  </si>
  <si>
    <t xml:space="preserve">AU0080</t>
  </si>
  <si>
    <t xml:space="preserve">AU0081</t>
  </si>
  <si>
    <t xml:space="preserve">AU0082</t>
  </si>
  <si>
    <t xml:space="preserve">AU0083</t>
  </si>
  <si>
    <t xml:space="preserve">AU0084</t>
  </si>
  <si>
    <t xml:space="preserve">AU0085</t>
  </si>
  <si>
    <t xml:space="preserve">2024-04-05</t>
  </si>
  <si>
    <t xml:space="preserve">AU0086</t>
  </si>
  <si>
    <t xml:space="preserve">AU0087</t>
  </si>
  <si>
    <t xml:space="preserve">AU0088</t>
  </si>
  <si>
    <t xml:space="preserve">AU0089</t>
  </si>
  <si>
    <t xml:space="preserve">AU0090</t>
  </si>
  <si>
    <t xml:space="preserve">RiskID</t>
  </si>
  <si>
    <t xml:space="preserve">RiskCategory</t>
  </si>
  <si>
    <t xml:space="preserve">RiskDescription</t>
  </si>
  <si>
    <t xml:space="preserve">Likelihood_1to5</t>
  </si>
  <si>
    <t xml:space="preserve">Impact_1to5</t>
  </si>
  <si>
    <t xml:space="preserve">RiskScore</t>
  </si>
  <si>
    <t xml:space="preserve">MitigationStatus</t>
  </si>
  <si>
    <t xml:space="preserve">RelatedAuditID</t>
  </si>
  <si>
    <t xml:space="preserve">RiskOwnerEmployeeID</t>
  </si>
  <si>
    <t xml:space="preserve">RK0001</t>
  </si>
  <si>
    <t xml:space="preserve">Community/Social</t>
  </si>
  <si>
    <t xml:space="preserve">Delay in vendor delivery affecting operations</t>
  </si>
  <si>
    <t xml:space="preserve">Mitigated</t>
  </si>
  <si>
    <t xml:space="preserve">RK0002</t>
  </si>
  <si>
    <t xml:space="preserve">Pipeline vandalism disrupting production</t>
  </si>
  <si>
    <t xml:space="preserve">Monitoring</t>
  </si>
  <si>
    <t xml:space="preserve">RK0003</t>
  </si>
  <si>
    <t xml:space="preserve">Regulatory</t>
  </si>
  <si>
    <t xml:space="preserve">Equipment failure risk</t>
  </si>
  <si>
    <t xml:space="preserve">RK0004</t>
  </si>
  <si>
    <t xml:space="preserve">Non-compliance with NUPRC regulations</t>
  </si>
  <si>
    <t xml:space="preserve">RK0005</t>
  </si>
  <si>
    <t xml:space="preserve">Cyber Security</t>
  </si>
  <si>
    <t xml:space="preserve">Oil price volatility impact on revenue</t>
  </si>
  <si>
    <t xml:space="preserve">RK0006</t>
  </si>
  <si>
    <t xml:space="preserve">HSE</t>
  </si>
  <si>
    <t xml:space="preserve">Foreign exchange exposure on USD contracts</t>
  </si>
  <si>
    <t xml:space="preserve">RK0007</t>
  </si>
  <si>
    <t xml:space="preserve">RK0008</t>
  </si>
  <si>
    <t xml:space="preserve">Reputational</t>
  </si>
  <si>
    <t xml:space="preserve">Data breach on corporate systems</t>
  </si>
  <si>
    <t xml:space="preserve">RK0009</t>
  </si>
  <si>
    <t xml:space="preserve">Operational</t>
  </si>
  <si>
    <t xml:space="preserve">RK0010</t>
  </si>
  <si>
    <t xml:space="preserve">RK0011</t>
  </si>
  <si>
    <t xml:space="preserve">Financial</t>
  </si>
  <si>
    <t xml:space="preserve">RK0012</t>
  </si>
  <si>
    <t xml:space="preserve">RK0013</t>
  </si>
  <si>
    <t xml:space="preserve">RK0014</t>
  </si>
  <si>
    <t xml:space="preserve">Key personnel attrition</t>
  </si>
  <si>
    <t xml:space="preserve">RK0015</t>
  </si>
  <si>
    <t xml:space="preserve">RK0016</t>
  </si>
  <si>
    <t xml:space="preserve">RK0017</t>
  </si>
  <si>
    <t xml:space="preserve">RK0018</t>
  </si>
  <si>
    <t xml:space="preserve">RK0019</t>
  </si>
  <si>
    <t xml:space="preserve">Community unrest near operations</t>
  </si>
  <si>
    <t xml:space="preserve">RK0020</t>
  </si>
  <si>
    <t xml:space="preserve">RK0021</t>
  </si>
  <si>
    <t xml:space="preserve">RK0022</t>
  </si>
  <si>
    <t xml:space="preserve">RK0023</t>
  </si>
  <si>
    <t xml:space="preserve">RK0024</t>
  </si>
  <si>
    <t xml:space="preserve">RK0025</t>
  </si>
  <si>
    <t xml:space="preserve">Regulatory change in gas pricing</t>
  </si>
  <si>
    <t xml:space="preserve">RK0026</t>
  </si>
  <si>
    <t xml:space="preserve">RK0027</t>
  </si>
  <si>
    <t xml:space="preserve">RK0028</t>
  </si>
  <si>
    <t xml:space="preserve">RK0029</t>
  </si>
  <si>
    <t xml:space="preserve">RK0030</t>
  </si>
  <si>
    <t xml:space="preserve">RK0031</t>
  </si>
  <si>
    <t xml:space="preserve">RK0032</t>
  </si>
  <si>
    <t xml:space="preserve">RK0033</t>
  </si>
  <si>
    <t xml:space="preserve">RK0034</t>
  </si>
  <si>
    <t xml:space="preserve">RK0035</t>
  </si>
  <si>
    <t xml:space="preserve">RK0036</t>
  </si>
  <si>
    <t xml:space="preserve">RK0037</t>
  </si>
  <si>
    <t xml:space="preserve">RK0038</t>
  </si>
  <si>
    <t xml:space="preserve">RK0039</t>
  </si>
  <si>
    <t xml:space="preserve">RK0040</t>
  </si>
  <si>
    <t xml:space="preserve">RK0041</t>
  </si>
  <si>
    <t xml:space="preserve">RK0042</t>
  </si>
  <si>
    <t xml:space="preserve">RK0043</t>
  </si>
  <si>
    <t xml:space="preserve">RK0044</t>
  </si>
  <si>
    <t xml:space="preserve">RK0045</t>
  </si>
  <si>
    <t xml:space="preserve">RK0046</t>
  </si>
  <si>
    <t xml:space="preserve">RK0047</t>
  </si>
  <si>
    <t xml:space="preserve">RK0048</t>
  </si>
  <si>
    <t xml:space="preserve">RK0049</t>
  </si>
  <si>
    <t xml:space="preserve">RK0050</t>
  </si>
  <si>
    <t xml:space="preserve">RK0051</t>
  </si>
  <si>
    <t xml:space="preserve">RK0052</t>
  </si>
  <si>
    <t xml:space="preserve">RK0053</t>
  </si>
  <si>
    <t xml:space="preserve">RK0054</t>
  </si>
  <si>
    <t xml:space="preserve">RK0055</t>
  </si>
  <si>
    <t xml:space="preserve">RK0056</t>
  </si>
  <si>
    <t xml:space="preserve">RK0057</t>
  </si>
  <si>
    <t xml:space="preserve">RK0058</t>
  </si>
  <si>
    <t xml:space="preserve">RK0059</t>
  </si>
  <si>
    <t xml:space="preserve">RK0060</t>
  </si>
  <si>
    <t xml:space="preserve">RK0061</t>
  </si>
  <si>
    <t xml:space="preserve">RK0062</t>
  </si>
  <si>
    <t xml:space="preserve">RK0063</t>
  </si>
  <si>
    <t xml:space="preserve">RK0064</t>
  </si>
  <si>
    <t xml:space="preserve">RK0065</t>
  </si>
  <si>
    <t xml:space="preserve">RK0066</t>
  </si>
  <si>
    <t xml:space="preserve">RK0067</t>
  </si>
  <si>
    <t xml:space="preserve">RK0068</t>
  </si>
  <si>
    <t xml:space="preserve">RK0069</t>
  </si>
  <si>
    <t xml:space="preserve">RK0070</t>
  </si>
  <si>
    <t xml:space="preserve">RK0071</t>
  </si>
  <si>
    <t xml:space="preserve">RK0072</t>
  </si>
  <si>
    <t xml:space="preserve">RK0073</t>
  </si>
  <si>
    <t xml:space="preserve">RK0074</t>
  </si>
  <si>
    <t xml:space="preserve">RK0075</t>
  </si>
  <si>
    <t xml:space="preserve">RK0076</t>
  </si>
  <si>
    <t xml:space="preserve">RK0077</t>
  </si>
  <si>
    <t xml:space="preserve">RK0078</t>
  </si>
  <si>
    <t xml:space="preserve">RK0079</t>
  </si>
  <si>
    <t xml:space="preserve">RK0080</t>
  </si>
  <si>
    <t xml:space="preserve">RK0081</t>
  </si>
  <si>
    <t xml:space="preserve">RK0082</t>
  </si>
  <si>
    <t xml:space="preserve">RK0083</t>
  </si>
  <si>
    <t xml:space="preserve">RK0084</t>
  </si>
  <si>
    <t xml:space="preserve">RK0085</t>
  </si>
  <si>
    <t xml:space="preserve">RK0086</t>
  </si>
  <si>
    <t xml:space="preserve">RK0087</t>
  </si>
  <si>
    <t xml:space="preserve">RK0088</t>
  </si>
  <si>
    <t xml:space="preserve">RK0089</t>
  </si>
  <si>
    <t xml:space="preserve">RK0090</t>
  </si>
  <si>
    <t xml:space="preserve">RK0091</t>
  </si>
  <si>
    <t xml:space="preserve">RK0092</t>
  </si>
  <si>
    <t xml:space="preserve">RK0093</t>
  </si>
  <si>
    <t xml:space="preserve">RK0094</t>
  </si>
  <si>
    <t xml:space="preserve">RK0095</t>
  </si>
  <si>
    <t xml:space="preserve">RK0096</t>
  </si>
  <si>
    <t xml:space="preserve">RK0097</t>
  </si>
  <si>
    <t xml:space="preserve">RK0098</t>
  </si>
  <si>
    <t xml:space="preserve">RK0099</t>
  </si>
  <si>
    <t xml:space="preserve">RK0100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</si>
</sst>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countsFinance_tbl" displayName="AccountsFinance_tbl" ref="A1:J251" headerRowCount="1" totalsRowCount="0" totalsRowShown="0">
  <autoFilter ref="A1:J251"/>
  <tableColumns count="10">
    <tableColumn id="1" name="TransactionID"/>
    <tableColumn id="2" name="TransactionDate"/>
    <tableColumn id="3" name="TransactionType"/>
    <tableColumn id="4" name="RelatedPO_ID"/>
    <tableColumn id="5" name="RelatedContractID"/>
    <tableColumn id="6" name="Department"/>
    <tableColumn id="7" name="Amount_NGN"/>
    <tableColumn id="8" name="Currency"/>
    <tableColumn id="9" name="ApprovedByEmployeeID"/>
    <tableColumn id="10" name="Status"/>
  </tableColumns>
</table>
</file>

<file path=xl/tables/table2.xml><?xml version="1.0" encoding="utf-8"?>
<table xmlns="http://schemas.openxmlformats.org/spreadsheetml/2006/main" id="2" name="Admin_tbl" displayName="Admin_tbl" ref="A1:J151" headerRowCount="1" totalsRowCount="0" totalsRowShown="0">
  <autoFilter ref="A1:J151"/>
  <tableColumns count="10">
    <tableColumn id="1" name="AssetID"/>
    <tableColumn id="2" name="AssetType"/>
    <tableColumn id="3" name="Description"/>
    <tableColumn id="4" name="Location"/>
    <tableColumn id="5" name="PurchaseDate"/>
    <tableColumn id="6" name="PurchaseValue_NGN"/>
    <tableColumn id="7" name="CurrentValue_NGN"/>
    <tableColumn id="8" name="CustodianEmployeeID"/>
    <tableColumn id="9" name="DepartmentID"/>
    <tableColumn id="10" name="Status"/>
  </tableColumns>
</table>
</file>

<file path=xl/tables/table3.xml><?xml version="1.0" encoding="utf-8"?>
<table xmlns="http://schemas.openxmlformats.org/spreadsheetml/2006/main" id="3" name="CustomerService_tbl" displayName="CustomerService_tbl" ref="A1:K181" headerRowCount="1" totalsRowCount="0" totalsRowShown="0">
  <autoFilter ref="A1:K181"/>
  <tableColumns count="11">
    <tableColumn id="1" name="TicketID"/>
    <tableColumn id="2" name="CustomerName"/>
    <tableColumn id="3" name="CustomerType"/>
    <tableColumn id="4" name="Channel"/>
    <tableColumn id="5" name="IssueCategory"/>
    <tableColumn id="6" name="DateOpened"/>
    <tableColumn id="7" name="DateClosed"/>
    <tableColumn id="8" name="ResolutionTimeDays"/>
    <tableColumn id="9" name="SatisfactionScore_1to5"/>
    <tableColumn id="10" name="AgentEmployeeID"/>
    <tableColumn id="11" name="Status"/>
  </tableColumns>
</table>
</file>

<file path=xl/tables/table4.xml><?xml version="1.0" encoding="utf-8"?>
<table xmlns="http://schemas.openxmlformats.org/spreadsheetml/2006/main" id="4" name="Departments_tbl" displayName="Departments_tbl" ref="A1:F11" headerRowCount="1" totalsRowCount="0" totalsRowShown="0">
  <autoFilter ref="A1:F11"/>
  <tableColumns count="6">
    <tableColumn id="1" name="DepartmentID"/>
    <tableColumn id="2" name="DepartmentName"/>
    <tableColumn id="3" name="DepartmentHeadEmployeeID"/>
    <tableColumn id="4" name="Function"/>
    <tableColumn id="5" name="Location"/>
    <tableColumn id="6" name="AnnualBudget_NGN"/>
  </tableColumns>
</table>
</file>

<file path=xl/tables/table5.xml><?xml version="1.0" encoding="utf-8"?>
<table xmlns="http://schemas.openxmlformats.org/spreadsheetml/2006/main" id="5" name="Employees_tbl" displayName="Employees_tbl" ref="A1:L161" headerRowCount="1" totalsRowCount="0" totalsRowShown="0">
  <autoFilter ref="A1:L161"/>
  <tableColumns count="12">
    <tableColumn id="1" name="EmployeeID"/>
    <tableColumn id="2" name="FullName"/>
    <tableColumn id="3" name="Department"/>
    <tableColumn id="4" name="JobGrade"/>
    <tableColumn id="5" name="Gender"/>
    <tableColumn id="6" name="DateOfBirth"/>
    <tableColumn id="7" name="HireDate"/>
    <tableColumn id="8" name="EmploymentType"/>
    <tableColumn id="9" name="AnnualSalary_NGN"/>
    <tableColumn id="10" name="PerformanceRating"/>
    <tableColumn id="11" name="Location"/>
    <tableColumn id="12" name="Status"/>
  </tableColumns>
</table>
</file>

<file path=xl/tables/table6.xml><?xml version="1.0" encoding="utf-8"?>
<table xmlns="http://schemas.openxmlformats.org/spreadsheetml/2006/main" id="6" name="InternalControl_tbl" displayName="InternalControl_tbl" ref="A1:I91" headerRowCount="1" totalsRowCount="0" totalsRowShown="0">
  <autoFilter ref="A1:I91"/>
  <tableColumns count="9">
    <tableColumn id="1" name="AuditID"/>
    <tableColumn id="2" name="DepartmentID"/>
    <tableColumn id="3" name="Department"/>
    <tableColumn id="4" name="AuditDate"/>
    <tableColumn id="5" name="AuditType"/>
    <tableColumn id="6" name="FindingDescription"/>
    <tableColumn id="7" name="Severity"/>
    <tableColumn id="8" name="Status"/>
    <tableColumn id="9" name="ResponsibleEmployeeID"/>
  </tableColumns>
</table>
</file>

<file path=xl/tables/table7.xml><?xml version="1.0" encoding="utf-8"?>
<table xmlns="http://schemas.openxmlformats.org/spreadsheetml/2006/main" id="7" name="IT_tbl" displayName="IT_tbl" ref="A1:J161" headerRowCount="1" totalsRowCount="0" totalsRowShown="0">
  <autoFilter ref="A1:J161"/>
  <tableColumns count="10">
    <tableColumn id="1" name="ITTicketID"/>
    <tableColumn id="2" name="RequesterEmployeeID"/>
    <tableColumn id="3" name="System"/>
    <tableColumn id="4" name="IssueType"/>
    <tableColumn id="5" name="Priority"/>
    <tableColumn id="6" name="DateLogged"/>
    <tableColumn id="7" name="DateResolved"/>
    <tableColumn id="8" name="ResolutionTimeHours"/>
    <tableColumn id="9" name="SupportOfficerEmployeeID"/>
    <tableColumn id="10" name="Status"/>
  </tableColumns>
</table>
</file>

<file path=xl/tables/table8.xml><?xml version="1.0" encoding="utf-8"?>
<table xmlns="http://schemas.openxmlformats.org/spreadsheetml/2006/main" id="8" name="Legal_tbl" displayName="Legal_tbl" ref="A1:M121" headerRowCount="1" totalsRowCount="0" totalsRowShown="0">
  <autoFilter ref="A1:M121"/>
  <tableColumns count="13">
    <tableColumn id="1" name="ContractID"/>
    <tableColumn id="2" name="ContractTitle"/>
    <tableColumn id="3" name="ContractType"/>
    <tableColumn id="4" name="CounterpartyName"/>
    <tableColumn id="5" name="CounterpartyType"/>
    <tableColumn id="6" name="StartDate"/>
    <tableColumn id="7" name="EndDate"/>
    <tableColumn id="8" name="ContractValue_NGN"/>
    <tableColumn id="9" name="Status"/>
    <tableColumn id="10" name="RelatedOperationID"/>
    <tableColumn id="11" name="LegalOfficerEmployeeID"/>
    <tableColumn id="12" name="ComplianceRiskFlag"/>
    <tableColumn id="13" name="DepartmentID"/>
  </tableColumns>
</table>
</file>

<file path=xl/tables/table9.xml><?xml version="1.0" encoding="utf-8"?>
<table xmlns="http://schemas.openxmlformats.org/spreadsheetml/2006/main" id="9" name="Operations_tbl" displayName="Operations_tbl" ref="A1:L221" headerRowCount="1" totalsRowCount="0" totalsRowShown="0">
  <autoFilter ref="A1:L221"/>
  <tableColumns count="12">
    <tableColumn id="1" name="OperationID"/>
    <tableColumn id="2" name="AssetField"/>
    <tableColumn id="3" name="WellName"/>
    <tableColumn id="4" name="ProductionDate"/>
    <tableColumn id="5" name="ProductType"/>
    <tableColumn id="6" name="UnitOfMeasure"/>
    <tableColumn id="7" name="PlannedVolume"/>
    <tableColumn id="8" name="ActualVolume"/>
    <tableColumn id="9" name="DowntimeHours"/>
    <tableColumn id="10" name="DowntimeReason"/>
    <tableColumn id="11" name="SupervisorEmployeeID"/>
    <tableColumn id="12" name="DepartmentID"/>
  </tableColumns>
</table>
</file>

<file path=xl/tables/table10.xml><?xml version="1.0" encoding="utf-8"?>
<table xmlns="http://schemas.openxmlformats.org/spreadsheetml/2006/main" id="10" name="RiskComplianceRegister_tbl" displayName="RiskComplianceRegister_tbl" ref="A1:L101" headerRowCount="1" totalsRowCount="0" totalsRowShown="0">
  <autoFilter ref="A1:L101"/>
  <tableColumns count="12">
    <tableColumn id="1" name="RiskID"/>
    <tableColumn id="2" name="DepartmentID"/>
    <tableColumn id="3" name="Department"/>
    <tableColumn id="4" name="RiskCategory"/>
    <tableColumn id="5" name="RiskDescription"/>
    <tableColumn id="6" name="Likelihood_1to5"/>
    <tableColumn id="7" name="Impact_1to5"/>
    <tableColumn id="8" name="RiskScore"/>
    <tableColumn id="9" name="MitigationStatus"/>
    <tableColumn id="10" name="RelatedAuditID"/>
    <tableColumn id="11" name="RelatedContractID"/>
    <tableColumn id="12" name="RiskOwnerEmployeeID"/>
  </tableColumns>
</table>
</file>

<file path=xl/tables/table11.xml><?xml version="1.0" encoding="utf-8"?>
<table xmlns="http://schemas.openxmlformats.org/spreadsheetml/2006/main" id="11" name="SupplyChain_tbl" displayName="SupplyChain_tbl" ref="A1:O201" headerRowCount="1" totalsRowCount="0" totalsRowShown="0">
  <autoFilter ref="A1:O201"/>
  <tableColumns count="15">
    <tableColumn id="1" name="PO_ID"/>
    <tableColumn id="2" name="VendorID"/>
    <tableColumn id="3" name="VendorName"/>
    <tableColumn id="4" name="ItemDescription"/>
    <tableColumn id="5" name="Category"/>
    <tableColumn id="6" name="OrderDate"/>
    <tableColumn id="7" name="ExpectedDeliveryDate"/>
    <tableColumn id="8" name="ActualDeliveryDate"/>
    <tableColumn id="9" name="Quantity"/>
    <tableColumn id="10" name="UnitCost_NGN"/>
    <tableColumn id="11" name="TotalCost_NGN"/>
    <tableColumn id="12" name="Currency"/>
    <tableColumn id="13" name="Status"/>
    <tableColumn id="14" name="RelatedOperationID"/>
    <tableColumn id="15" name="ProcurementOfficerEmployee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5" hidden="false" customHeight="true" outlineLevel="0" collapsed="false">
      <c r="A5" s="4" t="s">
        <v>4</v>
      </c>
      <c r="B5" s="5" t="s">
        <v>5</v>
      </c>
    </row>
    <row r="6" customFormat="false" ht="45" hidden="false" customHeight="true" outlineLevel="0" collapsed="false">
      <c r="A6" s="4" t="s">
        <v>6</v>
      </c>
      <c r="B6" s="5" t="s">
        <v>7</v>
      </c>
    </row>
    <row r="7" customFormat="false" ht="45" hidden="false" customHeight="true" outlineLevel="0" collapsed="false">
      <c r="A7" s="4" t="s">
        <v>8</v>
      </c>
      <c r="B7" s="5" t="s">
        <v>9</v>
      </c>
    </row>
    <row r="8" customFormat="false" ht="45" hidden="false" customHeight="true" outlineLevel="0" collapsed="false">
      <c r="A8" s="4" t="s">
        <v>10</v>
      </c>
      <c r="B8" s="5" t="s">
        <v>11</v>
      </c>
    </row>
    <row r="9" customFormat="false" ht="45" hidden="false" customHeight="true" outlineLevel="0" collapsed="false">
      <c r="A9" s="4" t="s">
        <v>12</v>
      </c>
      <c r="B9" s="5" t="s">
        <v>13</v>
      </c>
    </row>
    <row r="10" customFormat="false" ht="45" hidden="false" customHeight="true" outlineLevel="0" collapsed="false">
      <c r="A10" s="4" t="s">
        <v>14</v>
      </c>
      <c r="B10" s="5" t="s">
        <v>15</v>
      </c>
    </row>
    <row r="11" customFormat="false" ht="45" hidden="false" customHeight="true" outlineLevel="0" collapsed="false">
      <c r="A11" s="4" t="s">
        <v>16</v>
      </c>
      <c r="B11" s="5" t="s">
        <v>17</v>
      </c>
    </row>
    <row r="12" customFormat="false" ht="45" hidden="false" customHeight="true" outlineLevel="0" collapsed="false">
      <c r="A12" s="4" t="s">
        <v>18</v>
      </c>
      <c r="B12" s="5" t="s">
        <v>19</v>
      </c>
    </row>
    <row r="13" customFormat="false" ht="45" hidden="false" customHeight="true" outlineLevel="0" collapsed="false">
      <c r="A13" s="4" t="s">
        <v>20</v>
      </c>
      <c r="B13" s="5" t="s">
        <v>21</v>
      </c>
    </row>
    <row r="14" customFormat="false" ht="45" hidden="false" customHeight="true" outlineLevel="0" collapsed="false">
      <c r="A14" s="4" t="s">
        <v>22</v>
      </c>
      <c r="B14" s="5" t="s">
        <v>23</v>
      </c>
    </row>
    <row r="15" customFormat="false" ht="45" hidden="false" customHeight="true" outlineLevel="0" collapsed="false">
      <c r="A15" s="4" t="s">
        <v>24</v>
      </c>
      <c r="B15" s="5" t="s">
        <v>25</v>
      </c>
    </row>
    <row r="17" customFormat="false" ht="15" hidden="false" customHeight="false" outlineLevel="0" collapsed="false">
      <c r="A17" s="6" t="s">
        <v>26</v>
      </c>
    </row>
    <row r="18" customFormat="false" ht="15" hidden="false" customHeight="false" outlineLevel="0" collapsed="false">
      <c r="A18" s="7" t="s">
        <v>27</v>
      </c>
      <c r="B18" s="7"/>
    </row>
    <row r="19" customFormat="false" ht="15" hidden="false" customHeight="false" outlineLevel="0" collapsed="false">
      <c r="A19" s="7" t="s">
        <v>28</v>
      </c>
      <c r="B19" s="7"/>
    </row>
    <row r="20" customFormat="false" ht="15" hidden="false" customHeight="false" outlineLevel="0" collapsed="false">
      <c r="A20" s="7" t="s">
        <v>29</v>
      </c>
      <c r="B20" s="7"/>
    </row>
    <row r="21" customFormat="false" ht="15" hidden="false" customHeight="false" outlineLevel="0" collapsed="false">
      <c r="A21" s="7" t="s">
        <v>30</v>
      </c>
      <c r="B21" s="7"/>
    </row>
    <row r="22" customFormat="false" ht="15" hidden="false" customHeight="false" outlineLevel="0" collapsed="false">
      <c r="A22" s="7" t="s">
        <v>31</v>
      </c>
      <c r="B22" s="7"/>
    </row>
    <row r="23" customFormat="false" ht="15" hidden="false" customHeight="false" outlineLevel="0" collapsed="false">
      <c r="A23" s="7" t="s">
        <v>32</v>
      </c>
      <c r="B23" s="7"/>
    </row>
    <row r="24" customFormat="false" ht="15" hidden="false" customHeight="false" outlineLevel="0" collapsed="false">
      <c r="A24" s="7" t="s">
        <v>33</v>
      </c>
      <c r="B24" s="7"/>
    </row>
    <row r="25" customFormat="false" ht="15" hidden="false" customHeight="false" outlineLevel="0" collapsed="false">
      <c r="A25" s="7" t="s">
        <v>34</v>
      </c>
      <c r="B25" s="7"/>
    </row>
    <row r="26" customFormat="false" ht="15" hidden="false" customHeight="false" outlineLevel="0" collapsed="false">
      <c r="A26" s="7" t="s">
        <v>35</v>
      </c>
      <c r="B26" s="7"/>
    </row>
    <row r="27" customFormat="false" ht="15" hidden="false" customHeight="false" outlineLevel="0" collapsed="false">
      <c r="A27" s="7" t="s">
        <v>36</v>
      </c>
      <c r="B27" s="7"/>
    </row>
    <row r="28" customFormat="false" ht="15" hidden="false" customHeight="false" outlineLevel="0" collapsed="false">
      <c r="A28" s="7" t="s">
        <v>37</v>
      </c>
      <c r="B28" s="7"/>
    </row>
    <row r="29" customFormat="false" ht="15" hidden="false" customHeight="false" outlineLevel="0" collapsed="false">
      <c r="A29" s="7" t="s">
        <v>38</v>
      </c>
      <c r="B29" s="7"/>
    </row>
    <row r="30" customFormat="false" ht="15" hidden="false" customHeight="false" outlineLevel="0" collapsed="false">
      <c r="A30" s="7" t="s">
        <v>39</v>
      </c>
      <c r="B30" s="7"/>
    </row>
    <row r="31" customFormat="false" ht="15" hidden="false" customHeight="false" outlineLevel="0" collapsed="false">
      <c r="A31" s="7" t="s">
        <v>40</v>
      </c>
      <c r="B31" s="7"/>
    </row>
  </sheetData>
  <mergeCells count="15">
    <mergeCell ref="A2:B2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3.8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</row>
    <row r="2" customFormat="false" ht="15" hidden="false" customHeight="false" outlineLevel="0" collapsed="false">
      <c r="A2" s="9" t="s">
        <v>47</v>
      </c>
      <c r="B2" s="9" t="s">
        <v>8</v>
      </c>
      <c r="C2" s="9" t="s">
        <v>48</v>
      </c>
      <c r="D2" s="9" t="s">
        <v>49</v>
      </c>
      <c r="E2" s="9" t="s">
        <v>50</v>
      </c>
      <c r="F2" s="9" t="n">
        <v>4966000000</v>
      </c>
    </row>
    <row r="3" customFormat="false" ht="15" hidden="false" customHeight="false" outlineLevel="0" collapsed="false">
      <c r="A3" s="9" t="s">
        <v>51</v>
      </c>
      <c r="B3" s="9" t="s">
        <v>10</v>
      </c>
      <c r="C3" s="9" t="s">
        <v>52</v>
      </c>
      <c r="D3" s="9" t="s">
        <v>53</v>
      </c>
      <c r="E3" s="9" t="s">
        <v>54</v>
      </c>
      <c r="F3" s="9" t="n">
        <v>2923000000</v>
      </c>
    </row>
    <row r="4" customFormat="false" ht="15" hidden="false" customHeight="false" outlineLevel="0" collapsed="false">
      <c r="A4" s="9" t="s">
        <v>55</v>
      </c>
      <c r="B4" s="9" t="s">
        <v>56</v>
      </c>
      <c r="C4" s="9" t="s">
        <v>57</v>
      </c>
      <c r="D4" s="9" t="s">
        <v>58</v>
      </c>
      <c r="E4" s="9" t="s">
        <v>54</v>
      </c>
      <c r="F4" s="9" t="n">
        <v>1292000000</v>
      </c>
    </row>
    <row r="5" customFormat="false" ht="15" hidden="false" customHeight="false" outlineLevel="0" collapsed="false">
      <c r="A5" s="9" t="s">
        <v>59</v>
      </c>
      <c r="B5" s="9" t="s">
        <v>14</v>
      </c>
      <c r="C5" s="9" t="s">
        <v>60</v>
      </c>
      <c r="D5" s="9" t="s">
        <v>61</v>
      </c>
      <c r="E5" s="9" t="s">
        <v>54</v>
      </c>
      <c r="F5" s="9" t="n">
        <v>563000000</v>
      </c>
    </row>
    <row r="6" customFormat="false" ht="15" hidden="false" customHeight="false" outlineLevel="0" collapsed="false">
      <c r="A6" s="9" t="s">
        <v>62</v>
      </c>
      <c r="B6" s="9" t="s">
        <v>63</v>
      </c>
      <c r="C6" s="9" t="s">
        <v>64</v>
      </c>
      <c r="D6" s="9" t="s">
        <v>65</v>
      </c>
      <c r="E6" s="9" t="s">
        <v>50</v>
      </c>
      <c r="F6" s="9" t="n">
        <v>3086000000</v>
      </c>
    </row>
    <row r="7" customFormat="false" ht="15" hidden="false" customHeight="false" outlineLevel="0" collapsed="false">
      <c r="A7" s="9" t="s">
        <v>66</v>
      </c>
      <c r="B7" s="9" t="s">
        <v>67</v>
      </c>
      <c r="C7" s="9" t="s">
        <v>68</v>
      </c>
      <c r="D7" s="9" t="s">
        <v>69</v>
      </c>
      <c r="E7" s="9" t="s">
        <v>54</v>
      </c>
      <c r="F7" s="9" t="n">
        <v>4672000000</v>
      </c>
    </row>
    <row r="8" customFormat="false" ht="15" hidden="false" customHeight="false" outlineLevel="0" collapsed="false">
      <c r="A8" s="9" t="s">
        <v>70</v>
      </c>
      <c r="B8" s="9" t="s">
        <v>71</v>
      </c>
      <c r="C8" s="9" t="s">
        <v>72</v>
      </c>
      <c r="D8" s="9" t="s">
        <v>73</v>
      </c>
      <c r="E8" s="9" t="s">
        <v>54</v>
      </c>
      <c r="F8" s="9" t="n">
        <v>2973000000</v>
      </c>
    </row>
    <row r="9" customFormat="false" ht="15" hidden="false" customHeight="false" outlineLevel="0" collapsed="false">
      <c r="A9" s="9" t="s">
        <v>74</v>
      </c>
      <c r="B9" s="9" t="s">
        <v>75</v>
      </c>
      <c r="C9" s="9" t="s">
        <v>76</v>
      </c>
      <c r="D9" s="9" t="s">
        <v>77</v>
      </c>
      <c r="E9" s="9" t="s">
        <v>54</v>
      </c>
      <c r="F9" s="9" t="n">
        <v>1634000000</v>
      </c>
    </row>
    <row r="10" customFormat="false" ht="15" hidden="false" customHeight="false" outlineLevel="0" collapsed="false">
      <c r="A10" s="9" t="s">
        <v>78</v>
      </c>
      <c r="B10" s="9" t="s">
        <v>79</v>
      </c>
      <c r="C10" s="9" t="s">
        <v>80</v>
      </c>
      <c r="D10" s="9" t="s">
        <v>81</v>
      </c>
      <c r="E10" s="9" t="s">
        <v>54</v>
      </c>
      <c r="F10" s="9" t="n">
        <v>4006000000</v>
      </c>
    </row>
    <row r="11" customFormat="false" ht="15" hidden="false" customHeight="false" outlineLevel="0" collapsed="false">
      <c r="A11" s="9" t="s">
        <v>82</v>
      </c>
      <c r="B11" s="9" t="s">
        <v>83</v>
      </c>
      <c r="C11" s="9" t="s">
        <v>84</v>
      </c>
      <c r="D11" s="9" t="s">
        <v>85</v>
      </c>
      <c r="E11" s="9" t="s">
        <v>54</v>
      </c>
      <c r="F11" s="9" t="n">
        <v>4120000000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23.85" hidden="false" customHeight="false" outlineLevel="0" collapsed="false">
      <c r="A1" s="8" t="s">
        <v>86</v>
      </c>
      <c r="B1" s="8" t="s">
        <v>87</v>
      </c>
      <c r="C1" s="8" t="s">
        <v>88</v>
      </c>
      <c r="D1" s="8" t="s">
        <v>89</v>
      </c>
      <c r="E1" s="8" t="s">
        <v>90</v>
      </c>
      <c r="F1" s="8" t="s">
        <v>91</v>
      </c>
      <c r="G1" s="8" t="s">
        <v>92</v>
      </c>
      <c r="H1" s="8" t="s">
        <v>93</v>
      </c>
      <c r="I1" s="8" t="s">
        <v>94</v>
      </c>
      <c r="J1" s="8" t="s">
        <v>95</v>
      </c>
      <c r="K1" s="8" t="s">
        <v>45</v>
      </c>
      <c r="L1" s="8" t="s">
        <v>96</v>
      </c>
    </row>
    <row r="2" customFormat="false" ht="15" hidden="false" customHeight="false" outlineLevel="0" collapsed="false">
      <c r="A2" s="9" t="s">
        <v>97</v>
      </c>
      <c r="B2" s="9" t="s">
        <v>98</v>
      </c>
      <c r="C2" s="9" t="s">
        <v>8</v>
      </c>
      <c r="D2" s="9" t="s">
        <v>99</v>
      </c>
      <c r="E2" s="9" t="s">
        <v>100</v>
      </c>
      <c r="F2" s="9" t="s">
        <v>101</v>
      </c>
      <c r="G2" s="9" t="s">
        <v>102</v>
      </c>
      <c r="H2" s="9" t="s">
        <v>103</v>
      </c>
      <c r="I2" s="9" t="n">
        <v>25000000</v>
      </c>
      <c r="J2" s="9" t="n">
        <v>2.8</v>
      </c>
      <c r="K2" s="9" t="s">
        <v>54</v>
      </c>
      <c r="L2" s="9" t="s">
        <v>104</v>
      </c>
    </row>
    <row r="3" customFormat="false" ht="15" hidden="false" customHeight="false" outlineLevel="0" collapsed="false">
      <c r="A3" s="9" t="s">
        <v>52</v>
      </c>
      <c r="B3" s="9" t="s">
        <v>105</v>
      </c>
      <c r="C3" s="9" t="s">
        <v>10</v>
      </c>
      <c r="D3" s="9" t="s">
        <v>106</v>
      </c>
      <c r="E3" s="9" t="s">
        <v>107</v>
      </c>
      <c r="F3" s="9" t="s">
        <v>108</v>
      </c>
      <c r="G3" s="9" t="s">
        <v>109</v>
      </c>
      <c r="H3" s="9" t="s">
        <v>103</v>
      </c>
      <c r="I3" s="9" t="n">
        <v>2000000</v>
      </c>
      <c r="J3" s="9" t="n">
        <v>3.9</v>
      </c>
      <c r="K3" s="9" t="s">
        <v>110</v>
      </c>
      <c r="L3" s="9" t="s">
        <v>104</v>
      </c>
    </row>
    <row r="4" customFormat="false" ht="15" hidden="false" customHeight="false" outlineLevel="0" collapsed="false">
      <c r="A4" s="9" t="s">
        <v>111</v>
      </c>
      <c r="B4" s="9" t="s">
        <v>112</v>
      </c>
      <c r="C4" s="9" t="s">
        <v>56</v>
      </c>
      <c r="D4" s="9" t="s">
        <v>113</v>
      </c>
      <c r="E4" s="9" t="s">
        <v>107</v>
      </c>
      <c r="F4" s="9" t="s">
        <v>114</v>
      </c>
      <c r="G4" s="9" t="s">
        <v>115</v>
      </c>
      <c r="H4" s="9" t="s">
        <v>103</v>
      </c>
      <c r="I4" s="9" t="n">
        <v>10000000</v>
      </c>
      <c r="J4" s="9" t="n">
        <v>2.9</v>
      </c>
      <c r="K4" s="9" t="s">
        <v>116</v>
      </c>
      <c r="L4" s="9" t="s">
        <v>104</v>
      </c>
    </row>
    <row r="5" customFormat="false" ht="15" hidden="false" customHeight="false" outlineLevel="0" collapsed="false">
      <c r="A5" s="9" t="s">
        <v>60</v>
      </c>
      <c r="B5" s="9" t="s">
        <v>117</v>
      </c>
      <c r="C5" s="9" t="s">
        <v>14</v>
      </c>
      <c r="D5" s="9" t="s">
        <v>118</v>
      </c>
      <c r="E5" s="9" t="s">
        <v>100</v>
      </c>
      <c r="F5" s="9" t="s">
        <v>119</v>
      </c>
      <c r="G5" s="9" t="s">
        <v>120</v>
      </c>
      <c r="H5" s="9" t="s">
        <v>103</v>
      </c>
      <c r="I5" s="9" t="n">
        <v>2500000</v>
      </c>
      <c r="J5" s="9" t="n">
        <v>4.3</v>
      </c>
      <c r="K5" s="9" t="s">
        <v>116</v>
      </c>
      <c r="L5" s="9" t="s">
        <v>121</v>
      </c>
    </row>
    <row r="6" customFormat="false" ht="15" hidden="false" customHeight="false" outlineLevel="0" collapsed="false">
      <c r="A6" s="9" t="s">
        <v>64</v>
      </c>
      <c r="B6" s="9" t="s">
        <v>122</v>
      </c>
      <c r="C6" s="9" t="s">
        <v>63</v>
      </c>
      <c r="D6" s="9" t="s">
        <v>106</v>
      </c>
      <c r="E6" s="9" t="s">
        <v>100</v>
      </c>
      <c r="F6" s="9" t="s">
        <v>123</v>
      </c>
      <c r="G6" s="9" t="s">
        <v>124</v>
      </c>
      <c r="H6" s="9" t="s">
        <v>125</v>
      </c>
      <c r="I6" s="9" t="n">
        <v>29500000</v>
      </c>
      <c r="J6" s="9" t="n">
        <v>4.7</v>
      </c>
      <c r="K6" s="9" t="s">
        <v>54</v>
      </c>
      <c r="L6" s="9" t="s">
        <v>104</v>
      </c>
    </row>
    <row r="7" customFormat="false" ht="15" hidden="false" customHeight="false" outlineLevel="0" collapsed="false">
      <c r="A7" s="9" t="s">
        <v>68</v>
      </c>
      <c r="B7" s="9" t="s">
        <v>126</v>
      </c>
      <c r="C7" s="9" t="s">
        <v>67</v>
      </c>
      <c r="D7" s="9" t="s">
        <v>118</v>
      </c>
      <c r="E7" s="9" t="s">
        <v>100</v>
      </c>
      <c r="F7" s="9" t="s">
        <v>127</v>
      </c>
      <c r="G7" s="9" t="s">
        <v>128</v>
      </c>
      <c r="H7" s="9" t="s">
        <v>103</v>
      </c>
      <c r="I7" s="9" t="n">
        <v>4500000</v>
      </c>
      <c r="J7" s="9" t="n">
        <v>3.5</v>
      </c>
      <c r="K7" s="9" t="s">
        <v>110</v>
      </c>
      <c r="L7" s="9" t="s">
        <v>104</v>
      </c>
    </row>
    <row r="8" customFormat="false" ht="15" hidden="false" customHeight="false" outlineLevel="0" collapsed="false">
      <c r="A8" s="9" t="s">
        <v>72</v>
      </c>
      <c r="B8" s="9" t="s">
        <v>129</v>
      </c>
      <c r="C8" s="9" t="s">
        <v>71</v>
      </c>
      <c r="D8" s="9" t="s">
        <v>130</v>
      </c>
      <c r="E8" s="9" t="s">
        <v>100</v>
      </c>
      <c r="F8" s="9" t="s">
        <v>131</v>
      </c>
      <c r="G8" s="9" t="s">
        <v>132</v>
      </c>
      <c r="H8" s="9" t="s">
        <v>125</v>
      </c>
      <c r="I8" s="9" t="n">
        <v>23000000</v>
      </c>
      <c r="J8" s="9" t="n">
        <v>4.1</v>
      </c>
      <c r="K8" s="9" t="s">
        <v>50</v>
      </c>
      <c r="L8" s="9" t="s">
        <v>104</v>
      </c>
    </row>
    <row r="9" customFormat="false" ht="15" hidden="false" customHeight="false" outlineLevel="0" collapsed="false">
      <c r="A9" s="9" t="s">
        <v>76</v>
      </c>
      <c r="B9" s="9" t="s">
        <v>133</v>
      </c>
      <c r="C9" s="9" t="s">
        <v>75</v>
      </c>
      <c r="D9" s="9" t="s">
        <v>130</v>
      </c>
      <c r="E9" s="9" t="s">
        <v>100</v>
      </c>
      <c r="F9" s="9" t="s">
        <v>134</v>
      </c>
      <c r="G9" s="9" t="s">
        <v>135</v>
      </c>
      <c r="H9" s="9" t="s">
        <v>103</v>
      </c>
      <c r="I9" s="9" t="n">
        <v>19000000</v>
      </c>
      <c r="J9" s="9" t="n">
        <v>3</v>
      </c>
      <c r="K9" s="9" t="s">
        <v>54</v>
      </c>
      <c r="L9" s="9" t="s">
        <v>104</v>
      </c>
    </row>
    <row r="10" customFormat="false" ht="15" hidden="false" customHeight="false" outlineLevel="0" collapsed="false">
      <c r="A10" s="9" t="s">
        <v>136</v>
      </c>
      <c r="B10" s="9" t="s">
        <v>137</v>
      </c>
      <c r="C10" s="9" t="s">
        <v>79</v>
      </c>
      <c r="D10" s="9" t="s">
        <v>138</v>
      </c>
      <c r="E10" s="9" t="s">
        <v>107</v>
      </c>
      <c r="F10" s="9" t="s">
        <v>139</v>
      </c>
      <c r="G10" s="9" t="s">
        <v>140</v>
      </c>
      <c r="H10" s="9" t="s">
        <v>103</v>
      </c>
      <c r="I10" s="9" t="n">
        <v>10000000</v>
      </c>
      <c r="J10" s="9" t="n">
        <v>2.7</v>
      </c>
      <c r="K10" s="9" t="s">
        <v>116</v>
      </c>
      <c r="L10" s="9" t="s">
        <v>104</v>
      </c>
    </row>
    <row r="11" customFormat="false" ht="15" hidden="false" customHeight="false" outlineLevel="0" collapsed="false">
      <c r="A11" s="9" t="s">
        <v>141</v>
      </c>
      <c r="B11" s="9" t="s">
        <v>142</v>
      </c>
      <c r="C11" s="9" t="s">
        <v>83</v>
      </c>
      <c r="D11" s="9" t="s">
        <v>99</v>
      </c>
      <c r="E11" s="9" t="s">
        <v>100</v>
      </c>
      <c r="F11" s="9" t="s">
        <v>143</v>
      </c>
      <c r="G11" s="9" t="s">
        <v>144</v>
      </c>
      <c r="H11" s="9" t="s">
        <v>103</v>
      </c>
      <c r="I11" s="9" t="n">
        <v>9000000</v>
      </c>
      <c r="J11" s="9" t="n">
        <v>4.4</v>
      </c>
      <c r="K11" s="9" t="s">
        <v>116</v>
      </c>
      <c r="L11" s="9" t="s">
        <v>104</v>
      </c>
    </row>
    <row r="12" customFormat="false" ht="15" hidden="false" customHeight="false" outlineLevel="0" collapsed="false">
      <c r="A12" s="9" t="s">
        <v>48</v>
      </c>
      <c r="B12" s="9" t="s">
        <v>145</v>
      </c>
      <c r="C12" s="9" t="s">
        <v>8</v>
      </c>
      <c r="D12" s="9" t="s">
        <v>106</v>
      </c>
      <c r="E12" s="9" t="s">
        <v>100</v>
      </c>
      <c r="F12" s="9" t="s">
        <v>146</v>
      </c>
      <c r="G12" s="9" t="s">
        <v>147</v>
      </c>
      <c r="H12" s="9" t="s">
        <v>103</v>
      </c>
      <c r="I12" s="9" t="n">
        <v>17000000</v>
      </c>
      <c r="J12" s="9" t="n">
        <v>2.7</v>
      </c>
      <c r="K12" s="9" t="s">
        <v>50</v>
      </c>
      <c r="L12" s="9" t="s">
        <v>104</v>
      </c>
    </row>
    <row r="13" customFormat="false" ht="15" hidden="false" customHeight="false" outlineLevel="0" collapsed="false">
      <c r="A13" s="9" t="s">
        <v>148</v>
      </c>
      <c r="B13" s="9" t="s">
        <v>149</v>
      </c>
      <c r="C13" s="9" t="s">
        <v>10</v>
      </c>
      <c r="D13" s="9" t="s">
        <v>138</v>
      </c>
      <c r="E13" s="9" t="s">
        <v>100</v>
      </c>
      <c r="F13" s="9" t="s">
        <v>150</v>
      </c>
      <c r="G13" s="9" t="s">
        <v>151</v>
      </c>
      <c r="H13" s="9" t="s">
        <v>103</v>
      </c>
      <c r="I13" s="9" t="n">
        <v>13500000</v>
      </c>
      <c r="J13" s="9" t="n">
        <v>4</v>
      </c>
      <c r="K13" s="9" t="s">
        <v>54</v>
      </c>
      <c r="L13" s="9" t="s">
        <v>104</v>
      </c>
    </row>
    <row r="14" customFormat="false" ht="15" hidden="false" customHeight="false" outlineLevel="0" collapsed="false">
      <c r="A14" s="9" t="s">
        <v>152</v>
      </c>
      <c r="B14" s="9" t="s">
        <v>153</v>
      </c>
      <c r="C14" s="9" t="s">
        <v>56</v>
      </c>
      <c r="D14" s="9" t="s">
        <v>113</v>
      </c>
      <c r="E14" s="9" t="s">
        <v>100</v>
      </c>
      <c r="F14" s="9" t="s">
        <v>154</v>
      </c>
      <c r="G14" s="9" t="s">
        <v>155</v>
      </c>
      <c r="H14" s="9" t="s">
        <v>125</v>
      </c>
      <c r="I14" s="9" t="n">
        <v>5000000</v>
      </c>
      <c r="J14" s="9" t="n">
        <v>3.2</v>
      </c>
      <c r="K14" s="9" t="s">
        <v>110</v>
      </c>
      <c r="L14" s="9" t="s">
        <v>104</v>
      </c>
    </row>
    <row r="15" customFormat="false" ht="15" hidden="false" customHeight="false" outlineLevel="0" collapsed="false">
      <c r="A15" s="9" t="s">
        <v>156</v>
      </c>
      <c r="B15" s="9" t="s">
        <v>157</v>
      </c>
      <c r="C15" s="9" t="s">
        <v>14</v>
      </c>
      <c r="D15" s="9" t="s">
        <v>118</v>
      </c>
      <c r="E15" s="9" t="s">
        <v>107</v>
      </c>
      <c r="F15" s="9" t="s">
        <v>158</v>
      </c>
      <c r="G15" s="9" t="s">
        <v>159</v>
      </c>
      <c r="H15" s="9" t="s">
        <v>125</v>
      </c>
      <c r="I15" s="9" t="n">
        <v>21500000</v>
      </c>
      <c r="J15" s="9" t="n">
        <v>3.2</v>
      </c>
      <c r="K15" s="9" t="s">
        <v>50</v>
      </c>
      <c r="L15" s="9" t="s">
        <v>104</v>
      </c>
    </row>
    <row r="16" customFormat="false" ht="15" hidden="false" customHeight="false" outlineLevel="0" collapsed="false">
      <c r="A16" s="9" t="s">
        <v>160</v>
      </c>
      <c r="B16" s="9" t="s">
        <v>161</v>
      </c>
      <c r="C16" s="9" t="s">
        <v>63</v>
      </c>
      <c r="D16" s="9" t="s">
        <v>138</v>
      </c>
      <c r="E16" s="9" t="s">
        <v>107</v>
      </c>
      <c r="F16" s="9" t="s">
        <v>162</v>
      </c>
      <c r="G16" s="9" t="s">
        <v>163</v>
      </c>
      <c r="H16" s="9" t="s">
        <v>103</v>
      </c>
      <c r="I16" s="9" t="n">
        <v>2000000</v>
      </c>
      <c r="J16" s="9" t="n">
        <v>2.8</v>
      </c>
      <c r="K16" s="9" t="s">
        <v>110</v>
      </c>
      <c r="L16" s="9" t="s">
        <v>104</v>
      </c>
    </row>
    <row r="17" customFormat="false" ht="15" hidden="false" customHeight="false" outlineLevel="0" collapsed="false">
      <c r="A17" s="9" t="s">
        <v>164</v>
      </c>
      <c r="B17" s="9" t="s">
        <v>165</v>
      </c>
      <c r="C17" s="9" t="s">
        <v>67</v>
      </c>
      <c r="D17" s="9" t="s">
        <v>166</v>
      </c>
      <c r="E17" s="9" t="s">
        <v>107</v>
      </c>
      <c r="F17" s="9" t="s">
        <v>167</v>
      </c>
      <c r="G17" s="9" t="s">
        <v>168</v>
      </c>
      <c r="H17" s="9" t="s">
        <v>103</v>
      </c>
      <c r="I17" s="9" t="n">
        <v>4000000</v>
      </c>
      <c r="J17" s="9" t="n">
        <v>4.3</v>
      </c>
      <c r="K17" s="9" t="s">
        <v>50</v>
      </c>
      <c r="L17" s="9" t="s">
        <v>121</v>
      </c>
    </row>
    <row r="18" customFormat="false" ht="15" hidden="false" customHeight="false" outlineLevel="0" collapsed="false">
      <c r="A18" s="9" t="s">
        <v>169</v>
      </c>
      <c r="B18" s="9" t="s">
        <v>170</v>
      </c>
      <c r="C18" s="9" t="s">
        <v>71</v>
      </c>
      <c r="D18" s="9" t="s">
        <v>99</v>
      </c>
      <c r="E18" s="9" t="s">
        <v>100</v>
      </c>
      <c r="F18" s="9" t="s">
        <v>171</v>
      </c>
      <c r="G18" s="9" t="s">
        <v>172</v>
      </c>
      <c r="H18" s="9" t="s">
        <v>103</v>
      </c>
      <c r="I18" s="9" t="n">
        <v>9500000</v>
      </c>
      <c r="J18" s="9" t="n">
        <v>3.8</v>
      </c>
      <c r="K18" s="9" t="s">
        <v>50</v>
      </c>
      <c r="L18" s="9" t="s">
        <v>121</v>
      </c>
    </row>
    <row r="19" customFormat="false" ht="15" hidden="false" customHeight="false" outlineLevel="0" collapsed="false">
      <c r="A19" s="9" t="s">
        <v>173</v>
      </c>
      <c r="B19" s="9" t="s">
        <v>174</v>
      </c>
      <c r="C19" s="9" t="s">
        <v>75</v>
      </c>
      <c r="D19" s="9" t="s">
        <v>138</v>
      </c>
      <c r="E19" s="9" t="s">
        <v>100</v>
      </c>
      <c r="F19" s="9" t="s">
        <v>175</v>
      </c>
      <c r="G19" s="9" t="s">
        <v>176</v>
      </c>
      <c r="H19" s="9" t="s">
        <v>103</v>
      </c>
      <c r="I19" s="9" t="n">
        <v>5000000</v>
      </c>
      <c r="J19" s="9" t="n">
        <v>3.1</v>
      </c>
      <c r="K19" s="9" t="s">
        <v>50</v>
      </c>
      <c r="L19" s="9" t="s">
        <v>104</v>
      </c>
    </row>
    <row r="20" customFormat="false" ht="15" hidden="false" customHeight="false" outlineLevel="0" collapsed="false">
      <c r="A20" s="9" t="s">
        <v>177</v>
      </c>
      <c r="B20" s="9" t="s">
        <v>178</v>
      </c>
      <c r="C20" s="9" t="s">
        <v>79</v>
      </c>
      <c r="D20" s="9" t="s">
        <v>166</v>
      </c>
      <c r="E20" s="9" t="s">
        <v>107</v>
      </c>
      <c r="F20" s="9" t="s">
        <v>179</v>
      </c>
      <c r="G20" s="9" t="s">
        <v>180</v>
      </c>
      <c r="H20" s="9" t="s">
        <v>103</v>
      </c>
      <c r="I20" s="9" t="n">
        <v>8500000</v>
      </c>
      <c r="J20" s="9" t="n">
        <v>2.7</v>
      </c>
      <c r="K20" s="9" t="s">
        <v>54</v>
      </c>
      <c r="L20" s="9" t="s">
        <v>104</v>
      </c>
    </row>
    <row r="21" customFormat="false" ht="15" hidden="false" customHeight="false" outlineLevel="0" collapsed="false">
      <c r="A21" s="9" t="s">
        <v>181</v>
      </c>
      <c r="B21" s="9" t="s">
        <v>182</v>
      </c>
      <c r="C21" s="9" t="s">
        <v>83</v>
      </c>
      <c r="D21" s="9" t="s">
        <v>99</v>
      </c>
      <c r="E21" s="9" t="s">
        <v>100</v>
      </c>
      <c r="F21" s="9" t="s">
        <v>183</v>
      </c>
      <c r="G21" s="9" t="s">
        <v>184</v>
      </c>
      <c r="H21" s="9" t="s">
        <v>103</v>
      </c>
      <c r="I21" s="9" t="n">
        <v>18500000</v>
      </c>
      <c r="J21" s="9" t="n">
        <v>2.8</v>
      </c>
      <c r="K21" s="9" t="s">
        <v>116</v>
      </c>
      <c r="L21" s="9" t="s">
        <v>104</v>
      </c>
    </row>
    <row r="22" customFormat="false" ht="15" hidden="false" customHeight="false" outlineLevel="0" collapsed="false">
      <c r="A22" s="9" t="s">
        <v>185</v>
      </c>
      <c r="B22" s="9" t="s">
        <v>186</v>
      </c>
      <c r="C22" s="9" t="s">
        <v>8</v>
      </c>
      <c r="D22" s="9" t="s">
        <v>138</v>
      </c>
      <c r="E22" s="9" t="s">
        <v>107</v>
      </c>
      <c r="F22" s="9" t="s">
        <v>187</v>
      </c>
      <c r="G22" s="9" t="s">
        <v>188</v>
      </c>
      <c r="H22" s="9" t="s">
        <v>103</v>
      </c>
      <c r="I22" s="9" t="n">
        <v>12500000</v>
      </c>
      <c r="J22" s="9" t="n">
        <v>3.6</v>
      </c>
      <c r="K22" s="9" t="s">
        <v>54</v>
      </c>
      <c r="L22" s="9" t="s">
        <v>104</v>
      </c>
    </row>
    <row r="23" customFormat="false" ht="15" hidden="false" customHeight="false" outlineLevel="0" collapsed="false">
      <c r="A23" s="9" t="s">
        <v>189</v>
      </c>
      <c r="B23" s="9" t="s">
        <v>190</v>
      </c>
      <c r="C23" s="9" t="s">
        <v>10</v>
      </c>
      <c r="D23" s="9" t="s">
        <v>118</v>
      </c>
      <c r="E23" s="9" t="s">
        <v>100</v>
      </c>
      <c r="F23" s="9" t="s">
        <v>191</v>
      </c>
      <c r="G23" s="9" t="s">
        <v>192</v>
      </c>
      <c r="H23" s="9" t="s">
        <v>125</v>
      </c>
      <c r="I23" s="9" t="n">
        <v>29000000</v>
      </c>
      <c r="J23" s="9" t="n">
        <v>2.8</v>
      </c>
      <c r="K23" s="9" t="s">
        <v>116</v>
      </c>
      <c r="L23" s="9" t="s">
        <v>104</v>
      </c>
    </row>
    <row r="24" customFormat="false" ht="15" hidden="false" customHeight="false" outlineLevel="0" collapsed="false">
      <c r="A24" s="9" t="s">
        <v>193</v>
      </c>
      <c r="B24" s="9" t="s">
        <v>194</v>
      </c>
      <c r="C24" s="9" t="s">
        <v>56</v>
      </c>
      <c r="D24" s="9" t="s">
        <v>99</v>
      </c>
      <c r="E24" s="9" t="s">
        <v>107</v>
      </c>
      <c r="F24" s="9" t="s">
        <v>195</v>
      </c>
      <c r="G24" s="9" t="s">
        <v>196</v>
      </c>
      <c r="H24" s="9" t="s">
        <v>103</v>
      </c>
      <c r="I24" s="9" t="n">
        <v>29000000</v>
      </c>
      <c r="J24" s="9" t="n">
        <v>4.8</v>
      </c>
      <c r="K24" s="9" t="s">
        <v>54</v>
      </c>
      <c r="L24" s="9" t="s">
        <v>104</v>
      </c>
    </row>
    <row r="25" customFormat="false" ht="15" hidden="false" customHeight="false" outlineLevel="0" collapsed="false">
      <c r="A25" s="9" t="s">
        <v>197</v>
      </c>
      <c r="B25" s="9" t="s">
        <v>198</v>
      </c>
      <c r="C25" s="9" t="s">
        <v>14</v>
      </c>
      <c r="D25" s="9" t="s">
        <v>118</v>
      </c>
      <c r="E25" s="9" t="s">
        <v>107</v>
      </c>
      <c r="F25" s="9" t="s">
        <v>199</v>
      </c>
      <c r="G25" s="9" t="s">
        <v>200</v>
      </c>
      <c r="H25" s="9" t="s">
        <v>103</v>
      </c>
      <c r="I25" s="9" t="n">
        <v>28500000</v>
      </c>
      <c r="J25" s="9" t="n">
        <v>3.1</v>
      </c>
      <c r="K25" s="9" t="s">
        <v>50</v>
      </c>
      <c r="L25" s="9" t="s">
        <v>104</v>
      </c>
    </row>
    <row r="26" customFormat="false" ht="15" hidden="false" customHeight="false" outlineLevel="0" collapsed="false">
      <c r="A26" s="9" t="s">
        <v>201</v>
      </c>
      <c r="B26" s="9" t="s">
        <v>142</v>
      </c>
      <c r="C26" s="9" t="s">
        <v>63</v>
      </c>
      <c r="D26" s="9" t="s">
        <v>166</v>
      </c>
      <c r="E26" s="9" t="s">
        <v>107</v>
      </c>
      <c r="F26" s="9" t="s">
        <v>202</v>
      </c>
      <c r="G26" s="9" t="s">
        <v>203</v>
      </c>
      <c r="H26" s="9" t="s">
        <v>103</v>
      </c>
      <c r="I26" s="9" t="n">
        <v>13500000</v>
      </c>
      <c r="J26" s="9" t="n">
        <v>3.2</v>
      </c>
      <c r="K26" s="9" t="s">
        <v>116</v>
      </c>
      <c r="L26" s="9" t="s">
        <v>104</v>
      </c>
    </row>
    <row r="27" customFormat="false" ht="15" hidden="false" customHeight="false" outlineLevel="0" collapsed="false">
      <c r="A27" s="9" t="s">
        <v>204</v>
      </c>
      <c r="B27" s="9" t="s">
        <v>205</v>
      </c>
      <c r="C27" s="9" t="s">
        <v>67</v>
      </c>
      <c r="D27" s="9" t="s">
        <v>106</v>
      </c>
      <c r="E27" s="9" t="s">
        <v>100</v>
      </c>
      <c r="F27" s="9" t="s">
        <v>206</v>
      </c>
      <c r="G27" s="9" t="s">
        <v>207</v>
      </c>
      <c r="H27" s="9" t="s">
        <v>103</v>
      </c>
      <c r="I27" s="9" t="n">
        <v>25000000</v>
      </c>
      <c r="J27" s="9" t="n">
        <v>3.9</v>
      </c>
      <c r="K27" s="9" t="s">
        <v>116</v>
      </c>
      <c r="L27" s="9" t="s">
        <v>104</v>
      </c>
    </row>
    <row r="28" customFormat="false" ht="15" hidden="false" customHeight="false" outlineLevel="0" collapsed="false">
      <c r="A28" s="9" t="s">
        <v>208</v>
      </c>
      <c r="B28" s="9" t="s">
        <v>209</v>
      </c>
      <c r="C28" s="9" t="s">
        <v>71</v>
      </c>
      <c r="D28" s="9" t="s">
        <v>166</v>
      </c>
      <c r="E28" s="9" t="s">
        <v>107</v>
      </c>
      <c r="F28" s="9" t="s">
        <v>210</v>
      </c>
      <c r="G28" s="9" t="s">
        <v>211</v>
      </c>
      <c r="H28" s="9" t="s">
        <v>103</v>
      </c>
      <c r="I28" s="9" t="n">
        <v>28500000</v>
      </c>
      <c r="J28" s="9" t="n">
        <v>3</v>
      </c>
      <c r="K28" s="9" t="s">
        <v>50</v>
      </c>
      <c r="L28" s="9" t="s">
        <v>104</v>
      </c>
    </row>
    <row r="29" customFormat="false" ht="15" hidden="false" customHeight="false" outlineLevel="0" collapsed="false">
      <c r="A29" s="9" t="s">
        <v>212</v>
      </c>
      <c r="B29" s="9" t="s">
        <v>213</v>
      </c>
      <c r="C29" s="9" t="s">
        <v>75</v>
      </c>
      <c r="D29" s="9" t="s">
        <v>166</v>
      </c>
      <c r="E29" s="9" t="s">
        <v>107</v>
      </c>
      <c r="F29" s="9" t="s">
        <v>214</v>
      </c>
      <c r="G29" s="9" t="s">
        <v>215</v>
      </c>
      <c r="H29" s="9" t="s">
        <v>103</v>
      </c>
      <c r="I29" s="9" t="n">
        <v>21000000</v>
      </c>
      <c r="J29" s="9" t="n">
        <v>2.7</v>
      </c>
      <c r="K29" s="9" t="s">
        <v>50</v>
      </c>
      <c r="L29" s="9" t="s">
        <v>121</v>
      </c>
    </row>
    <row r="30" customFormat="false" ht="15" hidden="false" customHeight="false" outlineLevel="0" collapsed="false">
      <c r="A30" s="9" t="s">
        <v>80</v>
      </c>
      <c r="B30" s="9" t="s">
        <v>216</v>
      </c>
      <c r="C30" s="9" t="s">
        <v>79</v>
      </c>
      <c r="D30" s="9" t="s">
        <v>130</v>
      </c>
      <c r="E30" s="9" t="s">
        <v>100</v>
      </c>
      <c r="F30" s="9" t="s">
        <v>217</v>
      </c>
      <c r="G30" s="9" t="s">
        <v>218</v>
      </c>
      <c r="H30" s="9" t="s">
        <v>103</v>
      </c>
      <c r="I30" s="9" t="n">
        <v>22000000</v>
      </c>
      <c r="J30" s="9" t="n">
        <v>3.2</v>
      </c>
      <c r="K30" s="9" t="s">
        <v>54</v>
      </c>
      <c r="L30" s="9" t="s">
        <v>121</v>
      </c>
    </row>
    <row r="31" customFormat="false" ht="15" hidden="false" customHeight="false" outlineLevel="0" collapsed="false">
      <c r="A31" s="9" t="s">
        <v>219</v>
      </c>
      <c r="B31" s="9" t="s">
        <v>220</v>
      </c>
      <c r="C31" s="9" t="s">
        <v>83</v>
      </c>
      <c r="D31" s="9" t="s">
        <v>99</v>
      </c>
      <c r="E31" s="9" t="s">
        <v>107</v>
      </c>
      <c r="F31" s="9" t="s">
        <v>221</v>
      </c>
      <c r="G31" s="9" t="s">
        <v>222</v>
      </c>
      <c r="H31" s="9" t="s">
        <v>103</v>
      </c>
      <c r="I31" s="9" t="n">
        <v>17500000</v>
      </c>
      <c r="J31" s="9" t="n">
        <v>3.2</v>
      </c>
      <c r="K31" s="9" t="s">
        <v>50</v>
      </c>
      <c r="L31" s="9" t="s">
        <v>104</v>
      </c>
    </row>
    <row r="32" customFormat="false" ht="15" hidden="false" customHeight="false" outlineLevel="0" collapsed="false">
      <c r="A32" s="9" t="s">
        <v>223</v>
      </c>
      <c r="B32" s="9" t="s">
        <v>224</v>
      </c>
      <c r="C32" s="9" t="s">
        <v>8</v>
      </c>
      <c r="D32" s="9" t="s">
        <v>130</v>
      </c>
      <c r="E32" s="9" t="s">
        <v>107</v>
      </c>
      <c r="F32" s="9" t="s">
        <v>225</v>
      </c>
      <c r="G32" s="9" t="s">
        <v>176</v>
      </c>
      <c r="H32" s="9" t="s">
        <v>103</v>
      </c>
      <c r="I32" s="9" t="n">
        <v>11000000</v>
      </c>
      <c r="J32" s="9" t="n">
        <v>4</v>
      </c>
      <c r="K32" s="9" t="s">
        <v>110</v>
      </c>
      <c r="L32" s="9" t="s">
        <v>104</v>
      </c>
    </row>
    <row r="33" customFormat="false" ht="15" hidden="false" customHeight="false" outlineLevel="0" collapsed="false">
      <c r="A33" s="9" t="s">
        <v>226</v>
      </c>
      <c r="B33" s="9" t="s">
        <v>227</v>
      </c>
      <c r="C33" s="9" t="s">
        <v>10</v>
      </c>
      <c r="D33" s="9" t="s">
        <v>166</v>
      </c>
      <c r="E33" s="9" t="s">
        <v>107</v>
      </c>
      <c r="F33" s="9" t="s">
        <v>228</v>
      </c>
      <c r="G33" s="9" t="s">
        <v>229</v>
      </c>
      <c r="H33" s="9" t="s">
        <v>103</v>
      </c>
      <c r="I33" s="9" t="n">
        <v>25000000</v>
      </c>
      <c r="J33" s="9" t="n">
        <v>3.9</v>
      </c>
      <c r="K33" s="9" t="s">
        <v>50</v>
      </c>
      <c r="L33" s="9" t="s">
        <v>104</v>
      </c>
    </row>
    <row r="34" customFormat="false" ht="15" hidden="false" customHeight="false" outlineLevel="0" collapsed="false">
      <c r="A34" s="9" t="s">
        <v>230</v>
      </c>
      <c r="B34" s="9" t="s">
        <v>231</v>
      </c>
      <c r="C34" s="9" t="s">
        <v>56</v>
      </c>
      <c r="D34" s="9" t="s">
        <v>113</v>
      </c>
      <c r="E34" s="9" t="s">
        <v>100</v>
      </c>
      <c r="F34" s="9" t="s">
        <v>232</v>
      </c>
      <c r="G34" s="9" t="s">
        <v>233</v>
      </c>
      <c r="H34" s="9" t="s">
        <v>103</v>
      </c>
      <c r="I34" s="9" t="n">
        <v>30000000</v>
      </c>
      <c r="J34" s="9" t="n">
        <v>4.8</v>
      </c>
      <c r="K34" s="9" t="s">
        <v>116</v>
      </c>
      <c r="L34" s="9" t="s">
        <v>104</v>
      </c>
    </row>
    <row r="35" customFormat="false" ht="15" hidden="false" customHeight="false" outlineLevel="0" collapsed="false">
      <c r="A35" s="9" t="s">
        <v>234</v>
      </c>
      <c r="B35" s="9" t="s">
        <v>235</v>
      </c>
      <c r="C35" s="9" t="s">
        <v>14</v>
      </c>
      <c r="D35" s="9" t="s">
        <v>130</v>
      </c>
      <c r="E35" s="9" t="s">
        <v>107</v>
      </c>
      <c r="F35" s="9" t="s">
        <v>236</v>
      </c>
      <c r="G35" s="9" t="s">
        <v>237</v>
      </c>
      <c r="H35" s="9" t="s">
        <v>103</v>
      </c>
      <c r="I35" s="9" t="n">
        <v>9500000</v>
      </c>
      <c r="J35" s="9" t="n">
        <v>2.9</v>
      </c>
      <c r="K35" s="9" t="s">
        <v>116</v>
      </c>
      <c r="L35" s="9" t="s">
        <v>104</v>
      </c>
    </row>
    <row r="36" customFormat="false" ht="15" hidden="false" customHeight="false" outlineLevel="0" collapsed="false">
      <c r="A36" s="9" t="s">
        <v>238</v>
      </c>
      <c r="B36" s="9" t="s">
        <v>239</v>
      </c>
      <c r="C36" s="9" t="s">
        <v>63</v>
      </c>
      <c r="D36" s="9" t="s">
        <v>106</v>
      </c>
      <c r="E36" s="9" t="s">
        <v>107</v>
      </c>
      <c r="F36" s="9" t="s">
        <v>240</v>
      </c>
      <c r="G36" s="9" t="s">
        <v>241</v>
      </c>
      <c r="H36" s="9" t="s">
        <v>125</v>
      </c>
      <c r="I36" s="9" t="n">
        <v>2500000</v>
      </c>
      <c r="J36" s="9" t="n">
        <v>4.6</v>
      </c>
      <c r="K36" s="9" t="s">
        <v>54</v>
      </c>
      <c r="L36" s="9" t="s">
        <v>104</v>
      </c>
    </row>
    <row r="37" customFormat="false" ht="15" hidden="false" customHeight="false" outlineLevel="0" collapsed="false">
      <c r="A37" s="9" t="s">
        <v>242</v>
      </c>
      <c r="B37" s="9" t="s">
        <v>243</v>
      </c>
      <c r="C37" s="9" t="s">
        <v>67</v>
      </c>
      <c r="D37" s="9" t="s">
        <v>99</v>
      </c>
      <c r="E37" s="9" t="s">
        <v>107</v>
      </c>
      <c r="F37" s="9" t="s">
        <v>244</v>
      </c>
      <c r="G37" s="9" t="s">
        <v>245</v>
      </c>
      <c r="H37" s="9" t="s">
        <v>103</v>
      </c>
      <c r="I37" s="9" t="n">
        <v>23000000</v>
      </c>
      <c r="J37" s="9" t="n">
        <v>3.1</v>
      </c>
      <c r="K37" s="9" t="s">
        <v>116</v>
      </c>
      <c r="L37" s="9" t="s">
        <v>104</v>
      </c>
    </row>
    <row r="38" customFormat="false" ht="15" hidden="false" customHeight="false" outlineLevel="0" collapsed="false">
      <c r="A38" s="9" t="s">
        <v>246</v>
      </c>
      <c r="B38" s="9" t="s">
        <v>247</v>
      </c>
      <c r="C38" s="9" t="s">
        <v>71</v>
      </c>
      <c r="D38" s="9" t="s">
        <v>118</v>
      </c>
      <c r="E38" s="9" t="s">
        <v>107</v>
      </c>
      <c r="F38" s="9" t="s">
        <v>248</v>
      </c>
      <c r="G38" s="9" t="s">
        <v>249</v>
      </c>
      <c r="H38" s="9" t="s">
        <v>125</v>
      </c>
      <c r="I38" s="9" t="n">
        <v>6500000</v>
      </c>
      <c r="J38" s="9" t="n">
        <v>4.9</v>
      </c>
      <c r="K38" s="9" t="s">
        <v>54</v>
      </c>
      <c r="L38" s="9" t="s">
        <v>104</v>
      </c>
    </row>
    <row r="39" customFormat="false" ht="15" hidden="false" customHeight="false" outlineLevel="0" collapsed="false">
      <c r="A39" s="9" t="s">
        <v>250</v>
      </c>
      <c r="B39" s="9" t="s">
        <v>251</v>
      </c>
      <c r="C39" s="9" t="s">
        <v>75</v>
      </c>
      <c r="D39" s="9" t="s">
        <v>118</v>
      </c>
      <c r="E39" s="9" t="s">
        <v>100</v>
      </c>
      <c r="F39" s="9" t="s">
        <v>252</v>
      </c>
      <c r="G39" s="9" t="s">
        <v>253</v>
      </c>
      <c r="H39" s="9" t="s">
        <v>125</v>
      </c>
      <c r="I39" s="9" t="n">
        <v>22500000</v>
      </c>
      <c r="J39" s="9" t="n">
        <v>4.7</v>
      </c>
      <c r="K39" s="9" t="s">
        <v>54</v>
      </c>
      <c r="L39" s="9" t="s">
        <v>104</v>
      </c>
    </row>
    <row r="40" customFormat="false" ht="15" hidden="false" customHeight="false" outlineLevel="0" collapsed="false">
      <c r="A40" s="9" t="s">
        <v>254</v>
      </c>
      <c r="B40" s="9" t="s">
        <v>255</v>
      </c>
      <c r="C40" s="9" t="s">
        <v>79</v>
      </c>
      <c r="D40" s="9" t="s">
        <v>99</v>
      </c>
      <c r="E40" s="9" t="s">
        <v>107</v>
      </c>
      <c r="F40" s="9" t="s">
        <v>256</v>
      </c>
      <c r="G40" s="9" t="s">
        <v>257</v>
      </c>
      <c r="H40" s="9" t="s">
        <v>103</v>
      </c>
      <c r="I40" s="9" t="n">
        <v>7500000</v>
      </c>
      <c r="J40" s="9" t="n">
        <v>4.5</v>
      </c>
      <c r="K40" s="9" t="s">
        <v>50</v>
      </c>
      <c r="L40" s="9" t="s">
        <v>104</v>
      </c>
    </row>
    <row r="41" customFormat="false" ht="15" hidden="false" customHeight="false" outlineLevel="0" collapsed="false">
      <c r="A41" s="9" t="s">
        <v>258</v>
      </c>
      <c r="B41" s="9" t="s">
        <v>259</v>
      </c>
      <c r="C41" s="9" t="s">
        <v>83</v>
      </c>
      <c r="D41" s="9" t="s">
        <v>113</v>
      </c>
      <c r="E41" s="9" t="s">
        <v>107</v>
      </c>
      <c r="F41" s="9" t="s">
        <v>260</v>
      </c>
      <c r="G41" s="9" t="s">
        <v>261</v>
      </c>
      <c r="H41" s="9" t="s">
        <v>103</v>
      </c>
      <c r="I41" s="9" t="n">
        <v>29000000</v>
      </c>
      <c r="J41" s="9" t="n">
        <v>2.7</v>
      </c>
      <c r="K41" s="9" t="s">
        <v>116</v>
      </c>
      <c r="L41" s="9" t="s">
        <v>104</v>
      </c>
    </row>
    <row r="42" customFormat="false" ht="15" hidden="false" customHeight="false" outlineLevel="0" collapsed="false">
      <c r="A42" s="9" t="s">
        <v>262</v>
      </c>
      <c r="B42" s="9" t="s">
        <v>263</v>
      </c>
      <c r="C42" s="9" t="s">
        <v>8</v>
      </c>
      <c r="D42" s="9" t="s">
        <v>99</v>
      </c>
      <c r="E42" s="9" t="s">
        <v>107</v>
      </c>
      <c r="F42" s="9" t="s">
        <v>264</v>
      </c>
      <c r="G42" s="9" t="s">
        <v>265</v>
      </c>
      <c r="H42" s="9" t="s">
        <v>103</v>
      </c>
      <c r="I42" s="9" t="n">
        <v>20000000</v>
      </c>
      <c r="J42" s="9" t="n">
        <v>4.9</v>
      </c>
      <c r="K42" s="9" t="s">
        <v>116</v>
      </c>
      <c r="L42" s="9" t="s">
        <v>104</v>
      </c>
    </row>
    <row r="43" customFormat="false" ht="15" hidden="false" customHeight="false" outlineLevel="0" collapsed="false">
      <c r="A43" s="9" t="s">
        <v>266</v>
      </c>
      <c r="B43" s="9" t="s">
        <v>267</v>
      </c>
      <c r="C43" s="9" t="s">
        <v>10</v>
      </c>
      <c r="D43" s="9" t="s">
        <v>106</v>
      </c>
      <c r="E43" s="9" t="s">
        <v>100</v>
      </c>
      <c r="F43" s="9" t="s">
        <v>268</v>
      </c>
      <c r="G43" s="9" t="s">
        <v>269</v>
      </c>
      <c r="H43" s="9" t="s">
        <v>125</v>
      </c>
      <c r="I43" s="9" t="n">
        <v>5000000</v>
      </c>
      <c r="J43" s="9" t="n">
        <v>3.5</v>
      </c>
      <c r="K43" s="9" t="s">
        <v>116</v>
      </c>
      <c r="L43" s="9" t="s">
        <v>104</v>
      </c>
    </row>
    <row r="44" customFormat="false" ht="15" hidden="false" customHeight="false" outlineLevel="0" collapsed="false">
      <c r="A44" s="9" t="s">
        <v>270</v>
      </c>
      <c r="B44" s="9" t="s">
        <v>271</v>
      </c>
      <c r="C44" s="9" t="s">
        <v>56</v>
      </c>
      <c r="D44" s="9" t="s">
        <v>166</v>
      </c>
      <c r="E44" s="9" t="s">
        <v>107</v>
      </c>
      <c r="F44" s="9" t="s">
        <v>272</v>
      </c>
      <c r="G44" s="9" t="s">
        <v>273</v>
      </c>
      <c r="H44" s="9" t="s">
        <v>103</v>
      </c>
      <c r="I44" s="9" t="n">
        <v>22500000</v>
      </c>
      <c r="J44" s="9" t="n">
        <v>4.8</v>
      </c>
      <c r="K44" s="9" t="s">
        <v>54</v>
      </c>
      <c r="L44" s="9" t="s">
        <v>104</v>
      </c>
    </row>
    <row r="45" customFormat="false" ht="15" hidden="false" customHeight="false" outlineLevel="0" collapsed="false">
      <c r="A45" s="9" t="s">
        <v>274</v>
      </c>
      <c r="B45" s="9" t="s">
        <v>275</v>
      </c>
      <c r="C45" s="9" t="s">
        <v>14</v>
      </c>
      <c r="D45" s="9" t="s">
        <v>113</v>
      </c>
      <c r="E45" s="9" t="s">
        <v>100</v>
      </c>
      <c r="F45" s="9" t="s">
        <v>276</v>
      </c>
      <c r="G45" s="9" t="s">
        <v>277</v>
      </c>
      <c r="H45" s="9" t="s">
        <v>125</v>
      </c>
      <c r="I45" s="9" t="n">
        <v>14000000</v>
      </c>
      <c r="J45" s="9" t="n">
        <v>4.2</v>
      </c>
      <c r="K45" s="9" t="s">
        <v>116</v>
      </c>
      <c r="L45" s="9" t="s">
        <v>104</v>
      </c>
    </row>
    <row r="46" customFormat="false" ht="15" hidden="false" customHeight="false" outlineLevel="0" collapsed="false">
      <c r="A46" s="9" t="s">
        <v>278</v>
      </c>
      <c r="B46" s="9" t="s">
        <v>279</v>
      </c>
      <c r="C46" s="9" t="s">
        <v>63</v>
      </c>
      <c r="D46" s="9" t="s">
        <v>118</v>
      </c>
      <c r="E46" s="9" t="s">
        <v>100</v>
      </c>
      <c r="F46" s="9" t="s">
        <v>280</v>
      </c>
      <c r="G46" s="9" t="s">
        <v>281</v>
      </c>
      <c r="H46" s="9" t="s">
        <v>125</v>
      </c>
      <c r="I46" s="9" t="n">
        <v>1500000</v>
      </c>
      <c r="J46" s="9" t="n">
        <v>3.3</v>
      </c>
      <c r="K46" s="9" t="s">
        <v>110</v>
      </c>
      <c r="L46" s="9" t="s">
        <v>104</v>
      </c>
    </row>
    <row r="47" customFormat="false" ht="15" hidden="false" customHeight="false" outlineLevel="0" collapsed="false">
      <c r="A47" s="9" t="s">
        <v>282</v>
      </c>
      <c r="B47" s="9" t="s">
        <v>283</v>
      </c>
      <c r="C47" s="9" t="s">
        <v>67</v>
      </c>
      <c r="D47" s="9" t="s">
        <v>106</v>
      </c>
      <c r="E47" s="9" t="s">
        <v>100</v>
      </c>
      <c r="F47" s="9" t="s">
        <v>284</v>
      </c>
      <c r="G47" s="9" t="s">
        <v>285</v>
      </c>
      <c r="H47" s="9" t="s">
        <v>125</v>
      </c>
      <c r="I47" s="9" t="n">
        <v>16500000</v>
      </c>
      <c r="J47" s="9" t="n">
        <v>4.5</v>
      </c>
      <c r="K47" s="9" t="s">
        <v>110</v>
      </c>
      <c r="L47" s="9" t="s">
        <v>104</v>
      </c>
    </row>
    <row r="48" customFormat="false" ht="15" hidden="false" customHeight="false" outlineLevel="0" collapsed="false">
      <c r="A48" s="9" t="s">
        <v>286</v>
      </c>
      <c r="B48" s="9" t="s">
        <v>287</v>
      </c>
      <c r="C48" s="9" t="s">
        <v>71</v>
      </c>
      <c r="D48" s="9" t="s">
        <v>130</v>
      </c>
      <c r="E48" s="9" t="s">
        <v>100</v>
      </c>
      <c r="F48" s="9" t="s">
        <v>288</v>
      </c>
      <c r="G48" s="9" t="s">
        <v>289</v>
      </c>
      <c r="H48" s="9" t="s">
        <v>125</v>
      </c>
      <c r="I48" s="9" t="n">
        <v>11000000</v>
      </c>
      <c r="J48" s="9" t="n">
        <v>3.1</v>
      </c>
      <c r="K48" s="9" t="s">
        <v>54</v>
      </c>
      <c r="L48" s="9" t="s">
        <v>104</v>
      </c>
    </row>
    <row r="49" customFormat="false" ht="15" hidden="false" customHeight="false" outlineLevel="0" collapsed="false">
      <c r="A49" s="9" t="s">
        <v>290</v>
      </c>
      <c r="B49" s="9" t="s">
        <v>291</v>
      </c>
      <c r="C49" s="9" t="s">
        <v>75</v>
      </c>
      <c r="D49" s="9" t="s">
        <v>130</v>
      </c>
      <c r="E49" s="9" t="s">
        <v>107</v>
      </c>
      <c r="F49" s="9" t="s">
        <v>292</v>
      </c>
      <c r="G49" s="9" t="s">
        <v>293</v>
      </c>
      <c r="H49" s="9" t="s">
        <v>103</v>
      </c>
      <c r="I49" s="9" t="n">
        <v>19500000</v>
      </c>
      <c r="J49" s="9" t="n">
        <v>3</v>
      </c>
      <c r="K49" s="9" t="s">
        <v>50</v>
      </c>
      <c r="L49" s="9" t="s">
        <v>104</v>
      </c>
    </row>
    <row r="50" customFormat="false" ht="15" hidden="false" customHeight="false" outlineLevel="0" collapsed="false">
      <c r="A50" s="9" t="s">
        <v>294</v>
      </c>
      <c r="B50" s="9" t="s">
        <v>295</v>
      </c>
      <c r="C50" s="9" t="s">
        <v>79</v>
      </c>
      <c r="D50" s="9" t="s">
        <v>118</v>
      </c>
      <c r="E50" s="9" t="s">
        <v>107</v>
      </c>
      <c r="F50" s="9" t="s">
        <v>296</v>
      </c>
      <c r="G50" s="9" t="s">
        <v>297</v>
      </c>
      <c r="H50" s="9" t="s">
        <v>103</v>
      </c>
      <c r="I50" s="9" t="n">
        <v>15000000</v>
      </c>
      <c r="J50" s="9" t="n">
        <v>3</v>
      </c>
      <c r="K50" s="9" t="s">
        <v>50</v>
      </c>
      <c r="L50" s="9" t="s">
        <v>104</v>
      </c>
    </row>
    <row r="51" customFormat="false" ht="15" hidden="false" customHeight="false" outlineLevel="0" collapsed="false">
      <c r="A51" s="9" t="s">
        <v>84</v>
      </c>
      <c r="B51" s="9" t="s">
        <v>298</v>
      </c>
      <c r="C51" s="9" t="s">
        <v>83</v>
      </c>
      <c r="D51" s="9" t="s">
        <v>130</v>
      </c>
      <c r="E51" s="9" t="s">
        <v>107</v>
      </c>
      <c r="F51" s="9" t="s">
        <v>299</v>
      </c>
      <c r="G51" s="9" t="s">
        <v>300</v>
      </c>
      <c r="H51" s="9" t="s">
        <v>103</v>
      </c>
      <c r="I51" s="9" t="n">
        <v>18000000</v>
      </c>
      <c r="J51" s="9" t="n">
        <v>5</v>
      </c>
      <c r="K51" s="9" t="s">
        <v>116</v>
      </c>
      <c r="L51" s="9" t="s">
        <v>121</v>
      </c>
    </row>
    <row r="52" customFormat="false" ht="15" hidden="false" customHeight="false" outlineLevel="0" collapsed="false">
      <c r="A52" s="9" t="s">
        <v>301</v>
      </c>
      <c r="B52" s="9" t="s">
        <v>302</v>
      </c>
      <c r="C52" s="9" t="s">
        <v>8</v>
      </c>
      <c r="D52" s="9" t="s">
        <v>138</v>
      </c>
      <c r="E52" s="9" t="s">
        <v>100</v>
      </c>
      <c r="F52" s="9" t="s">
        <v>303</v>
      </c>
      <c r="G52" s="9" t="s">
        <v>304</v>
      </c>
      <c r="H52" s="9" t="s">
        <v>103</v>
      </c>
      <c r="I52" s="9" t="n">
        <v>30000000</v>
      </c>
      <c r="J52" s="9" t="n">
        <v>2.9</v>
      </c>
      <c r="K52" s="9" t="s">
        <v>50</v>
      </c>
      <c r="L52" s="9" t="s">
        <v>104</v>
      </c>
    </row>
    <row r="53" customFormat="false" ht="15" hidden="false" customHeight="false" outlineLevel="0" collapsed="false">
      <c r="A53" s="9" t="s">
        <v>305</v>
      </c>
      <c r="B53" s="9" t="s">
        <v>306</v>
      </c>
      <c r="C53" s="9" t="s">
        <v>10</v>
      </c>
      <c r="D53" s="9" t="s">
        <v>113</v>
      </c>
      <c r="E53" s="9" t="s">
        <v>100</v>
      </c>
      <c r="F53" s="9" t="s">
        <v>307</v>
      </c>
      <c r="G53" s="9" t="s">
        <v>308</v>
      </c>
      <c r="H53" s="9" t="s">
        <v>103</v>
      </c>
      <c r="I53" s="9" t="n">
        <v>15500000</v>
      </c>
      <c r="J53" s="9" t="n">
        <v>2.7</v>
      </c>
      <c r="K53" s="9" t="s">
        <v>110</v>
      </c>
      <c r="L53" s="9" t="s">
        <v>104</v>
      </c>
    </row>
    <row r="54" customFormat="false" ht="15" hidden="false" customHeight="false" outlineLevel="0" collapsed="false">
      <c r="A54" s="9" t="s">
        <v>309</v>
      </c>
      <c r="B54" s="9" t="s">
        <v>310</v>
      </c>
      <c r="C54" s="9" t="s">
        <v>56</v>
      </c>
      <c r="D54" s="9" t="s">
        <v>99</v>
      </c>
      <c r="E54" s="9" t="s">
        <v>107</v>
      </c>
      <c r="F54" s="9" t="s">
        <v>311</v>
      </c>
      <c r="G54" s="9" t="s">
        <v>312</v>
      </c>
      <c r="H54" s="9" t="s">
        <v>125</v>
      </c>
      <c r="I54" s="9" t="n">
        <v>13500000</v>
      </c>
      <c r="J54" s="9" t="n">
        <v>4.2</v>
      </c>
      <c r="K54" s="9" t="s">
        <v>116</v>
      </c>
      <c r="L54" s="9" t="s">
        <v>104</v>
      </c>
    </row>
    <row r="55" customFormat="false" ht="15" hidden="false" customHeight="false" outlineLevel="0" collapsed="false">
      <c r="A55" s="9" t="s">
        <v>313</v>
      </c>
      <c r="B55" s="9" t="s">
        <v>314</v>
      </c>
      <c r="C55" s="9" t="s">
        <v>14</v>
      </c>
      <c r="D55" s="9" t="s">
        <v>99</v>
      </c>
      <c r="E55" s="9" t="s">
        <v>100</v>
      </c>
      <c r="F55" s="9" t="s">
        <v>315</v>
      </c>
      <c r="G55" s="9" t="s">
        <v>316</v>
      </c>
      <c r="H55" s="9" t="s">
        <v>103</v>
      </c>
      <c r="I55" s="9" t="n">
        <v>28000000</v>
      </c>
      <c r="J55" s="9" t="n">
        <v>3.6</v>
      </c>
      <c r="K55" s="9" t="s">
        <v>116</v>
      </c>
      <c r="L55" s="9" t="s">
        <v>104</v>
      </c>
    </row>
    <row r="56" customFormat="false" ht="15" hidden="false" customHeight="false" outlineLevel="0" collapsed="false">
      <c r="A56" s="9" t="s">
        <v>317</v>
      </c>
      <c r="B56" s="9" t="s">
        <v>318</v>
      </c>
      <c r="C56" s="9" t="s">
        <v>63</v>
      </c>
      <c r="D56" s="9" t="s">
        <v>118</v>
      </c>
      <c r="E56" s="9" t="s">
        <v>100</v>
      </c>
      <c r="F56" s="9" t="s">
        <v>319</v>
      </c>
      <c r="G56" s="9" t="s">
        <v>320</v>
      </c>
      <c r="H56" s="9" t="s">
        <v>103</v>
      </c>
      <c r="I56" s="9" t="n">
        <v>30000000</v>
      </c>
      <c r="J56" s="9" t="n">
        <v>4.9</v>
      </c>
      <c r="K56" s="9" t="s">
        <v>50</v>
      </c>
      <c r="L56" s="9" t="s">
        <v>104</v>
      </c>
    </row>
    <row r="57" customFormat="false" ht="15" hidden="false" customHeight="false" outlineLevel="0" collapsed="false">
      <c r="A57" s="9" t="s">
        <v>321</v>
      </c>
      <c r="B57" s="9" t="s">
        <v>322</v>
      </c>
      <c r="C57" s="9" t="s">
        <v>67</v>
      </c>
      <c r="D57" s="9" t="s">
        <v>166</v>
      </c>
      <c r="E57" s="9" t="s">
        <v>100</v>
      </c>
      <c r="F57" s="9" t="s">
        <v>323</v>
      </c>
      <c r="G57" s="9" t="s">
        <v>324</v>
      </c>
      <c r="H57" s="9" t="s">
        <v>103</v>
      </c>
      <c r="I57" s="9" t="n">
        <v>13500000</v>
      </c>
      <c r="J57" s="9" t="n">
        <v>3.3</v>
      </c>
      <c r="K57" s="9" t="s">
        <v>116</v>
      </c>
      <c r="L57" s="9" t="s">
        <v>104</v>
      </c>
    </row>
    <row r="58" customFormat="false" ht="15" hidden="false" customHeight="false" outlineLevel="0" collapsed="false">
      <c r="A58" s="9" t="s">
        <v>325</v>
      </c>
      <c r="B58" s="9" t="s">
        <v>326</v>
      </c>
      <c r="C58" s="9" t="s">
        <v>71</v>
      </c>
      <c r="D58" s="9" t="s">
        <v>106</v>
      </c>
      <c r="E58" s="9" t="s">
        <v>107</v>
      </c>
      <c r="F58" s="9" t="s">
        <v>327</v>
      </c>
      <c r="G58" s="9" t="s">
        <v>328</v>
      </c>
      <c r="H58" s="9" t="s">
        <v>103</v>
      </c>
      <c r="I58" s="9" t="n">
        <v>19500000</v>
      </c>
      <c r="J58" s="9" t="n">
        <v>4.2</v>
      </c>
      <c r="K58" s="9" t="s">
        <v>50</v>
      </c>
      <c r="L58" s="9" t="s">
        <v>104</v>
      </c>
    </row>
    <row r="59" customFormat="false" ht="15" hidden="false" customHeight="false" outlineLevel="0" collapsed="false">
      <c r="A59" s="9" t="s">
        <v>329</v>
      </c>
      <c r="B59" s="9" t="s">
        <v>330</v>
      </c>
      <c r="C59" s="9" t="s">
        <v>75</v>
      </c>
      <c r="D59" s="9" t="s">
        <v>113</v>
      </c>
      <c r="E59" s="9" t="s">
        <v>107</v>
      </c>
      <c r="F59" s="9" t="s">
        <v>331</v>
      </c>
      <c r="G59" s="9" t="s">
        <v>332</v>
      </c>
      <c r="H59" s="9" t="s">
        <v>103</v>
      </c>
      <c r="I59" s="9" t="n">
        <v>8000000</v>
      </c>
      <c r="J59" s="9" t="n">
        <v>3.6</v>
      </c>
      <c r="K59" s="9" t="s">
        <v>116</v>
      </c>
      <c r="L59" s="9" t="s">
        <v>104</v>
      </c>
    </row>
    <row r="60" customFormat="false" ht="15" hidden="false" customHeight="false" outlineLevel="0" collapsed="false">
      <c r="A60" s="9" t="s">
        <v>333</v>
      </c>
      <c r="B60" s="9" t="s">
        <v>306</v>
      </c>
      <c r="C60" s="9" t="s">
        <v>79</v>
      </c>
      <c r="D60" s="9" t="s">
        <v>138</v>
      </c>
      <c r="E60" s="9" t="s">
        <v>100</v>
      </c>
      <c r="F60" s="9" t="s">
        <v>334</v>
      </c>
      <c r="G60" s="9" t="s">
        <v>335</v>
      </c>
      <c r="H60" s="9" t="s">
        <v>103</v>
      </c>
      <c r="I60" s="9" t="n">
        <v>2000000</v>
      </c>
      <c r="J60" s="9" t="n">
        <v>4.4</v>
      </c>
      <c r="K60" s="9" t="s">
        <v>110</v>
      </c>
      <c r="L60" s="9" t="s">
        <v>121</v>
      </c>
    </row>
    <row r="61" customFormat="false" ht="15" hidden="false" customHeight="false" outlineLevel="0" collapsed="false">
      <c r="A61" s="9" t="s">
        <v>336</v>
      </c>
      <c r="B61" s="9" t="s">
        <v>337</v>
      </c>
      <c r="C61" s="9" t="s">
        <v>83</v>
      </c>
      <c r="D61" s="9" t="s">
        <v>166</v>
      </c>
      <c r="E61" s="9" t="s">
        <v>107</v>
      </c>
      <c r="F61" s="9" t="s">
        <v>338</v>
      </c>
      <c r="G61" s="9" t="s">
        <v>339</v>
      </c>
      <c r="H61" s="9" t="s">
        <v>125</v>
      </c>
      <c r="I61" s="9" t="n">
        <v>25500000</v>
      </c>
      <c r="J61" s="9" t="n">
        <v>2.6</v>
      </c>
      <c r="K61" s="9" t="s">
        <v>54</v>
      </c>
      <c r="L61" s="9" t="s">
        <v>104</v>
      </c>
    </row>
    <row r="62" customFormat="false" ht="15" hidden="false" customHeight="false" outlineLevel="0" collapsed="false">
      <c r="A62" s="9" t="s">
        <v>340</v>
      </c>
      <c r="B62" s="9" t="s">
        <v>341</v>
      </c>
      <c r="C62" s="9" t="s">
        <v>8</v>
      </c>
      <c r="D62" s="9" t="s">
        <v>130</v>
      </c>
      <c r="E62" s="9" t="s">
        <v>107</v>
      </c>
      <c r="F62" s="9" t="s">
        <v>342</v>
      </c>
      <c r="G62" s="9" t="s">
        <v>343</v>
      </c>
      <c r="H62" s="9" t="s">
        <v>125</v>
      </c>
      <c r="I62" s="9" t="n">
        <v>5000000</v>
      </c>
      <c r="J62" s="9" t="n">
        <v>3.9</v>
      </c>
      <c r="K62" s="9" t="s">
        <v>110</v>
      </c>
      <c r="L62" s="9" t="s">
        <v>104</v>
      </c>
    </row>
    <row r="63" customFormat="false" ht="15" hidden="false" customHeight="false" outlineLevel="0" collapsed="false">
      <c r="A63" s="9" t="s">
        <v>344</v>
      </c>
      <c r="B63" s="9" t="s">
        <v>345</v>
      </c>
      <c r="C63" s="9" t="s">
        <v>10</v>
      </c>
      <c r="D63" s="9" t="s">
        <v>113</v>
      </c>
      <c r="E63" s="9" t="s">
        <v>107</v>
      </c>
      <c r="F63" s="9" t="s">
        <v>346</v>
      </c>
      <c r="G63" s="9" t="s">
        <v>347</v>
      </c>
      <c r="H63" s="9" t="s">
        <v>103</v>
      </c>
      <c r="I63" s="9" t="n">
        <v>4500000</v>
      </c>
      <c r="J63" s="9" t="n">
        <v>3.9</v>
      </c>
      <c r="K63" s="9" t="s">
        <v>116</v>
      </c>
      <c r="L63" s="9" t="s">
        <v>104</v>
      </c>
    </row>
    <row r="64" customFormat="false" ht="15" hidden="false" customHeight="false" outlineLevel="0" collapsed="false">
      <c r="A64" s="9" t="s">
        <v>57</v>
      </c>
      <c r="B64" s="9" t="s">
        <v>348</v>
      </c>
      <c r="C64" s="9" t="s">
        <v>56</v>
      </c>
      <c r="D64" s="9" t="s">
        <v>130</v>
      </c>
      <c r="E64" s="9" t="s">
        <v>107</v>
      </c>
      <c r="F64" s="9" t="s">
        <v>349</v>
      </c>
      <c r="G64" s="9" t="s">
        <v>350</v>
      </c>
      <c r="H64" s="9" t="s">
        <v>103</v>
      </c>
      <c r="I64" s="9" t="n">
        <v>28000000</v>
      </c>
      <c r="J64" s="9" t="n">
        <v>4.1</v>
      </c>
      <c r="K64" s="9" t="s">
        <v>110</v>
      </c>
      <c r="L64" s="9" t="s">
        <v>104</v>
      </c>
    </row>
    <row r="65" customFormat="false" ht="15" hidden="false" customHeight="false" outlineLevel="0" collapsed="false">
      <c r="A65" s="9" t="s">
        <v>351</v>
      </c>
      <c r="B65" s="9" t="s">
        <v>352</v>
      </c>
      <c r="C65" s="9" t="s">
        <v>14</v>
      </c>
      <c r="D65" s="9" t="s">
        <v>118</v>
      </c>
      <c r="E65" s="9" t="s">
        <v>107</v>
      </c>
      <c r="F65" s="9" t="s">
        <v>353</v>
      </c>
      <c r="G65" s="9" t="s">
        <v>354</v>
      </c>
      <c r="H65" s="9" t="s">
        <v>103</v>
      </c>
      <c r="I65" s="9" t="n">
        <v>2500000</v>
      </c>
      <c r="J65" s="9" t="n">
        <v>3.4</v>
      </c>
      <c r="K65" s="9" t="s">
        <v>54</v>
      </c>
      <c r="L65" s="9" t="s">
        <v>104</v>
      </c>
    </row>
    <row r="66" customFormat="false" ht="15" hidden="false" customHeight="false" outlineLevel="0" collapsed="false">
      <c r="A66" s="9" t="s">
        <v>355</v>
      </c>
      <c r="B66" s="9" t="s">
        <v>356</v>
      </c>
      <c r="C66" s="9" t="s">
        <v>63</v>
      </c>
      <c r="D66" s="9" t="s">
        <v>118</v>
      </c>
      <c r="E66" s="9" t="s">
        <v>100</v>
      </c>
      <c r="F66" s="9" t="s">
        <v>357</v>
      </c>
      <c r="G66" s="9" t="s">
        <v>358</v>
      </c>
      <c r="H66" s="9" t="s">
        <v>103</v>
      </c>
      <c r="I66" s="9" t="n">
        <v>17000000</v>
      </c>
      <c r="J66" s="9" t="n">
        <v>2.8</v>
      </c>
      <c r="K66" s="9" t="s">
        <v>116</v>
      </c>
      <c r="L66" s="9" t="s">
        <v>104</v>
      </c>
    </row>
    <row r="67" customFormat="false" ht="15" hidden="false" customHeight="false" outlineLevel="0" collapsed="false">
      <c r="A67" s="9" t="s">
        <v>359</v>
      </c>
      <c r="B67" s="9" t="s">
        <v>360</v>
      </c>
      <c r="C67" s="9" t="s">
        <v>67</v>
      </c>
      <c r="D67" s="9" t="s">
        <v>130</v>
      </c>
      <c r="E67" s="9" t="s">
        <v>107</v>
      </c>
      <c r="F67" s="9" t="s">
        <v>361</v>
      </c>
      <c r="G67" s="9" t="s">
        <v>362</v>
      </c>
      <c r="H67" s="9" t="s">
        <v>103</v>
      </c>
      <c r="I67" s="9" t="n">
        <v>10000000</v>
      </c>
      <c r="J67" s="9" t="n">
        <v>4</v>
      </c>
      <c r="K67" s="9" t="s">
        <v>110</v>
      </c>
      <c r="L67" s="9" t="s">
        <v>104</v>
      </c>
    </row>
    <row r="68" customFormat="false" ht="15" hidden="false" customHeight="false" outlineLevel="0" collapsed="false">
      <c r="A68" s="9" t="s">
        <v>363</v>
      </c>
      <c r="B68" s="9" t="s">
        <v>364</v>
      </c>
      <c r="C68" s="9" t="s">
        <v>71</v>
      </c>
      <c r="D68" s="9" t="s">
        <v>113</v>
      </c>
      <c r="E68" s="9" t="s">
        <v>107</v>
      </c>
      <c r="F68" s="9" t="s">
        <v>365</v>
      </c>
      <c r="G68" s="9" t="s">
        <v>304</v>
      </c>
      <c r="H68" s="9" t="s">
        <v>103</v>
      </c>
      <c r="I68" s="9" t="n">
        <v>29500000</v>
      </c>
      <c r="J68" s="9" t="n">
        <v>3.6</v>
      </c>
      <c r="K68" s="9" t="s">
        <v>116</v>
      </c>
      <c r="L68" s="9" t="s">
        <v>104</v>
      </c>
    </row>
    <row r="69" customFormat="false" ht="15" hidden="false" customHeight="false" outlineLevel="0" collapsed="false">
      <c r="A69" s="9" t="s">
        <v>366</v>
      </c>
      <c r="B69" s="9" t="s">
        <v>367</v>
      </c>
      <c r="C69" s="9" t="s">
        <v>75</v>
      </c>
      <c r="D69" s="9" t="s">
        <v>99</v>
      </c>
      <c r="E69" s="9" t="s">
        <v>100</v>
      </c>
      <c r="F69" s="9" t="s">
        <v>368</v>
      </c>
      <c r="G69" s="9" t="s">
        <v>369</v>
      </c>
      <c r="H69" s="9" t="s">
        <v>103</v>
      </c>
      <c r="I69" s="9" t="n">
        <v>17000000</v>
      </c>
      <c r="J69" s="9" t="n">
        <v>3</v>
      </c>
      <c r="K69" s="9" t="s">
        <v>110</v>
      </c>
      <c r="L69" s="9" t="s">
        <v>104</v>
      </c>
    </row>
    <row r="70" customFormat="false" ht="15" hidden="false" customHeight="false" outlineLevel="0" collapsed="false">
      <c r="A70" s="9" t="s">
        <v>370</v>
      </c>
      <c r="B70" s="9" t="s">
        <v>239</v>
      </c>
      <c r="C70" s="9" t="s">
        <v>79</v>
      </c>
      <c r="D70" s="9" t="s">
        <v>130</v>
      </c>
      <c r="E70" s="9" t="s">
        <v>107</v>
      </c>
      <c r="F70" s="9" t="s">
        <v>371</v>
      </c>
      <c r="G70" s="9" t="s">
        <v>372</v>
      </c>
      <c r="H70" s="9" t="s">
        <v>125</v>
      </c>
      <c r="I70" s="9" t="n">
        <v>14500000</v>
      </c>
      <c r="J70" s="9" t="n">
        <v>3.7</v>
      </c>
      <c r="K70" s="9" t="s">
        <v>116</v>
      </c>
      <c r="L70" s="9" t="s">
        <v>104</v>
      </c>
    </row>
    <row r="71" customFormat="false" ht="15" hidden="false" customHeight="false" outlineLevel="0" collapsed="false">
      <c r="A71" s="9" t="s">
        <v>373</v>
      </c>
      <c r="B71" s="9" t="s">
        <v>374</v>
      </c>
      <c r="C71" s="9" t="s">
        <v>83</v>
      </c>
      <c r="D71" s="9" t="s">
        <v>99</v>
      </c>
      <c r="E71" s="9" t="s">
        <v>107</v>
      </c>
      <c r="F71" s="9" t="s">
        <v>375</v>
      </c>
      <c r="G71" s="9" t="s">
        <v>376</v>
      </c>
      <c r="H71" s="9" t="s">
        <v>103</v>
      </c>
      <c r="I71" s="9" t="n">
        <v>14000000</v>
      </c>
      <c r="J71" s="9" t="n">
        <v>4.2</v>
      </c>
      <c r="K71" s="9" t="s">
        <v>110</v>
      </c>
      <c r="L71" s="9" t="s">
        <v>104</v>
      </c>
    </row>
    <row r="72" customFormat="false" ht="15" hidden="false" customHeight="false" outlineLevel="0" collapsed="false">
      <c r="A72" s="9" t="s">
        <v>377</v>
      </c>
      <c r="B72" s="9" t="s">
        <v>378</v>
      </c>
      <c r="C72" s="9" t="s">
        <v>8</v>
      </c>
      <c r="D72" s="9" t="s">
        <v>113</v>
      </c>
      <c r="E72" s="9" t="s">
        <v>100</v>
      </c>
      <c r="F72" s="9" t="s">
        <v>379</v>
      </c>
      <c r="G72" s="9" t="s">
        <v>380</v>
      </c>
      <c r="H72" s="9" t="s">
        <v>103</v>
      </c>
      <c r="I72" s="9" t="n">
        <v>12500000</v>
      </c>
      <c r="J72" s="9" t="n">
        <v>4.3</v>
      </c>
      <c r="K72" s="9" t="s">
        <v>50</v>
      </c>
      <c r="L72" s="9" t="s">
        <v>104</v>
      </c>
    </row>
    <row r="73" customFormat="false" ht="15" hidden="false" customHeight="false" outlineLevel="0" collapsed="false">
      <c r="A73" s="9" t="s">
        <v>381</v>
      </c>
      <c r="B73" s="9" t="s">
        <v>382</v>
      </c>
      <c r="C73" s="9" t="s">
        <v>10</v>
      </c>
      <c r="D73" s="9" t="s">
        <v>130</v>
      </c>
      <c r="E73" s="9" t="s">
        <v>107</v>
      </c>
      <c r="F73" s="9" t="s">
        <v>383</v>
      </c>
      <c r="G73" s="9" t="s">
        <v>384</v>
      </c>
      <c r="H73" s="9" t="s">
        <v>125</v>
      </c>
      <c r="I73" s="9" t="n">
        <v>18500000</v>
      </c>
      <c r="J73" s="9" t="n">
        <v>4.9</v>
      </c>
      <c r="K73" s="9" t="s">
        <v>116</v>
      </c>
      <c r="L73" s="9" t="s">
        <v>104</v>
      </c>
    </row>
    <row r="74" customFormat="false" ht="15" hidden="false" customHeight="false" outlineLevel="0" collapsed="false">
      <c r="A74" s="9" t="s">
        <v>385</v>
      </c>
      <c r="B74" s="9" t="s">
        <v>386</v>
      </c>
      <c r="C74" s="9" t="s">
        <v>56</v>
      </c>
      <c r="D74" s="9" t="s">
        <v>118</v>
      </c>
      <c r="E74" s="9" t="s">
        <v>100</v>
      </c>
      <c r="F74" s="9" t="s">
        <v>387</v>
      </c>
      <c r="G74" s="9" t="s">
        <v>388</v>
      </c>
      <c r="H74" s="9" t="s">
        <v>103</v>
      </c>
      <c r="I74" s="9" t="n">
        <v>7500000</v>
      </c>
      <c r="J74" s="9" t="n">
        <v>3.2</v>
      </c>
      <c r="K74" s="9" t="s">
        <v>54</v>
      </c>
      <c r="L74" s="9" t="s">
        <v>104</v>
      </c>
    </row>
    <row r="75" customFormat="false" ht="15" hidden="false" customHeight="false" outlineLevel="0" collapsed="false">
      <c r="A75" s="9" t="s">
        <v>389</v>
      </c>
      <c r="B75" s="9" t="s">
        <v>390</v>
      </c>
      <c r="C75" s="9" t="s">
        <v>14</v>
      </c>
      <c r="D75" s="9" t="s">
        <v>106</v>
      </c>
      <c r="E75" s="9" t="s">
        <v>100</v>
      </c>
      <c r="F75" s="9" t="s">
        <v>391</v>
      </c>
      <c r="G75" s="9" t="s">
        <v>392</v>
      </c>
      <c r="H75" s="9" t="s">
        <v>125</v>
      </c>
      <c r="I75" s="9" t="n">
        <v>10500000</v>
      </c>
      <c r="J75" s="9" t="n">
        <v>4.2</v>
      </c>
      <c r="K75" s="9" t="s">
        <v>116</v>
      </c>
      <c r="L75" s="9" t="s">
        <v>104</v>
      </c>
    </row>
    <row r="76" customFormat="false" ht="15" hidden="false" customHeight="false" outlineLevel="0" collapsed="false">
      <c r="A76" s="9" t="s">
        <v>393</v>
      </c>
      <c r="B76" s="9" t="s">
        <v>394</v>
      </c>
      <c r="C76" s="9" t="s">
        <v>63</v>
      </c>
      <c r="D76" s="9" t="s">
        <v>138</v>
      </c>
      <c r="E76" s="9" t="s">
        <v>107</v>
      </c>
      <c r="F76" s="9" t="s">
        <v>395</v>
      </c>
      <c r="G76" s="9" t="s">
        <v>396</v>
      </c>
      <c r="H76" s="9" t="s">
        <v>125</v>
      </c>
      <c r="I76" s="9" t="n">
        <v>16500000</v>
      </c>
      <c r="J76" s="9" t="n">
        <v>3.6</v>
      </c>
      <c r="K76" s="9" t="s">
        <v>110</v>
      </c>
      <c r="L76" s="9" t="s">
        <v>121</v>
      </c>
    </row>
    <row r="77" customFormat="false" ht="15" hidden="false" customHeight="false" outlineLevel="0" collapsed="false">
      <c r="A77" s="9" t="s">
        <v>397</v>
      </c>
      <c r="B77" s="9" t="s">
        <v>398</v>
      </c>
      <c r="C77" s="9" t="s">
        <v>67</v>
      </c>
      <c r="D77" s="9" t="s">
        <v>166</v>
      </c>
      <c r="E77" s="9" t="s">
        <v>107</v>
      </c>
      <c r="F77" s="9" t="s">
        <v>399</v>
      </c>
      <c r="G77" s="9" t="s">
        <v>400</v>
      </c>
      <c r="H77" s="9" t="s">
        <v>103</v>
      </c>
      <c r="I77" s="9" t="n">
        <v>19500000</v>
      </c>
      <c r="J77" s="9" t="n">
        <v>4.1</v>
      </c>
      <c r="K77" s="9" t="s">
        <v>110</v>
      </c>
      <c r="L77" s="9" t="s">
        <v>104</v>
      </c>
    </row>
    <row r="78" customFormat="false" ht="15" hidden="false" customHeight="false" outlineLevel="0" collapsed="false">
      <c r="A78" s="9" t="s">
        <v>401</v>
      </c>
      <c r="B78" s="9" t="s">
        <v>402</v>
      </c>
      <c r="C78" s="9" t="s">
        <v>71</v>
      </c>
      <c r="D78" s="9" t="s">
        <v>106</v>
      </c>
      <c r="E78" s="9" t="s">
        <v>107</v>
      </c>
      <c r="F78" s="9" t="s">
        <v>403</v>
      </c>
      <c r="G78" s="9" t="s">
        <v>404</v>
      </c>
      <c r="H78" s="9" t="s">
        <v>125</v>
      </c>
      <c r="I78" s="9" t="n">
        <v>20500000</v>
      </c>
      <c r="J78" s="9" t="n">
        <v>4.5</v>
      </c>
      <c r="K78" s="9" t="s">
        <v>116</v>
      </c>
      <c r="L78" s="9" t="s">
        <v>104</v>
      </c>
    </row>
    <row r="79" customFormat="false" ht="15" hidden="false" customHeight="false" outlineLevel="0" collapsed="false">
      <c r="A79" s="9" t="s">
        <v>405</v>
      </c>
      <c r="B79" s="9" t="s">
        <v>406</v>
      </c>
      <c r="C79" s="9" t="s">
        <v>75</v>
      </c>
      <c r="D79" s="9" t="s">
        <v>138</v>
      </c>
      <c r="E79" s="9" t="s">
        <v>100</v>
      </c>
      <c r="F79" s="9" t="s">
        <v>407</v>
      </c>
      <c r="G79" s="9" t="s">
        <v>408</v>
      </c>
      <c r="H79" s="9" t="s">
        <v>103</v>
      </c>
      <c r="I79" s="9" t="n">
        <v>11000000</v>
      </c>
      <c r="J79" s="9" t="n">
        <v>3.9</v>
      </c>
      <c r="K79" s="9" t="s">
        <v>54</v>
      </c>
      <c r="L79" s="9" t="s">
        <v>104</v>
      </c>
    </row>
    <row r="80" customFormat="false" ht="15" hidden="false" customHeight="false" outlineLevel="0" collapsed="false">
      <c r="A80" s="9" t="s">
        <v>409</v>
      </c>
      <c r="B80" s="9" t="s">
        <v>410</v>
      </c>
      <c r="C80" s="9" t="s">
        <v>79</v>
      </c>
      <c r="D80" s="9" t="s">
        <v>166</v>
      </c>
      <c r="E80" s="9" t="s">
        <v>107</v>
      </c>
      <c r="F80" s="9" t="s">
        <v>411</v>
      </c>
      <c r="G80" s="9" t="s">
        <v>229</v>
      </c>
      <c r="H80" s="9" t="s">
        <v>103</v>
      </c>
      <c r="I80" s="9" t="n">
        <v>6500000</v>
      </c>
      <c r="J80" s="9" t="n">
        <v>3.1</v>
      </c>
      <c r="K80" s="9" t="s">
        <v>116</v>
      </c>
      <c r="L80" s="9" t="s">
        <v>104</v>
      </c>
    </row>
    <row r="81" customFormat="false" ht="15" hidden="false" customHeight="false" outlineLevel="0" collapsed="false">
      <c r="A81" s="9" t="s">
        <v>412</v>
      </c>
      <c r="B81" s="9" t="s">
        <v>413</v>
      </c>
      <c r="C81" s="9" t="s">
        <v>83</v>
      </c>
      <c r="D81" s="9" t="s">
        <v>99</v>
      </c>
      <c r="E81" s="9" t="s">
        <v>100</v>
      </c>
      <c r="F81" s="9" t="s">
        <v>414</v>
      </c>
      <c r="G81" s="9" t="s">
        <v>415</v>
      </c>
      <c r="H81" s="9" t="s">
        <v>103</v>
      </c>
      <c r="I81" s="9" t="n">
        <v>10500000</v>
      </c>
      <c r="J81" s="9" t="n">
        <v>4.3</v>
      </c>
      <c r="K81" s="9" t="s">
        <v>50</v>
      </c>
      <c r="L81" s="9" t="s">
        <v>104</v>
      </c>
    </row>
    <row r="82" customFormat="false" ht="15" hidden="false" customHeight="false" outlineLevel="0" collapsed="false">
      <c r="A82" s="9" t="s">
        <v>416</v>
      </c>
      <c r="B82" s="9" t="s">
        <v>417</v>
      </c>
      <c r="C82" s="9" t="s">
        <v>8</v>
      </c>
      <c r="D82" s="9" t="s">
        <v>106</v>
      </c>
      <c r="E82" s="9" t="s">
        <v>107</v>
      </c>
      <c r="F82" s="9" t="s">
        <v>418</v>
      </c>
      <c r="G82" s="9" t="s">
        <v>419</v>
      </c>
      <c r="H82" s="9" t="s">
        <v>103</v>
      </c>
      <c r="I82" s="9" t="n">
        <v>8500000</v>
      </c>
      <c r="J82" s="9" t="n">
        <v>4.1</v>
      </c>
      <c r="K82" s="9" t="s">
        <v>54</v>
      </c>
      <c r="L82" s="9" t="s">
        <v>104</v>
      </c>
    </row>
    <row r="83" customFormat="false" ht="15" hidden="false" customHeight="false" outlineLevel="0" collapsed="false">
      <c r="A83" s="9" t="s">
        <v>420</v>
      </c>
      <c r="B83" s="9" t="s">
        <v>421</v>
      </c>
      <c r="C83" s="9" t="s">
        <v>10</v>
      </c>
      <c r="D83" s="9" t="s">
        <v>113</v>
      </c>
      <c r="E83" s="9" t="s">
        <v>100</v>
      </c>
      <c r="F83" s="9" t="s">
        <v>422</v>
      </c>
      <c r="G83" s="9" t="s">
        <v>423</v>
      </c>
      <c r="H83" s="9" t="s">
        <v>103</v>
      </c>
      <c r="I83" s="9" t="n">
        <v>15500000</v>
      </c>
      <c r="J83" s="9" t="n">
        <v>2.8</v>
      </c>
      <c r="K83" s="9" t="s">
        <v>110</v>
      </c>
      <c r="L83" s="9" t="s">
        <v>104</v>
      </c>
    </row>
    <row r="84" customFormat="false" ht="15" hidden="false" customHeight="false" outlineLevel="0" collapsed="false">
      <c r="A84" s="9" t="s">
        <v>424</v>
      </c>
      <c r="B84" s="9" t="s">
        <v>425</v>
      </c>
      <c r="C84" s="9" t="s">
        <v>56</v>
      </c>
      <c r="D84" s="9" t="s">
        <v>106</v>
      </c>
      <c r="E84" s="9" t="s">
        <v>100</v>
      </c>
      <c r="F84" s="9" t="s">
        <v>426</v>
      </c>
      <c r="G84" s="9" t="s">
        <v>427</v>
      </c>
      <c r="H84" s="9" t="s">
        <v>103</v>
      </c>
      <c r="I84" s="9" t="n">
        <v>2500000</v>
      </c>
      <c r="J84" s="9" t="n">
        <v>4.7</v>
      </c>
      <c r="K84" s="9" t="s">
        <v>54</v>
      </c>
      <c r="L84" s="9" t="s">
        <v>104</v>
      </c>
    </row>
    <row r="85" customFormat="false" ht="15" hidden="false" customHeight="false" outlineLevel="0" collapsed="false">
      <c r="A85" s="9" t="s">
        <v>428</v>
      </c>
      <c r="B85" s="9" t="s">
        <v>402</v>
      </c>
      <c r="C85" s="9" t="s">
        <v>14</v>
      </c>
      <c r="D85" s="9" t="s">
        <v>106</v>
      </c>
      <c r="E85" s="9" t="s">
        <v>107</v>
      </c>
      <c r="F85" s="9" t="s">
        <v>429</v>
      </c>
      <c r="G85" s="9" t="s">
        <v>430</v>
      </c>
      <c r="H85" s="9" t="s">
        <v>125</v>
      </c>
      <c r="I85" s="9" t="n">
        <v>2500000</v>
      </c>
      <c r="J85" s="9" t="n">
        <v>4.4</v>
      </c>
      <c r="K85" s="9" t="s">
        <v>116</v>
      </c>
      <c r="L85" s="9" t="s">
        <v>104</v>
      </c>
    </row>
    <row r="86" customFormat="false" ht="15" hidden="false" customHeight="false" outlineLevel="0" collapsed="false">
      <c r="A86" s="9" t="s">
        <v>431</v>
      </c>
      <c r="B86" s="9" t="s">
        <v>432</v>
      </c>
      <c r="C86" s="9" t="s">
        <v>63</v>
      </c>
      <c r="D86" s="9" t="s">
        <v>166</v>
      </c>
      <c r="E86" s="9" t="s">
        <v>100</v>
      </c>
      <c r="F86" s="9" t="s">
        <v>399</v>
      </c>
      <c r="G86" s="9" t="s">
        <v>433</v>
      </c>
      <c r="H86" s="9" t="s">
        <v>103</v>
      </c>
      <c r="I86" s="9" t="n">
        <v>16500000</v>
      </c>
      <c r="J86" s="9" t="n">
        <v>3.4</v>
      </c>
      <c r="K86" s="9" t="s">
        <v>54</v>
      </c>
      <c r="L86" s="9" t="s">
        <v>104</v>
      </c>
    </row>
    <row r="87" customFormat="false" ht="15" hidden="false" customHeight="false" outlineLevel="0" collapsed="false">
      <c r="A87" s="9" t="s">
        <v>434</v>
      </c>
      <c r="B87" s="9" t="s">
        <v>435</v>
      </c>
      <c r="C87" s="9" t="s">
        <v>67</v>
      </c>
      <c r="D87" s="9" t="s">
        <v>113</v>
      </c>
      <c r="E87" s="9" t="s">
        <v>100</v>
      </c>
      <c r="F87" s="9" t="s">
        <v>436</v>
      </c>
      <c r="G87" s="9" t="s">
        <v>437</v>
      </c>
      <c r="H87" s="9" t="s">
        <v>103</v>
      </c>
      <c r="I87" s="9" t="n">
        <v>22500000</v>
      </c>
      <c r="J87" s="9" t="n">
        <v>4.9</v>
      </c>
      <c r="K87" s="9" t="s">
        <v>110</v>
      </c>
      <c r="L87" s="9" t="s">
        <v>104</v>
      </c>
    </row>
    <row r="88" customFormat="false" ht="15" hidden="false" customHeight="false" outlineLevel="0" collapsed="false">
      <c r="A88" s="9" t="s">
        <v>438</v>
      </c>
      <c r="B88" s="9" t="s">
        <v>439</v>
      </c>
      <c r="C88" s="9" t="s">
        <v>71</v>
      </c>
      <c r="D88" s="9" t="s">
        <v>118</v>
      </c>
      <c r="E88" s="9" t="s">
        <v>107</v>
      </c>
      <c r="F88" s="9" t="s">
        <v>440</v>
      </c>
      <c r="G88" s="9" t="s">
        <v>441</v>
      </c>
      <c r="H88" s="9" t="s">
        <v>103</v>
      </c>
      <c r="I88" s="9" t="n">
        <v>17500000</v>
      </c>
      <c r="J88" s="9" t="n">
        <v>4.6</v>
      </c>
      <c r="K88" s="9" t="s">
        <v>116</v>
      </c>
      <c r="L88" s="9" t="s">
        <v>104</v>
      </c>
    </row>
    <row r="89" customFormat="false" ht="15" hidden="false" customHeight="false" outlineLevel="0" collapsed="false">
      <c r="A89" s="9" t="s">
        <v>442</v>
      </c>
      <c r="B89" s="9" t="s">
        <v>443</v>
      </c>
      <c r="C89" s="9" t="s">
        <v>75</v>
      </c>
      <c r="D89" s="9" t="s">
        <v>106</v>
      </c>
      <c r="E89" s="9" t="s">
        <v>107</v>
      </c>
      <c r="F89" s="9" t="s">
        <v>444</v>
      </c>
      <c r="G89" s="9" t="s">
        <v>445</v>
      </c>
      <c r="H89" s="9" t="s">
        <v>103</v>
      </c>
      <c r="I89" s="9" t="n">
        <v>25500000</v>
      </c>
      <c r="J89" s="9" t="n">
        <v>3.7</v>
      </c>
      <c r="K89" s="9" t="s">
        <v>50</v>
      </c>
      <c r="L89" s="9" t="s">
        <v>104</v>
      </c>
    </row>
    <row r="90" customFormat="false" ht="15" hidden="false" customHeight="false" outlineLevel="0" collapsed="false">
      <c r="A90" s="9" t="s">
        <v>446</v>
      </c>
      <c r="B90" s="9" t="s">
        <v>447</v>
      </c>
      <c r="C90" s="9" t="s">
        <v>79</v>
      </c>
      <c r="D90" s="9" t="s">
        <v>138</v>
      </c>
      <c r="E90" s="9" t="s">
        <v>107</v>
      </c>
      <c r="F90" s="9" t="s">
        <v>448</v>
      </c>
      <c r="G90" s="9" t="s">
        <v>449</v>
      </c>
      <c r="H90" s="9" t="s">
        <v>103</v>
      </c>
      <c r="I90" s="9" t="n">
        <v>29500000</v>
      </c>
      <c r="J90" s="9" t="n">
        <v>4.2</v>
      </c>
      <c r="K90" s="9" t="s">
        <v>50</v>
      </c>
      <c r="L90" s="9" t="s">
        <v>104</v>
      </c>
    </row>
    <row r="91" customFormat="false" ht="15" hidden="false" customHeight="false" outlineLevel="0" collapsed="false">
      <c r="A91" s="9" t="s">
        <v>450</v>
      </c>
      <c r="B91" s="9" t="s">
        <v>451</v>
      </c>
      <c r="C91" s="9" t="s">
        <v>83</v>
      </c>
      <c r="D91" s="9" t="s">
        <v>166</v>
      </c>
      <c r="E91" s="9" t="s">
        <v>107</v>
      </c>
      <c r="F91" s="9" t="s">
        <v>452</v>
      </c>
      <c r="G91" s="9" t="s">
        <v>453</v>
      </c>
      <c r="H91" s="9" t="s">
        <v>103</v>
      </c>
      <c r="I91" s="9" t="n">
        <v>8500000</v>
      </c>
      <c r="J91" s="9" t="n">
        <v>5</v>
      </c>
      <c r="K91" s="9" t="s">
        <v>54</v>
      </c>
      <c r="L91" s="9" t="s">
        <v>104</v>
      </c>
    </row>
    <row r="92" customFormat="false" ht="15" hidden="false" customHeight="false" outlineLevel="0" collapsed="false">
      <c r="A92" s="9" t="s">
        <v>454</v>
      </c>
      <c r="B92" s="9" t="s">
        <v>455</v>
      </c>
      <c r="C92" s="9" t="s">
        <v>8</v>
      </c>
      <c r="D92" s="9" t="s">
        <v>138</v>
      </c>
      <c r="E92" s="9" t="s">
        <v>100</v>
      </c>
      <c r="F92" s="9" t="s">
        <v>456</v>
      </c>
      <c r="G92" s="9" t="s">
        <v>457</v>
      </c>
      <c r="H92" s="9" t="s">
        <v>103</v>
      </c>
      <c r="I92" s="9" t="n">
        <v>28000000</v>
      </c>
      <c r="J92" s="9" t="n">
        <v>3.7</v>
      </c>
      <c r="K92" s="9" t="s">
        <v>50</v>
      </c>
      <c r="L92" s="9" t="s">
        <v>104</v>
      </c>
    </row>
    <row r="93" customFormat="false" ht="15" hidden="false" customHeight="false" outlineLevel="0" collapsed="false">
      <c r="A93" s="9" t="s">
        <v>458</v>
      </c>
      <c r="B93" s="9" t="s">
        <v>459</v>
      </c>
      <c r="C93" s="9" t="s">
        <v>10</v>
      </c>
      <c r="D93" s="9" t="s">
        <v>113</v>
      </c>
      <c r="E93" s="9" t="s">
        <v>107</v>
      </c>
      <c r="F93" s="9" t="s">
        <v>460</v>
      </c>
      <c r="G93" s="9" t="s">
        <v>461</v>
      </c>
      <c r="H93" s="9" t="s">
        <v>103</v>
      </c>
      <c r="I93" s="9" t="n">
        <v>26000000</v>
      </c>
      <c r="J93" s="9" t="n">
        <v>4.5</v>
      </c>
      <c r="K93" s="9" t="s">
        <v>110</v>
      </c>
      <c r="L93" s="9" t="s">
        <v>104</v>
      </c>
    </row>
    <row r="94" customFormat="false" ht="15" hidden="false" customHeight="false" outlineLevel="0" collapsed="false">
      <c r="A94" s="9" t="s">
        <v>462</v>
      </c>
      <c r="B94" s="9" t="s">
        <v>463</v>
      </c>
      <c r="C94" s="9" t="s">
        <v>56</v>
      </c>
      <c r="D94" s="9" t="s">
        <v>106</v>
      </c>
      <c r="E94" s="9" t="s">
        <v>100</v>
      </c>
      <c r="F94" s="9" t="s">
        <v>464</v>
      </c>
      <c r="G94" s="9" t="s">
        <v>465</v>
      </c>
      <c r="H94" s="9" t="s">
        <v>125</v>
      </c>
      <c r="I94" s="9" t="n">
        <v>22500000</v>
      </c>
      <c r="J94" s="9" t="n">
        <v>3.7</v>
      </c>
      <c r="K94" s="9" t="s">
        <v>116</v>
      </c>
      <c r="L94" s="9" t="s">
        <v>104</v>
      </c>
    </row>
    <row r="95" customFormat="false" ht="15" hidden="false" customHeight="false" outlineLevel="0" collapsed="false">
      <c r="A95" s="9" t="s">
        <v>466</v>
      </c>
      <c r="B95" s="9" t="s">
        <v>467</v>
      </c>
      <c r="C95" s="9" t="s">
        <v>14</v>
      </c>
      <c r="D95" s="9" t="s">
        <v>118</v>
      </c>
      <c r="E95" s="9" t="s">
        <v>100</v>
      </c>
      <c r="F95" s="9" t="s">
        <v>468</v>
      </c>
      <c r="G95" s="9" t="s">
        <v>293</v>
      </c>
      <c r="H95" s="9" t="s">
        <v>125</v>
      </c>
      <c r="I95" s="9" t="n">
        <v>7500000</v>
      </c>
      <c r="J95" s="9" t="n">
        <v>5</v>
      </c>
      <c r="K95" s="9" t="s">
        <v>50</v>
      </c>
      <c r="L95" s="9" t="s">
        <v>104</v>
      </c>
    </row>
    <row r="96" customFormat="false" ht="15" hidden="false" customHeight="false" outlineLevel="0" collapsed="false">
      <c r="A96" s="9" t="s">
        <v>469</v>
      </c>
      <c r="B96" s="9" t="s">
        <v>443</v>
      </c>
      <c r="C96" s="9" t="s">
        <v>63</v>
      </c>
      <c r="D96" s="9" t="s">
        <v>130</v>
      </c>
      <c r="E96" s="9" t="s">
        <v>100</v>
      </c>
      <c r="F96" s="9" t="s">
        <v>470</v>
      </c>
      <c r="G96" s="9" t="s">
        <v>471</v>
      </c>
      <c r="H96" s="9" t="s">
        <v>125</v>
      </c>
      <c r="I96" s="9" t="n">
        <v>27000000</v>
      </c>
      <c r="J96" s="9" t="n">
        <v>3.5</v>
      </c>
      <c r="K96" s="9" t="s">
        <v>54</v>
      </c>
      <c r="L96" s="9" t="s">
        <v>104</v>
      </c>
    </row>
    <row r="97" customFormat="false" ht="15" hidden="false" customHeight="false" outlineLevel="0" collapsed="false">
      <c r="A97" s="9" t="s">
        <v>472</v>
      </c>
      <c r="B97" s="9" t="s">
        <v>473</v>
      </c>
      <c r="C97" s="9" t="s">
        <v>67</v>
      </c>
      <c r="D97" s="9" t="s">
        <v>118</v>
      </c>
      <c r="E97" s="9" t="s">
        <v>100</v>
      </c>
      <c r="F97" s="9" t="s">
        <v>474</v>
      </c>
      <c r="G97" s="9" t="s">
        <v>475</v>
      </c>
      <c r="H97" s="9" t="s">
        <v>103</v>
      </c>
      <c r="I97" s="9" t="n">
        <v>28500000</v>
      </c>
      <c r="J97" s="9" t="n">
        <v>3.6</v>
      </c>
      <c r="K97" s="9" t="s">
        <v>50</v>
      </c>
      <c r="L97" s="9" t="s">
        <v>104</v>
      </c>
    </row>
    <row r="98" customFormat="false" ht="15" hidden="false" customHeight="false" outlineLevel="0" collapsed="false">
      <c r="A98" s="9" t="s">
        <v>476</v>
      </c>
      <c r="B98" s="9" t="s">
        <v>477</v>
      </c>
      <c r="C98" s="9" t="s">
        <v>71</v>
      </c>
      <c r="D98" s="9" t="s">
        <v>118</v>
      </c>
      <c r="E98" s="9" t="s">
        <v>107</v>
      </c>
      <c r="F98" s="9" t="s">
        <v>478</v>
      </c>
      <c r="G98" s="9" t="s">
        <v>479</v>
      </c>
      <c r="H98" s="9" t="s">
        <v>103</v>
      </c>
      <c r="I98" s="9" t="n">
        <v>9500000</v>
      </c>
      <c r="J98" s="9" t="n">
        <v>3.3</v>
      </c>
      <c r="K98" s="9" t="s">
        <v>110</v>
      </c>
      <c r="L98" s="9" t="s">
        <v>104</v>
      </c>
    </row>
    <row r="99" customFormat="false" ht="15" hidden="false" customHeight="false" outlineLevel="0" collapsed="false">
      <c r="A99" s="9" t="s">
        <v>480</v>
      </c>
      <c r="B99" s="9" t="s">
        <v>481</v>
      </c>
      <c r="C99" s="9" t="s">
        <v>75</v>
      </c>
      <c r="D99" s="9" t="s">
        <v>118</v>
      </c>
      <c r="E99" s="9" t="s">
        <v>100</v>
      </c>
      <c r="F99" s="9" t="s">
        <v>482</v>
      </c>
      <c r="G99" s="9" t="s">
        <v>308</v>
      </c>
      <c r="H99" s="9" t="s">
        <v>103</v>
      </c>
      <c r="I99" s="9" t="n">
        <v>18500000</v>
      </c>
      <c r="J99" s="9" t="n">
        <v>2.6</v>
      </c>
      <c r="K99" s="9" t="s">
        <v>110</v>
      </c>
      <c r="L99" s="9" t="s">
        <v>104</v>
      </c>
    </row>
    <row r="100" customFormat="false" ht="15" hidden="false" customHeight="false" outlineLevel="0" collapsed="false">
      <c r="A100" s="9" t="s">
        <v>483</v>
      </c>
      <c r="B100" s="9" t="s">
        <v>484</v>
      </c>
      <c r="C100" s="9" t="s">
        <v>79</v>
      </c>
      <c r="D100" s="9" t="s">
        <v>118</v>
      </c>
      <c r="E100" s="9" t="s">
        <v>107</v>
      </c>
      <c r="F100" s="9" t="s">
        <v>485</v>
      </c>
      <c r="G100" s="9" t="s">
        <v>486</v>
      </c>
      <c r="H100" s="9" t="s">
        <v>103</v>
      </c>
      <c r="I100" s="9" t="n">
        <v>21500000</v>
      </c>
      <c r="J100" s="9" t="n">
        <v>4.3</v>
      </c>
      <c r="K100" s="9" t="s">
        <v>110</v>
      </c>
      <c r="L100" s="9" t="s">
        <v>104</v>
      </c>
    </row>
    <row r="101" customFormat="false" ht="15" hidden="false" customHeight="false" outlineLevel="0" collapsed="false">
      <c r="A101" s="9" t="s">
        <v>487</v>
      </c>
      <c r="B101" s="9" t="s">
        <v>488</v>
      </c>
      <c r="C101" s="9" t="s">
        <v>83</v>
      </c>
      <c r="D101" s="9" t="s">
        <v>113</v>
      </c>
      <c r="E101" s="9" t="s">
        <v>100</v>
      </c>
      <c r="F101" s="9" t="s">
        <v>489</v>
      </c>
      <c r="G101" s="9" t="s">
        <v>354</v>
      </c>
      <c r="H101" s="9" t="s">
        <v>125</v>
      </c>
      <c r="I101" s="9" t="n">
        <v>12500000</v>
      </c>
      <c r="J101" s="9" t="n">
        <v>3.4</v>
      </c>
      <c r="K101" s="9" t="s">
        <v>116</v>
      </c>
      <c r="L101" s="9" t="s">
        <v>104</v>
      </c>
    </row>
    <row r="102" customFormat="false" ht="15" hidden="false" customHeight="false" outlineLevel="0" collapsed="false">
      <c r="A102" s="9" t="s">
        <v>490</v>
      </c>
      <c r="B102" s="9" t="s">
        <v>491</v>
      </c>
      <c r="C102" s="9" t="s">
        <v>83</v>
      </c>
      <c r="D102" s="9" t="s">
        <v>118</v>
      </c>
      <c r="E102" s="9" t="s">
        <v>107</v>
      </c>
      <c r="F102" s="9" t="s">
        <v>492</v>
      </c>
      <c r="G102" s="9" t="s">
        <v>493</v>
      </c>
      <c r="H102" s="9" t="s">
        <v>125</v>
      </c>
      <c r="I102" s="9" t="n">
        <v>13500000</v>
      </c>
      <c r="J102" s="9" t="n">
        <v>4</v>
      </c>
      <c r="K102" s="9" t="s">
        <v>50</v>
      </c>
      <c r="L102" s="9" t="s">
        <v>104</v>
      </c>
    </row>
    <row r="103" customFormat="false" ht="15" hidden="false" customHeight="false" outlineLevel="0" collapsed="false">
      <c r="A103" s="9" t="s">
        <v>494</v>
      </c>
      <c r="B103" s="9" t="s">
        <v>495</v>
      </c>
      <c r="C103" s="9" t="s">
        <v>14</v>
      </c>
      <c r="D103" s="9" t="s">
        <v>130</v>
      </c>
      <c r="E103" s="9" t="s">
        <v>100</v>
      </c>
      <c r="F103" s="9" t="s">
        <v>496</v>
      </c>
      <c r="G103" s="9" t="s">
        <v>497</v>
      </c>
      <c r="H103" s="9" t="s">
        <v>103</v>
      </c>
      <c r="I103" s="9" t="n">
        <v>1500000</v>
      </c>
      <c r="J103" s="9" t="n">
        <v>4.7</v>
      </c>
      <c r="K103" s="9" t="s">
        <v>50</v>
      </c>
      <c r="L103" s="9" t="s">
        <v>104</v>
      </c>
    </row>
    <row r="104" customFormat="false" ht="15" hidden="false" customHeight="false" outlineLevel="0" collapsed="false">
      <c r="A104" s="9" t="s">
        <v>498</v>
      </c>
      <c r="B104" s="9" t="s">
        <v>499</v>
      </c>
      <c r="C104" s="9" t="s">
        <v>10</v>
      </c>
      <c r="D104" s="9" t="s">
        <v>130</v>
      </c>
      <c r="E104" s="9" t="s">
        <v>100</v>
      </c>
      <c r="F104" s="9" t="s">
        <v>500</v>
      </c>
      <c r="G104" s="9" t="s">
        <v>501</v>
      </c>
      <c r="H104" s="9" t="s">
        <v>103</v>
      </c>
      <c r="I104" s="9" t="n">
        <v>9500000</v>
      </c>
      <c r="J104" s="9" t="n">
        <v>3.6</v>
      </c>
      <c r="K104" s="9" t="s">
        <v>116</v>
      </c>
      <c r="L104" s="9" t="s">
        <v>104</v>
      </c>
    </row>
    <row r="105" customFormat="false" ht="15" hidden="false" customHeight="false" outlineLevel="0" collapsed="false">
      <c r="A105" s="9" t="s">
        <v>502</v>
      </c>
      <c r="B105" s="9" t="s">
        <v>503</v>
      </c>
      <c r="C105" s="9" t="s">
        <v>75</v>
      </c>
      <c r="D105" s="9" t="s">
        <v>106</v>
      </c>
      <c r="E105" s="9" t="s">
        <v>100</v>
      </c>
      <c r="F105" s="9" t="s">
        <v>504</v>
      </c>
      <c r="G105" s="9" t="s">
        <v>505</v>
      </c>
      <c r="H105" s="9" t="s">
        <v>103</v>
      </c>
      <c r="I105" s="9" t="n">
        <v>10500000</v>
      </c>
      <c r="J105" s="9" t="n">
        <v>5</v>
      </c>
      <c r="K105" s="9" t="s">
        <v>116</v>
      </c>
      <c r="L105" s="9" t="s">
        <v>104</v>
      </c>
    </row>
    <row r="106" customFormat="false" ht="15" hidden="false" customHeight="false" outlineLevel="0" collapsed="false">
      <c r="A106" s="9" t="s">
        <v>506</v>
      </c>
      <c r="B106" s="9" t="s">
        <v>507</v>
      </c>
      <c r="C106" s="9" t="s">
        <v>63</v>
      </c>
      <c r="D106" s="9" t="s">
        <v>130</v>
      </c>
      <c r="E106" s="9" t="s">
        <v>107</v>
      </c>
      <c r="F106" s="9" t="s">
        <v>508</v>
      </c>
      <c r="G106" s="9" t="s">
        <v>509</v>
      </c>
      <c r="H106" s="9" t="s">
        <v>103</v>
      </c>
      <c r="I106" s="9" t="n">
        <v>17000000</v>
      </c>
      <c r="J106" s="9" t="n">
        <v>4.6</v>
      </c>
      <c r="K106" s="9" t="s">
        <v>50</v>
      </c>
      <c r="L106" s="9" t="s">
        <v>104</v>
      </c>
    </row>
    <row r="107" customFormat="false" ht="15" hidden="false" customHeight="false" outlineLevel="0" collapsed="false">
      <c r="A107" s="9" t="s">
        <v>510</v>
      </c>
      <c r="B107" s="9" t="s">
        <v>511</v>
      </c>
      <c r="C107" s="9" t="s">
        <v>83</v>
      </c>
      <c r="D107" s="9" t="s">
        <v>130</v>
      </c>
      <c r="E107" s="9" t="s">
        <v>107</v>
      </c>
      <c r="F107" s="9" t="s">
        <v>512</v>
      </c>
      <c r="G107" s="9" t="s">
        <v>513</v>
      </c>
      <c r="H107" s="9" t="s">
        <v>125</v>
      </c>
      <c r="I107" s="9" t="n">
        <v>25500000</v>
      </c>
      <c r="J107" s="9" t="n">
        <v>4.3</v>
      </c>
      <c r="K107" s="9" t="s">
        <v>54</v>
      </c>
      <c r="L107" s="9" t="s">
        <v>104</v>
      </c>
    </row>
    <row r="108" customFormat="false" ht="15" hidden="false" customHeight="false" outlineLevel="0" collapsed="false">
      <c r="A108" s="9" t="s">
        <v>514</v>
      </c>
      <c r="B108" s="9" t="s">
        <v>515</v>
      </c>
      <c r="C108" s="9" t="s">
        <v>63</v>
      </c>
      <c r="D108" s="9" t="s">
        <v>166</v>
      </c>
      <c r="E108" s="9" t="s">
        <v>100</v>
      </c>
      <c r="F108" s="9" t="s">
        <v>516</v>
      </c>
      <c r="G108" s="9" t="s">
        <v>517</v>
      </c>
      <c r="H108" s="9" t="s">
        <v>103</v>
      </c>
      <c r="I108" s="9" t="n">
        <v>10500000</v>
      </c>
      <c r="J108" s="9" t="n">
        <v>3.3</v>
      </c>
      <c r="K108" s="9" t="s">
        <v>50</v>
      </c>
      <c r="L108" s="9" t="s">
        <v>104</v>
      </c>
    </row>
    <row r="109" customFormat="false" ht="15" hidden="false" customHeight="false" outlineLevel="0" collapsed="false">
      <c r="A109" s="9" t="s">
        <v>518</v>
      </c>
      <c r="B109" s="9" t="s">
        <v>519</v>
      </c>
      <c r="C109" s="9" t="s">
        <v>79</v>
      </c>
      <c r="D109" s="9" t="s">
        <v>113</v>
      </c>
      <c r="E109" s="9" t="s">
        <v>100</v>
      </c>
      <c r="F109" s="9" t="s">
        <v>520</v>
      </c>
      <c r="G109" s="9" t="s">
        <v>521</v>
      </c>
      <c r="H109" s="9" t="s">
        <v>103</v>
      </c>
      <c r="I109" s="9" t="n">
        <v>27500000</v>
      </c>
      <c r="J109" s="9" t="n">
        <v>4.9</v>
      </c>
      <c r="K109" s="9" t="s">
        <v>110</v>
      </c>
      <c r="L109" s="9" t="s">
        <v>104</v>
      </c>
    </row>
    <row r="110" customFormat="false" ht="15" hidden="false" customHeight="false" outlineLevel="0" collapsed="false">
      <c r="A110" s="9" t="s">
        <v>522</v>
      </c>
      <c r="B110" s="9" t="s">
        <v>523</v>
      </c>
      <c r="C110" s="9" t="s">
        <v>10</v>
      </c>
      <c r="D110" s="9" t="s">
        <v>118</v>
      </c>
      <c r="E110" s="9" t="s">
        <v>107</v>
      </c>
      <c r="F110" s="9" t="s">
        <v>524</v>
      </c>
      <c r="G110" s="9" t="s">
        <v>525</v>
      </c>
      <c r="H110" s="9" t="s">
        <v>103</v>
      </c>
      <c r="I110" s="9" t="n">
        <v>23000000</v>
      </c>
      <c r="J110" s="9" t="n">
        <v>4.3</v>
      </c>
      <c r="K110" s="9" t="s">
        <v>110</v>
      </c>
      <c r="L110" s="9" t="s">
        <v>121</v>
      </c>
    </row>
    <row r="111" customFormat="false" ht="15" hidden="false" customHeight="false" outlineLevel="0" collapsed="false">
      <c r="A111" s="9" t="s">
        <v>526</v>
      </c>
      <c r="B111" s="9" t="s">
        <v>527</v>
      </c>
      <c r="C111" s="9" t="s">
        <v>10</v>
      </c>
      <c r="D111" s="9" t="s">
        <v>138</v>
      </c>
      <c r="E111" s="9" t="s">
        <v>100</v>
      </c>
      <c r="F111" s="9" t="s">
        <v>528</v>
      </c>
      <c r="G111" s="9" t="s">
        <v>529</v>
      </c>
      <c r="H111" s="9" t="s">
        <v>103</v>
      </c>
      <c r="I111" s="9" t="n">
        <v>13000000</v>
      </c>
      <c r="J111" s="9" t="n">
        <v>4.2</v>
      </c>
      <c r="K111" s="9" t="s">
        <v>110</v>
      </c>
      <c r="L111" s="9" t="s">
        <v>104</v>
      </c>
    </row>
    <row r="112" customFormat="false" ht="15" hidden="false" customHeight="false" outlineLevel="0" collapsed="false">
      <c r="A112" s="9" t="s">
        <v>530</v>
      </c>
      <c r="B112" s="9" t="s">
        <v>531</v>
      </c>
      <c r="C112" s="9" t="s">
        <v>10</v>
      </c>
      <c r="D112" s="9" t="s">
        <v>113</v>
      </c>
      <c r="E112" s="9" t="s">
        <v>107</v>
      </c>
      <c r="F112" s="9" t="s">
        <v>532</v>
      </c>
      <c r="G112" s="9" t="s">
        <v>533</v>
      </c>
      <c r="H112" s="9" t="s">
        <v>103</v>
      </c>
      <c r="I112" s="9" t="n">
        <v>21000000</v>
      </c>
      <c r="J112" s="9" t="n">
        <v>3.1</v>
      </c>
      <c r="K112" s="9" t="s">
        <v>116</v>
      </c>
      <c r="L112" s="9" t="s">
        <v>104</v>
      </c>
    </row>
    <row r="113" customFormat="false" ht="15" hidden="false" customHeight="false" outlineLevel="0" collapsed="false">
      <c r="A113" s="9" t="s">
        <v>534</v>
      </c>
      <c r="B113" s="9" t="s">
        <v>535</v>
      </c>
      <c r="C113" s="9" t="s">
        <v>63</v>
      </c>
      <c r="D113" s="9" t="s">
        <v>113</v>
      </c>
      <c r="E113" s="9" t="s">
        <v>107</v>
      </c>
      <c r="F113" s="9" t="s">
        <v>536</v>
      </c>
      <c r="G113" s="9" t="s">
        <v>537</v>
      </c>
      <c r="H113" s="9" t="s">
        <v>125</v>
      </c>
      <c r="I113" s="9" t="n">
        <v>17000000</v>
      </c>
      <c r="J113" s="9" t="n">
        <v>2.8</v>
      </c>
      <c r="K113" s="9" t="s">
        <v>50</v>
      </c>
      <c r="L113" s="9" t="s">
        <v>104</v>
      </c>
    </row>
    <row r="114" customFormat="false" ht="15" hidden="false" customHeight="false" outlineLevel="0" collapsed="false">
      <c r="A114" s="9" t="s">
        <v>538</v>
      </c>
      <c r="B114" s="9" t="s">
        <v>539</v>
      </c>
      <c r="C114" s="9" t="s">
        <v>71</v>
      </c>
      <c r="D114" s="9" t="s">
        <v>138</v>
      </c>
      <c r="E114" s="9" t="s">
        <v>100</v>
      </c>
      <c r="F114" s="9" t="s">
        <v>540</v>
      </c>
      <c r="G114" s="9" t="s">
        <v>541</v>
      </c>
      <c r="H114" s="9" t="s">
        <v>103</v>
      </c>
      <c r="I114" s="9" t="n">
        <v>22000000</v>
      </c>
      <c r="J114" s="9" t="n">
        <v>2.7</v>
      </c>
      <c r="K114" s="9" t="s">
        <v>110</v>
      </c>
      <c r="L114" s="9" t="s">
        <v>104</v>
      </c>
    </row>
    <row r="115" customFormat="false" ht="15" hidden="false" customHeight="false" outlineLevel="0" collapsed="false">
      <c r="A115" s="9" t="s">
        <v>542</v>
      </c>
      <c r="B115" s="9" t="s">
        <v>543</v>
      </c>
      <c r="C115" s="9" t="s">
        <v>8</v>
      </c>
      <c r="D115" s="9" t="s">
        <v>118</v>
      </c>
      <c r="E115" s="9" t="s">
        <v>100</v>
      </c>
      <c r="F115" s="9" t="s">
        <v>544</v>
      </c>
      <c r="G115" s="9" t="s">
        <v>545</v>
      </c>
      <c r="H115" s="9" t="s">
        <v>103</v>
      </c>
      <c r="I115" s="9" t="n">
        <v>13000000</v>
      </c>
      <c r="J115" s="9" t="n">
        <v>2.7</v>
      </c>
      <c r="K115" s="9" t="s">
        <v>110</v>
      </c>
      <c r="L115" s="9" t="s">
        <v>104</v>
      </c>
    </row>
    <row r="116" customFormat="false" ht="15" hidden="false" customHeight="false" outlineLevel="0" collapsed="false">
      <c r="A116" s="9" t="s">
        <v>546</v>
      </c>
      <c r="B116" s="9" t="s">
        <v>547</v>
      </c>
      <c r="C116" s="9" t="s">
        <v>8</v>
      </c>
      <c r="D116" s="9" t="s">
        <v>118</v>
      </c>
      <c r="E116" s="9" t="s">
        <v>107</v>
      </c>
      <c r="F116" s="9" t="s">
        <v>548</v>
      </c>
      <c r="G116" s="9" t="s">
        <v>549</v>
      </c>
      <c r="H116" s="9" t="s">
        <v>125</v>
      </c>
      <c r="I116" s="9" t="n">
        <v>27500000</v>
      </c>
      <c r="J116" s="9" t="n">
        <v>3.6</v>
      </c>
      <c r="K116" s="9" t="s">
        <v>54</v>
      </c>
      <c r="L116" s="9" t="s">
        <v>104</v>
      </c>
    </row>
    <row r="117" customFormat="false" ht="15" hidden="false" customHeight="false" outlineLevel="0" collapsed="false">
      <c r="A117" s="9" t="s">
        <v>550</v>
      </c>
      <c r="B117" s="9" t="s">
        <v>551</v>
      </c>
      <c r="C117" s="9" t="s">
        <v>8</v>
      </c>
      <c r="D117" s="9" t="s">
        <v>99</v>
      </c>
      <c r="E117" s="9" t="s">
        <v>107</v>
      </c>
      <c r="F117" s="9" t="s">
        <v>552</v>
      </c>
      <c r="G117" s="9" t="s">
        <v>553</v>
      </c>
      <c r="H117" s="9" t="s">
        <v>125</v>
      </c>
      <c r="I117" s="9" t="n">
        <v>3500000</v>
      </c>
      <c r="J117" s="9" t="n">
        <v>4.6</v>
      </c>
      <c r="K117" s="9" t="s">
        <v>50</v>
      </c>
      <c r="L117" s="9" t="s">
        <v>104</v>
      </c>
    </row>
    <row r="118" customFormat="false" ht="15" hidden="false" customHeight="false" outlineLevel="0" collapsed="false">
      <c r="A118" s="9" t="s">
        <v>554</v>
      </c>
      <c r="B118" s="9" t="s">
        <v>555</v>
      </c>
      <c r="C118" s="9" t="s">
        <v>67</v>
      </c>
      <c r="D118" s="9" t="s">
        <v>99</v>
      </c>
      <c r="E118" s="9" t="s">
        <v>107</v>
      </c>
      <c r="F118" s="9" t="s">
        <v>556</v>
      </c>
      <c r="G118" s="9" t="s">
        <v>557</v>
      </c>
      <c r="H118" s="9" t="s">
        <v>125</v>
      </c>
      <c r="I118" s="9" t="n">
        <v>18500000</v>
      </c>
      <c r="J118" s="9" t="n">
        <v>3.1</v>
      </c>
      <c r="K118" s="9" t="s">
        <v>54</v>
      </c>
      <c r="L118" s="9" t="s">
        <v>104</v>
      </c>
    </row>
    <row r="119" customFormat="false" ht="15" hidden="false" customHeight="false" outlineLevel="0" collapsed="false">
      <c r="A119" s="9" t="s">
        <v>558</v>
      </c>
      <c r="B119" s="9" t="s">
        <v>559</v>
      </c>
      <c r="C119" s="9" t="s">
        <v>56</v>
      </c>
      <c r="D119" s="9" t="s">
        <v>166</v>
      </c>
      <c r="E119" s="9" t="s">
        <v>107</v>
      </c>
      <c r="F119" s="9" t="s">
        <v>560</v>
      </c>
      <c r="G119" s="9" t="s">
        <v>561</v>
      </c>
      <c r="H119" s="9" t="s">
        <v>125</v>
      </c>
      <c r="I119" s="9" t="n">
        <v>7000000</v>
      </c>
      <c r="J119" s="9" t="n">
        <v>3.2</v>
      </c>
      <c r="K119" s="9" t="s">
        <v>54</v>
      </c>
      <c r="L119" s="9" t="s">
        <v>104</v>
      </c>
    </row>
    <row r="120" customFormat="false" ht="15" hidden="false" customHeight="false" outlineLevel="0" collapsed="false">
      <c r="A120" s="9" t="s">
        <v>562</v>
      </c>
      <c r="B120" s="9" t="s">
        <v>563</v>
      </c>
      <c r="C120" s="9" t="s">
        <v>10</v>
      </c>
      <c r="D120" s="9" t="s">
        <v>166</v>
      </c>
      <c r="E120" s="9" t="s">
        <v>100</v>
      </c>
      <c r="F120" s="9" t="s">
        <v>564</v>
      </c>
      <c r="G120" s="9" t="s">
        <v>565</v>
      </c>
      <c r="H120" s="9" t="s">
        <v>103</v>
      </c>
      <c r="I120" s="9" t="n">
        <v>15500000</v>
      </c>
      <c r="J120" s="9" t="n">
        <v>3.8</v>
      </c>
      <c r="K120" s="9" t="s">
        <v>110</v>
      </c>
      <c r="L120" s="9" t="s">
        <v>104</v>
      </c>
    </row>
    <row r="121" customFormat="false" ht="15" hidden="false" customHeight="false" outlineLevel="0" collapsed="false">
      <c r="A121" s="9" t="s">
        <v>566</v>
      </c>
      <c r="B121" s="9" t="s">
        <v>488</v>
      </c>
      <c r="C121" s="9" t="s">
        <v>75</v>
      </c>
      <c r="D121" s="9" t="s">
        <v>138</v>
      </c>
      <c r="E121" s="9" t="s">
        <v>100</v>
      </c>
      <c r="F121" s="9" t="s">
        <v>567</v>
      </c>
      <c r="G121" s="9" t="s">
        <v>568</v>
      </c>
      <c r="H121" s="9" t="s">
        <v>103</v>
      </c>
      <c r="I121" s="9" t="n">
        <v>23000000</v>
      </c>
      <c r="J121" s="9" t="n">
        <v>2.8</v>
      </c>
      <c r="K121" s="9" t="s">
        <v>54</v>
      </c>
      <c r="L121" s="9" t="s">
        <v>104</v>
      </c>
    </row>
    <row r="122" customFormat="false" ht="15" hidden="false" customHeight="false" outlineLevel="0" collapsed="false">
      <c r="A122" s="9" t="s">
        <v>569</v>
      </c>
      <c r="B122" s="9" t="s">
        <v>570</v>
      </c>
      <c r="C122" s="9" t="s">
        <v>67</v>
      </c>
      <c r="D122" s="9" t="s">
        <v>106</v>
      </c>
      <c r="E122" s="9" t="s">
        <v>107</v>
      </c>
      <c r="F122" s="9" t="s">
        <v>571</v>
      </c>
      <c r="G122" s="9" t="s">
        <v>572</v>
      </c>
      <c r="H122" s="9" t="s">
        <v>103</v>
      </c>
      <c r="I122" s="9" t="n">
        <v>21500000</v>
      </c>
      <c r="J122" s="9" t="n">
        <v>4</v>
      </c>
      <c r="K122" s="9" t="s">
        <v>110</v>
      </c>
      <c r="L122" s="9" t="s">
        <v>104</v>
      </c>
    </row>
    <row r="123" customFormat="false" ht="15" hidden="false" customHeight="false" outlineLevel="0" collapsed="false">
      <c r="A123" s="9" t="s">
        <v>573</v>
      </c>
      <c r="B123" s="9" t="s">
        <v>574</v>
      </c>
      <c r="C123" s="9" t="s">
        <v>75</v>
      </c>
      <c r="D123" s="9" t="s">
        <v>118</v>
      </c>
      <c r="E123" s="9" t="s">
        <v>100</v>
      </c>
      <c r="F123" s="9" t="s">
        <v>575</v>
      </c>
      <c r="G123" s="9" t="s">
        <v>576</v>
      </c>
      <c r="H123" s="9" t="s">
        <v>125</v>
      </c>
      <c r="I123" s="9" t="n">
        <v>22000000</v>
      </c>
      <c r="J123" s="9" t="n">
        <v>4.1</v>
      </c>
      <c r="K123" s="9" t="s">
        <v>50</v>
      </c>
      <c r="L123" s="9" t="s">
        <v>104</v>
      </c>
    </row>
    <row r="124" customFormat="false" ht="15" hidden="false" customHeight="false" outlineLevel="0" collapsed="false">
      <c r="A124" s="9" t="s">
        <v>577</v>
      </c>
      <c r="B124" s="9" t="s">
        <v>578</v>
      </c>
      <c r="C124" s="9" t="s">
        <v>71</v>
      </c>
      <c r="D124" s="9" t="s">
        <v>130</v>
      </c>
      <c r="E124" s="9" t="s">
        <v>100</v>
      </c>
      <c r="F124" s="9" t="s">
        <v>579</v>
      </c>
      <c r="G124" s="9" t="s">
        <v>580</v>
      </c>
      <c r="H124" s="9" t="s">
        <v>103</v>
      </c>
      <c r="I124" s="9" t="n">
        <v>4500000</v>
      </c>
      <c r="J124" s="9" t="n">
        <v>3.3</v>
      </c>
      <c r="K124" s="9" t="s">
        <v>110</v>
      </c>
      <c r="L124" s="9" t="s">
        <v>104</v>
      </c>
    </row>
    <row r="125" customFormat="false" ht="15" hidden="false" customHeight="false" outlineLevel="0" collapsed="false">
      <c r="A125" s="9" t="s">
        <v>581</v>
      </c>
      <c r="B125" s="9" t="s">
        <v>582</v>
      </c>
      <c r="C125" s="9" t="s">
        <v>56</v>
      </c>
      <c r="D125" s="9" t="s">
        <v>166</v>
      </c>
      <c r="E125" s="9" t="s">
        <v>107</v>
      </c>
      <c r="F125" s="9" t="s">
        <v>583</v>
      </c>
      <c r="G125" s="9" t="s">
        <v>584</v>
      </c>
      <c r="H125" s="9" t="s">
        <v>103</v>
      </c>
      <c r="I125" s="9" t="n">
        <v>15000000</v>
      </c>
      <c r="J125" s="9" t="n">
        <v>2.7</v>
      </c>
      <c r="K125" s="9" t="s">
        <v>54</v>
      </c>
      <c r="L125" s="9" t="s">
        <v>104</v>
      </c>
    </row>
    <row r="126" customFormat="false" ht="15" hidden="false" customHeight="false" outlineLevel="0" collapsed="false">
      <c r="A126" s="9" t="s">
        <v>585</v>
      </c>
      <c r="B126" s="9" t="s">
        <v>586</v>
      </c>
      <c r="C126" s="9" t="s">
        <v>83</v>
      </c>
      <c r="D126" s="9" t="s">
        <v>138</v>
      </c>
      <c r="E126" s="9" t="s">
        <v>100</v>
      </c>
      <c r="F126" s="9" t="s">
        <v>587</v>
      </c>
      <c r="G126" s="9" t="s">
        <v>588</v>
      </c>
      <c r="H126" s="9" t="s">
        <v>103</v>
      </c>
      <c r="I126" s="9" t="n">
        <v>12500000</v>
      </c>
      <c r="J126" s="9" t="n">
        <v>4.7</v>
      </c>
      <c r="K126" s="9" t="s">
        <v>54</v>
      </c>
      <c r="L126" s="9" t="s">
        <v>104</v>
      </c>
    </row>
    <row r="127" customFormat="false" ht="15" hidden="false" customHeight="false" outlineLevel="0" collapsed="false">
      <c r="A127" s="9" t="s">
        <v>589</v>
      </c>
      <c r="B127" s="9" t="s">
        <v>590</v>
      </c>
      <c r="C127" s="9" t="s">
        <v>63</v>
      </c>
      <c r="D127" s="9" t="s">
        <v>106</v>
      </c>
      <c r="E127" s="9" t="s">
        <v>100</v>
      </c>
      <c r="F127" s="9" t="s">
        <v>591</v>
      </c>
      <c r="G127" s="9" t="s">
        <v>592</v>
      </c>
      <c r="H127" s="9" t="s">
        <v>103</v>
      </c>
      <c r="I127" s="9" t="n">
        <v>8000000</v>
      </c>
      <c r="J127" s="9" t="n">
        <v>2.9</v>
      </c>
      <c r="K127" s="9" t="s">
        <v>54</v>
      </c>
      <c r="L127" s="9" t="s">
        <v>104</v>
      </c>
    </row>
    <row r="128" customFormat="false" ht="15" hidden="false" customHeight="false" outlineLevel="0" collapsed="false">
      <c r="A128" s="9" t="s">
        <v>593</v>
      </c>
      <c r="B128" s="9" t="s">
        <v>594</v>
      </c>
      <c r="C128" s="9" t="s">
        <v>67</v>
      </c>
      <c r="D128" s="9" t="s">
        <v>106</v>
      </c>
      <c r="E128" s="9" t="s">
        <v>107</v>
      </c>
      <c r="F128" s="9" t="s">
        <v>595</v>
      </c>
      <c r="G128" s="9" t="s">
        <v>596</v>
      </c>
      <c r="H128" s="9" t="s">
        <v>103</v>
      </c>
      <c r="I128" s="9" t="n">
        <v>8500000</v>
      </c>
      <c r="J128" s="9" t="n">
        <v>4.5</v>
      </c>
      <c r="K128" s="9" t="s">
        <v>110</v>
      </c>
      <c r="L128" s="9" t="s">
        <v>104</v>
      </c>
    </row>
    <row r="129" customFormat="false" ht="15" hidden="false" customHeight="false" outlineLevel="0" collapsed="false">
      <c r="A129" s="9" t="s">
        <v>597</v>
      </c>
      <c r="B129" s="9" t="s">
        <v>598</v>
      </c>
      <c r="C129" s="9" t="s">
        <v>8</v>
      </c>
      <c r="D129" s="9" t="s">
        <v>113</v>
      </c>
      <c r="E129" s="9" t="s">
        <v>100</v>
      </c>
      <c r="F129" s="9" t="s">
        <v>599</v>
      </c>
      <c r="G129" s="9" t="s">
        <v>600</v>
      </c>
      <c r="H129" s="9" t="s">
        <v>125</v>
      </c>
      <c r="I129" s="9" t="n">
        <v>1500000</v>
      </c>
      <c r="J129" s="9" t="n">
        <v>3</v>
      </c>
      <c r="K129" s="9" t="s">
        <v>116</v>
      </c>
      <c r="L129" s="9" t="s">
        <v>104</v>
      </c>
    </row>
    <row r="130" customFormat="false" ht="15" hidden="false" customHeight="false" outlineLevel="0" collapsed="false">
      <c r="A130" s="9" t="s">
        <v>601</v>
      </c>
      <c r="B130" s="9" t="s">
        <v>602</v>
      </c>
      <c r="C130" s="9" t="s">
        <v>10</v>
      </c>
      <c r="D130" s="9" t="s">
        <v>99</v>
      </c>
      <c r="E130" s="9" t="s">
        <v>107</v>
      </c>
      <c r="F130" s="9" t="s">
        <v>603</v>
      </c>
      <c r="G130" s="9" t="s">
        <v>604</v>
      </c>
      <c r="H130" s="9" t="s">
        <v>103</v>
      </c>
      <c r="I130" s="9" t="n">
        <v>13500000</v>
      </c>
      <c r="J130" s="9" t="n">
        <v>3.5</v>
      </c>
      <c r="K130" s="9" t="s">
        <v>110</v>
      </c>
      <c r="L130" s="9" t="s">
        <v>104</v>
      </c>
    </row>
    <row r="131" customFormat="false" ht="15" hidden="false" customHeight="false" outlineLevel="0" collapsed="false">
      <c r="A131" s="9" t="s">
        <v>605</v>
      </c>
      <c r="B131" s="9" t="s">
        <v>606</v>
      </c>
      <c r="C131" s="9" t="s">
        <v>67</v>
      </c>
      <c r="D131" s="9" t="s">
        <v>99</v>
      </c>
      <c r="E131" s="9" t="s">
        <v>107</v>
      </c>
      <c r="F131" s="9" t="s">
        <v>607</v>
      </c>
      <c r="G131" s="9" t="s">
        <v>608</v>
      </c>
      <c r="H131" s="9" t="s">
        <v>103</v>
      </c>
      <c r="I131" s="9" t="n">
        <v>6500000</v>
      </c>
      <c r="J131" s="9" t="n">
        <v>4.4</v>
      </c>
      <c r="K131" s="9" t="s">
        <v>110</v>
      </c>
      <c r="L131" s="9" t="s">
        <v>104</v>
      </c>
    </row>
    <row r="132" customFormat="false" ht="15" hidden="false" customHeight="false" outlineLevel="0" collapsed="false">
      <c r="A132" s="9" t="s">
        <v>609</v>
      </c>
      <c r="B132" s="9" t="s">
        <v>610</v>
      </c>
      <c r="C132" s="9" t="s">
        <v>75</v>
      </c>
      <c r="D132" s="9" t="s">
        <v>99</v>
      </c>
      <c r="E132" s="9" t="s">
        <v>100</v>
      </c>
      <c r="F132" s="9" t="s">
        <v>611</v>
      </c>
      <c r="G132" s="9" t="s">
        <v>612</v>
      </c>
      <c r="H132" s="9" t="s">
        <v>103</v>
      </c>
      <c r="I132" s="9" t="n">
        <v>25500000</v>
      </c>
      <c r="J132" s="9" t="n">
        <v>3.8</v>
      </c>
      <c r="K132" s="9" t="s">
        <v>110</v>
      </c>
      <c r="L132" s="9" t="s">
        <v>104</v>
      </c>
    </row>
    <row r="133" customFormat="false" ht="15" hidden="false" customHeight="false" outlineLevel="0" collapsed="false">
      <c r="A133" s="9" t="s">
        <v>613</v>
      </c>
      <c r="B133" s="9" t="s">
        <v>614</v>
      </c>
      <c r="C133" s="9" t="s">
        <v>83</v>
      </c>
      <c r="D133" s="9" t="s">
        <v>138</v>
      </c>
      <c r="E133" s="9" t="s">
        <v>100</v>
      </c>
      <c r="F133" s="9" t="s">
        <v>615</v>
      </c>
      <c r="G133" s="9" t="s">
        <v>392</v>
      </c>
      <c r="H133" s="9" t="s">
        <v>125</v>
      </c>
      <c r="I133" s="9" t="n">
        <v>20500000</v>
      </c>
      <c r="J133" s="9" t="n">
        <v>2.6</v>
      </c>
      <c r="K133" s="9" t="s">
        <v>50</v>
      </c>
      <c r="L133" s="9" t="s">
        <v>104</v>
      </c>
    </row>
    <row r="134" customFormat="false" ht="15" hidden="false" customHeight="false" outlineLevel="0" collapsed="false">
      <c r="A134" s="9" t="s">
        <v>616</v>
      </c>
      <c r="B134" s="9" t="s">
        <v>617</v>
      </c>
      <c r="C134" s="9" t="s">
        <v>56</v>
      </c>
      <c r="D134" s="9" t="s">
        <v>138</v>
      </c>
      <c r="E134" s="9" t="s">
        <v>100</v>
      </c>
      <c r="F134" s="9" t="s">
        <v>618</v>
      </c>
      <c r="G134" s="9" t="s">
        <v>619</v>
      </c>
      <c r="H134" s="9" t="s">
        <v>125</v>
      </c>
      <c r="I134" s="9" t="n">
        <v>25000000</v>
      </c>
      <c r="J134" s="9" t="n">
        <v>3.6</v>
      </c>
      <c r="K134" s="9" t="s">
        <v>50</v>
      </c>
      <c r="L134" s="9" t="s">
        <v>104</v>
      </c>
    </row>
    <row r="135" customFormat="false" ht="15" hidden="false" customHeight="false" outlineLevel="0" collapsed="false">
      <c r="A135" s="9" t="s">
        <v>620</v>
      </c>
      <c r="B135" s="9" t="s">
        <v>621</v>
      </c>
      <c r="C135" s="9" t="s">
        <v>79</v>
      </c>
      <c r="D135" s="9" t="s">
        <v>118</v>
      </c>
      <c r="E135" s="9" t="s">
        <v>100</v>
      </c>
      <c r="F135" s="9" t="s">
        <v>622</v>
      </c>
      <c r="G135" s="9" t="s">
        <v>623</v>
      </c>
      <c r="H135" s="9" t="s">
        <v>103</v>
      </c>
      <c r="I135" s="9" t="n">
        <v>25000000</v>
      </c>
      <c r="J135" s="9" t="n">
        <v>2.6</v>
      </c>
      <c r="K135" s="9" t="s">
        <v>54</v>
      </c>
      <c r="L135" s="9" t="s">
        <v>104</v>
      </c>
    </row>
    <row r="136" customFormat="false" ht="15" hidden="false" customHeight="false" outlineLevel="0" collapsed="false">
      <c r="A136" s="9" t="s">
        <v>624</v>
      </c>
      <c r="B136" s="9" t="s">
        <v>625</v>
      </c>
      <c r="C136" s="9" t="s">
        <v>67</v>
      </c>
      <c r="D136" s="9" t="s">
        <v>138</v>
      </c>
      <c r="E136" s="9" t="s">
        <v>100</v>
      </c>
      <c r="F136" s="9" t="s">
        <v>626</v>
      </c>
      <c r="G136" s="9" t="s">
        <v>627</v>
      </c>
      <c r="H136" s="9" t="s">
        <v>103</v>
      </c>
      <c r="I136" s="9" t="n">
        <v>10500000</v>
      </c>
      <c r="J136" s="9" t="n">
        <v>2.8</v>
      </c>
      <c r="K136" s="9" t="s">
        <v>50</v>
      </c>
      <c r="L136" s="9" t="s">
        <v>121</v>
      </c>
    </row>
    <row r="137" customFormat="false" ht="15" hidden="false" customHeight="false" outlineLevel="0" collapsed="false">
      <c r="A137" s="9" t="s">
        <v>628</v>
      </c>
      <c r="B137" s="9" t="s">
        <v>629</v>
      </c>
      <c r="C137" s="9" t="s">
        <v>83</v>
      </c>
      <c r="D137" s="9" t="s">
        <v>118</v>
      </c>
      <c r="E137" s="9" t="s">
        <v>100</v>
      </c>
      <c r="F137" s="9" t="s">
        <v>630</v>
      </c>
      <c r="G137" s="9" t="s">
        <v>631</v>
      </c>
      <c r="H137" s="9" t="s">
        <v>103</v>
      </c>
      <c r="I137" s="9" t="n">
        <v>4500000</v>
      </c>
      <c r="J137" s="9" t="n">
        <v>3.1</v>
      </c>
      <c r="K137" s="9" t="s">
        <v>116</v>
      </c>
      <c r="L137" s="9" t="s">
        <v>104</v>
      </c>
    </row>
    <row r="138" customFormat="false" ht="15" hidden="false" customHeight="false" outlineLevel="0" collapsed="false">
      <c r="A138" s="9" t="s">
        <v>632</v>
      </c>
      <c r="B138" s="9" t="s">
        <v>551</v>
      </c>
      <c r="C138" s="9" t="s">
        <v>63</v>
      </c>
      <c r="D138" s="9" t="s">
        <v>166</v>
      </c>
      <c r="E138" s="9" t="s">
        <v>100</v>
      </c>
      <c r="F138" s="9" t="s">
        <v>633</v>
      </c>
      <c r="G138" s="9" t="s">
        <v>634</v>
      </c>
      <c r="H138" s="9" t="s">
        <v>125</v>
      </c>
      <c r="I138" s="9" t="n">
        <v>17500000</v>
      </c>
      <c r="J138" s="9" t="n">
        <v>4.1</v>
      </c>
      <c r="K138" s="9" t="s">
        <v>110</v>
      </c>
      <c r="L138" s="9" t="s">
        <v>104</v>
      </c>
    </row>
    <row r="139" customFormat="false" ht="15" hidden="false" customHeight="false" outlineLevel="0" collapsed="false">
      <c r="A139" s="9" t="s">
        <v>635</v>
      </c>
      <c r="B139" s="9" t="s">
        <v>636</v>
      </c>
      <c r="C139" s="9" t="s">
        <v>67</v>
      </c>
      <c r="D139" s="9" t="s">
        <v>99</v>
      </c>
      <c r="E139" s="9" t="s">
        <v>107</v>
      </c>
      <c r="F139" s="9" t="s">
        <v>637</v>
      </c>
      <c r="G139" s="9" t="s">
        <v>638</v>
      </c>
      <c r="H139" s="9" t="s">
        <v>103</v>
      </c>
      <c r="I139" s="9" t="n">
        <v>7000000</v>
      </c>
      <c r="J139" s="9" t="n">
        <v>4</v>
      </c>
      <c r="K139" s="9" t="s">
        <v>116</v>
      </c>
      <c r="L139" s="9" t="s">
        <v>104</v>
      </c>
    </row>
    <row r="140" customFormat="false" ht="15" hidden="false" customHeight="false" outlineLevel="0" collapsed="false">
      <c r="A140" s="9" t="s">
        <v>639</v>
      </c>
      <c r="B140" s="9" t="s">
        <v>640</v>
      </c>
      <c r="C140" s="9" t="s">
        <v>75</v>
      </c>
      <c r="D140" s="9" t="s">
        <v>130</v>
      </c>
      <c r="E140" s="9" t="s">
        <v>100</v>
      </c>
      <c r="F140" s="9" t="s">
        <v>641</v>
      </c>
      <c r="G140" s="9" t="s">
        <v>642</v>
      </c>
      <c r="H140" s="9" t="s">
        <v>103</v>
      </c>
      <c r="I140" s="9" t="n">
        <v>21500000</v>
      </c>
      <c r="J140" s="9" t="n">
        <v>5</v>
      </c>
      <c r="K140" s="9" t="s">
        <v>110</v>
      </c>
      <c r="L140" s="9" t="s">
        <v>104</v>
      </c>
    </row>
    <row r="141" customFormat="false" ht="15" hidden="false" customHeight="false" outlineLevel="0" collapsed="false">
      <c r="A141" s="9" t="s">
        <v>643</v>
      </c>
      <c r="B141" s="9" t="s">
        <v>644</v>
      </c>
      <c r="C141" s="9" t="s">
        <v>56</v>
      </c>
      <c r="D141" s="9" t="s">
        <v>113</v>
      </c>
      <c r="E141" s="9" t="s">
        <v>100</v>
      </c>
      <c r="F141" s="9" t="s">
        <v>645</v>
      </c>
      <c r="G141" s="9" t="s">
        <v>646</v>
      </c>
      <c r="H141" s="9" t="s">
        <v>103</v>
      </c>
      <c r="I141" s="9" t="n">
        <v>26500000</v>
      </c>
      <c r="J141" s="9" t="n">
        <v>3.2</v>
      </c>
      <c r="K141" s="9" t="s">
        <v>54</v>
      </c>
      <c r="L141" s="9" t="s">
        <v>104</v>
      </c>
    </row>
    <row r="142" customFormat="false" ht="15" hidden="false" customHeight="false" outlineLevel="0" collapsed="false">
      <c r="A142" s="9" t="s">
        <v>647</v>
      </c>
      <c r="B142" s="9" t="s">
        <v>283</v>
      </c>
      <c r="C142" s="9" t="s">
        <v>63</v>
      </c>
      <c r="D142" s="9" t="s">
        <v>118</v>
      </c>
      <c r="E142" s="9" t="s">
        <v>107</v>
      </c>
      <c r="F142" s="9" t="s">
        <v>648</v>
      </c>
      <c r="G142" s="9" t="s">
        <v>649</v>
      </c>
      <c r="H142" s="9" t="s">
        <v>103</v>
      </c>
      <c r="I142" s="9" t="n">
        <v>10500000</v>
      </c>
      <c r="J142" s="9" t="n">
        <v>2.7</v>
      </c>
      <c r="K142" s="9" t="s">
        <v>116</v>
      </c>
      <c r="L142" s="9" t="s">
        <v>104</v>
      </c>
    </row>
    <row r="143" customFormat="false" ht="15" hidden="false" customHeight="false" outlineLevel="0" collapsed="false">
      <c r="A143" s="9" t="s">
        <v>650</v>
      </c>
      <c r="B143" s="9" t="s">
        <v>651</v>
      </c>
      <c r="C143" s="9" t="s">
        <v>75</v>
      </c>
      <c r="D143" s="9" t="s">
        <v>130</v>
      </c>
      <c r="E143" s="9" t="s">
        <v>107</v>
      </c>
      <c r="F143" s="9" t="s">
        <v>652</v>
      </c>
      <c r="G143" s="9" t="s">
        <v>653</v>
      </c>
      <c r="H143" s="9" t="s">
        <v>103</v>
      </c>
      <c r="I143" s="9" t="n">
        <v>7500000</v>
      </c>
      <c r="J143" s="9" t="n">
        <v>3.3</v>
      </c>
      <c r="K143" s="9" t="s">
        <v>54</v>
      </c>
      <c r="L143" s="9" t="s">
        <v>104</v>
      </c>
    </row>
    <row r="144" customFormat="false" ht="15" hidden="false" customHeight="false" outlineLevel="0" collapsed="false">
      <c r="A144" s="9" t="s">
        <v>654</v>
      </c>
      <c r="B144" s="9" t="s">
        <v>655</v>
      </c>
      <c r="C144" s="9" t="s">
        <v>75</v>
      </c>
      <c r="D144" s="9" t="s">
        <v>106</v>
      </c>
      <c r="E144" s="9" t="s">
        <v>100</v>
      </c>
      <c r="F144" s="9" t="s">
        <v>656</v>
      </c>
      <c r="G144" s="9" t="s">
        <v>657</v>
      </c>
      <c r="H144" s="9" t="s">
        <v>125</v>
      </c>
      <c r="I144" s="9" t="n">
        <v>22000000</v>
      </c>
      <c r="J144" s="9" t="n">
        <v>2.9</v>
      </c>
      <c r="K144" s="9" t="s">
        <v>116</v>
      </c>
      <c r="L144" s="9" t="s">
        <v>104</v>
      </c>
    </row>
    <row r="145" customFormat="false" ht="15" hidden="false" customHeight="false" outlineLevel="0" collapsed="false">
      <c r="A145" s="9" t="s">
        <v>658</v>
      </c>
      <c r="B145" s="9" t="s">
        <v>659</v>
      </c>
      <c r="C145" s="9" t="s">
        <v>79</v>
      </c>
      <c r="D145" s="9" t="s">
        <v>113</v>
      </c>
      <c r="E145" s="9" t="s">
        <v>107</v>
      </c>
      <c r="F145" s="9" t="s">
        <v>660</v>
      </c>
      <c r="G145" s="9" t="s">
        <v>661</v>
      </c>
      <c r="H145" s="9" t="s">
        <v>103</v>
      </c>
      <c r="I145" s="9" t="n">
        <v>13500000</v>
      </c>
      <c r="J145" s="9" t="n">
        <v>3.5</v>
      </c>
      <c r="K145" s="9" t="s">
        <v>54</v>
      </c>
      <c r="L145" s="9" t="s">
        <v>104</v>
      </c>
    </row>
    <row r="146" customFormat="false" ht="15" hidden="false" customHeight="false" outlineLevel="0" collapsed="false">
      <c r="A146" s="9" t="s">
        <v>662</v>
      </c>
      <c r="B146" s="9" t="s">
        <v>663</v>
      </c>
      <c r="C146" s="9" t="s">
        <v>67</v>
      </c>
      <c r="D146" s="9" t="s">
        <v>113</v>
      </c>
      <c r="E146" s="9" t="s">
        <v>107</v>
      </c>
      <c r="F146" s="9" t="s">
        <v>664</v>
      </c>
      <c r="G146" s="9" t="s">
        <v>404</v>
      </c>
      <c r="H146" s="9" t="s">
        <v>125</v>
      </c>
      <c r="I146" s="9" t="n">
        <v>9500000</v>
      </c>
      <c r="J146" s="9" t="n">
        <v>4.3</v>
      </c>
      <c r="K146" s="9" t="s">
        <v>50</v>
      </c>
      <c r="L146" s="9" t="s">
        <v>104</v>
      </c>
    </row>
    <row r="147" customFormat="false" ht="15" hidden="false" customHeight="false" outlineLevel="0" collapsed="false">
      <c r="A147" s="9" t="s">
        <v>665</v>
      </c>
      <c r="B147" s="9" t="s">
        <v>666</v>
      </c>
      <c r="C147" s="9" t="s">
        <v>67</v>
      </c>
      <c r="D147" s="9" t="s">
        <v>130</v>
      </c>
      <c r="E147" s="9" t="s">
        <v>100</v>
      </c>
      <c r="F147" s="9" t="s">
        <v>667</v>
      </c>
      <c r="G147" s="9" t="s">
        <v>668</v>
      </c>
      <c r="H147" s="9" t="s">
        <v>103</v>
      </c>
      <c r="I147" s="9" t="n">
        <v>4000000</v>
      </c>
      <c r="J147" s="9" t="n">
        <v>3.3</v>
      </c>
      <c r="K147" s="9" t="s">
        <v>110</v>
      </c>
      <c r="L147" s="9" t="s">
        <v>104</v>
      </c>
    </row>
    <row r="148" customFormat="false" ht="15" hidden="false" customHeight="false" outlineLevel="0" collapsed="false">
      <c r="A148" s="9" t="s">
        <v>669</v>
      </c>
      <c r="B148" s="9" t="s">
        <v>670</v>
      </c>
      <c r="C148" s="9" t="s">
        <v>56</v>
      </c>
      <c r="D148" s="9" t="s">
        <v>166</v>
      </c>
      <c r="E148" s="9" t="s">
        <v>100</v>
      </c>
      <c r="F148" s="9" t="s">
        <v>671</v>
      </c>
      <c r="G148" s="9" t="s">
        <v>672</v>
      </c>
      <c r="H148" s="9" t="s">
        <v>125</v>
      </c>
      <c r="I148" s="9" t="n">
        <v>13000000</v>
      </c>
      <c r="J148" s="9" t="n">
        <v>3.3</v>
      </c>
      <c r="K148" s="9" t="s">
        <v>116</v>
      </c>
      <c r="L148" s="9" t="s">
        <v>104</v>
      </c>
    </row>
    <row r="149" customFormat="false" ht="15" hidden="false" customHeight="false" outlineLevel="0" collapsed="false">
      <c r="A149" s="9" t="s">
        <v>673</v>
      </c>
      <c r="B149" s="9" t="s">
        <v>674</v>
      </c>
      <c r="C149" s="9" t="s">
        <v>14</v>
      </c>
      <c r="D149" s="9" t="s">
        <v>118</v>
      </c>
      <c r="E149" s="9" t="s">
        <v>107</v>
      </c>
      <c r="F149" s="9" t="s">
        <v>675</v>
      </c>
      <c r="G149" s="9" t="s">
        <v>676</v>
      </c>
      <c r="H149" s="9" t="s">
        <v>103</v>
      </c>
      <c r="I149" s="9" t="n">
        <v>26500000</v>
      </c>
      <c r="J149" s="9" t="n">
        <v>2.8</v>
      </c>
      <c r="K149" s="9" t="s">
        <v>50</v>
      </c>
      <c r="L149" s="9" t="s">
        <v>104</v>
      </c>
    </row>
    <row r="150" customFormat="false" ht="15" hidden="false" customHeight="false" outlineLevel="0" collapsed="false">
      <c r="A150" s="9" t="s">
        <v>677</v>
      </c>
      <c r="B150" s="9" t="s">
        <v>678</v>
      </c>
      <c r="C150" s="9" t="s">
        <v>83</v>
      </c>
      <c r="D150" s="9" t="s">
        <v>118</v>
      </c>
      <c r="E150" s="9" t="s">
        <v>107</v>
      </c>
      <c r="F150" s="9" t="s">
        <v>679</v>
      </c>
      <c r="G150" s="9" t="s">
        <v>680</v>
      </c>
      <c r="H150" s="9" t="s">
        <v>103</v>
      </c>
      <c r="I150" s="9" t="n">
        <v>30000000</v>
      </c>
      <c r="J150" s="9" t="n">
        <v>2.9</v>
      </c>
      <c r="K150" s="9" t="s">
        <v>110</v>
      </c>
      <c r="L150" s="9" t="s">
        <v>104</v>
      </c>
    </row>
    <row r="151" customFormat="false" ht="15" hidden="false" customHeight="false" outlineLevel="0" collapsed="false">
      <c r="A151" s="9" t="s">
        <v>681</v>
      </c>
      <c r="B151" s="9" t="s">
        <v>682</v>
      </c>
      <c r="C151" s="9" t="s">
        <v>14</v>
      </c>
      <c r="D151" s="9" t="s">
        <v>99</v>
      </c>
      <c r="E151" s="9" t="s">
        <v>100</v>
      </c>
      <c r="F151" s="9" t="s">
        <v>683</v>
      </c>
      <c r="G151" s="9" t="s">
        <v>684</v>
      </c>
      <c r="H151" s="9" t="s">
        <v>103</v>
      </c>
      <c r="I151" s="9" t="n">
        <v>18500000</v>
      </c>
      <c r="J151" s="9" t="n">
        <v>3.1</v>
      </c>
      <c r="K151" s="9" t="s">
        <v>50</v>
      </c>
      <c r="L151" s="9" t="s">
        <v>104</v>
      </c>
    </row>
    <row r="152" customFormat="false" ht="15" hidden="false" customHeight="false" outlineLevel="0" collapsed="false">
      <c r="A152" s="9" t="s">
        <v>685</v>
      </c>
      <c r="B152" s="9" t="s">
        <v>686</v>
      </c>
      <c r="C152" s="9" t="s">
        <v>67</v>
      </c>
      <c r="D152" s="9" t="s">
        <v>118</v>
      </c>
      <c r="E152" s="9" t="s">
        <v>100</v>
      </c>
      <c r="F152" s="9" t="s">
        <v>687</v>
      </c>
      <c r="G152" s="9" t="s">
        <v>688</v>
      </c>
      <c r="H152" s="9" t="s">
        <v>103</v>
      </c>
      <c r="I152" s="9" t="n">
        <v>13500000</v>
      </c>
      <c r="J152" s="9" t="n">
        <v>3.8</v>
      </c>
      <c r="K152" s="9" t="s">
        <v>50</v>
      </c>
      <c r="L152" s="9" t="s">
        <v>121</v>
      </c>
    </row>
    <row r="153" customFormat="false" ht="15" hidden="false" customHeight="false" outlineLevel="0" collapsed="false">
      <c r="A153" s="9" t="s">
        <v>689</v>
      </c>
      <c r="B153" s="9" t="s">
        <v>690</v>
      </c>
      <c r="C153" s="9" t="s">
        <v>83</v>
      </c>
      <c r="D153" s="9" t="s">
        <v>138</v>
      </c>
      <c r="E153" s="9" t="s">
        <v>100</v>
      </c>
      <c r="F153" s="9" t="s">
        <v>691</v>
      </c>
      <c r="G153" s="9" t="s">
        <v>692</v>
      </c>
      <c r="H153" s="9" t="s">
        <v>103</v>
      </c>
      <c r="I153" s="9" t="n">
        <v>29000000</v>
      </c>
      <c r="J153" s="9" t="n">
        <v>3.4</v>
      </c>
      <c r="K153" s="9" t="s">
        <v>54</v>
      </c>
      <c r="L153" s="9" t="s">
        <v>104</v>
      </c>
    </row>
    <row r="154" customFormat="false" ht="15" hidden="false" customHeight="false" outlineLevel="0" collapsed="false">
      <c r="A154" s="9" t="s">
        <v>693</v>
      </c>
      <c r="B154" s="9" t="s">
        <v>694</v>
      </c>
      <c r="C154" s="9" t="s">
        <v>63</v>
      </c>
      <c r="D154" s="9" t="s">
        <v>106</v>
      </c>
      <c r="E154" s="9" t="s">
        <v>107</v>
      </c>
      <c r="F154" s="9" t="s">
        <v>695</v>
      </c>
      <c r="G154" s="9" t="s">
        <v>696</v>
      </c>
      <c r="H154" s="9" t="s">
        <v>103</v>
      </c>
      <c r="I154" s="9" t="n">
        <v>6000000</v>
      </c>
      <c r="J154" s="9" t="n">
        <v>4.6</v>
      </c>
      <c r="K154" s="9" t="s">
        <v>50</v>
      </c>
      <c r="L154" s="9" t="s">
        <v>121</v>
      </c>
    </row>
    <row r="155" customFormat="false" ht="15" hidden="false" customHeight="false" outlineLevel="0" collapsed="false">
      <c r="A155" s="9" t="s">
        <v>697</v>
      </c>
      <c r="B155" s="9" t="s">
        <v>698</v>
      </c>
      <c r="C155" s="9" t="s">
        <v>75</v>
      </c>
      <c r="D155" s="9" t="s">
        <v>138</v>
      </c>
      <c r="E155" s="9" t="s">
        <v>107</v>
      </c>
      <c r="F155" s="9" t="s">
        <v>699</v>
      </c>
      <c r="G155" s="9" t="s">
        <v>700</v>
      </c>
      <c r="H155" s="9" t="s">
        <v>103</v>
      </c>
      <c r="I155" s="9" t="n">
        <v>17500000</v>
      </c>
      <c r="J155" s="9" t="n">
        <v>3.4</v>
      </c>
      <c r="K155" s="9" t="s">
        <v>110</v>
      </c>
      <c r="L155" s="9" t="s">
        <v>121</v>
      </c>
    </row>
    <row r="156" customFormat="false" ht="15" hidden="false" customHeight="false" outlineLevel="0" collapsed="false">
      <c r="A156" s="9" t="s">
        <v>701</v>
      </c>
      <c r="B156" s="9" t="s">
        <v>702</v>
      </c>
      <c r="C156" s="9" t="s">
        <v>14</v>
      </c>
      <c r="D156" s="9" t="s">
        <v>113</v>
      </c>
      <c r="E156" s="9" t="s">
        <v>107</v>
      </c>
      <c r="F156" s="9" t="s">
        <v>703</v>
      </c>
      <c r="G156" s="9" t="s">
        <v>704</v>
      </c>
      <c r="H156" s="9" t="s">
        <v>103</v>
      </c>
      <c r="I156" s="9" t="n">
        <v>26500000</v>
      </c>
      <c r="J156" s="9" t="n">
        <v>2.9</v>
      </c>
      <c r="K156" s="9" t="s">
        <v>116</v>
      </c>
      <c r="L156" s="9" t="s">
        <v>104</v>
      </c>
    </row>
    <row r="157" customFormat="false" ht="15" hidden="false" customHeight="false" outlineLevel="0" collapsed="false">
      <c r="A157" s="9" t="s">
        <v>705</v>
      </c>
      <c r="B157" s="9" t="s">
        <v>563</v>
      </c>
      <c r="C157" s="9" t="s">
        <v>56</v>
      </c>
      <c r="D157" s="9" t="s">
        <v>166</v>
      </c>
      <c r="E157" s="9" t="s">
        <v>107</v>
      </c>
      <c r="F157" s="9" t="s">
        <v>706</v>
      </c>
      <c r="G157" s="9" t="s">
        <v>707</v>
      </c>
      <c r="H157" s="9" t="s">
        <v>125</v>
      </c>
      <c r="I157" s="9" t="n">
        <v>9500000</v>
      </c>
      <c r="J157" s="9" t="n">
        <v>3</v>
      </c>
      <c r="K157" s="9" t="s">
        <v>116</v>
      </c>
      <c r="L157" s="9" t="s">
        <v>104</v>
      </c>
    </row>
    <row r="158" customFormat="false" ht="15" hidden="false" customHeight="false" outlineLevel="0" collapsed="false">
      <c r="A158" s="9" t="s">
        <v>708</v>
      </c>
      <c r="B158" s="9" t="s">
        <v>709</v>
      </c>
      <c r="C158" s="9" t="s">
        <v>10</v>
      </c>
      <c r="D158" s="9" t="s">
        <v>99</v>
      </c>
      <c r="E158" s="9" t="s">
        <v>100</v>
      </c>
      <c r="F158" s="9" t="s">
        <v>710</v>
      </c>
      <c r="G158" s="9" t="s">
        <v>711</v>
      </c>
      <c r="H158" s="9" t="s">
        <v>103</v>
      </c>
      <c r="I158" s="9" t="n">
        <v>14500000</v>
      </c>
      <c r="J158" s="9" t="n">
        <v>4.1</v>
      </c>
      <c r="K158" s="9" t="s">
        <v>116</v>
      </c>
      <c r="L158" s="9" t="s">
        <v>104</v>
      </c>
    </row>
    <row r="159" customFormat="false" ht="15" hidden="false" customHeight="false" outlineLevel="0" collapsed="false">
      <c r="A159" s="9" t="s">
        <v>712</v>
      </c>
      <c r="B159" s="9" t="s">
        <v>713</v>
      </c>
      <c r="C159" s="9" t="s">
        <v>83</v>
      </c>
      <c r="D159" s="9" t="s">
        <v>113</v>
      </c>
      <c r="E159" s="9" t="s">
        <v>107</v>
      </c>
      <c r="F159" s="9" t="s">
        <v>714</v>
      </c>
      <c r="G159" s="9" t="s">
        <v>715</v>
      </c>
      <c r="H159" s="9" t="s">
        <v>103</v>
      </c>
      <c r="I159" s="9" t="n">
        <v>15000000</v>
      </c>
      <c r="J159" s="9" t="n">
        <v>2.5</v>
      </c>
      <c r="K159" s="9" t="s">
        <v>116</v>
      </c>
      <c r="L159" s="9" t="s">
        <v>104</v>
      </c>
    </row>
    <row r="160" customFormat="false" ht="15" hidden="false" customHeight="false" outlineLevel="0" collapsed="false">
      <c r="A160" s="9" t="s">
        <v>716</v>
      </c>
      <c r="B160" s="9" t="s">
        <v>717</v>
      </c>
      <c r="C160" s="9" t="s">
        <v>56</v>
      </c>
      <c r="D160" s="9" t="s">
        <v>106</v>
      </c>
      <c r="E160" s="9" t="s">
        <v>100</v>
      </c>
      <c r="F160" s="9" t="s">
        <v>718</v>
      </c>
      <c r="G160" s="9" t="s">
        <v>719</v>
      </c>
      <c r="H160" s="9" t="s">
        <v>103</v>
      </c>
      <c r="I160" s="9" t="n">
        <v>17500000</v>
      </c>
      <c r="J160" s="9" t="n">
        <v>4.5</v>
      </c>
      <c r="K160" s="9" t="s">
        <v>116</v>
      </c>
      <c r="L160" s="9" t="s">
        <v>104</v>
      </c>
    </row>
    <row r="161" customFormat="false" ht="15" hidden="false" customHeight="false" outlineLevel="0" collapsed="false">
      <c r="A161" s="9" t="s">
        <v>720</v>
      </c>
      <c r="B161" s="9" t="s">
        <v>721</v>
      </c>
      <c r="C161" s="9" t="s">
        <v>8</v>
      </c>
      <c r="D161" s="9" t="s">
        <v>113</v>
      </c>
      <c r="E161" s="9" t="s">
        <v>100</v>
      </c>
      <c r="F161" s="9" t="s">
        <v>722</v>
      </c>
      <c r="G161" s="9" t="s">
        <v>723</v>
      </c>
      <c r="H161" s="9" t="s">
        <v>125</v>
      </c>
      <c r="I161" s="9" t="n">
        <v>26500000</v>
      </c>
      <c r="J161" s="9" t="n">
        <v>2.7</v>
      </c>
      <c r="K161" s="9" t="s">
        <v>54</v>
      </c>
      <c r="L161" s="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9" min="7" style="0" width="13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8" t="s">
        <v>724</v>
      </c>
      <c r="B1" s="8" t="s">
        <v>725</v>
      </c>
      <c r="C1" s="8" t="s">
        <v>726</v>
      </c>
      <c r="D1" s="8" t="s">
        <v>727</v>
      </c>
      <c r="E1" s="8" t="s">
        <v>728</v>
      </c>
      <c r="F1" s="8" t="s">
        <v>729</v>
      </c>
      <c r="G1" s="8" t="s">
        <v>730</v>
      </c>
      <c r="H1" s="8" t="s">
        <v>731</v>
      </c>
      <c r="I1" s="8" t="s">
        <v>732</v>
      </c>
      <c r="J1" s="8" t="s">
        <v>733</v>
      </c>
      <c r="K1" s="8" t="s">
        <v>734</v>
      </c>
      <c r="L1" s="8" t="s">
        <v>41</v>
      </c>
    </row>
    <row r="2" customFormat="false" ht="15" hidden="false" customHeight="false" outlineLevel="0" collapsed="false">
      <c r="A2" s="9" t="s">
        <v>735</v>
      </c>
      <c r="B2" s="9" t="s">
        <v>736</v>
      </c>
      <c r="C2" s="9" t="s">
        <v>737</v>
      </c>
      <c r="D2" s="9" t="s">
        <v>738</v>
      </c>
      <c r="E2" s="9" t="s">
        <v>739</v>
      </c>
      <c r="F2" s="9" t="s">
        <v>740</v>
      </c>
      <c r="G2" s="9" t="n">
        <v>284</v>
      </c>
      <c r="H2" s="9" t="n">
        <v>207</v>
      </c>
      <c r="I2" s="9" t="n">
        <v>14.2</v>
      </c>
      <c r="J2" s="9" t="s">
        <v>741</v>
      </c>
      <c r="K2" s="9" t="s">
        <v>301</v>
      </c>
      <c r="L2" s="9" t="s">
        <v>47</v>
      </c>
    </row>
    <row r="3" customFormat="false" ht="15" hidden="false" customHeight="false" outlineLevel="0" collapsed="false">
      <c r="A3" s="9" t="s">
        <v>742</v>
      </c>
      <c r="B3" s="9" t="s">
        <v>743</v>
      </c>
      <c r="C3" s="9" t="s">
        <v>744</v>
      </c>
      <c r="D3" s="9" t="s">
        <v>745</v>
      </c>
      <c r="E3" s="9" t="s">
        <v>739</v>
      </c>
      <c r="F3" s="9" t="s">
        <v>740</v>
      </c>
      <c r="G3" s="9" t="n">
        <v>292</v>
      </c>
      <c r="H3" s="9" t="n">
        <v>234</v>
      </c>
      <c r="I3" s="9" t="n">
        <v>0</v>
      </c>
      <c r="J3" s="9"/>
      <c r="K3" s="9" t="s">
        <v>223</v>
      </c>
      <c r="L3" s="9" t="s">
        <v>47</v>
      </c>
    </row>
    <row r="4" customFormat="false" ht="15" hidden="false" customHeight="false" outlineLevel="0" collapsed="false">
      <c r="A4" s="9" t="s">
        <v>746</v>
      </c>
      <c r="B4" s="9" t="s">
        <v>743</v>
      </c>
      <c r="C4" s="9" t="s">
        <v>747</v>
      </c>
      <c r="D4" s="9" t="s">
        <v>748</v>
      </c>
      <c r="E4" s="9" t="s">
        <v>739</v>
      </c>
      <c r="F4" s="9" t="s">
        <v>740</v>
      </c>
      <c r="G4" s="9" t="n">
        <v>219</v>
      </c>
      <c r="H4" s="9" t="n">
        <v>177</v>
      </c>
      <c r="I4" s="9" t="n">
        <v>0</v>
      </c>
      <c r="J4" s="9"/>
      <c r="K4" s="9" t="s">
        <v>340</v>
      </c>
      <c r="L4" s="9" t="s">
        <v>47</v>
      </c>
    </row>
    <row r="5" customFormat="false" ht="15" hidden="false" customHeight="false" outlineLevel="0" collapsed="false">
      <c r="A5" s="9" t="s">
        <v>749</v>
      </c>
      <c r="B5" s="9" t="s">
        <v>750</v>
      </c>
      <c r="C5" s="9" t="s">
        <v>751</v>
      </c>
      <c r="D5" s="9" t="s">
        <v>752</v>
      </c>
      <c r="E5" s="9" t="s">
        <v>753</v>
      </c>
      <c r="F5" s="9" t="s">
        <v>740</v>
      </c>
      <c r="G5" s="9" t="n">
        <v>145</v>
      </c>
      <c r="H5" s="9" t="n">
        <v>128</v>
      </c>
      <c r="I5" s="9" t="n">
        <v>0</v>
      </c>
      <c r="J5" s="9"/>
      <c r="K5" s="9" t="s">
        <v>720</v>
      </c>
      <c r="L5" s="9" t="s">
        <v>47</v>
      </c>
    </row>
    <row r="6" customFormat="false" ht="15" hidden="false" customHeight="false" outlineLevel="0" collapsed="false">
      <c r="A6" s="9" t="s">
        <v>754</v>
      </c>
      <c r="B6" s="9" t="s">
        <v>755</v>
      </c>
      <c r="C6" s="9" t="s">
        <v>756</v>
      </c>
      <c r="D6" s="9" t="s">
        <v>757</v>
      </c>
      <c r="E6" s="9" t="s">
        <v>739</v>
      </c>
      <c r="F6" s="9" t="s">
        <v>740</v>
      </c>
      <c r="G6" s="9" t="n">
        <v>267</v>
      </c>
      <c r="H6" s="9" t="n">
        <v>199</v>
      </c>
      <c r="I6" s="9" t="n">
        <v>0</v>
      </c>
      <c r="J6" s="9"/>
      <c r="K6" s="9" t="s">
        <v>597</v>
      </c>
      <c r="L6" s="9" t="s">
        <v>47</v>
      </c>
    </row>
    <row r="7" customFormat="false" ht="15" hidden="false" customHeight="false" outlineLevel="0" collapsed="false">
      <c r="A7" s="9" t="s">
        <v>758</v>
      </c>
      <c r="B7" s="9" t="s">
        <v>736</v>
      </c>
      <c r="C7" s="9" t="s">
        <v>759</v>
      </c>
      <c r="D7" s="9" t="s">
        <v>760</v>
      </c>
      <c r="E7" s="9" t="s">
        <v>753</v>
      </c>
      <c r="F7" s="9" t="s">
        <v>740</v>
      </c>
      <c r="G7" s="9" t="n">
        <v>102</v>
      </c>
      <c r="H7" s="9" t="n">
        <v>76</v>
      </c>
      <c r="I7" s="9" t="n">
        <v>0</v>
      </c>
      <c r="J7" s="9"/>
      <c r="K7" s="9" t="s">
        <v>262</v>
      </c>
      <c r="L7" s="9" t="s">
        <v>47</v>
      </c>
    </row>
    <row r="8" customFormat="false" ht="15" hidden="false" customHeight="false" outlineLevel="0" collapsed="false">
      <c r="A8" s="9" t="s">
        <v>761</v>
      </c>
      <c r="B8" s="9" t="s">
        <v>762</v>
      </c>
      <c r="C8" s="9" t="s">
        <v>763</v>
      </c>
      <c r="D8" s="9" t="s">
        <v>764</v>
      </c>
      <c r="E8" s="9" t="s">
        <v>765</v>
      </c>
      <c r="F8" s="9" t="s">
        <v>766</v>
      </c>
      <c r="G8" s="9" t="n">
        <v>16301</v>
      </c>
      <c r="H8" s="9" t="n">
        <v>14124</v>
      </c>
      <c r="I8" s="9" t="n">
        <v>0</v>
      </c>
      <c r="J8" s="9"/>
      <c r="K8" s="9" t="s">
        <v>546</v>
      </c>
      <c r="L8" s="9" t="s">
        <v>47</v>
      </c>
    </row>
    <row r="9" customFormat="false" ht="15" hidden="false" customHeight="false" outlineLevel="0" collapsed="false">
      <c r="A9" s="9" t="s">
        <v>767</v>
      </c>
      <c r="B9" s="9" t="s">
        <v>768</v>
      </c>
      <c r="C9" s="9" t="s">
        <v>769</v>
      </c>
      <c r="D9" s="9" t="s">
        <v>770</v>
      </c>
      <c r="E9" s="9" t="s">
        <v>753</v>
      </c>
      <c r="F9" s="9" t="s">
        <v>740</v>
      </c>
      <c r="G9" s="9" t="n">
        <v>377</v>
      </c>
      <c r="H9" s="9" t="n">
        <v>393</v>
      </c>
      <c r="I9" s="9" t="n">
        <v>0</v>
      </c>
      <c r="J9" s="9"/>
      <c r="K9" s="9" t="s">
        <v>48</v>
      </c>
      <c r="L9" s="9" t="s">
        <v>47</v>
      </c>
    </row>
    <row r="10" customFormat="false" ht="15" hidden="false" customHeight="false" outlineLevel="0" collapsed="false">
      <c r="A10" s="9" t="s">
        <v>771</v>
      </c>
      <c r="B10" s="9" t="s">
        <v>750</v>
      </c>
      <c r="C10" s="9" t="s">
        <v>772</v>
      </c>
      <c r="D10" s="9" t="s">
        <v>773</v>
      </c>
      <c r="E10" s="9" t="s">
        <v>739</v>
      </c>
      <c r="F10" s="9" t="s">
        <v>740</v>
      </c>
      <c r="G10" s="9" t="n">
        <v>397</v>
      </c>
      <c r="H10" s="9" t="n">
        <v>306</v>
      </c>
      <c r="I10" s="9" t="n">
        <v>15.3</v>
      </c>
      <c r="J10" s="9"/>
      <c r="K10" s="9" t="s">
        <v>550</v>
      </c>
      <c r="L10" s="9" t="s">
        <v>47</v>
      </c>
    </row>
    <row r="11" customFormat="false" ht="15" hidden="false" customHeight="false" outlineLevel="0" collapsed="false">
      <c r="A11" s="9" t="s">
        <v>774</v>
      </c>
      <c r="B11" s="9" t="s">
        <v>762</v>
      </c>
      <c r="C11" s="9" t="s">
        <v>775</v>
      </c>
      <c r="D11" s="9" t="s">
        <v>776</v>
      </c>
      <c r="E11" s="9" t="s">
        <v>765</v>
      </c>
      <c r="F11" s="9" t="s">
        <v>766</v>
      </c>
      <c r="G11" s="9" t="n">
        <v>8866</v>
      </c>
      <c r="H11" s="9" t="n">
        <v>8661</v>
      </c>
      <c r="I11" s="9" t="n">
        <v>0</v>
      </c>
      <c r="J11" s="9"/>
      <c r="K11" s="9" t="s">
        <v>340</v>
      </c>
      <c r="L11" s="9" t="s">
        <v>47</v>
      </c>
    </row>
    <row r="12" customFormat="false" ht="15" hidden="false" customHeight="false" outlineLevel="0" collapsed="false">
      <c r="A12" s="9" t="s">
        <v>777</v>
      </c>
      <c r="B12" s="9" t="s">
        <v>778</v>
      </c>
      <c r="C12" s="9" t="s">
        <v>775</v>
      </c>
      <c r="D12" s="9" t="s">
        <v>779</v>
      </c>
      <c r="E12" s="9" t="s">
        <v>765</v>
      </c>
      <c r="F12" s="9" t="s">
        <v>766</v>
      </c>
      <c r="G12" s="9" t="n">
        <v>16125</v>
      </c>
      <c r="H12" s="9" t="n">
        <v>14004</v>
      </c>
      <c r="I12" s="9" t="n">
        <v>0</v>
      </c>
      <c r="J12" s="9"/>
      <c r="K12" s="9" t="s">
        <v>377</v>
      </c>
      <c r="L12" s="9" t="s">
        <v>47</v>
      </c>
    </row>
    <row r="13" customFormat="false" ht="15" hidden="false" customHeight="false" outlineLevel="0" collapsed="false">
      <c r="A13" s="9" t="s">
        <v>780</v>
      </c>
      <c r="B13" s="9" t="s">
        <v>781</v>
      </c>
      <c r="C13" s="9" t="s">
        <v>782</v>
      </c>
      <c r="D13" s="9" t="s">
        <v>783</v>
      </c>
      <c r="E13" s="9" t="s">
        <v>739</v>
      </c>
      <c r="F13" s="9" t="s">
        <v>740</v>
      </c>
      <c r="G13" s="9" t="n">
        <v>237</v>
      </c>
      <c r="H13" s="9" t="n">
        <v>201</v>
      </c>
      <c r="I13" s="9" t="n">
        <v>0</v>
      </c>
      <c r="J13" s="9"/>
      <c r="K13" s="9" t="s">
        <v>223</v>
      </c>
      <c r="L13" s="9" t="s">
        <v>47</v>
      </c>
    </row>
    <row r="14" customFormat="false" ht="15" hidden="false" customHeight="false" outlineLevel="0" collapsed="false">
      <c r="A14" s="9" t="s">
        <v>784</v>
      </c>
      <c r="B14" s="9" t="s">
        <v>781</v>
      </c>
      <c r="C14" s="9" t="s">
        <v>785</v>
      </c>
      <c r="D14" s="9" t="s">
        <v>786</v>
      </c>
      <c r="E14" s="9" t="s">
        <v>753</v>
      </c>
      <c r="F14" s="9" t="s">
        <v>740</v>
      </c>
      <c r="G14" s="9" t="n">
        <v>315</v>
      </c>
      <c r="H14" s="9" t="n">
        <v>267</v>
      </c>
      <c r="I14" s="9" t="n">
        <v>0</v>
      </c>
      <c r="J14" s="9"/>
      <c r="K14" s="9" t="s">
        <v>262</v>
      </c>
      <c r="L14" s="9" t="s">
        <v>47</v>
      </c>
    </row>
    <row r="15" customFormat="false" ht="15" hidden="false" customHeight="false" outlineLevel="0" collapsed="false">
      <c r="A15" s="9" t="s">
        <v>787</v>
      </c>
      <c r="B15" s="9" t="s">
        <v>743</v>
      </c>
      <c r="C15" s="9" t="s">
        <v>751</v>
      </c>
      <c r="D15" s="9" t="s">
        <v>788</v>
      </c>
      <c r="E15" s="9" t="s">
        <v>739</v>
      </c>
      <c r="F15" s="9" t="s">
        <v>740</v>
      </c>
      <c r="G15" s="9" t="n">
        <v>196</v>
      </c>
      <c r="H15" s="9" t="n">
        <v>186</v>
      </c>
      <c r="I15" s="9" t="n">
        <v>0</v>
      </c>
      <c r="J15" s="9"/>
      <c r="K15" s="9" t="s">
        <v>223</v>
      </c>
      <c r="L15" s="9" t="s">
        <v>47</v>
      </c>
    </row>
    <row r="16" customFormat="false" ht="15" hidden="false" customHeight="false" outlineLevel="0" collapsed="false">
      <c r="A16" s="9" t="s">
        <v>789</v>
      </c>
      <c r="B16" s="9" t="s">
        <v>781</v>
      </c>
      <c r="C16" s="9" t="s">
        <v>737</v>
      </c>
      <c r="D16" s="9" t="s">
        <v>790</v>
      </c>
      <c r="E16" s="9" t="s">
        <v>753</v>
      </c>
      <c r="F16" s="9" t="s">
        <v>740</v>
      </c>
      <c r="G16" s="9" t="n">
        <v>138</v>
      </c>
      <c r="H16" s="9" t="n">
        <v>140</v>
      </c>
      <c r="I16" s="9" t="n">
        <v>0</v>
      </c>
      <c r="J16" s="9"/>
      <c r="K16" s="9" t="s">
        <v>48</v>
      </c>
      <c r="L16" s="9" t="s">
        <v>47</v>
      </c>
    </row>
    <row r="17" customFormat="false" ht="15" hidden="false" customHeight="false" outlineLevel="0" collapsed="false">
      <c r="A17" s="9" t="s">
        <v>791</v>
      </c>
      <c r="B17" s="9" t="s">
        <v>768</v>
      </c>
      <c r="C17" s="9" t="s">
        <v>747</v>
      </c>
      <c r="D17" s="9" t="s">
        <v>792</v>
      </c>
      <c r="E17" s="9" t="s">
        <v>739</v>
      </c>
      <c r="F17" s="9" t="s">
        <v>740</v>
      </c>
      <c r="G17" s="9" t="n">
        <v>327</v>
      </c>
      <c r="H17" s="9" t="n">
        <v>266</v>
      </c>
      <c r="I17" s="9" t="n">
        <v>2.8</v>
      </c>
      <c r="J17" s="9"/>
      <c r="K17" s="9" t="s">
        <v>720</v>
      </c>
      <c r="L17" s="9" t="s">
        <v>47</v>
      </c>
    </row>
    <row r="18" customFormat="false" ht="15" hidden="false" customHeight="false" outlineLevel="0" collapsed="false">
      <c r="A18" s="9" t="s">
        <v>793</v>
      </c>
      <c r="B18" s="9" t="s">
        <v>736</v>
      </c>
      <c r="C18" s="9" t="s">
        <v>772</v>
      </c>
      <c r="D18" s="9" t="s">
        <v>794</v>
      </c>
      <c r="E18" s="9" t="s">
        <v>765</v>
      </c>
      <c r="F18" s="9" t="s">
        <v>766</v>
      </c>
      <c r="G18" s="9" t="n">
        <v>6988</v>
      </c>
      <c r="H18" s="9" t="n">
        <v>7303</v>
      </c>
      <c r="I18" s="9" t="n">
        <v>0</v>
      </c>
      <c r="J18" s="9"/>
      <c r="K18" s="9" t="s">
        <v>223</v>
      </c>
      <c r="L18" s="9" t="s">
        <v>47</v>
      </c>
    </row>
    <row r="19" customFormat="false" ht="15" hidden="false" customHeight="false" outlineLevel="0" collapsed="false">
      <c r="A19" s="9" t="s">
        <v>795</v>
      </c>
      <c r="B19" s="9" t="s">
        <v>762</v>
      </c>
      <c r="C19" s="9" t="s">
        <v>785</v>
      </c>
      <c r="D19" s="9" t="s">
        <v>796</v>
      </c>
      <c r="E19" s="9" t="s">
        <v>739</v>
      </c>
      <c r="F19" s="9" t="s">
        <v>740</v>
      </c>
      <c r="G19" s="9" t="n">
        <v>343</v>
      </c>
      <c r="H19" s="9" t="n">
        <v>288</v>
      </c>
      <c r="I19" s="9" t="n">
        <v>0</v>
      </c>
      <c r="J19" s="9"/>
      <c r="K19" s="9" t="s">
        <v>416</v>
      </c>
      <c r="L19" s="9" t="s">
        <v>47</v>
      </c>
    </row>
    <row r="20" customFormat="false" ht="15" hidden="false" customHeight="false" outlineLevel="0" collapsed="false">
      <c r="A20" s="9" t="s">
        <v>797</v>
      </c>
      <c r="B20" s="9" t="s">
        <v>736</v>
      </c>
      <c r="C20" s="9" t="s">
        <v>769</v>
      </c>
      <c r="D20" s="9" t="s">
        <v>798</v>
      </c>
      <c r="E20" s="9" t="s">
        <v>765</v>
      </c>
      <c r="F20" s="9" t="s">
        <v>766</v>
      </c>
      <c r="G20" s="9" t="n">
        <v>10067</v>
      </c>
      <c r="H20" s="9" t="n">
        <v>8570</v>
      </c>
      <c r="I20" s="9" t="n">
        <v>0</v>
      </c>
      <c r="J20" s="9"/>
      <c r="K20" s="9" t="s">
        <v>377</v>
      </c>
      <c r="L20" s="9" t="s">
        <v>47</v>
      </c>
    </row>
    <row r="21" customFormat="false" ht="15" hidden="false" customHeight="false" outlineLevel="0" collapsed="false">
      <c r="A21" s="9" t="s">
        <v>799</v>
      </c>
      <c r="B21" s="9" t="s">
        <v>755</v>
      </c>
      <c r="C21" s="9" t="s">
        <v>800</v>
      </c>
      <c r="D21" s="9" t="s">
        <v>801</v>
      </c>
      <c r="E21" s="9" t="s">
        <v>739</v>
      </c>
      <c r="F21" s="9" t="s">
        <v>740</v>
      </c>
      <c r="G21" s="9" t="n">
        <v>87</v>
      </c>
      <c r="H21" s="9" t="n">
        <v>66</v>
      </c>
      <c r="I21" s="9" t="n">
        <v>1.3</v>
      </c>
      <c r="J21" s="9" t="s">
        <v>802</v>
      </c>
      <c r="K21" s="9" t="s">
        <v>542</v>
      </c>
      <c r="L21" s="9" t="s">
        <v>47</v>
      </c>
    </row>
    <row r="22" customFormat="false" ht="15" hidden="false" customHeight="false" outlineLevel="0" collapsed="false">
      <c r="A22" s="9" t="s">
        <v>803</v>
      </c>
      <c r="B22" s="9" t="s">
        <v>755</v>
      </c>
      <c r="C22" s="9" t="s">
        <v>747</v>
      </c>
      <c r="D22" s="9" t="s">
        <v>804</v>
      </c>
      <c r="E22" s="9" t="s">
        <v>739</v>
      </c>
      <c r="F22" s="9" t="s">
        <v>740</v>
      </c>
      <c r="G22" s="9" t="n">
        <v>377</v>
      </c>
      <c r="H22" s="9" t="n">
        <v>344</v>
      </c>
      <c r="I22" s="9" t="n">
        <v>0</v>
      </c>
      <c r="J22" s="9"/>
      <c r="K22" s="9" t="s">
        <v>185</v>
      </c>
      <c r="L22" s="9" t="s">
        <v>47</v>
      </c>
    </row>
    <row r="23" customFormat="false" ht="15" hidden="false" customHeight="false" outlineLevel="0" collapsed="false">
      <c r="A23" s="9" t="s">
        <v>805</v>
      </c>
      <c r="B23" s="9" t="s">
        <v>750</v>
      </c>
      <c r="C23" s="9" t="s">
        <v>744</v>
      </c>
      <c r="D23" s="9" t="s">
        <v>806</v>
      </c>
      <c r="E23" s="9" t="s">
        <v>765</v>
      </c>
      <c r="F23" s="9" t="s">
        <v>766</v>
      </c>
      <c r="G23" s="9" t="n">
        <v>13488</v>
      </c>
      <c r="H23" s="9" t="n">
        <v>10392</v>
      </c>
      <c r="I23" s="9" t="n">
        <v>5.8</v>
      </c>
      <c r="J23" s="9"/>
      <c r="K23" s="9" t="s">
        <v>223</v>
      </c>
      <c r="L23" s="9" t="s">
        <v>47</v>
      </c>
    </row>
    <row r="24" customFormat="false" ht="15" hidden="false" customHeight="false" outlineLevel="0" collapsed="false">
      <c r="A24" s="9" t="s">
        <v>807</v>
      </c>
      <c r="B24" s="9" t="s">
        <v>768</v>
      </c>
      <c r="C24" s="9" t="s">
        <v>808</v>
      </c>
      <c r="D24" s="9" t="s">
        <v>809</v>
      </c>
      <c r="E24" s="9" t="s">
        <v>765</v>
      </c>
      <c r="F24" s="9" t="s">
        <v>766</v>
      </c>
      <c r="G24" s="9" t="n">
        <v>9105</v>
      </c>
      <c r="H24" s="9" t="n">
        <v>7145</v>
      </c>
      <c r="I24" s="9" t="n">
        <v>0</v>
      </c>
      <c r="J24" s="9"/>
      <c r="K24" s="9" t="s">
        <v>262</v>
      </c>
      <c r="L24" s="9" t="s">
        <v>47</v>
      </c>
    </row>
    <row r="25" customFormat="false" ht="15" hidden="false" customHeight="false" outlineLevel="0" collapsed="false">
      <c r="A25" s="9" t="s">
        <v>810</v>
      </c>
      <c r="B25" s="9" t="s">
        <v>736</v>
      </c>
      <c r="C25" s="9" t="s">
        <v>811</v>
      </c>
      <c r="D25" s="9" t="s">
        <v>812</v>
      </c>
      <c r="E25" s="9" t="s">
        <v>739</v>
      </c>
      <c r="F25" s="9" t="s">
        <v>740</v>
      </c>
      <c r="G25" s="9" t="n">
        <v>97</v>
      </c>
      <c r="H25" s="9" t="n">
        <v>85</v>
      </c>
      <c r="I25" s="9" t="n">
        <v>16.9</v>
      </c>
      <c r="J25" s="9" t="s">
        <v>813</v>
      </c>
      <c r="K25" s="9" t="s">
        <v>185</v>
      </c>
      <c r="L25" s="9" t="s">
        <v>47</v>
      </c>
    </row>
    <row r="26" customFormat="false" ht="15" hidden="false" customHeight="false" outlineLevel="0" collapsed="false">
      <c r="A26" s="9" t="s">
        <v>814</v>
      </c>
      <c r="B26" s="9" t="s">
        <v>778</v>
      </c>
      <c r="C26" s="9" t="s">
        <v>763</v>
      </c>
      <c r="D26" s="9" t="s">
        <v>815</v>
      </c>
      <c r="E26" s="9" t="s">
        <v>739</v>
      </c>
      <c r="F26" s="9" t="s">
        <v>740</v>
      </c>
      <c r="G26" s="9" t="n">
        <v>71</v>
      </c>
      <c r="H26" s="9" t="n">
        <v>70</v>
      </c>
      <c r="I26" s="9" t="n">
        <v>0.8</v>
      </c>
      <c r="J26" s="9"/>
      <c r="K26" s="9" t="s">
        <v>550</v>
      </c>
      <c r="L26" s="9" t="s">
        <v>47</v>
      </c>
    </row>
    <row r="27" customFormat="false" ht="15" hidden="false" customHeight="false" outlineLevel="0" collapsed="false">
      <c r="A27" s="9" t="s">
        <v>816</v>
      </c>
      <c r="B27" s="9" t="s">
        <v>778</v>
      </c>
      <c r="C27" s="9" t="s">
        <v>817</v>
      </c>
      <c r="D27" s="9" t="s">
        <v>818</v>
      </c>
      <c r="E27" s="9" t="s">
        <v>739</v>
      </c>
      <c r="F27" s="9" t="s">
        <v>740</v>
      </c>
      <c r="G27" s="9" t="n">
        <v>263</v>
      </c>
      <c r="H27" s="9" t="n">
        <v>243</v>
      </c>
      <c r="I27" s="9" t="n">
        <v>16</v>
      </c>
      <c r="J27" s="9" t="s">
        <v>819</v>
      </c>
      <c r="K27" s="9" t="s">
        <v>262</v>
      </c>
      <c r="L27" s="9" t="s">
        <v>47</v>
      </c>
    </row>
    <row r="28" customFormat="false" ht="15" hidden="false" customHeight="false" outlineLevel="0" collapsed="false">
      <c r="A28" s="9" t="s">
        <v>820</v>
      </c>
      <c r="B28" s="9" t="s">
        <v>743</v>
      </c>
      <c r="C28" s="9" t="s">
        <v>821</v>
      </c>
      <c r="D28" s="9" t="s">
        <v>822</v>
      </c>
      <c r="E28" s="9" t="s">
        <v>739</v>
      </c>
      <c r="F28" s="9" t="s">
        <v>740</v>
      </c>
      <c r="G28" s="9" t="n">
        <v>257</v>
      </c>
      <c r="H28" s="9" t="n">
        <v>210</v>
      </c>
      <c r="I28" s="9" t="n">
        <v>1.1</v>
      </c>
      <c r="J28" s="9" t="s">
        <v>802</v>
      </c>
      <c r="K28" s="9" t="s">
        <v>340</v>
      </c>
      <c r="L28" s="9" t="s">
        <v>47</v>
      </c>
    </row>
    <row r="29" customFormat="false" ht="15" hidden="false" customHeight="false" outlineLevel="0" collapsed="false">
      <c r="A29" s="9" t="s">
        <v>823</v>
      </c>
      <c r="B29" s="9" t="s">
        <v>762</v>
      </c>
      <c r="C29" s="9" t="s">
        <v>824</v>
      </c>
      <c r="D29" s="9" t="s">
        <v>825</v>
      </c>
      <c r="E29" s="9" t="s">
        <v>753</v>
      </c>
      <c r="F29" s="9" t="s">
        <v>740</v>
      </c>
      <c r="G29" s="9" t="n">
        <v>360</v>
      </c>
      <c r="H29" s="9" t="n">
        <v>276</v>
      </c>
      <c r="I29" s="9" t="n">
        <v>0</v>
      </c>
      <c r="J29" s="9"/>
      <c r="K29" s="9" t="s">
        <v>301</v>
      </c>
      <c r="L29" s="9" t="s">
        <v>47</v>
      </c>
    </row>
    <row r="30" customFormat="false" ht="15" hidden="false" customHeight="false" outlineLevel="0" collapsed="false">
      <c r="A30" s="9" t="s">
        <v>826</v>
      </c>
      <c r="B30" s="9" t="s">
        <v>768</v>
      </c>
      <c r="C30" s="9" t="s">
        <v>827</v>
      </c>
      <c r="D30" s="9" t="s">
        <v>828</v>
      </c>
      <c r="E30" s="9" t="s">
        <v>753</v>
      </c>
      <c r="F30" s="9" t="s">
        <v>740</v>
      </c>
      <c r="G30" s="9" t="n">
        <v>313</v>
      </c>
      <c r="H30" s="9" t="n">
        <v>283</v>
      </c>
      <c r="I30" s="9" t="n">
        <v>8.4</v>
      </c>
      <c r="J30" s="9" t="s">
        <v>829</v>
      </c>
      <c r="K30" s="9" t="s">
        <v>377</v>
      </c>
      <c r="L30" s="9" t="s">
        <v>47</v>
      </c>
    </row>
    <row r="31" customFormat="false" ht="15" hidden="false" customHeight="false" outlineLevel="0" collapsed="false">
      <c r="A31" s="9" t="s">
        <v>830</v>
      </c>
      <c r="B31" s="9" t="s">
        <v>831</v>
      </c>
      <c r="C31" s="9" t="s">
        <v>832</v>
      </c>
      <c r="D31" s="9" t="s">
        <v>833</v>
      </c>
      <c r="E31" s="9" t="s">
        <v>765</v>
      </c>
      <c r="F31" s="9" t="s">
        <v>766</v>
      </c>
      <c r="G31" s="9" t="n">
        <v>9754</v>
      </c>
      <c r="H31" s="9" t="n">
        <v>10065</v>
      </c>
      <c r="I31" s="9" t="n">
        <v>0</v>
      </c>
      <c r="J31" s="9"/>
      <c r="K31" s="9" t="s">
        <v>340</v>
      </c>
      <c r="L31" s="9" t="s">
        <v>47</v>
      </c>
    </row>
    <row r="32" customFormat="false" ht="15" hidden="false" customHeight="false" outlineLevel="0" collapsed="false">
      <c r="A32" s="9" t="s">
        <v>834</v>
      </c>
      <c r="B32" s="9" t="s">
        <v>831</v>
      </c>
      <c r="C32" s="9" t="s">
        <v>835</v>
      </c>
      <c r="D32" s="9" t="s">
        <v>836</v>
      </c>
      <c r="E32" s="9" t="s">
        <v>739</v>
      </c>
      <c r="F32" s="9" t="s">
        <v>740</v>
      </c>
      <c r="G32" s="9" t="n">
        <v>210</v>
      </c>
      <c r="H32" s="9" t="n">
        <v>164</v>
      </c>
      <c r="I32" s="9" t="n">
        <v>17.9</v>
      </c>
      <c r="J32" s="9" t="s">
        <v>802</v>
      </c>
      <c r="K32" s="9" t="s">
        <v>377</v>
      </c>
      <c r="L32" s="9" t="s">
        <v>47</v>
      </c>
    </row>
    <row r="33" customFormat="false" ht="15" hidden="false" customHeight="false" outlineLevel="0" collapsed="false">
      <c r="A33" s="9" t="s">
        <v>837</v>
      </c>
      <c r="B33" s="9" t="s">
        <v>743</v>
      </c>
      <c r="C33" s="9" t="s">
        <v>838</v>
      </c>
      <c r="D33" s="9" t="s">
        <v>839</v>
      </c>
      <c r="E33" s="9" t="s">
        <v>765</v>
      </c>
      <c r="F33" s="9" t="s">
        <v>766</v>
      </c>
      <c r="G33" s="9" t="n">
        <v>11442</v>
      </c>
      <c r="H33" s="9" t="n">
        <v>10146</v>
      </c>
      <c r="I33" s="9" t="n">
        <v>0</v>
      </c>
      <c r="J33" s="9"/>
      <c r="K33" s="9" t="s">
        <v>223</v>
      </c>
      <c r="L33" s="9" t="s">
        <v>47</v>
      </c>
    </row>
    <row r="34" customFormat="false" ht="15" hidden="false" customHeight="false" outlineLevel="0" collapsed="false">
      <c r="A34" s="9" t="s">
        <v>840</v>
      </c>
      <c r="B34" s="9" t="s">
        <v>778</v>
      </c>
      <c r="C34" s="9" t="s">
        <v>747</v>
      </c>
      <c r="D34" s="9" t="s">
        <v>841</v>
      </c>
      <c r="E34" s="9" t="s">
        <v>765</v>
      </c>
      <c r="F34" s="9" t="s">
        <v>766</v>
      </c>
      <c r="G34" s="9" t="n">
        <v>9609</v>
      </c>
      <c r="H34" s="9" t="n">
        <v>8487</v>
      </c>
      <c r="I34" s="9" t="n">
        <v>0</v>
      </c>
      <c r="J34" s="9"/>
      <c r="K34" s="9" t="s">
        <v>542</v>
      </c>
      <c r="L34" s="9" t="s">
        <v>47</v>
      </c>
    </row>
    <row r="35" customFormat="false" ht="15" hidden="false" customHeight="false" outlineLevel="0" collapsed="false">
      <c r="A35" s="9" t="s">
        <v>842</v>
      </c>
      <c r="B35" s="9" t="s">
        <v>762</v>
      </c>
      <c r="C35" s="9" t="s">
        <v>843</v>
      </c>
      <c r="D35" s="9" t="s">
        <v>844</v>
      </c>
      <c r="E35" s="9" t="s">
        <v>765</v>
      </c>
      <c r="F35" s="9" t="s">
        <v>766</v>
      </c>
      <c r="G35" s="9" t="n">
        <v>18880</v>
      </c>
      <c r="H35" s="9" t="n">
        <v>14263</v>
      </c>
      <c r="I35" s="9" t="n">
        <v>4.8</v>
      </c>
      <c r="J35" s="9" t="s">
        <v>829</v>
      </c>
      <c r="K35" s="9" t="s">
        <v>550</v>
      </c>
      <c r="L35" s="9" t="s">
        <v>47</v>
      </c>
    </row>
    <row r="36" customFormat="false" ht="15" hidden="false" customHeight="false" outlineLevel="0" collapsed="false">
      <c r="A36" s="9" t="s">
        <v>845</v>
      </c>
      <c r="B36" s="9" t="s">
        <v>750</v>
      </c>
      <c r="C36" s="9" t="s">
        <v>772</v>
      </c>
      <c r="D36" s="9" t="s">
        <v>846</v>
      </c>
      <c r="E36" s="9" t="s">
        <v>753</v>
      </c>
      <c r="F36" s="9" t="s">
        <v>740</v>
      </c>
      <c r="G36" s="9" t="n">
        <v>76</v>
      </c>
      <c r="H36" s="9" t="n">
        <v>69</v>
      </c>
      <c r="I36" s="9" t="n">
        <v>10</v>
      </c>
      <c r="J36" s="9" t="s">
        <v>741</v>
      </c>
      <c r="K36" s="9" t="s">
        <v>340</v>
      </c>
      <c r="L36" s="9" t="s">
        <v>47</v>
      </c>
    </row>
    <row r="37" customFormat="false" ht="15" hidden="false" customHeight="false" outlineLevel="0" collapsed="false">
      <c r="A37" s="9" t="s">
        <v>847</v>
      </c>
      <c r="B37" s="9" t="s">
        <v>755</v>
      </c>
      <c r="C37" s="9" t="s">
        <v>751</v>
      </c>
      <c r="D37" s="9" t="s">
        <v>848</v>
      </c>
      <c r="E37" s="9" t="s">
        <v>753</v>
      </c>
      <c r="F37" s="9" t="s">
        <v>740</v>
      </c>
      <c r="G37" s="9" t="n">
        <v>369</v>
      </c>
      <c r="H37" s="9" t="n">
        <v>348</v>
      </c>
      <c r="I37" s="9" t="n">
        <v>17.6</v>
      </c>
      <c r="J37" s="9" t="s">
        <v>802</v>
      </c>
      <c r="K37" s="9" t="s">
        <v>301</v>
      </c>
      <c r="L37" s="9" t="s">
        <v>47</v>
      </c>
    </row>
    <row r="38" customFormat="false" ht="15" hidden="false" customHeight="false" outlineLevel="0" collapsed="false">
      <c r="A38" s="9" t="s">
        <v>849</v>
      </c>
      <c r="B38" s="9" t="s">
        <v>768</v>
      </c>
      <c r="C38" s="9" t="s">
        <v>850</v>
      </c>
      <c r="D38" s="9" t="s">
        <v>851</v>
      </c>
      <c r="E38" s="9" t="s">
        <v>765</v>
      </c>
      <c r="F38" s="9" t="s">
        <v>766</v>
      </c>
      <c r="G38" s="9" t="n">
        <v>8261</v>
      </c>
      <c r="H38" s="9" t="n">
        <v>7590</v>
      </c>
      <c r="I38" s="9" t="n">
        <v>0</v>
      </c>
      <c r="J38" s="9"/>
      <c r="K38" s="9" t="s">
        <v>97</v>
      </c>
      <c r="L38" s="9" t="s">
        <v>47</v>
      </c>
    </row>
    <row r="39" customFormat="false" ht="15" hidden="false" customHeight="false" outlineLevel="0" collapsed="false">
      <c r="A39" s="9" t="s">
        <v>852</v>
      </c>
      <c r="B39" s="9" t="s">
        <v>853</v>
      </c>
      <c r="C39" s="9" t="s">
        <v>775</v>
      </c>
      <c r="D39" s="9" t="s">
        <v>854</v>
      </c>
      <c r="E39" s="9" t="s">
        <v>739</v>
      </c>
      <c r="F39" s="9" t="s">
        <v>740</v>
      </c>
      <c r="G39" s="9" t="n">
        <v>220</v>
      </c>
      <c r="H39" s="9" t="n">
        <v>216</v>
      </c>
      <c r="I39" s="9" t="n">
        <v>0</v>
      </c>
      <c r="J39" s="9"/>
      <c r="K39" s="9" t="s">
        <v>185</v>
      </c>
      <c r="L39" s="9" t="s">
        <v>47</v>
      </c>
    </row>
    <row r="40" customFormat="false" ht="15" hidden="false" customHeight="false" outlineLevel="0" collapsed="false">
      <c r="A40" s="9" t="s">
        <v>855</v>
      </c>
      <c r="B40" s="9" t="s">
        <v>778</v>
      </c>
      <c r="C40" s="9" t="s">
        <v>744</v>
      </c>
      <c r="D40" s="9" t="s">
        <v>856</v>
      </c>
      <c r="E40" s="9" t="s">
        <v>753</v>
      </c>
      <c r="F40" s="9" t="s">
        <v>740</v>
      </c>
      <c r="G40" s="9" t="n">
        <v>363</v>
      </c>
      <c r="H40" s="9" t="n">
        <v>299</v>
      </c>
      <c r="I40" s="9" t="n">
        <v>0</v>
      </c>
      <c r="J40" s="9"/>
      <c r="K40" s="9" t="s">
        <v>454</v>
      </c>
      <c r="L40" s="9" t="s">
        <v>47</v>
      </c>
    </row>
    <row r="41" customFormat="false" ht="15" hidden="false" customHeight="false" outlineLevel="0" collapsed="false">
      <c r="A41" s="9" t="s">
        <v>857</v>
      </c>
      <c r="B41" s="9" t="s">
        <v>743</v>
      </c>
      <c r="C41" s="9" t="s">
        <v>858</v>
      </c>
      <c r="D41" s="9" t="s">
        <v>859</v>
      </c>
      <c r="E41" s="9" t="s">
        <v>739</v>
      </c>
      <c r="F41" s="9" t="s">
        <v>740</v>
      </c>
      <c r="G41" s="9" t="n">
        <v>310</v>
      </c>
      <c r="H41" s="9" t="n">
        <v>277</v>
      </c>
      <c r="I41" s="9" t="n">
        <v>0</v>
      </c>
      <c r="J41" s="9"/>
      <c r="K41" s="9" t="s">
        <v>262</v>
      </c>
      <c r="L41" s="9" t="s">
        <v>47</v>
      </c>
    </row>
    <row r="42" customFormat="false" ht="15" hidden="false" customHeight="false" outlineLevel="0" collapsed="false">
      <c r="A42" s="9" t="s">
        <v>860</v>
      </c>
      <c r="B42" s="9" t="s">
        <v>762</v>
      </c>
      <c r="C42" s="9" t="s">
        <v>785</v>
      </c>
      <c r="D42" s="9" t="s">
        <v>861</v>
      </c>
      <c r="E42" s="9" t="s">
        <v>753</v>
      </c>
      <c r="F42" s="9" t="s">
        <v>740</v>
      </c>
      <c r="G42" s="9" t="n">
        <v>394</v>
      </c>
      <c r="H42" s="9" t="n">
        <v>297</v>
      </c>
      <c r="I42" s="9" t="n">
        <v>0</v>
      </c>
      <c r="J42" s="9"/>
      <c r="K42" s="9" t="s">
        <v>262</v>
      </c>
      <c r="L42" s="9" t="s">
        <v>47</v>
      </c>
    </row>
    <row r="43" customFormat="false" ht="15" hidden="false" customHeight="false" outlineLevel="0" collapsed="false">
      <c r="A43" s="9" t="s">
        <v>862</v>
      </c>
      <c r="B43" s="9" t="s">
        <v>853</v>
      </c>
      <c r="C43" s="9" t="s">
        <v>763</v>
      </c>
      <c r="D43" s="9" t="s">
        <v>863</v>
      </c>
      <c r="E43" s="9" t="s">
        <v>753</v>
      </c>
      <c r="F43" s="9" t="s">
        <v>740</v>
      </c>
      <c r="G43" s="9" t="n">
        <v>385</v>
      </c>
      <c r="H43" s="9" t="n">
        <v>376</v>
      </c>
      <c r="I43" s="9" t="n">
        <v>0</v>
      </c>
      <c r="J43" s="9"/>
      <c r="K43" s="9" t="s">
        <v>454</v>
      </c>
      <c r="L43" s="9" t="s">
        <v>47</v>
      </c>
    </row>
    <row r="44" customFormat="false" ht="15" hidden="false" customHeight="false" outlineLevel="0" collapsed="false">
      <c r="A44" s="9" t="s">
        <v>864</v>
      </c>
      <c r="B44" s="9" t="s">
        <v>831</v>
      </c>
      <c r="C44" s="9" t="s">
        <v>865</v>
      </c>
      <c r="D44" s="9" t="s">
        <v>866</v>
      </c>
      <c r="E44" s="9" t="s">
        <v>753</v>
      </c>
      <c r="F44" s="9" t="s">
        <v>740</v>
      </c>
      <c r="G44" s="9" t="n">
        <v>137</v>
      </c>
      <c r="H44" s="9" t="n">
        <v>122</v>
      </c>
      <c r="I44" s="9" t="n">
        <v>0</v>
      </c>
      <c r="J44" s="9"/>
      <c r="K44" s="9" t="s">
        <v>550</v>
      </c>
      <c r="L44" s="9" t="s">
        <v>47</v>
      </c>
    </row>
    <row r="45" customFormat="false" ht="15" hidden="false" customHeight="false" outlineLevel="0" collapsed="false">
      <c r="A45" s="9" t="s">
        <v>867</v>
      </c>
      <c r="B45" s="9" t="s">
        <v>750</v>
      </c>
      <c r="C45" s="9" t="s">
        <v>832</v>
      </c>
      <c r="D45" s="9" t="s">
        <v>868</v>
      </c>
      <c r="E45" s="9" t="s">
        <v>765</v>
      </c>
      <c r="F45" s="9" t="s">
        <v>766</v>
      </c>
      <c r="G45" s="9" t="n">
        <v>14380</v>
      </c>
      <c r="H45" s="9" t="n">
        <v>14853</v>
      </c>
      <c r="I45" s="9" t="n">
        <v>0.3</v>
      </c>
      <c r="J45" s="9" t="s">
        <v>829</v>
      </c>
      <c r="K45" s="9" t="s">
        <v>340</v>
      </c>
      <c r="L45" s="9" t="s">
        <v>47</v>
      </c>
    </row>
    <row r="46" customFormat="false" ht="15" hidden="false" customHeight="false" outlineLevel="0" collapsed="false">
      <c r="A46" s="9" t="s">
        <v>869</v>
      </c>
      <c r="B46" s="9" t="s">
        <v>736</v>
      </c>
      <c r="C46" s="9" t="s">
        <v>800</v>
      </c>
      <c r="D46" s="9" t="s">
        <v>825</v>
      </c>
      <c r="E46" s="9" t="s">
        <v>753</v>
      </c>
      <c r="F46" s="9" t="s">
        <v>740</v>
      </c>
      <c r="G46" s="9" t="n">
        <v>306</v>
      </c>
      <c r="H46" s="9" t="n">
        <v>298</v>
      </c>
      <c r="I46" s="9" t="n">
        <v>0</v>
      </c>
      <c r="J46" s="9"/>
      <c r="K46" s="9" t="s">
        <v>597</v>
      </c>
      <c r="L46" s="9" t="s">
        <v>47</v>
      </c>
    </row>
    <row r="47" customFormat="false" ht="15" hidden="false" customHeight="false" outlineLevel="0" collapsed="false">
      <c r="A47" s="9" t="s">
        <v>870</v>
      </c>
      <c r="B47" s="9" t="s">
        <v>853</v>
      </c>
      <c r="C47" s="9" t="s">
        <v>737</v>
      </c>
      <c r="D47" s="9" t="s">
        <v>871</v>
      </c>
      <c r="E47" s="9" t="s">
        <v>765</v>
      </c>
      <c r="F47" s="9" t="s">
        <v>766</v>
      </c>
      <c r="G47" s="9" t="n">
        <v>14189</v>
      </c>
      <c r="H47" s="9" t="n">
        <v>11738</v>
      </c>
      <c r="I47" s="9" t="n">
        <v>0</v>
      </c>
      <c r="J47" s="9"/>
      <c r="K47" s="9" t="s">
        <v>416</v>
      </c>
      <c r="L47" s="9" t="s">
        <v>47</v>
      </c>
    </row>
    <row r="48" customFormat="false" ht="15" hidden="false" customHeight="false" outlineLevel="0" collapsed="false">
      <c r="A48" s="9" t="s">
        <v>872</v>
      </c>
      <c r="B48" s="9" t="s">
        <v>750</v>
      </c>
      <c r="C48" s="9" t="s">
        <v>873</v>
      </c>
      <c r="D48" s="9" t="s">
        <v>874</v>
      </c>
      <c r="E48" s="9" t="s">
        <v>753</v>
      </c>
      <c r="F48" s="9" t="s">
        <v>740</v>
      </c>
      <c r="G48" s="9" t="n">
        <v>322</v>
      </c>
      <c r="H48" s="9" t="n">
        <v>268</v>
      </c>
      <c r="I48" s="9" t="n">
        <v>0</v>
      </c>
      <c r="J48" s="9"/>
      <c r="K48" s="9" t="s">
        <v>550</v>
      </c>
      <c r="L48" s="9" t="s">
        <v>47</v>
      </c>
    </row>
    <row r="49" customFormat="false" ht="15" hidden="false" customHeight="false" outlineLevel="0" collapsed="false">
      <c r="A49" s="9" t="s">
        <v>875</v>
      </c>
      <c r="B49" s="9" t="s">
        <v>743</v>
      </c>
      <c r="C49" s="9" t="s">
        <v>769</v>
      </c>
      <c r="D49" s="9" t="s">
        <v>876</v>
      </c>
      <c r="E49" s="9" t="s">
        <v>765</v>
      </c>
      <c r="F49" s="9" t="s">
        <v>766</v>
      </c>
      <c r="G49" s="9" t="n">
        <v>9038</v>
      </c>
      <c r="H49" s="9" t="n">
        <v>7339</v>
      </c>
      <c r="I49" s="9" t="n">
        <v>16.9</v>
      </c>
      <c r="J49" s="9" t="s">
        <v>829</v>
      </c>
      <c r="K49" s="9" t="s">
        <v>550</v>
      </c>
      <c r="L49" s="9" t="s">
        <v>47</v>
      </c>
    </row>
    <row r="50" customFormat="false" ht="15" hidden="false" customHeight="false" outlineLevel="0" collapsed="false">
      <c r="A50" s="9" t="s">
        <v>877</v>
      </c>
      <c r="B50" s="9" t="s">
        <v>743</v>
      </c>
      <c r="C50" s="9" t="s">
        <v>878</v>
      </c>
      <c r="D50" s="9" t="s">
        <v>879</v>
      </c>
      <c r="E50" s="9" t="s">
        <v>753</v>
      </c>
      <c r="F50" s="9" t="s">
        <v>740</v>
      </c>
      <c r="G50" s="9" t="n">
        <v>295</v>
      </c>
      <c r="H50" s="9" t="n">
        <v>246</v>
      </c>
      <c r="I50" s="9" t="n">
        <v>0</v>
      </c>
      <c r="J50" s="9"/>
      <c r="K50" s="9" t="s">
        <v>550</v>
      </c>
      <c r="L50" s="9" t="s">
        <v>47</v>
      </c>
    </row>
    <row r="51" customFormat="false" ht="15" hidden="false" customHeight="false" outlineLevel="0" collapsed="false">
      <c r="A51" s="9" t="s">
        <v>880</v>
      </c>
      <c r="B51" s="9" t="s">
        <v>743</v>
      </c>
      <c r="C51" s="9" t="s">
        <v>843</v>
      </c>
      <c r="D51" s="9" t="s">
        <v>881</v>
      </c>
      <c r="E51" s="9" t="s">
        <v>739</v>
      </c>
      <c r="F51" s="9" t="s">
        <v>740</v>
      </c>
      <c r="G51" s="9" t="n">
        <v>396</v>
      </c>
      <c r="H51" s="9" t="n">
        <v>356</v>
      </c>
      <c r="I51" s="9" t="n">
        <v>0</v>
      </c>
      <c r="J51" s="9"/>
      <c r="K51" s="9" t="s">
        <v>340</v>
      </c>
      <c r="L51" s="9" t="s">
        <v>47</v>
      </c>
    </row>
    <row r="52" customFormat="false" ht="15" hidden="false" customHeight="false" outlineLevel="0" collapsed="false">
      <c r="A52" s="9" t="s">
        <v>882</v>
      </c>
      <c r="B52" s="9" t="s">
        <v>768</v>
      </c>
      <c r="C52" s="9" t="s">
        <v>832</v>
      </c>
      <c r="D52" s="9" t="s">
        <v>257</v>
      </c>
      <c r="E52" s="9" t="s">
        <v>765</v>
      </c>
      <c r="F52" s="9" t="s">
        <v>766</v>
      </c>
      <c r="G52" s="9" t="n">
        <v>9712</v>
      </c>
      <c r="H52" s="9" t="n">
        <v>10054</v>
      </c>
      <c r="I52" s="9" t="n">
        <v>16.6</v>
      </c>
      <c r="J52" s="9"/>
      <c r="K52" s="9" t="s">
        <v>262</v>
      </c>
      <c r="L52" s="9" t="s">
        <v>47</v>
      </c>
    </row>
    <row r="53" customFormat="false" ht="15" hidden="false" customHeight="false" outlineLevel="0" collapsed="false">
      <c r="A53" s="9" t="s">
        <v>883</v>
      </c>
      <c r="B53" s="9" t="s">
        <v>762</v>
      </c>
      <c r="C53" s="9" t="s">
        <v>878</v>
      </c>
      <c r="D53" s="9" t="s">
        <v>884</v>
      </c>
      <c r="E53" s="9" t="s">
        <v>739</v>
      </c>
      <c r="F53" s="9" t="s">
        <v>740</v>
      </c>
      <c r="G53" s="9" t="n">
        <v>188</v>
      </c>
      <c r="H53" s="9" t="n">
        <v>193</v>
      </c>
      <c r="I53" s="9" t="n">
        <v>0</v>
      </c>
      <c r="J53" s="9"/>
      <c r="K53" s="9" t="s">
        <v>185</v>
      </c>
      <c r="L53" s="9" t="s">
        <v>47</v>
      </c>
    </row>
    <row r="54" customFormat="false" ht="15" hidden="false" customHeight="false" outlineLevel="0" collapsed="false">
      <c r="A54" s="9" t="s">
        <v>885</v>
      </c>
      <c r="B54" s="9" t="s">
        <v>781</v>
      </c>
      <c r="C54" s="9" t="s">
        <v>769</v>
      </c>
      <c r="D54" s="9" t="s">
        <v>886</v>
      </c>
      <c r="E54" s="9" t="s">
        <v>765</v>
      </c>
      <c r="F54" s="9" t="s">
        <v>766</v>
      </c>
      <c r="G54" s="9" t="n">
        <v>8972</v>
      </c>
      <c r="H54" s="9" t="n">
        <v>6610</v>
      </c>
      <c r="I54" s="9" t="n">
        <v>0</v>
      </c>
      <c r="J54" s="9"/>
      <c r="K54" s="9" t="s">
        <v>223</v>
      </c>
      <c r="L54" s="9" t="s">
        <v>47</v>
      </c>
    </row>
    <row r="55" customFormat="false" ht="15" hidden="false" customHeight="false" outlineLevel="0" collapsed="false">
      <c r="A55" s="9" t="s">
        <v>887</v>
      </c>
      <c r="B55" s="9" t="s">
        <v>831</v>
      </c>
      <c r="C55" s="9" t="s">
        <v>865</v>
      </c>
      <c r="D55" s="9" t="s">
        <v>888</v>
      </c>
      <c r="E55" s="9" t="s">
        <v>753</v>
      </c>
      <c r="F55" s="9" t="s">
        <v>740</v>
      </c>
      <c r="G55" s="9" t="n">
        <v>219</v>
      </c>
      <c r="H55" s="9" t="n">
        <v>209</v>
      </c>
      <c r="I55" s="9" t="n">
        <v>13.9</v>
      </c>
      <c r="J55" s="9" t="s">
        <v>741</v>
      </c>
      <c r="K55" s="9" t="s">
        <v>416</v>
      </c>
      <c r="L55" s="9" t="s">
        <v>47</v>
      </c>
    </row>
    <row r="56" customFormat="false" ht="15" hidden="false" customHeight="false" outlineLevel="0" collapsed="false">
      <c r="A56" s="9" t="s">
        <v>889</v>
      </c>
      <c r="B56" s="9" t="s">
        <v>736</v>
      </c>
      <c r="C56" s="9" t="s">
        <v>800</v>
      </c>
      <c r="D56" s="9" t="s">
        <v>890</v>
      </c>
      <c r="E56" s="9" t="s">
        <v>753</v>
      </c>
      <c r="F56" s="9" t="s">
        <v>740</v>
      </c>
      <c r="G56" s="9" t="n">
        <v>383</v>
      </c>
      <c r="H56" s="9" t="n">
        <v>300</v>
      </c>
      <c r="I56" s="9" t="n">
        <v>0</v>
      </c>
      <c r="J56" s="9"/>
      <c r="K56" s="9" t="s">
        <v>301</v>
      </c>
      <c r="L56" s="9" t="s">
        <v>47</v>
      </c>
    </row>
    <row r="57" customFormat="false" ht="15" hidden="false" customHeight="false" outlineLevel="0" collapsed="false">
      <c r="A57" s="9" t="s">
        <v>891</v>
      </c>
      <c r="B57" s="9" t="s">
        <v>743</v>
      </c>
      <c r="C57" s="9" t="s">
        <v>865</v>
      </c>
      <c r="D57" s="9" t="s">
        <v>892</v>
      </c>
      <c r="E57" s="9" t="s">
        <v>739</v>
      </c>
      <c r="F57" s="9" t="s">
        <v>740</v>
      </c>
      <c r="G57" s="9" t="n">
        <v>343</v>
      </c>
      <c r="H57" s="9" t="n">
        <v>273</v>
      </c>
      <c r="I57" s="9" t="n">
        <v>0</v>
      </c>
      <c r="J57" s="9"/>
      <c r="K57" s="9" t="s">
        <v>597</v>
      </c>
      <c r="L57" s="9" t="s">
        <v>47</v>
      </c>
    </row>
    <row r="58" customFormat="false" ht="15" hidden="false" customHeight="false" outlineLevel="0" collapsed="false">
      <c r="A58" s="9" t="s">
        <v>893</v>
      </c>
      <c r="B58" s="9" t="s">
        <v>853</v>
      </c>
      <c r="C58" s="9" t="s">
        <v>894</v>
      </c>
      <c r="D58" s="9" t="s">
        <v>895</v>
      </c>
      <c r="E58" s="9" t="s">
        <v>765</v>
      </c>
      <c r="F58" s="9" t="s">
        <v>766</v>
      </c>
      <c r="G58" s="9" t="n">
        <v>5595</v>
      </c>
      <c r="H58" s="9" t="n">
        <v>5869</v>
      </c>
      <c r="I58" s="9" t="n">
        <v>0</v>
      </c>
      <c r="J58" s="9"/>
      <c r="K58" s="9" t="s">
        <v>377</v>
      </c>
      <c r="L58" s="9" t="s">
        <v>47</v>
      </c>
    </row>
    <row r="59" customFormat="false" ht="15" hidden="false" customHeight="false" outlineLevel="0" collapsed="false">
      <c r="A59" s="9" t="s">
        <v>896</v>
      </c>
      <c r="B59" s="9" t="s">
        <v>736</v>
      </c>
      <c r="C59" s="9" t="s">
        <v>843</v>
      </c>
      <c r="D59" s="9" t="s">
        <v>897</v>
      </c>
      <c r="E59" s="9" t="s">
        <v>765</v>
      </c>
      <c r="F59" s="9" t="s">
        <v>766</v>
      </c>
      <c r="G59" s="9" t="n">
        <v>9888</v>
      </c>
      <c r="H59" s="9" t="n">
        <v>8972</v>
      </c>
      <c r="I59" s="9" t="n">
        <v>17.7</v>
      </c>
      <c r="J59" s="9" t="s">
        <v>829</v>
      </c>
      <c r="K59" s="9" t="s">
        <v>377</v>
      </c>
      <c r="L59" s="9" t="s">
        <v>47</v>
      </c>
    </row>
    <row r="60" customFormat="false" ht="15" hidden="false" customHeight="false" outlineLevel="0" collapsed="false">
      <c r="A60" s="9" t="s">
        <v>898</v>
      </c>
      <c r="B60" s="9" t="s">
        <v>755</v>
      </c>
      <c r="C60" s="9" t="s">
        <v>808</v>
      </c>
      <c r="D60" s="9" t="s">
        <v>899</v>
      </c>
      <c r="E60" s="9" t="s">
        <v>765</v>
      </c>
      <c r="F60" s="9" t="s">
        <v>766</v>
      </c>
      <c r="G60" s="9" t="n">
        <v>18943</v>
      </c>
      <c r="H60" s="9" t="n">
        <v>16790</v>
      </c>
      <c r="I60" s="9" t="n">
        <v>14.6</v>
      </c>
      <c r="J60" s="9" t="s">
        <v>829</v>
      </c>
      <c r="K60" s="9" t="s">
        <v>185</v>
      </c>
      <c r="L60" s="9" t="s">
        <v>47</v>
      </c>
    </row>
    <row r="61" customFormat="false" ht="15" hidden="false" customHeight="false" outlineLevel="0" collapsed="false">
      <c r="A61" s="9" t="s">
        <v>900</v>
      </c>
      <c r="B61" s="9" t="s">
        <v>762</v>
      </c>
      <c r="C61" s="9" t="s">
        <v>817</v>
      </c>
      <c r="D61" s="9" t="s">
        <v>786</v>
      </c>
      <c r="E61" s="9" t="s">
        <v>765</v>
      </c>
      <c r="F61" s="9" t="s">
        <v>766</v>
      </c>
      <c r="G61" s="9" t="n">
        <v>17068</v>
      </c>
      <c r="H61" s="9" t="n">
        <v>14187</v>
      </c>
      <c r="I61" s="9" t="n">
        <v>12.1</v>
      </c>
      <c r="J61" s="9" t="s">
        <v>813</v>
      </c>
      <c r="K61" s="9" t="s">
        <v>185</v>
      </c>
      <c r="L61" s="9" t="s">
        <v>47</v>
      </c>
    </row>
    <row r="62" customFormat="false" ht="15" hidden="false" customHeight="false" outlineLevel="0" collapsed="false">
      <c r="A62" s="9" t="s">
        <v>901</v>
      </c>
      <c r="B62" s="9" t="s">
        <v>778</v>
      </c>
      <c r="C62" s="9" t="s">
        <v>827</v>
      </c>
      <c r="D62" s="9" t="s">
        <v>902</v>
      </c>
      <c r="E62" s="9" t="s">
        <v>739</v>
      </c>
      <c r="F62" s="9" t="s">
        <v>740</v>
      </c>
      <c r="G62" s="9" t="n">
        <v>217</v>
      </c>
      <c r="H62" s="9" t="n">
        <v>162</v>
      </c>
      <c r="I62" s="9" t="n">
        <v>0</v>
      </c>
      <c r="J62" s="9"/>
      <c r="K62" s="9" t="s">
        <v>185</v>
      </c>
      <c r="L62" s="9" t="s">
        <v>47</v>
      </c>
    </row>
    <row r="63" customFormat="false" ht="15" hidden="false" customHeight="false" outlineLevel="0" collapsed="false">
      <c r="A63" s="9" t="s">
        <v>903</v>
      </c>
      <c r="B63" s="9" t="s">
        <v>736</v>
      </c>
      <c r="C63" s="9" t="s">
        <v>821</v>
      </c>
      <c r="D63" s="9" t="s">
        <v>904</v>
      </c>
      <c r="E63" s="9" t="s">
        <v>765</v>
      </c>
      <c r="F63" s="9" t="s">
        <v>766</v>
      </c>
      <c r="G63" s="9" t="n">
        <v>5111</v>
      </c>
      <c r="H63" s="9" t="n">
        <v>4119</v>
      </c>
      <c r="I63" s="9" t="n">
        <v>13.6</v>
      </c>
      <c r="J63" s="9" t="s">
        <v>829</v>
      </c>
      <c r="K63" s="9" t="s">
        <v>262</v>
      </c>
      <c r="L63" s="9" t="s">
        <v>47</v>
      </c>
    </row>
    <row r="64" customFormat="false" ht="15" hidden="false" customHeight="false" outlineLevel="0" collapsed="false">
      <c r="A64" s="9" t="s">
        <v>905</v>
      </c>
      <c r="B64" s="9" t="s">
        <v>778</v>
      </c>
      <c r="C64" s="9" t="s">
        <v>782</v>
      </c>
      <c r="D64" s="9" t="s">
        <v>906</v>
      </c>
      <c r="E64" s="9" t="s">
        <v>753</v>
      </c>
      <c r="F64" s="9" t="s">
        <v>740</v>
      </c>
      <c r="G64" s="9" t="n">
        <v>384</v>
      </c>
      <c r="H64" s="9" t="n">
        <v>322</v>
      </c>
      <c r="I64" s="9" t="n">
        <v>12</v>
      </c>
      <c r="J64" s="9" t="s">
        <v>802</v>
      </c>
      <c r="K64" s="9" t="s">
        <v>262</v>
      </c>
      <c r="L64" s="9" t="s">
        <v>47</v>
      </c>
    </row>
    <row r="65" customFormat="false" ht="15" hidden="false" customHeight="false" outlineLevel="0" collapsed="false">
      <c r="A65" s="9" t="s">
        <v>907</v>
      </c>
      <c r="B65" s="9" t="s">
        <v>736</v>
      </c>
      <c r="C65" s="9" t="s">
        <v>827</v>
      </c>
      <c r="D65" s="9" t="s">
        <v>908</v>
      </c>
      <c r="E65" s="9" t="s">
        <v>739</v>
      </c>
      <c r="F65" s="9" t="s">
        <v>740</v>
      </c>
      <c r="G65" s="9" t="n">
        <v>209</v>
      </c>
      <c r="H65" s="9" t="n">
        <v>198</v>
      </c>
      <c r="I65" s="9" t="n">
        <v>0</v>
      </c>
      <c r="J65" s="9"/>
      <c r="K65" s="9" t="s">
        <v>262</v>
      </c>
      <c r="L65" s="9" t="s">
        <v>47</v>
      </c>
    </row>
    <row r="66" customFormat="false" ht="15" hidden="false" customHeight="false" outlineLevel="0" collapsed="false">
      <c r="A66" s="9" t="s">
        <v>909</v>
      </c>
      <c r="B66" s="9" t="s">
        <v>768</v>
      </c>
      <c r="C66" s="9" t="s">
        <v>769</v>
      </c>
      <c r="D66" s="9" t="s">
        <v>910</v>
      </c>
      <c r="E66" s="9" t="s">
        <v>765</v>
      </c>
      <c r="F66" s="9" t="s">
        <v>766</v>
      </c>
      <c r="G66" s="9" t="n">
        <v>7188</v>
      </c>
      <c r="H66" s="9" t="n">
        <v>6309</v>
      </c>
      <c r="I66" s="9" t="n">
        <v>0</v>
      </c>
      <c r="J66" s="9"/>
      <c r="K66" s="9" t="s">
        <v>454</v>
      </c>
      <c r="L66" s="9" t="s">
        <v>47</v>
      </c>
    </row>
    <row r="67" customFormat="false" ht="15" hidden="false" customHeight="false" outlineLevel="0" collapsed="false">
      <c r="A67" s="9" t="s">
        <v>911</v>
      </c>
      <c r="B67" s="9" t="s">
        <v>768</v>
      </c>
      <c r="C67" s="9" t="s">
        <v>800</v>
      </c>
      <c r="D67" s="9" t="s">
        <v>912</v>
      </c>
      <c r="E67" s="9" t="s">
        <v>753</v>
      </c>
      <c r="F67" s="9" t="s">
        <v>740</v>
      </c>
      <c r="G67" s="9" t="n">
        <v>325</v>
      </c>
      <c r="H67" s="9" t="n">
        <v>320</v>
      </c>
      <c r="I67" s="9" t="n">
        <v>0</v>
      </c>
      <c r="J67" s="9"/>
      <c r="K67" s="9" t="s">
        <v>550</v>
      </c>
      <c r="L67" s="9" t="s">
        <v>47</v>
      </c>
    </row>
    <row r="68" customFormat="false" ht="15" hidden="false" customHeight="false" outlineLevel="0" collapsed="false">
      <c r="A68" s="9" t="s">
        <v>913</v>
      </c>
      <c r="B68" s="9" t="s">
        <v>831</v>
      </c>
      <c r="C68" s="9" t="s">
        <v>763</v>
      </c>
      <c r="D68" s="9" t="s">
        <v>525</v>
      </c>
      <c r="E68" s="9" t="s">
        <v>739</v>
      </c>
      <c r="F68" s="9" t="s">
        <v>740</v>
      </c>
      <c r="G68" s="9" t="n">
        <v>278</v>
      </c>
      <c r="H68" s="9" t="n">
        <v>248</v>
      </c>
      <c r="I68" s="9" t="n">
        <v>0</v>
      </c>
      <c r="J68" s="9"/>
      <c r="K68" s="9" t="s">
        <v>720</v>
      </c>
      <c r="L68" s="9" t="s">
        <v>47</v>
      </c>
    </row>
    <row r="69" customFormat="false" ht="15" hidden="false" customHeight="false" outlineLevel="0" collapsed="false">
      <c r="A69" s="9" t="s">
        <v>914</v>
      </c>
      <c r="B69" s="9" t="s">
        <v>778</v>
      </c>
      <c r="C69" s="9" t="s">
        <v>915</v>
      </c>
      <c r="D69" s="9" t="s">
        <v>916</v>
      </c>
      <c r="E69" s="9" t="s">
        <v>739</v>
      </c>
      <c r="F69" s="9" t="s">
        <v>740</v>
      </c>
      <c r="G69" s="9" t="n">
        <v>308</v>
      </c>
      <c r="H69" s="9" t="n">
        <v>242</v>
      </c>
      <c r="I69" s="9" t="n">
        <v>0</v>
      </c>
      <c r="J69" s="9"/>
      <c r="K69" s="9" t="s">
        <v>185</v>
      </c>
      <c r="L69" s="9" t="s">
        <v>47</v>
      </c>
    </row>
    <row r="70" customFormat="false" ht="15" hidden="false" customHeight="false" outlineLevel="0" collapsed="false">
      <c r="A70" s="9" t="s">
        <v>917</v>
      </c>
      <c r="B70" s="9" t="s">
        <v>768</v>
      </c>
      <c r="C70" s="9" t="s">
        <v>808</v>
      </c>
      <c r="D70" s="9" t="s">
        <v>918</v>
      </c>
      <c r="E70" s="9" t="s">
        <v>765</v>
      </c>
      <c r="F70" s="9" t="s">
        <v>766</v>
      </c>
      <c r="G70" s="9" t="n">
        <v>16145</v>
      </c>
      <c r="H70" s="9" t="n">
        <v>12718</v>
      </c>
      <c r="I70" s="9" t="n">
        <v>0</v>
      </c>
      <c r="J70" s="9"/>
      <c r="K70" s="9" t="s">
        <v>48</v>
      </c>
      <c r="L70" s="9" t="s">
        <v>47</v>
      </c>
    </row>
    <row r="71" customFormat="false" ht="15" hidden="false" customHeight="false" outlineLevel="0" collapsed="false">
      <c r="A71" s="9" t="s">
        <v>919</v>
      </c>
      <c r="B71" s="9" t="s">
        <v>755</v>
      </c>
      <c r="C71" s="9" t="s">
        <v>751</v>
      </c>
      <c r="D71" s="9" t="s">
        <v>806</v>
      </c>
      <c r="E71" s="9" t="s">
        <v>753</v>
      </c>
      <c r="F71" s="9" t="s">
        <v>740</v>
      </c>
      <c r="G71" s="9" t="n">
        <v>117</v>
      </c>
      <c r="H71" s="9" t="n">
        <v>104</v>
      </c>
      <c r="I71" s="9" t="n">
        <v>0</v>
      </c>
      <c r="J71" s="9"/>
      <c r="K71" s="9" t="s">
        <v>97</v>
      </c>
      <c r="L71" s="9" t="s">
        <v>47</v>
      </c>
    </row>
    <row r="72" customFormat="false" ht="15" hidden="false" customHeight="false" outlineLevel="0" collapsed="false">
      <c r="A72" s="9" t="s">
        <v>920</v>
      </c>
      <c r="B72" s="9" t="s">
        <v>755</v>
      </c>
      <c r="C72" s="9" t="s">
        <v>824</v>
      </c>
      <c r="D72" s="9" t="s">
        <v>921</v>
      </c>
      <c r="E72" s="9" t="s">
        <v>739</v>
      </c>
      <c r="F72" s="9" t="s">
        <v>740</v>
      </c>
      <c r="G72" s="9" t="n">
        <v>61</v>
      </c>
      <c r="H72" s="9" t="n">
        <v>51</v>
      </c>
      <c r="I72" s="9" t="n">
        <v>0</v>
      </c>
      <c r="J72" s="9"/>
      <c r="K72" s="9" t="s">
        <v>546</v>
      </c>
      <c r="L72" s="9" t="s">
        <v>47</v>
      </c>
    </row>
    <row r="73" customFormat="false" ht="15" hidden="false" customHeight="false" outlineLevel="0" collapsed="false">
      <c r="A73" s="9" t="s">
        <v>922</v>
      </c>
      <c r="B73" s="9" t="s">
        <v>831</v>
      </c>
      <c r="C73" s="9" t="s">
        <v>858</v>
      </c>
      <c r="D73" s="9" t="s">
        <v>923</v>
      </c>
      <c r="E73" s="9" t="s">
        <v>765</v>
      </c>
      <c r="F73" s="9" t="s">
        <v>766</v>
      </c>
      <c r="G73" s="9" t="n">
        <v>11941</v>
      </c>
      <c r="H73" s="9" t="n">
        <v>9955</v>
      </c>
      <c r="I73" s="9" t="n">
        <v>17.9</v>
      </c>
      <c r="J73" s="9" t="s">
        <v>741</v>
      </c>
      <c r="K73" s="9" t="s">
        <v>720</v>
      </c>
      <c r="L73" s="9" t="s">
        <v>47</v>
      </c>
    </row>
    <row r="74" customFormat="false" ht="15" hidden="false" customHeight="false" outlineLevel="0" collapsed="false">
      <c r="A74" s="9" t="s">
        <v>924</v>
      </c>
      <c r="B74" s="9" t="s">
        <v>762</v>
      </c>
      <c r="C74" s="9" t="s">
        <v>775</v>
      </c>
      <c r="D74" s="9" t="s">
        <v>925</v>
      </c>
      <c r="E74" s="9" t="s">
        <v>753</v>
      </c>
      <c r="F74" s="9" t="s">
        <v>740</v>
      </c>
      <c r="G74" s="9" t="n">
        <v>142</v>
      </c>
      <c r="H74" s="9" t="n">
        <v>138</v>
      </c>
      <c r="I74" s="9" t="n">
        <v>0</v>
      </c>
      <c r="J74" s="9"/>
      <c r="K74" s="9" t="s">
        <v>546</v>
      </c>
      <c r="L74" s="9" t="s">
        <v>47</v>
      </c>
    </row>
    <row r="75" customFormat="false" ht="15" hidden="false" customHeight="false" outlineLevel="0" collapsed="false">
      <c r="A75" s="9" t="s">
        <v>926</v>
      </c>
      <c r="B75" s="9" t="s">
        <v>750</v>
      </c>
      <c r="C75" s="9" t="s">
        <v>772</v>
      </c>
      <c r="D75" s="9" t="s">
        <v>927</v>
      </c>
      <c r="E75" s="9" t="s">
        <v>753</v>
      </c>
      <c r="F75" s="9" t="s">
        <v>740</v>
      </c>
      <c r="G75" s="9" t="n">
        <v>243</v>
      </c>
      <c r="H75" s="9" t="n">
        <v>205</v>
      </c>
      <c r="I75" s="9" t="n">
        <v>0</v>
      </c>
      <c r="J75" s="9"/>
      <c r="K75" s="9" t="s">
        <v>542</v>
      </c>
      <c r="L75" s="9" t="s">
        <v>47</v>
      </c>
    </row>
    <row r="76" customFormat="false" ht="15" hidden="false" customHeight="false" outlineLevel="0" collapsed="false">
      <c r="A76" s="9" t="s">
        <v>928</v>
      </c>
      <c r="B76" s="9" t="s">
        <v>755</v>
      </c>
      <c r="C76" s="9" t="s">
        <v>737</v>
      </c>
      <c r="D76" s="9" t="s">
        <v>929</v>
      </c>
      <c r="E76" s="9" t="s">
        <v>765</v>
      </c>
      <c r="F76" s="9" t="s">
        <v>766</v>
      </c>
      <c r="G76" s="9" t="n">
        <v>7924</v>
      </c>
      <c r="H76" s="9" t="n">
        <v>8301</v>
      </c>
      <c r="I76" s="9" t="n">
        <v>0</v>
      </c>
      <c r="J76" s="9"/>
      <c r="K76" s="9" t="s">
        <v>185</v>
      </c>
      <c r="L76" s="9" t="s">
        <v>47</v>
      </c>
    </row>
    <row r="77" customFormat="false" ht="15" hidden="false" customHeight="false" outlineLevel="0" collapsed="false">
      <c r="A77" s="9" t="s">
        <v>930</v>
      </c>
      <c r="B77" s="9" t="s">
        <v>831</v>
      </c>
      <c r="C77" s="9" t="s">
        <v>931</v>
      </c>
      <c r="D77" s="9" t="s">
        <v>932</v>
      </c>
      <c r="E77" s="9" t="s">
        <v>753</v>
      </c>
      <c r="F77" s="9" t="s">
        <v>740</v>
      </c>
      <c r="G77" s="9" t="n">
        <v>287</v>
      </c>
      <c r="H77" s="9" t="n">
        <v>270</v>
      </c>
      <c r="I77" s="9" t="n">
        <v>0</v>
      </c>
      <c r="J77" s="9"/>
      <c r="K77" s="9" t="s">
        <v>416</v>
      </c>
      <c r="L77" s="9" t="s">
        <v>47</v>
      </c>
    </row>
    <row r="78" customFormat="false" ht="15" hidden="false" customHeight="false" outlineLevel="0" collapsed="false">
      <c r="A78" s="9" t="s">
        <v>933</v>
      </c>
      <c r="B78" s="9" t="s">
        <v>750</v>
      </c>
      <c r="C78" s="9" t="s">
        <v>934</v>
      </c>
      <c r="D78" s="9" t="s">
        <v>935</v>
      </c>
      <c r="E78" s="9" t="s">
        <v>753</v>
      </c>
      <c r="F78" s="9" t="s">
        <v>740</v>
      </c>
      <c r="G78" s="9" t="n">
        <v>227</v>
      </c>
      <c r="H78" s="9" t="n">
        <v>175</v>
      </c>
      <c r="I78" s="9" t="n">
        <v>15.8</v>
      </c>
      <c r="J78" s="9" t="s">
        <v>741</v>
      </c>
      <c r="K78" s="9" t="s">
        <v>97</v>
      </c>
      <c r="L78" s="9" t="s">
        <v>47</v>
      </c>
    </row>
    <row r="79" customFormat="false" ht="15" hidden="false" customHeight="false" outlineLevel="0" collapsed="false">
      <c r="A79" s="9" t="s">
        <v>936</v>
      </c>
      <c r="B79" s="9" t="s">
        <v>750</v>
      </c>
      <c r="C79" s="9" t="s">
        <v>769</v>
      </c>
      <c r="D79" s="9" t="s">
        <v>937</v>
      </c>
      <c r="E79" s="9" t="s">
        <v>765</v>
      </c>
      <c r="F79" s="9" t="s">
        <v>766</v>
      </c>
      <c r="G79" s="9" t="n">
        <v>8376</v>
      </c>
      <c r="H79" s="9" t="n">
        <v>6216</v>
      </c>
      <c r="I79" s="9" t="n">
        <v>0</v>
      </c>
      <c r="J79" s="9"/>
      <c r="K79" s="9" t="s">
        <v>377</v>
      </c>
      <c r="L79" s="9" t="s">
        <v>47</v>
      </c>
    </row>
    <row r="80" customFormat="false" ht="15" hidden="false" customHeight="false" outlineLevel="0" collapsed="false">
      <c r="A80" s="9" t="s">
        <v>938</v>
      </c>
      <c r="B80" s="9" t="s">
        <v>778</v>
      </c>
      <c r="C80" s="9" t="s">
        <v>865</v>
      </c>
      <c r="D80" s="9" t="s">
        <v>822</v>
      </c>
      <c r="E80" s="9" t="s">
        <v>739</v>
      </c>
      <c r="F80" s="9" t="s">
        <v>740</v>
      </c>
      <c r="G80" s="9" t="n">
        <v>72</v>
      </c>
      <c r="H80" s="9" t="n">
        <v>61</v>
      </c>
      <c r="I80" s="9" t="n">
        <v>3.9</v>
      </c>
      <c r="J80" s="9" t="s">
        <v>741</v>
      </c>
      <c r="K80" s="9" t="s">
        <v>185</v>
      </c>
      <c r="L80" s="9" t="s">
        <v>47</v>
      </c>
    </row>
    <row r="81" customFormat="false" ht="15" hidden="false" customHeight="false" outlineLevel="0" collapsed="false">
      <c r="A81" s="9" t="s">
        <v>939</v>
      </c>
      <c r="B81" s="9" t="s">
        <v>755</v>
      </c>
      <c r="C81" s="9" t="s">
        <v>843</v>
      </c>
      <c r="D81" s="9" t="s">
        <v>521</v>
      </c>
      <c r="E81" s="9" t="s">
        <v>739</v>
      </c>
      <c r="F81" s="9" t="s">
        <v>740</v>
      </c>
      <c r="G81" s="9" t="n">
        <v>344</v>
      </c>
      <c r="H81" s="9" t="n">
        <v>283</v>
      </c>
      <c r="I81" s="9" t="n">
        <v>0</v>
      </c>
      <c r="J81" s="9"/>
      <c r="K81" s="9" t="s">
        <v>542</v>
      </c>
      <c r="L81" s="9" t="s">
        <v>47</v>
      </c>
    </row>
    <row r="82" customFormat="false" ht="15" hidden="false" customHeight="false" outlineLevel="0" collapsed="false">
      <c r="A82" s="9" t="s">
        <v>940</v>
      </c>
      <c r="B82" s="9" t="s">
        <v>768</v>
      </c>
      <c r="C82" s="9" t="s">
        <v>941</v>
      </c>
      <c r="D82" s="9" t="s">
        <v>942</v>
      </c>
      <c r="E82" s="9" t="s">
        <v>765</v>
      </c>
      <c r="F82" s="9" t="s">
        <v>766</v>
      </c>
      <c r="G82" s="9" t="n">
        <v>15816</v>
      </c>
      <c r="H82" s="9" t="n">
        <v>14108</v>
      </c>
      <c r="I82" s="9" t="n">
        <v>0</v>
      </c>
      <c r="J82" s="9"/>
      <c r="K82" s="9" t="s">
        <v>262</v>
      </c>
      <c r="L82" s="9" t="s">
        <v>47</v>
      </c>
    </row>
    <row r="83" customFormat="false" ht="15" hidden="false" customHeight="false" outlineLevel="0" collapsed="false">
      <c r="A83" s="9" t="s">
        <v>943</v>
      </c>
      <c r="B83" s="9" t="s">
        <v>853</v>
      </c>
      <c r="C83" s="9" t="s">
        <v>850</v>
      </c>
      <c r="D83" s="9" t="s">
        <v>944</v>
      </c>
      <c r="E83" s="9" t="s">
        <v>739</v>
      </c>
      <c r="F83" s="9" t="s">
        <v>740</v>
      </c>
      <c r="G83" s="9" t="n">
        <v>139</v>
      </c>
      <c r="H83" s="9" t="n">
        <v>128</v>
      </c>
      <c r="I83" s="9" t="n">
        <v>0</v>
      </c>
      <c r="J83" s="9"/>
      <c r="K83" s="9" t="s">
        <v>377</v>
      </c>
      <c r="L83" s="9" t="s">
        <v>47</v>
      </c>
    </row>
    <row r="84" customFormat="false" ht="15" hidden="false" customHeight="false" outlineLevel="0" collapsed="false">
      <c r="A84" s="9" t="s">
        <v>945</v>
      </c>
      <c r="B84" s="9" t="s">
        <v>853</v>
      </c>
      <c r="C84" s="9" t="s">
        <v>747</v>
      </c>
      <c r="D84" s="9" t="s">
        <v>946</v>
      </c>
      <c r="E84" s="9" t="s">
        <v>739</v>
      </c>
      <c r="F84" s="9" t="s">
        <v>740</v>
      </c>
      <c r="G84" s="9" t="n">
        <v>213</v>
      </c>
      <c r="H84" s="9" t="n">
        <v>202</v>
      </c>
      <c r="I84" s="9" t="n">
        <v>0</v>
      </c>
      <c r="J84" s="9"/>
      <c r="K84" s="9" t="s">
        <v>262</v>
      </c>
      <c r="L84" s="9" t="s">
        <v>47</v>
      </c>
    </row>
    <row r="85" customFormat="false" ht="15" hidden="false" customHeight="false" outlineLevel="0" collapsed="false">
      <c r="A85" s="9" t="s">
        <v>947</v>
      </c>
      <c r="B85" s="9" t="s">
        <v>750</v>
      </c>
      <c r="C85" s="9" t="s">
        <v>894</v>
      </c>
      <c r="D85" s="9" t="s">
        <v>948</v>
      </c>
      <c r="E85" s="9" t="s">
        <v>753</v>
      </c>
      <c r="F85" s="9" t="s">
        <v>740</v>
      </c>
      <c r="G85" s="9" t="n">
        <v>173</v>
      </c>
      <c r="H85" s="9" t="n">
        <v>173</v>
      </c>
      <c r="I85" s="9" t="n">
        <v>12.7</v>
      </c>
      <c r="J85" s="9" t="s">
        <v>802</v>
      </c>
      <c r="K85" s="9" t="s">
        <v>720</v>
      </c>
      <c r="L85" s="9" t="s">
        <v>47</v>
      </c>
    </row>
    <row r="86" customFormat="false" ht="15" hidden="false" customHeight="false" outlineLevel="0" collapsed="false">
      <c r="A86" s="9" t="s">
        <v>949</v>
      </c>
      <c r="B86" s="9" t="s">
        <v>853</v>
      </c>
      <c r="C86" s="9" t="s">
        <v>850</v>
      </c>
      <c r="D86" s="9" t="s">
        <v>950</v>
      </c>
      <c r="E86" s="9" t="s">
        <v>753</v>
      </c>
      <c r="F86" s="9" t="s">
        <v>740</v>
      </c>
      <c r="G86" s="9" t="n">
        <v>335</v>
      </c>
      <c r="H86" s="9" t="n">
        <v>299</v>
      </c>
      <c r="I86" s="9" t="n">
        <v>0</v>
      </c>
      <c r="J86" s="9"/>
      <c r="K86" s="9" t="s">
        <v>262</v>
      </c>
      <c r="L86" s="9" t="s">
        <v>47</v>
      </c>
    </row>
    <row r="87" customFormat="false" ht="15" hidden="false" customHeight="false" outlineLevel="0" collapsed="false">
      <c r="A87" s="9" t="s">
        <v>951</v>
      </c>
      <c r="B87" s="9" t="s">
        <v>831</v>
      </c>
      <c r="C87" s="9" t="s">
        <v>952</v>
      </c>
      <c r="D87" s="9" t="s">
        <v>953</v>
      </c>
      <c r="E87" s="9" t="s">
        <v>753</v>
      </c>
      <c r="F87" s="9" t="s">
        <v>740</v>
      </c>
      <c r="G87" s="9" t="n">
        <v>239</v>
      </c>
      <c r="H87" s="9" t="n">
        <v>179</v>
      </c>
      <c r="I87" s="9" t="n">
        <v>0</v>
      </c>
      <c r="J87" s="9"/>
      <c r="K87" s="9" t="s">
        <v>223</v>
      </c>
      <c r="L87" s="9" t="s">
        <v>47</v>
      </c>
    </row>
    <row r="88" customFormat="false" ht="15" hidden="false" customHeight="false" outlineLevel="0" collapsed="false">
      <c r="A88" s="9" t="s">
        <v>954</v>
      </c>
      <c r="B88" s="9" t="s">
        <v>853</v>
      </c>
      <c r="C88" s="9" t="s">
        <v>756</v>
      </c>
      <c r="D88" s="9" t="s">
        <v>955</v>
      </c>
      <c r="E88" s="9" t="s">
        <v>739</v>
      </c>
      <c r="F88" s="9" t="s">
        <v>740</v>
      </c>
      <c r="G88" s="9" t="n">
        <v>359</v>
      </c>
      <c r="H88" s="9" t="n">
        <v>329</v>
      </c>
      <c r="I88" s="9" t="n">
        <v>0</v>
      </c>
      <c r="J88" s="9"/>
      <c r="K88" s="9" t="s">
        <v>223</v>
      </c>
      <c r="L88" s="9" t="s">
        <v>47</v>
      </c>
    </row>
    <row r="89" customFormat="false" ht="15" hidden="false" customHeight="false" outlineLevel="0" collapsed="false">
      <c r="A89" s="9" t="s">
        <v>956</v>
      </c>
      <c r="B89" s="9" t="s">
        <v>778</v>
      </c>
      <c r="C89" s="9" t="s">
        <v>850</v>
      </c>
      <c r="D89" s="9" t="s">
        <v>957</v>
      </c>
      <c r="E89" s="9" t="s">
        <v>753</v>
      </c>
      <c r="F89" s="9" t="s">
        <v>740</v>
      </c>
      <c r="G89" s="9" t="n">
        <v>156</v>
      </c>
      <c r="H89" s="9" t="n">
        <v>157</v>
      </c>
      <c r="I89" s="9" t="n">
        <v>17.2</v>
      </c>
      <c r="J89" s="9" t="s">
        <v>741</v>
      </c>
      <c r="K89" s="9" t="s">
        <v>223</v>
      </c>
      <c r="L89" s="9" t="s">
        <v>47</v>
      </c>
    </row>
    <row r="90" customFormat="false" ht="15" hidden="false" customHeight="false" outlineLevel="0" collapsed="false">
      <c r="A90" s="9" t="s">
        <v>958</v>
      </c>
      <c r="B90" s="9" t="s">
        <v>831</v>
      </c>
      <c r="C90" s="9" t="s">
        <v>915</v>
      </c>
      <c r="D90" s="9" t="s">
        <v>959</v>
      </c>
      <c r="E90" s="9" t="s">
        <v>765</v>
      </c>
      <c r="F90" s="9" t="s">
        <v>766</v>
      </c>
      <c r="G90" s="9" t="n">
        <v>16397</v>
      </c>
      <c r="H90" s="9" t="n">
        <v>15076</v>
      </c>
      <c r="I90" s="9" t="n">
        <v>16.5</v>
      </c>
      <c r="J90" s="9" t="s">
        <v>819</v>
      </c>
      <c r="K90" s="9" t="s">
        <v>301</v>
      </c>
      <c r="L90" s="9" t="s">
        <v>47</v>
      </c>
    </row>
    <row r="91" customFormat="false" ht="15" hidden="false" customHeight="false" outlineLevel="0" collapsed="false">
      <c r="A91" s="9" t="s">
        <v>960</v>
      </c>
      <c r="B91" s="9" t="s">
        <v>743</v>
      </c>
      <c r="C91" s="9" t="s">
        <v>961</v>
      </c>
      <c r="D91" s="9" t="s">
        <v>962</v>
      </c>
      <c r="E91" s="9" t="s">
        <v>739</v>
      </c>
      <c r="F91" s="9" t="s">
        <v>740</v>
      </c>
      <c r="G91" s="9" t="n">
        <v>382</v>
      </c>
      <c r="H91" s="9" t="n">
        <v>320</v>
      </c>
      <c r="I91" s="9" t="n">
        <v>9.2</v>
      </c>
      <c r="J91" s="9" t="s">
        <v>802</v>
      </c>
      <c r="K91" s="9" t="s">
        <v>377</v>
      </c>
      <c r="L91" s="9" t="s">
        <v>47</v>
      </c>
    </row>
    <row r="92" customFormat="false" ht="15" hidden="false" customHeight="false" outlineLevel="0" collapsed="false">
      <c r="A92" s="9" t="s">
        <v>963</v>
      </c>
      <c r="B92" s="9" t="s">
        <v>781</v>
      </c>
      <c r="C92" s="9" t="s">
        <v>821</v>
      </c>
      <c r="D92" s="9" t="s">
        <v>964</v>
      </c>
      <c r="E92" s="9" t="s">
        <v>765</v>
      </c>
      <c r="F92" s="9" t="s">
        <v>766</v>
      </c>
      <c r="G92" s="9" t="n">
        <v>11073</v>
      </c>
      <c r="H92" s="9" t="n">
        <v>9116</v>
      </c>
      <c r="I92" s="9" t="n">
        <v>15.6</v>
      </c>
      <c r="J92" s="9"/>
      <c r="K92" s="9" t="s">
        <v>185</v>
      </c>
      <c r="L92" s="9" t="s">
        <v>47</v>
      </c>
    </row>
    <row r="93" customFormat="false" ht="15" hidden="false" customHeight="false" outlineLevel="0" collapsed="false">
      <c r="A93" s="9" t="s">
        <v>965</v>
      </c>
      <c r="B93" s="9" t="s">
        <v>853</v>
      </c>
      <c r="C93" s="9" t="s">
        <v>817</v>
      </c>
      <c r="D93" s="9" t="s">
        <v>966</v>
      </c>
      <c r="E93" s="9" t="s">
        <v>739</v>
      </c>
      <c r="F93" s="9" t="s">
        <v>740</v>
      </c>
      <c r="G93" s="9" t="n">
        <v>346</v>
      </c>
      <c r="H93" s="9" t="n">
        <v>331</v>
      </c>
      <c r="I93" s="9" t="n">
        <v>3.5</v>
      </c>
      <c r="J93" s="9" t="s">
        <v>813</v>
      </c>
      <c r="K93" s="9" t="s">
        <v>340</v>
      </c>
      <c r="L93" s="9" t="s">
        <v>47</v>
      </c>
    </row>
    <row r="94" customFormat="false" ht="15" hidden="false" customHeight="false" outlineLevel="0" collapsed="false">
      <c r="A94" s="9" t="s">
        <v>967</v>
      </c>
      <c r="B94" s="9" t="s">
        <v>778</v>
      </c>
      <c r="C94" s="9" t="s">
        <v>941</v>
      </c>
      <c r="D94" s="9" t="s">
        <v>968</v>
      </c>
      <c r="E94" s="9" t="s">
        <v>739</v>
      </c>
      <c r="F94" s="9" t="s">
        <v>740</v>
      </c>
      <c r="G94" s="9" t="n">
        <v>385</v>
      </c>
      <c r="H94" s="9" t="n">
        <v>397</v>
      </c>
      <c r="I94" s="9" t="n">
        <v>13.7</v>
      </c>
      <c r="J94" s="9" t="s">
        <v>802</v>
      </c>
      <c r="K94" s="9" t="s">
        <v>546</v>
      </c>
      <c r="L94" s="9" t="s">
        <v>47</v>
      </c>
    </row>
    <row r="95" customFormat="false" ht="15" hidden="false" customHeight="false" outlineLevel="0" collapsed="false">
      <c r="A95" s="9" t="s">
        <v>969</v>
      </c>
      <c r="B95" s="9" t="s">
        <v>762</v>
      </c>
      <c r="C95" s="9" t="s">
        <v>824</v>
      </c>
      <c r="D95" s="9" t="s">
        <v>970</v>
      </c>
      <c r="E95" s="9" t="s">
        <v>739</v>
      </c>
      <c r="F95" s="9" t="s">
        <v>740</v>
      </c>
      <c r="G95" s="9" t="n">
        <v>230</v>
      </c>
      <c r="H95" s="9" t="n">
        <v>178</v>
      </c>
      <c r="I95" s="9" t="n">
        <v>0</v>
      </c>
      <c r="J95" s="9"/>
      <c r="K95" s="9" t="s">
        <v>377</v>
      </c>
      <c r="L95" s="9" t="s">
        <v>47</v>
      </c>
    </row>
    <row r="96" customFormat="false" ht="15" hidden="false" customHeight="false" outlineLevel="0" collapsed="false">
      <c r="A96" s="9" t="s">
        <v>971</v>
      </c>
      <c r="B96" s="9" t="s">
        <v>736</v>
      </c>
      <c r="C96" s="9" t="s">
        <v>759</v>
      </c>
      <c r="D96" s="9" t="s">
        <v>972</v>
      </c>
      <c r="E96" s="9" t="s">
        <v>739</v>
      </c>
      <c r="F96" s="9" t="s">
        <v>740</v>
      </c>
      <c r="G96" s="9" t="n">
        <v>67</v>
      </c>
      <c r="H96" s="9" t="n">
        <v>66</v>
      </c>
      <c r="I96" s="9" t="n">
        <v>14.7</v>
      </c>
      <c r="J96" s="9" t="s">
        <v>741</v>
      </c>
      <c r="K96" s="9" t="s">
        <v>550</v>
      </c>
      <c r="L96" s="9" t="s">
        <v>47</v>
      </c>
    </row>
    <row r="97" customFormat="false" ht="15" hidden="false" customHeight="false" outlineLevel="0" collapsed="false">
      <c r="A97" s="9" t="s">
        <v>973</v>
      </c>
      <c r="B97" s="9" t="s">
        <v>853</v>
      </c>
      <c r="C97" s="9" t="s">
        <v>800</v>
      </c>
      <c r="D97" s="9" t="s">
        <v>783</v>
      </c>
      <c r="E97" s="9" t="s">
        <v>739</v>
      </c>
      <c r="F97" s="9" t="s">
        <v>740</v>
      </c>
      <c r="G97" s="9" t="n">
        <v>168</v>
      </c>
      <c r="H97" s="9" t="n">
        <v>124</v>
      </c>
      <c r="I97" s="9" t="n">
        <v>3.9</v>
      </c>
      <c r="J97" s="9" t="s">
        <v>802</v>
      </c>
      <c r="K97" s="9" t="s">
        <v>301</v>
      </c>
      <c r="L97" s="9" t="s">
        <v>47</v>
      </c>
    </row>
    <row r="98" customFormat="false" ht="15" hidden="false" customHeight="false" outlineLevel="0" collapsed="false">
      <c r="A98" s="9" t="s">
        <v>974</v>
      </c>
      <c r="B98" s="9" t="s">
        <v>853</v>
      </c>
      <c r="C98" s="9" t="s">
        <v>769</v>
      </c>
      <c r="D98" s="9" t="s">
        <v>975</v>
      </c>
      <c r="E98" s="9" t="s">
        <v>753</v>
      </c>
      <c r="F98" s="9" t="s">
        <v>740</v>
      </c>
      <c r="G98" s="9" t="n">
        <v>387</v>
      </c>
      <c r="H98" s="9" t="n">
        <v>340</v>
      </c>
      <c r="I98" s="9" t="n">
        <v>9.9</v>
      </c>
      <c r="J98" s="9" t="s">
        <v>741</v>
      </c>
      <c r="K98" s="9" t="s">
        <v>97</v>
      </c>
      <c r="L98" s="9" t="s">
        <v>47</v>
      </c>
    </row>
    <row r="99" customFormat="false" ht="15" hidden="false" customHeight="false" outlineLevel="0" collapsed="false">
      <c r="A99" s="9" t="s">
        <v>976</v>
      </c>
      <c r="B99" s="9" t="s">
        <v>755</v>
      </c>
      <c r="C99" s="9" t="s">
        <v>756</v>
      </c>
      <c r="D99" s="9" t="s">
        <v>977</v>
      </c>
      <c r="E99" s="9" t="s">
        <v>753</v>
      </c>
      <c r="F99" s="9" t="s">
        <v>740</v>
      </c>
      <c r="G99" s="9" t="n">
        <v>58</v>
      </c>
      <c r="H99" s="9" t="n">
        <v>51</v>
      </c>
      <c r="I99" s="9" t="n">
        <v>0</v>
      </c>
      <c r="J99" s="9"/>
      <c r="K99" s="9" t="s">
        <v>340</v>
      </c>
      <c r="L99" s="9" t="s">
        <v>47</v>
      </c>
    </row>
    <row r="100" customFormat="false" ht="15" hidden="false" customHeight="false" outlineLevel="0" collapsed="false">
      <c r="A100" s="9" t="s">
        <v>978</v>
      </c>
      <c r="B100" s="9" t="s">
        <v>736</v>
      </c>
      <c r="C100" s="9" t="s">
        <v>979</v>
      </c>
      <c r="D100" s="9" t="s">
        <v>980</v>
      </c>
      <c r="E100" s="9" t="s">
        <v>739</v>
      </c>
      <c r="F100" s="9" t="s">
        <v>740</v>
      </c>
      <c r="G100" s="9" t="n">
        <v>126</v>
      </c>
      <c r="H100" s="9" t="n">
        <v>100</v>
      </c>
      <c r="I100" s="9" t="n">
        <v>0</v>
      </c>
      <c r="J100" s="9"/>
      <c r="K100" s="9" t="s">
        <v>262</v>
      </c>
      <c r="L100" s="9" t="s">
        <v>47</v>
      </c>
    </row>
    <row r="101" customFormat="false" ht="15" hidden="false" customHeight="false" outlineLevel="0" collapsed="false">
      <c r="A101" s="9" t="s">
        <v>981</v>
      </c>
      <c r="B101" s="9" t="s">
        <v>768</v>
      </c>
      <c r="C101" s="9" t="s">
        <v>756</v>
      </c>
      <c r="D101" s="9" t="s">
        <v>982</v>
      </c>
      <c r="E101" s="9" t="s">
        <v>765</v>
      </c>
      <c r="F101" s="9" t="s">
        <v>766</v>
      </c>
      <c r="G101" s="9" t="n">
        <v>11112</v>
      </c>
      <c r="H101" s="9" t="n">
        <v>11518</v>
      </c>
      <c r="I101" s="9" t="n">
        <v>0</v>
      </c>
      <c r="J101" s="9"/>
      <c r="K101" s="9" t="s">
        <v>223</v>
      </c>
      <c r="L101" s="9" t="s">
        <v>47</v>
      </c>
    </row>
    <row r="102" customFormat="false" ht="15" hidden="false" customHeight="false" outlineLevel="0" collapsed="false">
      <c r="A102" s="9" t="s">
        <v>983</v>
      </c>
      <c r="B102" s="9" t="s">
        <v>831</v>
      </c>
      <c r="C102" s="9" t="s">
        <v>811</v>
      </c>
      <c r="D102" s="9" t="s">
        <v>984</v>
      </c>
      <c r="E102" s="9" t="s">
        <v>739</v>
      </c>
      <c r="F102" s="9" t="s">
        <v>740</v>
      </c>
      <c r="G102" s="9" t="n">
        <v>382</v>
      </c>
      <c r="H102" s="9" t="n">
        <v>370</v>
      </c>
      <c r="I102" s="9" t="n">
        <v>6.8</v>
      </c>
      <c r="J102" s="9" t="s">
        <v>819</v>
      </c>
      <c r="K102" s="9" t="s">
        <v>377</v>
      </c>
      <c r="L102" s="9" t="s">
        <v>47</v>
      </c>
    </row>
    <row r="103" customFormat="false" ht="15" hidden="false" customHeight="false" outlineLevel="0" collapsed="false">
      <c r="A103" s="9" t="s">
        <v>985</v>
      </c>
      <c r="B103" s="9" t="s">
        <v>853</v>
      </c>
      <c r="C103" s="9" t="s">
        <v>931</v>
      </c>
      <c r="D103" s="9" t="s">
        <v>986</v>
      </c>
      <c r="E103" s="9" t="s">
        <v>765</v>
      </c>
      <c r="F103" s="9" t="s">
        <v>766</v>
      </c>
      <c r="G103" s="9" t="n">
        <v>13189</v>
      </c>
      <c r="H103" s="9" t="n">
        <v>13175</v>
      </c>
      <c r="I103" s="9" t="n">
        <v>0</v>
      </c>
      <c r="J103" s="9"/>
      <c r="K103" s="9" t="s">
        <v>301</v>
      </c>
      <c r="L103" s="9" t="s">
        <v>47</v>
      </c>
    </row>
    <row r="104" customFormat="false" ht="15" hidden="false" customHeight="false" outlineLevel="0" collapsed="false">
      <c r="A104" s="9" t="s">
        <v>987</v>
      </c>
      <c r="B104" s="9" t="s">
        <v>778</v>
      </c>
      <c r="C104" s="9" t="s">
        <v>979</v>
      </c>
      <c r="D104" s="9" t="s">
        <v>988</v>
      </c>
      <c r="E104" s="9" t="s">
        <v>765</v>
      </c>
      <c r="F104" s="9" t="s">
        <v>766</v>
      </c>
      <c r="G104" s="9" t="n">
        <v>8764</v>
      </c>
      <c r="H104" s="9" t="n">
        <v>6921</v>
      </c>
      <c r="I104" s="9" t="n">
        <v>0</v>
      </c>
      <c r="J104" s="9"/>
      <c r="K104" s="9" t="s">
        <v>720</v>
      </c>
      <c r="L104" s="9" t="s">
        <v>47</v>
      </c>
    </row>
    <row r="105" customFormat="false" ht="15" hidden="false" customHeight="false" outlineLevel="0" collapsed="false">
      <c r="A105" s="9" t="s">
        <v>989</v>
      </c>
      <c r="B105" s="9" t="s">
        <v>778</v>
      </c>
      <c r="C105" s="9" t="s">
        <v>821</v>
      </c>
      <c r="D105" s="9" t="s">
        <v>990</v>
      </c>
      <c r="E105" s="9" t="s">
        <v>765</v>
      </c>
      <c r="F105" s="9" t="s">
        <v>766</v>
      </c>
      <c r="G105" s="9" t="n">
        <v>6218</v>
      </c>
      <c r="H105" s="9" t="n">
        <v>5881</v>
      </c>
      <c r="I105" s="9" t="n">
        <v>9.8</v>
      </c>
      <c r="J105" s="9"/>
      <c r="K105" s="9" t="s">
        <v>97</v>
      </c>
      <c r="L105" s="9" t="s">
        <v>47</v>
      </c>
    </row>
    <row r="106" customFormat="false" ht="15" hidden="false" customHeight="false" outlineLevel="0" collapsed="false">
      <c r="A106" s="9" t="s">
        <v>991</v>
      </c>
      <c r="B106" s="9" t="s">
        <v>736</v>
      </c>
      <c r="C106" s="9" t="s">
        <v>873</v>
      </c>
      <c r="D106" s="9" t="s">
        <v>937</v>
      </c>
      <c r="E106" s="9" t="s">
        <v>765</v>
      </c>
      <c r="F106" s="9" t="s">
        <v>766</v>
      </c>
      <c r="G106" s="9" t="n">
        <v>14617</v>
      </c>
      <c r="H106" s="9" t="n">
        <v>11219</v>
      </c>
      <c r="I106" s="9" t="n">
        <v>0</v>
      </c>
      <c r="J106" s="9"/>
      <c r="K106" s="9" t="s">
        <v>597</v>
      </c>
      <c r="L106" s="9" t="s">
        <v>47</v>
      </c>
    </row>
    <row r="107" customFormat="false" ht="15" hidden="false" customHeight="false" outlineLevel="0" collapsed="false">
      <c r="A107" s="9" t="s">
        <v>992</v>
      </c>
      <c r="B107" s="9" t="s">
        <v>750</v>
      </c>
      <c r="C107" s="9" t="s">
        <v>993</v>
      </c>
      <c r="D107" s="9" t="s">
        <v>994</v>
      </c>
      <c r="E107" s="9" t="s">
        <v>765</v>
      </c>
      <c r="F107" s="9" t="s">
        <v>766</v>
      </c>
      <c r="G107" s="9" t="n">
        <v>14239</v>
      </c>
      <c r="H107" s="9" t="n">
        <v>11382</v>
      </c>
      <c r="I107" s="9" t="n">
        <v>0</v>
      </c>
      <c r="J107" s="9"/>
      <c r="K107" s="9" t="s">
        <v>340</v>
      </c>
      <c r="L107" s="9" t="s">
        <v>47</v>
      </c>
    </row>
    <row r="108" customFormat="false" ht="15" hidden="false" customHeight="false" outlineLevel="0" collapsed="false">
      <c r="A108" s="9" t="s">
        <v>995</v>
      </c>
      <c r="B108" s="9" t="s">
        <v>755</v>
      </c>
      <c r="C108" s="9" t="s">
        <v>952</v>
      </c>
      <c r="D108" s="9" t="s">
        <v>996</v>
      </c>
      <c r="E108" s="9" t="s">
        <v>739</v>
      </c>
      <c r="F108" s="9" t="s">
        <v>740</v>
      </c>
      <c r="G108" s="9" t="n">
        <v>121</v>
      </c>
      <c r="H108" s="9" t="n">
        <v>118</v>
      </c>
      <c r="I108" s="9" t="n">
        <v>0</v>
      </c>
      <c r="J108" s="9"/>
      <c r="K108" s="9" t="s">
        <v>48</v>
      </c>
      <c r="L108" s="9" t="s">
        <v>47</v>
      </c>
    </row>
    <row r="109" customFormat="false" ht="15" hidden="false" customHeight="false" outlineLevel="0" collapsed="false">
      <c r="A109" s="9" t="s">
        <v>997</v>
      </c>
      <c r="B109" s="9" t="s">
        <v>755</v>
      </c>
      <c r="C109" s="9" t="s">
        <v>747</v>
      </c>
      <c r="D109" s="9" t="s">
        <v>998</v>
      </c>
      <c r="E109" s="9" t="s">
        <v>765</v>
      </c>
      <c r="F109" s="9" t="s">
        <v>766</v>
      </c>
      <c r="G109" s="9" t="n">
        <v>12161</v>
      </c>
      <c r="H109" s="9" t="n">
        <v>9687</v>
      </c>
      <c r="I109" s="9" t="n">
        <v>10.9</v>
      </c>
      <c r="J109" s="9" t="s">
        <v>819</v>
      </c>
      <c r="K109" s="9" t="s">
        <v>454</v>
      </c>
      <c r="L109" s="9" t="s">
        <v>47</v>
      </c>
    </row>
    <row r="110" customFormat="false" ht="15" hidden="false" customHeight="false" outlineLevel="0" collapsed="false">
      <c r="A110" s="9" t="s">
        <v>999</v>
      </c>
      <c r="B110" s="9" t="s">
        <v>750</v>
      </c>
      <c r="C110" s="9" t="s">
        <v>873</v>
      </c>
      <c r="D110" s="9" t="s">
        <v>192</v>
      </c>
      <c r="E110" s="9" t="s">
        <v>739</v>
      </c>
      <c r="F110" s="9" t="s">
        <v>740</v>
      </c>
      <c r="G110" s="9" t="n">
        <v>189</v>
      </c>
      <c r="H110" s="9" t="n">
        <v>184</v>
      </c>
      <c r="I110" s="9" t="n">
        <v>0</v>
      </c>
      <c r="J110" s="9"/>
      <c r="K110" s="9" t="s">
        <v>223</v>
      </c>
      <c r="L110" s="9" t="s">
        <v>47</v>
      </c>
    </row>
    <row r="111" customFormat="false" ht="15" hidden="false" customHeight="false" outlineLevel="0" collapsed="false">
      <c r="A111" s="9" t="s">
        <v>1000</v>
      </c>
      <c r="B111" s="9" t="s">
        <v>768</v>
      </c>
      <c r="C111" s="9" t="s">
        <v>850</v>
      </c>
      <c r="D111" s="9" t="s">
        <v>1001</v>
      </c>
      <c r="E111" s="9" t="s">
        <v>753</v>
      </c>
      <c r="F111" s="9" t="s">
        <v>740</v>
      </c>
      <c r="G111" s="9" t="n">
        <v>145</v>
      </c>
      <c r="H111" s="9" t="n">
        <v>136</v>
      </c>
      <c r="I111" s="9" t="n">
        <v>0</v>
      </c>
      <c r="J111" s="9"/>
      <c r="K111" s="9" t="s">
        <v>48</v>
      </c>
      <c r="L111" s="9" t="s">
        <v>47</v>
      </c>
    </row>
    <row r="112" customFormat="false" ht="15" hidden="false" customHeight="false" outlineLevel="0" collapsed="false">
      <c r="A112" s="9" t="s">
        <v>1002</v>
      </c>
      <c r="B112" s="9" t="s">
        <v>778</v>
      </c>
      <c r="C112" s="9" t="s">
        <v>843</v>
      </c>
      <c r="D112" s="9" t="s">
        <v>1003</v>
      </c>
      <c r="E112" s="9" t="s">
        <v>739</v>
      </c>
      <c r="F112" s="9" t="s">
        <v>740</v>
      </c>
      <c r="G112" s="9" t="n">
        <v>87</v>
      </c>
      <c r="H112" s="9" t="n">
        <v>64</v>
      </c>
      <c r="I112" s="9" t="n">
        <v>12.8</v>
      </c>
      <c r="J112" s="9"/>
      <c r="K112" s="9" t="s">
        <v>185</v>
      </c>
      <c r="L112" s="9" t="s">
        <v>47</v>
      </c>
    </row>
    <row r="113" customFormat="false" ht="15" hidden="false" customHeight="false" outlineLevel="0" collapsed="false">
      <c r="A113" s="9" t="s">
        <v>1004</v>
      </c>
      <c r="B113" s="9" t="s">
        <v>750</v>
      </c>
      <c r="C113" s="9" t="s">
        <v>873</v>
      </c>
      <c r="D113" s="9" t="s">
        <v>1005</v>
      </c>
      <c r="E113" s="9" t="s">
        <v>765</v>
      </c>
      <c r="F113" s="9" t="s">
        <v>766</v>
      </c>
      <c r="G113" s="9" t="n">
        <v>6499</v>
      </c>
      <c r="H113" s="9" t="n">
        <v>4690</v>
      </c>
      <c r="I113" s="9" t="n">
        <v>6.5</v>
      </c>
      <c r="J113" s="9" t="s">
        <v>829</v>
      </c>
      <c r="K113" s="9" t="s">
        <v>48</v>
      </c>
      <c r="L113" s="9" t="s">
        <v>47</v>
      </c>
    </row>
    <row r="114" customFormat="false" ht="15" hidden="false" customHeight="false" outlineLevel="0" collapsed="false">
      <c r="A114" s="9" t="s">
        <v>1006</v>
      </c>
      <c r="B114" s="9" t="s">
        <v>736</v>
      </c>
      <c r="C114" s="9" t="s">
        <v>1007</v>
      </c>
      <c r="D114" s="9" t="s">
        <v>1008</v>
      </c>
      <c r="E114" s="9" t="s">
        <v>753</v>
      </c>
      <c r="F114" s="9" t="s">
        <v>740</v>
      </c>
      <c r="G114" s="9" t="n">
        <v>279</v>
      </c>
      <c r="H114" s="9" t="n">
        <v>252</v>
      </c>
      <c r="I114" s="9" t="n">
        <v>0</v>
      </c>
      <c r="J114" s="9"/>
      <c r="K114" s="9" t="s">
        <v>48</v>
      </c>
      <c r="L114" s="9" t="s">
        <v>47</v>
      </c>
    </row>
    <row r="115" customFormat="false" ht="15" hidden="false" customHeight="false" outlineLevel="0" collapsed="false">
      <c r="A115" s="9" t="s">
        <v>1009</v>
      </c>
      <c r="B115" s="9" t="s">
        <v>853</v>
      </c>
      <c r="C115" s="9" t="s">
        <v>1007</v>
      </c>
      <c r="D115" s="9" t="s">
        <v>1010</v>
      </c>
      <c r="E115" s="9" t="s">
        <v>739</v>
      </c>
      <c r="F115" s="9" t="s">
        <v>740</v>
      </c>
      <c r="G115" s="9" t="n">
        <v>97</v>
      </c>
      <c r="H115" s="9" t="n">
        <v>88</v>
      </c>
      <c r="I115" s="9" t="n">
        <v>0</v>
      </c>
      <c r="J115" s="9"/>
      <c r="K115" s="9" t="s">
        <v>597</v>
      </c>
      <c r="L115" s="9" t="s">
        <v>47</v>
      </c>
    </row>
    <row r="116" customFormat="false" ht="15" hidden="false" customHeight="false" outlineLevel="0" collapsed="false">
      <c r="A116" s="9" t="s">
        <v>1011</v>
      </c>
      <c r="B116" s="9" t="s">
        <v>750</v>
      </c>
      <c r="C116" s="9" t="s">
        <v>931</v>
      </c>
      <c r="D116" s="9" t="s">
        <v>1012</v>
      </c>
      <c r="E116" s="9" t="s">
        <v>753</v>
      </c>
      <c r="F116" s="9" t="s">
        <v>740</v>
      </c>
      <c r="G116" s="9" t="n">
        <v>248</v>
      </c>
      <c r="H116" s="9" t="n">
        <v>242</v>
      </c>
      <c r="I116" s="9" t="n">
        <v>0</v>
      </c>
      <c r="J116" s="9"/>
      <c r="K116" s="9" t="s">
        <v>416</v>
      </c>
      <c r="L116" s="9" t="s">
        <v>47</v>
      </c>
    </row>
    <row r="117" customFormat="false" ht="15" hidden="false" customHeight="false" outlineLevel="0" collapsed="false">
      <c r="A117" s="9" t="s">
        <v>1013</v>
      </c>
      <c r="B117" s="9" t="s">
        <v>831</v>
      </c>
      <c r="C117" s="9" t="s">
        <v>782</v>
      </c>
      <c r="D117" s="9" t="s">
        <v>1014</v>
      </c>
      <c r="E117" s="9" t="s">
        <v>765</v>
      </c>
      <c r="F117" s="9" t="s">
        <v>766</v>
      </c>
      <c r="G117" s="9" t="n">
        <v>16228</v>
      </c>
      <c r="H117" s="9" t="n">
        <v>13723</v>
      </c>
      <c r="I117" s="9" t="n">
        <v>5.4</v>
      </c>
      <c r="J117" s="9" t="s">
        <v>802</v>
      </c>
      <c r="K117" s="9" t="s">
        <v>185</v>
      </c>
      <c r="L117" s="9" t="s">
        <v>47</v>
      </c>
    </row>
    <row r="118" customFormat="false" ht="15" hidden="false" customHeight="false" outlineLevel="0" collapsed="false">
      <c r="A118" s="9" t="s">
        <v>1015</v>
      </c>
      <c r="B118" s="9" t="s">
        <v>781</v>
      </c>
      <c r="C118" s="9" t="s">
        <v>835</v>
      </c>
      <c r="D118" s="9" t="s">
        <v>770</v>
      </c>
      <c r="E118" s="9" t="s">
        <v>753</v>
      </c>
      <c r="F118" s="9" t="s">
        <v>740</v>
      </c>
      <c r="G118" s="9" t="n">
        <v>265</v>
      </c>
      <c r="H118" s="9" t="n">
        <v>217</v>
      </c>
      <c r="I118" s="9" t="n">
        <v>0</v>
      </c>
      <c r="J118" s="9"/>
      <c r="K118" s="9" t="s">
        <v>301</v>
      </c>
      <c r="L118" s="9" t="s">
        <v>47</v>
      </c>
    </row>
    <row r="119" customFormat="false" ht="15" hidden="false" customHeight="false" outlineLevel="0" collapsed="false">
      <c r="A119" s="9" t="s">
        <v>1016</v>
      </c>
      <c r="B119" s="9" t="s">
        <v>743</v>
      </c>
      <c r="C119" s="9" t="s">
        <v>941</v>
      </c>
      <c r="D119" s="9" t="s">
        <v>1017</v>
      </c>
      <c r="E119" s="9" t="s">
        <v>739</v>
      </c>
      <c r="F119" s="9" t="s">
        <v>740</v>
      </c>
      <c r="G119" s="9" t="n">
        <v>365</v>
      </c>
      <c r="H119" s="9" t="n">
        <v>286</v>
      </c>
      <c r="I119" s="9" t="n">
        <v>5.5</v>
      </c>
      <c r="J119" s="9" t="s">
        <v>802</v>
      </c>
      <c r="K119" s="9" t="s">
        <v>301</v>
      </c>
      <c r="L119" s="9" t="s">
        <v>47</v>
      </c>
    </row>
    <row r="120" customFormat="false" ht="15" hidden="false" customHeight="false" outlineLevel="0" collapsed="false">
      <c r="A120" s="9" t="s">
        <v>1018</v>
      </c>
      <c r="B120" s="9" t="s">
        <v>778</v>
      </c>
      <c r="C120" s="9" t="s">
        <v>961</v>
      </c>
      <c r="D120" s="9" t="s">
        <v>168</v>
      </c>
      <c r="E120" s="9" t="s">
        <v>753</v>
      </c>
      <c r="F120" s="9" t="s">
        <v>740</v>
      </c>
      <c r="G120" s="9" t="n">
        <v>221</v>
      </c>
      <c r="H120" s="9" t="n">
        <v>190</v>
      </c>
      <c r="I120" s="9" t="n">
        <v>0</v>
      </c>
      <c r="J120" s="9"/>
      <c r="K120" s="9" t="s">
        <v>542</v>
      </c>
      <c r="L120" s="9" t="s">
        <v>47</v>
      </c>
    </row>
    <row r="121" customFormat="false" ht="15" hidden="false" customHeight="false" outlineLevel="0" collapsed="false">
      <c r="A121" s="9" t="s">
        <v>1019</v>
      </c>
      <c r="B121" s="9" t="s">
        <v>778</v>
      </c>
      <c r="C121" s="9" t="s">
        <v>737</v>
      </c>
      <c r="D121" s="9" t="s">
        <v>1020</v>
      </c>
      <c r="E121" s="9" t="s">
        <v>753</v>
      </c>
      <c r="F121" s="9" t="s">
        <v>740</v>
      </c>
      <c r="G121" s="9" t="n">
        <v>358</v>
      </c>
      <c r="H121" s="9" t="n">
        <v>369</v>
      </c>
      <c r="I121" s="9" t="n">
        <v>5.7</v>
      </c>
      <c r="J121" s="9" t="s">
        <v>802</v>
      </c>
      <c r="K121" s="9" t="s">
        <v>301</v>
      </c>
      <c r="L121" s="9" t="s">
        <v>47</v>
      </c>
    </row>
    <row r="122" customFormat="false" ht="15" hidden="false" customHeight="false" outlineLevel="0" collapsed="false">
      <c r="A122" s="9" t="s">
        <v>1021</v>
      </c>
      <c r="B122" s="9" t="s">
        <v>743</v>
      </c>
      <c r="C122" s="9" t="s">
        <v>838</v>
      </c>
      <c r="D122" s="9" t="s">
        <v>1022</v>
      </c>
      <c r="E122" s="9" t="s">
        <v>765</v>
      </c>
      <c r="F122" s="9" t="s">
        <v>766</v>
      </c>
      <c r="G122" s="9" t="n">
        <v>10339</v>
      </c>
      <c r="H122" s="9" t="n">
        <v>8727</v>
      </c>
      <c r="I122" s="9" t="n">
        <v>0</v>
      </c>
      <c r="J122" s="9"/>
      <c r="K122" s="9" t="s">
        <v>340</v>
      </c>
      <c r="L122" s="9" t="s">
        <v>47</v>
      </c>
    </row>
    <row r="123" customFormat="false" ht="15" hidden="false" customHeight="false" outlineLevel="0" collapsed="false">
      <c r="A123" s="9" t="s">
        <v>1023</v>
      </c>
      <c r="B123" s="9" t="s">
        <v>768</v>
      </c>
      <c r="C123" s="9" t="s">
        <v>915</v>
      </c>
      <c r="D123" s="9" t="s">
        <v>1024</v>
      </c>
      <c r="E123" s="9" t="s">
        <v>765</v>
      </c>
      <c r="F123" s="9" t="s">
        <v>766</v>
      </c>
      <c r="G123" s="9" t="n">
        <v>14703</v>
      </c>
      <c r="H123" s="9" t="n">
        <v>15424</v>
      </c>
      <c r="I123" s="9" t="n">
        <v>13.8</v>
      </c>
      <c r="J123" s="9" t="s">
        <v>741</v>
      </c>
      <c r="K123" s="9" t="s">
        <v>546</v>
      </c>
      <c r="L123" s="9" t="s">
        <v>47</v>
      </c>
    </row>
    <row r="124" customFormat="false" ht="15" hidden="false" customHeight="false" outlineLevel="0" collapsed="false">
      <c r="A124" s="9" t="s">
        <v>1025</v>
      </c>
      <c r="B124" s="9" t="s">
        <v>762</v>
      </c>
      <c r="C124" s="9" t="s">
        <v>878</v>
      </c>
      <c r="D124" s="9" t="s">
        <v>1026</v>
      </c>
      <c r="E124" s="9" t="s">
        <v>753</v>
      </c>
      <c r="F124" s="9" t="s">
        <v>740</v>
      </c>
      <c r="G124" s="9" t="n">
        <v>85</v>
      </c>
      <c r="H124" s="9" t="n">
        <v>84</v>
      </c>
      <c r="I124" s="9" t="n">
        <v>0</v>
      </c>
      <c r="J124" s="9"/>
      <c r="K124" s="9" t="s">
        <v>340</v>
      </c>
      <c r="L124" s="9" t="s">
        <v>47</v>
      </c>
    </row>
    <row r="125" customFormat="false" ht="15" hidden="false" customHeight="false" outlineLevel="0" collapsed="false">
      <c r="A125" s="9" t="s">
        <v>1027</v>
      </c>
      <c r="B125" s="9" t="s">
        <v>762</v>
      </c>
      <c r="C125" s="9" t="s">
        <v>737</v>
      </c>
      <c r="D125" s="9" t="s">
        <v>1028</v>
      </c>
      <c r="E125" s="9" t="s">
        <v>765</v>
      </c>
      <c r="F125" s="9" t="s">
        <v>766</v>
      </c>
      <c r="G125" s="9" t="n">
        <v>9139</v>
      </c>
      <c r="H125" s="9" t="n">
        <v>8566</v>
      </c>
      <c r="I125" s="9" t="n">
        <v>0</v>
      </c>
      <c r="J125" s="9"/>
      <c r="K125" s="9" t="s">
        <v>550</v>
      </c>
      <c r="L125" s="9" t="s">
        <v>47</v>
      </c>
    </row>
    <row r="126" customFormat="false" ht="15" hidden="false" customHeight="false" outlineLevel="0" collapsed="false">
      <c r="A126" s="9" t="s">
        <v>1029</v>
      </c>
      <c r="B126" s="9" t="s">
        <v>750</v>
      </c>
      <c r="C126" s="9" t="s">
        <v>993</v>
      </c>
      <c r="D126" s="9" t="s">
        <v>1030</v>
      </c>
      <c r="E126" s="9" t="s">
        <v>739</v>
      </c>
      <c r="F126" s="9" t="s">
        <v>740</v>
      </c>
      <c r="G126" s="9" t="n">
        <v>295</v>
      </c>
      <c r="H126" s="9" t="n">
        <v>269</v>
      </c>
      <c r="I126" s="9" t="n">
        <v>0</v>
      </c>
      <c r="J126" s="9"/>
      <c r="K126" s="9" t="s">
        <v>720</v>
      </c>
      <c r="L126" s="9" t="s">
        <v>47</v>
      </c>
    </row>
    <row r="127" customFormat="false" ht="15" hidden="false" customHeight="false" outlineLevel="0" collapsed="false">
      <c r="A127" s="9" t="s">
        <v>1031</v>
      </c>
      <c r="B127" s="9" t="s">
        <v>750</v>
      </c>
      <c r="C127" s="9" t="s">
        <v>759</v>
      </c>
      <c r="D127" s="9" t="s">
        <v>1032</v>
      </c>
      <c r="E127" s="9" t="s">
        <v>753</v>
      </c>
      <c r="F127" s="9" t="s">
        <v>740</v>
      </c>
      <c r="G127" s="9" t="n">
        <v>324</v>
      </c>
      <c r="H127" s="9" t="n">
        <v>296</v>
      </c>
      <c r="I127" s="9" t="n">
        <v>0</v>
      </c>
      <c r="J127" s="9"/>
      <c r="K127" s="9" t="s">
        <v>48</v>
      </c>
      <c r="L127" s="9" t="s">
        <v>47</v>
      </c>
    </row>
    <row r="128" customFormat="false" ht="15" hidden="false" customHeight="false" outlineLevel="0" collapsed="false">
      <c r="A128" s="9" t="s">
        <v>1033</v>
      </c>
      <c r="B128" s="9" t="s">
        <v>831</v>
      </c>
      <c r="C128" s="9" t="s">
        <v>747</v>
      </c>
      <c r="D128" s="9" t="s">
        <v>1034</v>
      </c>
      <c r="E128" s="9" t="s">
        <v>739</v>
      </c>
      <c r="F128" s="9" t="s">
        <v>740</v>
      </c>
      <c r="G128" s="9" t="n">
        <v>363</v>
      </c>
      <c r="H128" s="9" t="n">
        <v>266</v>
      </c>
      <c r="I128" s="9" t="n">
        <v>0</v>
      </c>
      <c r="J128" s="9"/>
      <c r="K128" s="9" t="s">
        <v>542</v>
      </c>
      <c r="L128" s="9" t="s">
        <v>47</v>
      </c>
    </row>
    <row r="129" customFormat="false" ht="15" hidden="false" customHeight="false" outlineLevel="0" collapsed="false">
      <c r="A129" s="9" t="s">
        <v>1035</v>
      </c>
      <c r="B129" s="9" t="s">
        <v>750</v>
      </c>
      <c r="C129" s="9" t="s">
        <v>952</v>
      </c>
      <c r="D129" s="9" t="s">
        <v>1036</v>
      </c>
      <c r="E129" s="9" t="s">
        <v>765</v>
      </c>
      <c r="F129" s="9" t="s">
        <v>766</v>
      </c>
      <c r="G129" s="9" t="n">
        <v>5172</v>
      </c>
      <c r="H129" s="9" t="n">
        <v>3892</v>
      </c>
      <c r="I129" s="9" t="n">
        <v>13.4</v>
      </c>
      <c r="J129" s="9" t="s">
        <v>819</v>
      </c>
      <c r="K129" s="9" t="s">
        <v>454</v>
      </c>
      <c r="L129" s="9" t="s">
        <v>47</v>
      </c>
    </row>
    <row r="130" customFormat="false" ht="15" hidden="false" customHeight="false" outlineLevel="0" collapsed="false">
      <c r="A130" s="9" t="s">
        <v>1037</v>
      </c>
      <c r="B130" s="9" t="s">
        <v>778</v>
      </c>
      <c r="C130" s="9" t="s">
        <v>934</v>
      </c>
      <c r="D130" s="9" t="s">
        <v>1038</v>
      </c>
      <c r="E130" s="9" t="s">
        <v>753</v>
      </c>
      <c r="F130" s="9" t="s">
        <v>740</v>
      </c>
      <c r="G130" s="9" t="n">
        <v>250</v>
      </c>
      <c r="H130" s="9" t="n">
        <v>218</v>
      </c>
      <c r="I130" s="9" t="n">
        <v>0</v>
      </c>
      <c r="J130" s="9"/>
      <c r="K130" s="9" t="s">
        <v>546</v>
      </c>
      <c r="L130" s="9" t="s">
        <v>47</v>
      </c>
    </row>
    <row r="131" customFormat="false" ht="15" hidden="false" customHeight="false" outlineLevel="0" collapsed="false">
      <c r="A131" s="9" t="s">
        <v>1039</v>
      </c>
      <c r="B131" s="9" t="s">
        <v>755</v>
      </c>
      <c r="C131" s="9" t="s">
        <v>832</v>
      </c>
      <c r="D131" s="9" t="s">
        <v>1040</v>
      </c>
      <c r="E131" s="9" t="s">
        <v>765</v>
      </c>
      <c r="F131" s="9" t="s">
        <v>766</v>
      </c>
      <c r="G131" s="9" t="n">
        <v>12909</v>
      </c>
      <c r="H131" s="9" t="n">
        <v>9739</v>
      </c>
      <c r="I131" s="9" t="n">
        <v>0</v>
      </c>
      <c r="J131" s="9"/>
      <c r="K131" s="9" t="s">
        <v>48</v>
      </c>
      <c r="L131" s="9" t="s">
        <v>47</v>
      </c>
    </row>
    <row r="132" customFormat="false" ht="15" hidden="false" customHeight="false" outlineLevel="0" collapsed="false">
      <c r="A132" s="9" t="s">
        <v>1041</v>
      </c>
      <c r="B132" s="9" t="s">
        <v>781</v>
      </c>
      <c r="C132" s="9" t="s">
        <v>832</v>
      </c>
      <c r="D132" s="9" t="s">
        <v>1042</v>
      </c>
      <c r="E132" s="9" t="s">
        <v>753</v>
      </c>
      <c r="F132" s="9" t="s">
        <v>740</v>
      </c>
      <c r="G132" s="9" t="n">
        <v>225</v>
      </c>
      <c r="H132" s="9" t="n">
        <v>195</v>
      </c>
      <c r="I132" s="9" t="n">
        <v>8.7</v>
      </c>
      <c r="J132" s="9" t="s">
        <v>802</v>
      </c>
      <c r="K132" s="9" t="s">
        <v>48</v>
      </c>
      <c r="L132" s="9" t="s">
        <v>47</v>
      </c>
    </row>
    <row r="133" customFormat="false" ht="15" hidden="false" customHeight="false" outlineLevel="0" collapsed="false">
      <c r="A133" s="9" t="s">
        <v>1043</v>
      </c>
      <c r="B133" s="9" t="s">
        <v>762</v>
      </c>
      <c r="C133" s="9" t="s">
        <v>751</v>
      </c>
      <c r="D133" s="9" t="s">
        <v>1044</v>
      </c>
      <c r="E133" s="9" t="s">
        <v>765</v>
      </c>
      <c r="F133" s="9" t="s">
        <v>766</v>
      </c>
      <c r="G133" s="9" t="n">
        <v>9919</v>
      </c>
      <c r="H133" s="9" t="n">
        <v>7287</v>
      </c>
      <c r="I133" s="9" t="n">
        <v>0</v>
      </c>
      <c r="J133" s="9"/>
      <c r="K133" s="9" t="s">
        <v>97</v>
      </c>
      <c r="L133" s="9" t="s">
        <v>47</v>
      </c>
    </row>
    <row r="134" customFormat="false" ht="15" hidden="false" customHeight="false" outlineLevel="0" collapsed="false">
      <c r="A134" s="9" t="s">
        <v>1045</v>
      </c>
      <c r="B134" s="9" t="s">
        <v>768</v>
      </c>
      <c r="C134" s="9" t="s">
        <v>979</v>
      </c>
      <c r="D134" s="9" t="s">
        <v>1046</v>
      </c>
      <c r="E134" s="9" t="s">
        <v>739</v>
      </c>
      <c r="F134" s="9" t="s">
        <v>740</v>
      </c>
      <c r="G134" s="9" t="n">
        <v>174</v>
      </c>
      <c r="H134" s="9" t="n">
        <v>154</v>
      </c>
      <c r="I134" s="9" t="n">
        <v>0</v>
      </c>
      <c r="J134" s="9"/>
      <c r="K134" s="9" t="s">
        <v>301</v>
      </c>
      <c r="L134" s="9" t="s">
        <v>47</v>
      </c>
    </row>
    <row r="135" customFormat="false" ht="15" hidden="false" customHeight="false" outlineLevel="0" collapsed="false">
      <c r="A135" s="9" t="s">
        <v>1047</v>
      </c>
      <c r="B135" s="9" t="s">
        <v>755</v>
      </c>
      <c r="C135" s="9" t="s">
        <v>1048</v>
      </c>
      <c r="D135" s="9" t="s">
        <v>1049</v>
      </c>
      <c r="E135" s="9" t="s">
        <v>765</v>
      </c>
      <c r="F135" s="9" t="s">
        <v>766</v>
      </c>
      <c r="G135" s="9" t="n">
        <v>18070</v>
      </c>
      <c r="H135" s="9" t="n">
        <v>15425</v>
      </c>
      <c r="I135" s="9" t="n">
        <v>11.5</v>
      </c>
      <c r="J135" s="9" t="s">
        <v>802</v>
      </c>
      <c r="K135" s="9" t="s">
        <v>340</v>
      </c>
      <c r="L135" s="9" t="s">
        <v>47</v>
      </c>
    </row>
    <row r="136" customFormat="false" ht="15" hidden="false" customHeight="false" outlineLevel="0" collapsed="false">
      <c r="A136" s="9" t="s">
        <v>1050</v>
      </c>
      <c r="B136" s="9" t="s">
        <v>853</v>
      </c>
      <c r="C136" s="9" t="s">
        <v>769</v>
      </c>
      <c r="D136" s="9" t="s">
        <v>1051</v>
      </c>
      <c r="E136" s="9" t="s">
        <v>753</v>
      </c>
      <c r="F136" s="9" t="s">
        <v>740</v>
      </c>
      <c r="G136" s="9" t="n">
        <v>353</v>
      </c>
      <c r="H136" s="9" t="n">
        <v>304</v>
      </c>
      <c r="I136" s="9" t="n">
        <v>3.9</v>
      </c>
      <c r="J136" s="9" t="s">
        <v>829</v>
      </c>
      <c r="K136" s="9" t="s">
        <v>550</v>
      </c>
      <c r="L136" s="9" t="s">
        <v>47</v>
      </c>
    </row>
    <row r="137" customFormat="false" ht="15" hidden="false" customHeight="false" outlineLevel="0" collapsed="false">
      <c r="A137" s="9" t="s">
        <v>1052</v>
      </c>
      <c r="B137" s="9" t="s">
        <v>781</v>
      </c>
      <c r="C137" s="9" t="s">
        <v>782</v>
      </c>
      <c r="D137" s="9" t="s">
        <v>1053</v>
      </c>
      <c r="E137" s="9" t="s">
        <v>739</v>
      </c>
      <c r="F137" s="9" t="s">
        <v>740</v>
      </c>
      <c r="G137" s="9" t="n">
        <v>145</v>
      </c>
      <c r="H137" s="9" t="n">
        <v>121</v>
      </c>
      <c r="I137" s="9" t="n">
        <v>2.1</v>
      </c>
      <c r="J137" s="9"/>
      <c r="K137" s="9" t="s">
        <v>597</v>
      </c>
      <c r="L137" s="9" t="s">
        <v>47</v>
      </c>
    </row>
    <row r="138" customFormat="false" ht="15" hidden="false" customHeight="false" outlineLevel="0" collapsed="false">
      <c r="A138" s="9" t="s">
        <v>1054</v>
      </c>
      <c r="B138" s="9" t="s">
        <v>762</v>
      </c>
      <c r="C138" s="9" t="s">
        <v>808</v>
      </c>
      <c r="D138" s="9" t="s">
        <v>1055</v>
      </c>
      <c r="E138" s="9" t="s">
        <v>739</v>
      </c>
      <c r="F138" s="9" t="s">
        <v>740</v>
      </c>
      <c r="G138" s="9" t="n">
        <v>248</v>
      </c>
      <c r="H138" s="9" t="n">
        <v>228</v>
      </c>
      <c r="I138" s="9" t="n">
        <v>0</v>
      </c>
      <c r="J138" s="9"/>
      <c r="K138" s="9" t="s">
        <v>301</v>
      </c>
      <c r="L138" s="9" t="s">
        <v>47</v>
      </c>
    </row>
    <row r="139" customFormat="false" ht="15" hidden="false" customHeight="false" outlineLevel="0" collapsed="false">
      <c r="A139" s="9" t="s">
        <v>1056</v>
      </c>
      <c r="B139" s="9" t="s">
        <v>768</v>
      </c>
      <c r="C139" s="9" t="s">
        <v>824</v>
      </c>
      <c r="D139" s="9" t="s">
        <v>1057</v>
      </c>
      <c r="E139" s="9" t="s">
        <v>765</v>
      </c>
      <c r="F139" s="9" t="s">
        <v>766</v>
      </c>
      <c r="G139" s="9" t="n">
        <v>18332</v>
      </c>
      <c r="H139" s="9" t="n">
        <v>17273</v>
      </c>
      <c r="I139" s="9" t="n">
        <v>0</v>
      </c>
      <c r="J139" s="9"/>
      <c r="K139" s="9" t="s">
        <v>720</v>
      </c>
      <c r="L139" s="9" t="s">
        <v>47</v>
      </c>
    </row>
    <row r="140" customFormat="false" ht="15" hidden="false" customHeight="false" outlineLevel="0" collapsed="false">
      <c r="A140" s="9" t="s">
        <v>1058</v>
      </c>
      <c r="B140" s="9" t="s">
        <v>778</v>
      </c>
      <c r="C140" s="9" t="s">
        <v>858</v>
      </c>
      <c r="D140" s="9" t="s">
        <v>1059</v>
      </c>
      <c r="E140" s="9" t="s">
        <v>739</v>
      </c>
      <c r="F140" s="9" t="s">
        <v>740</v>
      </c>
      <c r="G140" s="9" t="n">
        <v>118</v>
      </c>
      <c r="H140" s="9" t="n">
        <v>97</v>
      </c>
      <c r="I140" s="9" t="n">
        <v>2.1</v>
      </c>
      <c r="J140" s="9" t="s">
        <v>829</v>
      </c>
      <c r="K140" s="9" t="s">
        <v>546</v>
      </c>
      <c r="L140" s="9" t="s">
        <v>47</v>
      </c>
    </row>
    <row r="141" customFormat="false" ht="15" hidden="false" customHeight="false" outlineLevel="0" collapsed="false">
      <c r="A141" s="9" t="s">
        <v>1060</v>
      </c>
      <c r="B141" s="9" t="s">
        <v>736</v>
      </c>
      <c r="C141" s="9" t="s">
        <v>744</v>
      </c>
      <c r="D141" s="9" t="s">
        <v>1061</v>
      </c>
      <c r="E141" s="9" t="s">
        <v>753</v>
      </c>
      <c r="F141" s="9" t="s">
        <v>740</v>
      </c>
      <c r="G141" s="9" t="n">
        <v>355</v>
      </c>
      <c r="H141" s="9" t="n">
        <v>271</v>
      </c>
      <c r="I141" s="9" t="n">
        <v>0</v>
      </c>
      <c r="J141" s="9"/>
      <c r="K141" s="9" t="s">
        <v>185</v>
      </c>
      <c r="L141" s="9" t="s">
        <v>47</v>
      </c>
    </row>
    <row r="142" customFormat="false" ht="15" hidden="false" customHeight="false" outlineLevel="0" collapsed="false">
      <c r="A142" s="9" t="s">
        <v>1062</v>
      </c>
      <c r="B142" s="9" t="s">
        <v>762</v>
      </c>
      <c r="C142" s="9" t="s">
        <v>759</v>
      </c>
      <c r="D142" s="9" t="s">
        <v>874</v>
      </c>
      <c r="E142" s="9" t="s">
        <v>739</v>
      </c>
      <c r="F142" s="9" t="s">
        <v>740</v>
      </c>
      <c r="G142" s="9" t="n">
        <v>135</v>
      </c>
      <c r="H142" s="9" t="n">
        <v>119</v>
      </c>
      <c r="I142" s="9" t="n">
        <v>5.7</v>
      </c>
      <c r="J142" s="9" t="s">
        <v>802</v>
      </c>
      <c r="K142" s="9" t="s">
        <v>454</v>
      </c>
      <c r="L142" s="9" t="s">
        <v>47</v>
      </c>
    </row>
    <row r="143" customFormat="false" ht="15" hidden="false" customHeight="false" outlineLevel="0" collapsed="false">
      <c r="A143" s="9" t="s">
        <v>1063</v>
      </c>
      <c r="B143" s="9" t="s">
        <v>853</v>
      </c>
      <c r="C143" s="9" t="s">
        <v>747</v>
      </c>
      <c r="D143" s="9" t="s">
        <v>1064</v>
      </c>
      <c r="E143" s="9" t="s">
        <v>753</v>
      </c>
      <c r="F143" s="9" t="s">
        <v>740</v>
      </c>
      <c r="G143" s="9" t="n">
        <v>119</v>
      </c>
      <c r="H143" s="9" t="n">
        <v>93</v>
      </c>
      <c r="I143" s="9" t="n">
        <v>0</v>
      </c>
      <c r="J143" s="9"/>
      <c r="K143" s="9" t="s">
        <v>416</v>
      </c>
      <c r="L143" s="9" t="s">
        <v>47</v>
      </c>
    </row>
    <row r="144" customFormat="false" ht="15" hidden="false" customHeight="false" outlineLevel="0" collapsed="false">
      <c r="A144" s="9" t="s">
        <v>1065</v>
      </c>
      <c r="B144" s="9" t="s">
        <v>755</v>
      </c>
      <c r="C144" s="9" t="s">
        <v>838</v>
      </c>
      <c r="D144" s="9" t="s">
        <v>1066</v>
      </c>
      <c r="E144" s="9" t="s">
        <v>739</v>
      </c>
      <c r="F144" s="9" t="s">
        <v>740</v>
      </c>
      <c r="G144" s="9" t="n">
        <v>301</v>
      </c>
      <c r="H144" s="9" t="n">
        <v>258</v>
      </c>
      <c r="I144" s="9" t="n">
        <v>0</v>
      </c>
      <c r="J144" s="9"/>
      <c r="K144" s="9" t="s">
        <v>377</v>
      </c>
      <c r="L144" s="9" t="s">
        <v>47</v>
      </c>
    </row>
    <row r="145" customFormat="false" ht="15" hidden="false" customHeight="false" outlineLevel="0" collapsed="false">
      <c r="A145" s="9" t="s">
        <v>1067</v>
      </c>
      <c r="B145" s="9" t="s">
        <v>736</v>
      </c>
      <c r="C145" s="9" t="s">
        <v>1007</v>
      </c>
      <c r="D145" s="9" t="s">
        <v>1068</v>
      </c>
      <c r="E145" s="9" t="s">
        <v>765</v>
      </c>
      <c r="F145" s="9" t="s">
        <v>766</v>
      </c>
      <c r="G145" s="9" t="n">
        <v>18039</v>
      </c>
      <c r="H145" s="9" t="n">
        <v>17518</v>
      </c>
      <c r="I145" s="9" t="n">
        <v>4.9</v>
      </c>
      <c r="J145" s="9" t="s">
        <v>819</v>
      </c>
      <c r="K145" s="9" t="s">
        <v>262</v>
      </c>
      <c r="L145" s="9" t="s">
        <v>47</v>
      </c>
    </row>
    <row r="146" customFormat="false" ht="15" hidden="false" customHeight="false" outlineLevel="0" collapsed="false">
      <c r="A146" s="9" t="s">
        <v>1069</v>
      </c>
      <c r="B146" s="9" t="s">
        <v>736</v>
      </c>
      <c r="C146" s="9" t="s">
        <v>824</v>
      </c>
      <c r="D146" s="9" t="s">
        <v>1070</v>
      </c>
      <c r="E146" s="9" t="s">
        <v>739</v>
      </c>
      <c r="F146" s="9" t="s">
        <v>740</v>
      </c>
      <c r="G146" s="9" t="n">
        <v>303</v>
      </c>
      <c r="H146" s="9" t="n">
        <v>273</v>
      </c>
      <c r="I146" s="9" t="n">
        <v>2.1</v>
      </c>
      <c r="J146" s="9" t="s">
        <v>819</v>
      </c>
      <c r="K146" s="9" t="s">
        <v>597</v>
      </c>
      <c r="L146" s="9" t="s">
        <v>47</v>
      </c>
    </row>
    <row r="147" customFormat="false" ht="15" hidden="false" customHeight="false" outlineLevel="0" collapsed="false">
      <c r="A147" s="9" t="s">
        <v>1071</v>
      </c>
      <c r="B147" s="9" t="s">
        <v>768</v>
      </c>
      <c r="C147" s="9" t="s">
        <v>759</v>
      </c>
      <c r="D147" s="9" t="s">
        <v>1072</v>
      </c>
      <c r="E147" s="9" t="s">
        <v>739</v>
      </c>
      <c r="F147" s="9" t="s">
        <v>740</v>
      </c>
      <c r="G147" s="9" t="n">
        <v>275</v>
      </c>
      <c r="H147" s="9" t="n">
        <v>247</v>
      </c>
      <c r="I147" s="9" t="n">
        <v>0</v>
      </c>
      <c r="J147" s="9"/>
      <c r="K147" s="9" t="s">
        <v>48</v>
      </c>
      <c r="L147" s="9" t="s">
        <v>47</v>
      </c>
    </row>
    <row r="148" customFormat="false" ht="15" hidden="false" customHeight="false" outlineLevel="0" collapsed="false">
      <c r="A148" s="9" t="s">
        <v>1073</v>
      </c>
      <c r="B148" s="9" t="s">
        <v>831</v>
      </c>
      <c r="C148" s="9" t="s">
        <v>811</v>
      </c>
      <c r="D148" s="9" t="s">
        <v>1074</v>
      </c>
      <c r="E148" s="9" t="s">
        <v>753</v>
      </c>
      <c r="F148" s="9" t="s">
        <v>740</v>
      </c>
      <c r="G148" s="9" t="n">
        <v>184</v>
      </c>
      <c r="H148" s="9" t="n">
        <v>153</v>
      </c>
      <c r="I148" s="9" t="n">
        <v>0</v>
      </c>
      <c r="J148" s="9"/>
      <c r="K148" s="9" t="s">
        <v>377</v>
      </c>
      <c r="L148" s="9" t="s">
        <v>47</v>
      </c>
    </row>
    <row r="149" customFormat="false" ht="15" hidden="false" customHeight="false" outlineLevel="0" collapsed="false">
      <c r="A149" s="9" t="s">
        <v>1075</v>
      </c>
      <c r="B149" s="9" t="s">
        <v>781</v>
      </c>
      <c r="C149" s="9" t="s">
        <v>941</v>
      </c>
      <c r="D149" s="9" t="s">
        <v>1076</v>
      </c>
      <c r="E149" s="9" t="s">
        <v>739</v>
      </c>
      <c r="F149" s="9" t="s">
        <v>740</v>
      </c>
      <c r="G149" s="9" t="n">
        <v>351</v>
      </c>
      <c r="H149" s="9" t="n">
        <v>332</v>
      </c>
      <c r="I149" s="9" t="n">
        <v>0</v>
      </c>
      <c r="J149" s="9"/>
      <c r="K149" s="9" t="s">
        <v>454</v>
      </c>
      <c r="L149" s="9" t="s">
        <v>47</v>
      </c>
    </row>
    <row r="150" customFormat="false" ht="15" hidden="false" customHeight="false" outlineLevel="0" collapsed="false">
      <c r="A150" s="9" t="s">
        <v>1077</v>
      </c>
      <c r="B150" s="9" t="s">
        <v>750</v>
      </c>
      <c r="C150" s="9" t="s">
        <v>835</v>
      </c>
      <c r="D150" s="9" t="s">
        <v>1078</v>
      </c>
      <c r="E150" s="9" t="s">
        <v>765</v>
      </c>
      <c r="F150" s="9" t="s">
        <v>766</v>
      </c>
      <c r="G150" s="9" t="n">
        <v>17858</v>
      </c>
      <c r="H150" s="9" t="n">
        <v>14075</v>
      </c>
      <c r="I150" s="9" t="n">
        <v>1.1</v>
      </c>
      <c r="J150" s="9" t="s">
        <v>829</v>
      </c>
      <c r="K150" s="9" t="s">
        <v>416</v>
      </c>
      <c r="L150" s="9" t="s">
        <v>47</v>
      </c>
    </row>
    <row r="151" customFormat="false" ht="15" hidden="false" customHeight="false" outlineLevel="0" collapsed="false">
      <c r="A151" s="9" t="s">
        <v>1079</v>
      </c>
      <c r="B151" s="9" t="s">
        <v>743</v>
      </c>
      <c r="C151" s="9" t="s">
        <v>763</v>
      </c>
      <c r="D151" s="9" t="s">
        <v>1080</v>
      </c>
      <c r="E151" s="9" t="s">
        <v>765</v>
      </c>
      <c r="F151" s="9" t="s">
        <v>766</v>
      </c>
      <c r="G151" s="9" t="n">
        <v>10302</v>
      </c>
      <c r="H151" s="9" t="n">
        <v>10745</v>
      </c>
      <c r="I151" s="9" t="n">
        <v>10.3</v>
      </c>
      <c r="J151" s="9" t="s">
        <v>819</v>
      </c>
      <c r="K151" s="9" t="s">
        <v>720</v>
      </c>
      <c r="L151" s="9" t="s">
        <v>47</v>
      </c>
    </row>
    <row r="152" customFormat="false" ht="15" hidden="false" customHeight="false" outlineLevel="0" collapsed="false">
      <c r="A152" s="9" t="s">
        <v>1081</v>
      </c>
      <c r="B152" s="9" t="s">
        <v>781</v>
      </c>
      <c r="C152" s="9" t="s">
        <v>737</v>
      </c>
      <c r="D152" s="9" t="s">
        <v>1082</v>
      </c>
      <c r="E152" s="9" t="s">
        <v>765</v>
      </c>
      <c r="F152" s="9" t="s">
        <v>766</v>
      </c>
      <c r="G152" s="9" t="n">
        <v>9543</v>
      </c>
      <c r="H152" s="9" t="n">
        <v>9601</v>
      </c>
      <c r="I152" s="9" t="n">
        <v>15.6</v>
      </c>
      <c r="J152" s="9" t="s">
        <v>813</v>
      </c>
      <c r="K152" s="9" t="s">
        <v>185</v>
      </c>
      <c r="L152" s="9" t="s">
        <v>47</v>
      </c>
    </row>
    <row r="153" customFormat="false" ht="15" hidden="false" customHeight="false" outlineLevel="0" collapsed="false">
      <c r="A153" s="9" t="s">
        <v>1083</v>
      </c>
      <c r="B153" s="9" t="s">
        <v>768</v>
      </c>
      <c r="C153" s="9" t="s">
        <v>941</v>
      </c>
      <c r="D153" s="9" t="s">
        <v>1084</v>
      </c>
      <c r="E153" s="9" t="s">
        <v>753</v>
      </c>
      <c r="F153" s="9" t="s">
        <v>740</v>
      </c>
      <c r="G153" s="9" t="n">
        <v>122</v>
      </c>
      <c r="H153" s="9" t="n">
        <v>111</v>
      </c>
      <c r="I153" s="9" t="n">
        <v>7.5</v>
      </c>
      <c r="J153" s="9" t="s">
        <v>802</v>
      </c>
      <c r="K153" s="9" t="s">
        <v>48</v>
      </c>
      <c r="L153" s="9" t="s">
        <v>47</v>
      </c>
    </row>
    <row r="154" customFormat="false" ht="15" hidden="false" customHeight="false" outlineLevel="0" collapsed="false">
      <c r="A154" s="9" t="s">
        <v>1085</v>
      </c>
      <c r="B154" s="9" t="s">
        <v>781</v>
      </c>
      <c r="C154" s="9" t="s">
        <v>827</v>
      </c>
      <c r="D154" s="9" t="s">
        <v>1086</v>
      </c>
      <c r="E154" s="9" t="s">
        <v>739</v>
      </c>
      <c r="F154" s="9" t="s">
        <v>740</v>
      </c>
      <c r="G154" s="9" t="n">
        <v>192</v>
      </c>
      <c r="H154" s="9" t="n">
        <v>182</v>
      </c>
      <c r="I154" s="9" t="n">
        <v>0</v>
      </c>
      <c r="J154" s="9"/>
      <c r="K154" s="9" t="s">
        <v>377</v>
      </c>
      <c r="L154" s="9" t="s">
        <v>47</v>
      </c>
    </row>
    <row r="155" customFormat="false" ht="15" hidden="false" customHeight="false" outlineLevel="0" collapsed="false">
      <c r="A155" s="9" t="s">
        <v>1087</v>
      </c>
      <c r="B155" s="9" t="s">
        <v>762</v>
      </c>
      <c r="C155" s="9" t="s">
        <v>873</v>
      </c>
      <c r="D155" s="9" t="s">
        <v>1088</v>
      </c>
      <c r="E155" s="9" t="s">
        <v>765</v>
      </c>
      <c r="F155" s="9" t="s">
        <v>766</v>
      </c>
      <c r="G155" s="9" t="n">
        <v>19236</v>
      </c>
      <c r="H155" s="9" t="n">
        <v>18764</v>
      </c>
      <c r="I155" s="9" t="n">
        <v>0</v>
      </c>
      <c r="J155" s="9"/>
      <c r="K155" s="9" t="s">
        <v>546</v>
      </c>
      <c r="L155" s="9" t="s">
        <v>47</v>
      </c>
    </row>
    <row r="156" customFormat="false" ht="15" hidden="false" customHeight="false" outlineLevel="0" collapsed="false">
      <c r="A156" s="9" t="s">
        <v>1089</v>
      </c>
      <c r="B156" s="9" t="s">
        <v>762</v>
      </c>
      <c r="C156" s="9" t="s">
        <v>747</v>
      </c>
      <c r="D156" s="9" t="s">
        <v>738</v>
      </c>
      <c r="E156" s="9" t="s">
        <v>739</v>
      </c>
      <c r="F156" s="9" t="s">
        <v>740</v>
      </c>
      <c r="G156" s="9" t="n">
        <v>253</v>
      </c>
      <c r="H156" s="9" t="n">
        <v>200</v>
      </c>
      <c r="I156" s="9" t="n">
        <v>0</v>
      </c>
      <c r="J156" s="9"/>
      <c r="K156" s="9" t="s">
        <v>223</v>
      </c>
      <c r="L156" s="9" t="s">
        <v>47</v>
      </c>
    </row>
    <row r="157" customFormat="false" ht="15" hidden="false" customHeight="false" outlineLevel="0" collapsed="false">
      <c r="A157" s="9" t="s">
        <v>1090</v>
      </c>
      <c r="B157" s="9" t="s">
        <v>762</v>
      </c>
      <c r="C157" s="9" t="s">
        <v>756</v>
      </c>
      <c r="D157" s="9" t="s">
        <v>1091</v>
      </c>
      <c r="E157" s="9" t="s">
        <v>753</v>
      </c>
      <c r="F157" s="9" t="s">
        <v>740</v>
      </c>
      <c r="G157" s="9" t="n">
        <v>222</v>
      </c>
      <c r="H157" s="9" t="n">
        <v>199</v>
      </c>
      <c r="I157" s="9" t="n">
        <v>15.3</v>
      </c>
      <c r="J157" s="9" t="s">
        <v>829</v>
      </c>
      <c r="K157" s="9" t="s">
        <v>720</v>
      </c>
      <c r="L157" s="9" t="s">
        <v>47</v>
      </c>
    </row>
    <row r="158" customFormat="false" ht="15" hidden="false" customHeight="false" outlineLevel="0" collapsed="false">
      <c r="A158" s="9" t="s">
        <v>1092</v>
      </c>
      <c r="B158" s="9" t="s">
        <v>853</v>
      </c>
      <c r="C158" s="9" t="s">
        <v>775</v>
      </c>
      <c r="D158" s="9" t="s">
        <v>1093</v>
      </c>
      <c r="E158" s="9" t="s">
        <v>739</v>
      </c>
      <c r="F158" s="9" t="s">
        <v>740</v>
      </c>
      <c r="G158" s="9" t="n">
        <v>285</v>
      </c>
      <c r="H158" s="9" t="n">
        <v>206</v>
      </c>
      <c r="I158" s="9" t="n">
        <v>0</v>
      </c>
      <c r="J158" s="9"/>
      <c r="K158" s="9" t="s">
        <v>185</v>
      </c>
      <c r="L158" s="9" t="s">
        <v>47</v>
      </c>
    </row>
    <row r="159" customFormat="false" ht="15" hidden="false" customHeight="false" outlineLevel="0" collapsed="false">
      <c r="A159" s="9" t="s">
        <v>1094</v>
      </c>
      <c r="B159" s="9" t="s">
        <v>762</v>
      </c>
      <c r="C159" s="9" t="s">
        <v>824</v>
      </c>
      <c r="D159" s="9" t="s">
        <v>1095</v>
      </c>
      <c r="E159" s="9" t="s">
        <v>753</v>
      </c>
      <c r="F159" s="9" t="s">
        <v>740</v>
      </c>
      <c r="G159" s="9" t="n">
        <v>153</v>
      </c>
      <c r="H159" s="9" t="n">
        <v>160</v>
      </c>
      <c r="I159" s="9" t="n">
        <v>0</v>
      </c>
      <c r="J159" s="9"/>
      <c r="K159" s="9" t="s">
        <v>720</v>
      </c>
      <c r="L159" s="9" t="s">
        <v>47</v>
      </c>
    </row>
    <row r="160" customFormat="false" ht="15" hidden="false" customHeight="false" outlineLevel="0" collapsed="false">
      <c r="A160" s="9" t="s">
        <v>1096</v>
      </c>
      <c r="B160" s="9" t="s">
        <v>743</v>
      </c>
      <c r="C160" s="9" t="s">
        <v>835</v>
      </c>
      <c r="D160" s="9" t="s">
        <v>1097</v>
      </c>
      <c r="E160" s="9" t="s">
        <v>765</v>
      </c>
      <c r="F160" s="9" t="s">
        <v>766</v>
      </c>
      <c r="G160" s="9" t="n">
        <v>15724</v>
      </c>
      <c r="H160" s="9" t="n">
        <v>13191</v>
      </c>
      <c r="I160" s="9" t="n">
        <v>12</v>
      </c>
      <c r="J160" s="9"/>
      <c r="K160" s="9" t="s">
        <v>185</v>
      </c>
      <c r="L160" s="9" t="s">
        <v>47</v>
      </c>
    </row>
    <row r="161" customFormat="false" ht="15" hidden="false" customHeight="false" outlineLevel="0" collapsed="false">
      <c r="A161" s="9" t="s">
        <v>1098</v>
      </c>
      <c r="B161" s="9" t="s">
        <v>853</v>
      </c>
      <c r="C161" s="9" t="s">
        <v>827</v>
      </c>
      <c r="D161" s="9" t="s">
        <v>1099</v>
      </c>
      <c r="E161" s="9" t="s">
        <v>739</v>
      </c>
      <c r="F161" s="9" t="s">
        <v>740</v>
      </c>
      <c r="G161" s="9" t="n">
        <v>169</v>
      </c>
      <c r="H161" s="9" t="n">
        <v>145</v>
      </c>
      <c r="I161" s="9" t="n">
        <v>1.7</v>
      </c>
      <c r="J161" s="9" t="s">
        <v>813</v>
      </c>
      <c r="K161" s="9" t="s">
        <v>377</v>
      </c>
      <c r="L161" s="9" t="s">
        <v>47</v>
      </c>
    </row>
    <row r="162" customFormat="false" ht="15" hidden="false" customHeight="false" outlineLevel="0" collapsed="false">
      <c r="A162" s="9" t="s">
        <v>1100</v>
      </c>
      <c r="B162" s="9" t="s">
        <v>781</v>
      </c>
      <c r="C162" s="9" t="s">
        <v>737</v>
      </c>
      <c r="D162" s="9" t="s">
        <v>1101</v>
      </c>
      <c r="E162" s="9" t="s">
        <v>765</v>
      </c>
      <c r="F162" s="9" t="s">
        <v>766</v>
      </c>
      <c r="G162" s="9" t="n">
        <v>13510</v>
      </c>
      <c r="H162" s="9" t="n">
        <v>12758</v>
      </c>
      <c r="I162" s="9" t="n">
        <v>12.5</v>
      </c>
      <c r="J162" s="9" t="s">
        <v>741</v>
      </c>
      <c r="K162" s="9" t="s">
        <v>597</v>
      </c>
      <c r="L162" s="9" t="s">
        <v>47</v>
      </c>
    </row>
    <row r="163" customFormat="false" ht="15" hidden="false" customHeight="false" outlineLevel="0" collapsed="false">
      <c r="A163" s="9" t="s">
        <v>1102</v>
      </c>
      <c r="B163" s="9" t="s">
        <v>750</v>
      </c>
      <c r="C163" s="9" t="s">
        <v>737</v>
      </c>
      <c r="D163" s="9" t="s">
        <v>1103</v>
      </c>
      <c r="E163" s="9" t="s">
        <v>765</v>
      </c>
      <c r="F163" s="9" t="s">
        <v>766</v>
      </c>
      <c r="G163" s="9" t="n">
        <v>8751</v>
      </c>
      <c r="H163" s="9" t="n">
        <v>7406</v>
      </c>
      <c r="I163" s="9" t="n">
        <v>0</v>
      </c>
      <c r="J163" s="9"/>
      <c r="K163" s="9" t="s">
        <v>48</v>
      </c>
      <c r="L163" s="9" t="s">
        <v>47</v>
      </c>
    </row>
    <row r="164" customFormat="false" ht="15" hidden="false" customHeight="false" outlineLevel="0" collapsed="false">
      <c r="A164" s="9" t="s">
        <v>1104</v>
      </c>
      <c r="B164" s="9" t="s">
        <v>781</v>
      </c>
      <c r="C164" s="9" t="s">
        <v>873</v>
      </c>
      <c r="D164" s="9" t="s">
        <v>1105</v>
      </c>
      <c r="E164" s="9" t="s">
        <v>753</v>
      </c>
      <c r="F164" s="9" t="s">
        <v>740</v>
      </c>
      <c r="G164" s="9" t="n">
        <v>120</v>
      </c>
      <c r="H164" s="9" t="n">
        <v>101</v>
      </c>
      <c r="I164" s="9" t="n">
        <v>0</v>
      </c>
      <c r="J164" s="9"/>
      <c r="K164" s="9" t="s">
        <v>597</v>
      </c>
      <c r="L164" s="9" t="s">
        <v>47</v>
      </c>
    </row>
    <row r="165" customFormat="false" ht="15" hidden="false" customHeight="false" outlineLevel="0" collapsed="false">
      <c r="A165" s="9" t="s">
        <v>1106</v>
      </c>
      <c r="B165" s="9" t="s">
        <v>736</v>
      </c>
      <c r="C165" s="9" t="s">
        <v>832</v>
      </c>
      <c r="D165" s="9" t="s">
        <v>1107</v>
      </c>
      <c r="E165" s="9" t="s">
        <v>739</v>
      </c>
      <c r="F165" s="9" t="s">
        <v>740</v>
      </c>
      <c r="G165" s="9" t="n">
        <v>338</v>
      </c>
      <c r="H165" s="9" t="n">
        <v>244</v>
      </c>
      <c r="I165" s="9" t="n">
        <v>0</v>
      </c>
      <c r="J165" s="9"/>
      <c r="K165" s="9" t="s">
        <v>377</v>
      </c>
      <c r="L165" s="9" t="s">
        <v>47</v>
      </c>
    </row>
    <row r="166" customFormat="false" ht="15" hidden="false" customHeight="false" outlineLevel="0" collapsed="false">
      <c r="A166" s="9" t="s">
        <v>1108</v>
      </c>
      <c r="B166" s="9" t="s">
        <v>768</v>
      </c>
      <c r="C166" s="9" t="s">
        <v>878</v>
      </c>
      <c r="D166" s="9" t="s">
        <v>1109</v>
      </c>
      <c r="E166" s="9" t="s">
        <v>753</v>
      </c>
      <c r="F166" s="9" t="s">
        <v>740</v>
      </c>
      <c r="G166" s="9" t="n">
        <v>365</v>
      </c>
      <c r="H166" s="9" t="n">
        <v>345</v>
      </c>
      <c r="I166" s="9" t="n">
        <v>0</v>
      </c>
      <c r="J166" s="9"/>
      <c r="K166" s="9" t="s">
        <v>48</v>
      </c>
      <c r="L166" s="9" t="s">
        <v>47</v>
      </c>
    </row>
    <row r="167" customFormat="false" ht="15" hidden="false" customHeight="false" outlineLevel="0" collapsed="false">
      <c r="A167" s="9" t="s">
        <v>1110</v>
      </c>
      <c r="B167" s="9" t="s">
        <v>781</v>
      </c>
      <c r="C167" s="9" t="s">
        <v>737</v>
      </c>
      <c r="D167" s="9" t="s">
        <v>1111</v>
      </c>
      <c r="E167" s="9" t="s">
        <v>739</v>
      </c>
      <c r="F167" s="9" t="s">
        <v>740</v>
      </c>
      <c r="G167" s="9" t="n">
        <v>246</v>
      </c>
      <c r="H167" s="9" t="n">
        <v>205</v>
      </c>
      <c r="I167" s="9" t="n">
        <v>0</v>
      </c>
      <c r="J167" s="9"/>
      <c r="K167" s="9" t="s">
        <v>550</v>
      </c>
      <c r="L167" s="9" t="s">
        <v>47</v>
      </c>
    </row>
    <row r="168" customFormat="false" ht="15" hidden="false" customHeight="false" outlineLevel="0" collapsed="false">
      <c r="A168" s="9" t="s">
        <v>1112</v>
      </c>
      <c r="B168" s="9" t="s">
        <v>736</v>
      </c>
      <c r="C168" s="9" t="s">
        <v>941</v>
      </c>
      <c r="D168" s="9" t="s">
        <v>1113</v>
      </c>
      <c r="E168" s="9" t="s">
        <v>739</v>
      </c>
      <c r="F168" s="9" t="s">
        <v>740</v>
      </c>
      <c r="G168" s="9" t="n">
        <v>93</v>
      </c>
      <c r="H168" s="9" t="n">
        <v>74</v>
      </c>
      <c r="I168" s="9" t="n">
        <v>0</v>
      </c>
      <c r="J168" s="9"/>
      <c r="K168" s="9" t="s">
        <v>546</v>
      </c>
      <c r="L168" s="9" t="s">
        <v>47</v>
      </c>
    </row>
    <row r="169" customFormat="false" ht="15" hidden="false" customHeight="false" outlineLevel="0" collapsed="false">
      <c r="A169" s="9" t="s">
        <v>1114</v>
      </c>
      <c r="B169" s="9" t="s">
        <v>778</v>
      </c>
      <c r="C169" s="9" t="s">
        <v>843</v>
      </c>
      <c r="D169" s="9" t="s">
        <v>1115</v>
      </c>
      <c r="E169" s="9" t="s">
        <v>739</v>
      </c>
      <c r="F169" s="9" t="s">
        <v>740</v>
      </c>
      <c r="G169" s="9" t="n">
        <v>204</v>
      </c>
      <c r="H169" s="9" t="n">
        <v>160</v>
      </c>
      <c r="I169" s="9" t="n">
        <v>0</v>
      </c>
      <c r="J169" s="9"/>
      <c r="K169" s="9" t="s">
        <v>223</v>
      </c>
      <c r="L169" s="9" t="s">
        <v>47</v>
      </c>
    </row>
    <row r="170" customFormat="false" ht="15" hidden="false" customHeight="false" outlineLevel="0" collapsed="false">
      <c r="A170" s="9" t="s">
        <v>1116</v>
      </c>
      <c r="B170" s="9" t="s">
        <v>750</v>
      </c>
      <c r="C170" s="9" t="s">
        <v>843</v>
      </c>
      <c r="D170" s="9" t="s">
        <v>1117</v>
      </c>
      <c r="E170" s="9" t="s">
        <v>765</v>
      </c>
      <c r="F170" s="9" t="s">
        <v>766</v>
      </c>
      <c r="G170" s="9" t="n">
        <v>13108</v>
      </c>
      <c r="H170" s="9" t="n">
        <v>11106</v>
      </c>
      <c r="I170" s="9" t="n">
        <v>11.5</v>
      </c>
      <c r="J170" s="9" t="s">
        <v>741</v>
      </c>
      <c r="K170" s="9" t="s">
        <v>416</v>
      </c>
      <c r="L170" s="9" t="s">
        <v>47</v>
      </c>
    </row>
    <row r="171" customFormat="false" ht="15" hidden="false" customHeight="false" outlineLevel="0" collapsed="false">
      <c r="A171" s="9" t="s">
        <v>1118</v>
      </c>
      <c r="B171" s="9" t="s">
        <v>853</v>
      </c>
      <c r="C171" s="9" t="s">
        <v>772</v>
      </c>
      <c r="D171" s="9" t="s">
        <v>1119</v>
      </c>
      <c r="E171" s="9" t="s">
        <v>765</v>
      </c>
      <c r="F171" s="9" t="s">
        <v>766</v>
      </c>
      <c r="G171" s="9" t="n">
        <v>11337</v>
      </c>
      <c r="H171" s="9" t="n">
        <v>11383</v>
      </c>
      <c r="I171" s="9" t="n">
        <v>0</v>
      </c>
      <c r="J171" s="9"/>
      <c r="K171" s="9" t="s">
        <v>301</v>
      </c>
      <c r="L171" s="9" t="s">
        <v>47</v>
      </c>
    </row>
    <row r="172" customFormat="false" ht="15" hidden="false" customHeight="false" outlineLevel="0" collapsed="false">
      <c r="A172" s="9" t="s">
        <v>1120</v>
      </c>
      <c r="B172" s="9" t="s">
        <v>755</v>
      </c>
      <c r="C172" s="9" t="s">
        <v>894</v>
      </c>
      <c r="D172" s="9" t="s">
        <v>1121</v>
      </c>
      <c r="E172" s="9" t="s">
        <v>765</v>
      </c>
      <c r="F172" s="9" t="s">
        <v>766</v>
      </c>
      <c r="G172" s="9" t="n">
        <v>5273</v>
      </c>
      <c r="H172" s="9" t="n">
        <v>4818</v>
      </c>
      <c r="I172" s="9" t="n">
        <v>3.9</v>
      </c>
      <c r="J172" s="9" t="s">
        <v>741</v>
      </c>
      <c r="K172" s="9" t="s">
        <v>550</v>
      </c>
      <c r="L172" s="9" t="s">
        <v>47</v>
      </c>
    </row>
    <row r="173" customFormat="false" ht="15" hidden="false" customHeight="false" outlineLevel="0" collapsed="false">
      <c r="A173" s="9" t="s">
        <v>1122</v>
      </c>
      <c r="B173" s="9" t="s">
        <v>750</v>
      </c>
      <c r="C173" s="9" t="s">
        <v>744</v>
      </c>
      <c r="D173" s="9" t="s">
        <v>1123</v>
      </c>
      <c r="E173" s="9" t="s">
        <v>739</v>
      </c>
      <c r="F173" s="9" t="s">
        <v>740</v>
      </c>
      <c r="G173" s="9" t="n">
        <v>306</v>
      </c>
      <c r="H173" s="9" t="n">
        <v>297</v>
      </c>
      <c r="I173" s="9" t="n">
        <v>0</v>
      </c>
      <c r="J173" s="9"/>
      <c r="K173" s="9" t="s">
        <v>340</v>
      </c>
      <c r="L173" s="9" t="s">
        <v>47</v>
      </c>
    </row>
    <row r="174" customFormat="false" ht="15" hidden="false" customHeight="false" outlineLevel="0" collapsed="false">
      <c r="A174" s="9" t="s">
        <v>1124</v>
      </c>
      <c r="B174" s="9" t="s">
        <v>781</v>
      </c>
      <c r="C174" s="9" t="s">
        <v>759</v>
      </c>
      <c r="D174" s="9" t="s">
        <v>948</v>
      </c>
      <c r="E174" s="9" t="s">
        <v>739</v>
      </c>
      <c r="F174" s="9" t="s">
        <v>740</v>
      </c>
      <c r="G174" s="9" t="n">
        <v>128</v>
      </c>
      <c r="H174" s="9" t="n">
        <v>103</v>
      </c>
      <c r="I174" s="9" t="n">
        <v>9.2</v>
      </c>
      <c r="J174" s="9" t="s">
        <v>813</v>
      </c>
      <c r="K174" s="9" t="s">
        <v>550</v>
      </c>
      <c r="L174" s="9" t="s">
        <v>47</v>
      </c>
    </row>
    <row r="175" customFormat="false" ht="15" hidden="false" customHeight="false" outlineLevel="0" collapsed="false">
      <c r="A175" s="9" t="s">
        <v>1125</v>
      </c>
      <c r="B175" s="9" t="s">
        <v>736</v>
      </c>
      <c r="C175" s="9" t="s">
        <v>759</v>
      </c>
      <c r="D175" s="9" t="s">
        <v>1126</v>
      </c>
      <c r="E175" s="9" t="s">
        <v>753</v>
      </c>
      <c r="F175" s="9" t="s">
        <v>740</v>
      </c>
      <c r="G175" s="9" t="n">
        <v>350</v>
      </c>
      <c r="H175" s="9" t="n">
        <v>325</v>
      </c>
      <c r="I175" s="9" t="n">
        <v>0</v>
      </c>
      <c r="J175" s="9"/>
      <c r="K175" s="9" t="s">
        <v>542</v>
      </c>
      <c r="L175" s="9" t="s">
        <v>47</v>
      </c>
    </row>
    <row r="176" customFormat="false" ht="15" hidden="false" customHeight="false" outlineLevel="0" collapsed="false">
      <c r="A176" s="9" t="s">
        <v>1127</v>
      </c>
      <c r="B176" s="9" t="s">
        <v>781</v>
      </c>
      <c r="C176" s="9" t="s">
        <v>811</v>
      </c>
      <c r="D176" s="9" t="s">
        <v>1128</v>
      </c>
      <c r="E176" s="9" t="s">
        <v>739</v>
      </c>
      <c r="F176" s="9" t="s">
        <v>740</v>
      </c>
      <c r="G176" s="9" t="n">
        <v>172</v>
      </c>
      <c r="H176" s="9" t="n">
        <v>127</v>
      </c>
      <c r="I176" s="9" t="n">
        <v>7.8</v>
      </c>
      <c r="J176" s="9" t="s">
        <v>802</v>
      </c>
      <c r="K176" s="9" t="s">
        <v>454</v>
      </c>
      <c r="L176" s="9" t="s">
        <v>47</v>
      </c>
    </row>
    <row r="177" customFormat="false" ht="15" hidden="false" customHeight="false" outlineLevel="0" collapsed="false">
      <c r="A177" s="9" t="s">
        <v>1129</v>
      </c>
      <c r="B177" s="9" t="s">
        <v>778</v>
      </c>
      <c r="C177" s="9" t="s">
        <v>865</v>
      </c>
      <c r="D177" s="9" t="s">
        <v>1130</v>
      </c>
      <c r="E177" s="9" t="s">
        <v>739</v>
      </c>
      <c r="F177" s="9" t="s">
        <v>740</v>
      </c>
      <c r="G177" s="9" t="n">
        <v>386</v>
      </c>
      <c r="H177" s="9" t="n">
        <v>372</v>
      </c>
      <c r="I177" s="9" t="n">
        <v>12.7</v>
      </c>
      <c r="J177" s="9"/>
      <c r="K177" s="9" t="s">
        <v>97</v>
      </c>
      <c r="L177" s="9" t="s">
        <v>47</v>
      </c>
    </row>
    <row r="178" customFormat="false" ht="15" hidden="false" customHeight="false" outlineLevel="0" collapsed="false">
      <c r="A178" s="9" t="s">
        <v>1131</v>
      </c>
      <c r="B178" s="9" t="s">
        <v>736</v>
      </c>
      <c r="C178" s="9" t="s">
        <v>838</v>
      </c>
      <c r="D178" s="9" t="s">
        <v>1132</v>
      </c>
      <c r="E178" s="9" t="s">
        <v>739</v>
      </c>
      <c r="F178" s="9" t="s">
        <v>740</v>
      </c>
      <c r="G178" s="9" t="n">
        <v>314</v>
      </c>
      <c r="H178" s="9" t="n">
        <v>307</v>
      </c>
      <c r="I178" s="9" t="n">
        <v>0</v>
      </c>
      <c r="J178" s="9"/>
      <c r="K178" s="9" t="s">
        <v>185</v>
      </c>
      <c r="L178" s="9" t="s">
        <v>47</v>
      </c>
    </row>
    <row r="179" customFormat="false" ht="15" hidden="false" customHeight="false" outlineLevel="0" collapsed="false">
      <c r="A179" s="9" t="s">
        <v>1133</v>
      </c>
      <c r="B179" s="9" t="s">
        <v>768</v>
      </c>
      <c r="C179" s="9" t="s">
        <v>737</v>
      </c>
      <c r="D179" s="9" t="s">
        <v>1134</v>
      </c>
      <c r="E179" s="9" t="s">
        <v>739</v>
      </c>
      <c r="F179" s="9" t="s">
        <v>740</v>
      </c>
      <c r="G179" s="9" t="n">
        <v>110</v>
      </c>
      <c r="H179" s="9" t="n">
        <v>107</v>
      </c>
      <c r="I179" s="9" t="n">
        <v>14.5</v>
      </c>
      <c r="J179" s="9" t="s">
        <v>829</v>
      </c>
      <c r="K179" s="9" t="s">
        <v>416</v>
      </c>
      <c r="L179" s="9" t="s">
        <v>47</v>
      </c>
    </row>
    <row r="180" customFormat="false" ht="15" hidden="false" customHeight="false" outlineLevel="0" collapsed="false">
      <c r="A180" s="9" t="s">
        <v>1135</v>
      </c>
      <c r="B180" s="9" t="s">
        <v>781</v>
      </c>
      <c r="C180" s="9" t="s">
        <v>817</v>
      </c>
      <c r="D180" s="9" t="s">
        <v>1136</v>
      </c>
      <c r="E180" s="9" t="s">
        <v>739</v>
      </c>
      <c r="F180" s="9" t="s">
        <v>740</v>
      </c>
      <c r="G180" s="9" t="n">
        <v>89</v>
      </c>
      <c r="H180" s="9" t="n">
        <v>78</v>
      </c>
      <c r="I180" s="9" t="n">
        <v>0</v>
      </c>
      <c r="J180" s="9"/>
      <c r="K180" s="9" t="s">
        <v>97</v>
      </c>
      <c r="L180" s="9" t="s">
        <v>47</v>
      </c>
    </row>
    <row r="181" customFormat="false" ht="15" hidden="false" customHeight="false" outlineLevel="0" collapsed="false">
      <c r="A181" s="9" t="s">
        <v>1137</v>
      </c>
      <c r="B181" s="9" t="s">
        <v>762</v>
      </c>
      <c r="C181" s="9" t="s">
        <v>782</v>
      </c>
      <c r="D181" s="9" t="s">
        <v>1138</v>
      </c>
      <c r="E181" s="9" t="s">
        <v>753</v>
      </c>
      <c r="F181" s="9" t="s">
        <v>740</v>
      </c>
      <c r="G181" s="9" t="n">
        <v>130</v>
      </c>
      <c r="H181" s="9" t="n">
        <v>104</v>
      </c>
      <c r="I181" s="9" t="n">
        <v>10.3</v>
      </c>
      <c r="J181" s="9"/>
      <c r="K181" s="9" t="s">
        <v>48</v>
      </c>
      <c r="L181" s="9" t="s">
        <v>47</v>
      </c>
    </row>
    <row r="182" customFormat="false" ht="15" hidden="false" customHeight="false" outlineLevel="0" collapsed="false">
      <c r="A182" s="9" t="s">
        <v>1139</v>
      </c>
      <c r="B182" s="9" t="s">
        <v>831</v>
      </c>
      <c r="C182" s="9" t="s">
        <v>744</v>
      </c>
      <c r="D182" s="9" t="s">
        <v>1140</v>
      </c>
      <c r="E182" s="9" t="s">
        <v>765</v>
      </c>
      <c r="F182" s="9" t="s">
        <v>766</v>
      </c>
      <c r="G182" s="9" t="n">
        <v>19068</v>
      </c>
      <c r="H182" s="9" t="n">
        <v>19158</v>
      </c>
      <c r="I182" s="9" t="n">
        <v>8.5</v>
      </c>
      <c r="J182" s="9" t="s">
        <v>802</v>
      </c>
      <c r="K182" s="9" t="s">
        <v>720</v>
      </c>
      <c r="L182" s="9" t="s">
        <v>47</v>
      </c>
    </row>
    <row r="183" customFormat="false" ht="15" hidden="false" customHeight="false" outlineLevel="0" collapsed="false">
      <c r="A183" s="9" t="s">
        <v>1141</v>
      </c>
      <c r="B183" s="9" t="s">
        <v>736</v>
      </c>
      <c r="C183" s="9" t="s">
        <v>894</v>
      </c>
      <c r="D183" s="9" t="s">
        <v>1142</v>
      </c>
      <c r="E183" s="9" t="s">
        <v>739</v>
      </c>
      <c r="F183" s="9" t="s">
        <v>740</v>
      </c>
      <c r="G183" s="9" t="n">
        <v>385</v>
      </c>
      <c r="H183" s="9" t="n">
        <v>330</v>
      </c>
      <c r="I183" s="9" t="n">
        <v>7.5</v>
      </c>
      <c r="J183" s="9"/>
      <c r="K183" s="9" t="s">
        <v>301</v>
      </c>
      <c r="L183" s="9" t="s">
        <v>47</v>
      </c>
    </row>
    <row r="184" customFormat="false" ht="15" hidden="false" customHeight="false" outlineLevel="0" collapsed="false">
      <c r="A184" s="9" t="s">
        <v>1143</v>
      </c>
      <c r="B184" s="9" t="s">
        <v>743</v>
      </c>
      <c r="C184" s="9" t="s">
        <v>993</v>
      </c>
      <c r="D184" s="9" t="s">
        <v>1144</v>
      </c>
      <c r="E184" s="9" t="s">
        <v>753</v>
      </c>
      <c r="F184" s="9" t="s">
        <v>740</v>
      </c>
      <c r="G184" s="9" t="n">
        <v>111</v>
      </c>
      <c r="H184" s="9" t="n">
        <v>98</v>
      </c>
      <c r="I184" s="9" t="n">
        <v>0</v>
      </c>
      <c r="J184" s="9"/>
      <c r="K184" s="9" t="s">
        <v>185</v>
      </c>
      <c r="L184" s="9" t="s">
        <v>47</v>
      </c>
    </row>
    <row r="185" customFormat="false" ht="15" hidden="false" customHeight="false" outlineLevel="0" collapsed="false">
      <c r="A185" s="9" t="s">
        <v>1145</v>
      </c>
      <c r="B185" s="9" t="s">
        <v>831</v>
      </c>
      <c r="C185" s="9" t="s">
        <v>808</v>
      </c>
      <c r="D185" s="9" t="s">
        <v>1146</v>
      </c>
      <c r="E185" s="9" t="s">
        <v>753</v>
      </c>
      <c r="F185" s="9" t="s">
        <v>740</v>
      </c>
      <c r="G185" s="9" t="n">
        <v>85</v>
      </c>
      <c r="H185" s="9" t="n">
        <v>85</v>
      </c>
      <c r="I185" s="9" t="n">
        <v>0</v>
      </c>
      <c r="J185" s="9"/>
      <c r="K185" s="9" t="s">
        <v>550</v>
      </c>
      <c r="L185" s="9" t="s">
        <v>47</v>
      </c>
    </row>
    <row r="186" customFormat="false" ht="15" hidden="false" customHeight="false" outlineLevel="0" collapsed="false">
      <c r="A186" s="9" t="s">
        <v>1147</v>
      </c>
      <c r="B186" s="9" t="s">
        <v>743</v>
      </c>
      <c r="C186" s="9" t="s">
        <v>873</v>
      </c>
      <c r="D186" s="9" t="s">
        <v>798</v>
      </c>
      <c r="E186" s="9" t="s">
        <v>739</v>
      </c>
      <c r="F186" s="9" t="s">
        <v>740</v>
      </c>
      <c r="G186" s="9" t="n">
        <v>283</v>
      </c>
      <c r="H186" s="9" t="n">
        <v>204</v>
      </c>
      <c r="I186" s="9" t="n">
        <v>10.1</v>
      </c>
      <c r="J186" s="9" t="s">
        <v>829</v>
      </c>
      <c r="K186" s="9" t="s">
        <v>546</v>
      </c>
      <c r="L186" s="9" t="s">
        <v>47</v>
      </c>
    </row>
    <row r="187" customFormat="false" ht="15" hidden="false" customHeight="false" outlineLevel="0" collapsed="false">
      <c r="A187" s="9" t="s">
        <v>1148</v>
      </c>
      <c r="B187" s="9" t="s">
        <v>778</v>
      </c>
      <c r="C187" s="9" t="s">
        <v>941</v>
      </c>
      <c r="D187" s="9" t="s">
        <v>1149</v>
      </c>
      <c r="E187" s="9" t="s">
        <v>753</v>
      </c>
      <c r="F187" s="9" t="s">
        <v>740</v>
      </c>
      <c r="G187" s="9" t="n">
        <v>352</v>
      </c>
      <c r="H187" s="9" t="n">
        <v>366</v>
      </c>
      <c r="I187" s="9" t="n">
        <v>0</v>
      </c>
      <c r="J187" s="9"/>
      <c r="K187" s="9" t="s">
        <v>550</v>
      </c>
      <c r="L187" s="9" t="s">
        <v>47</v>
      </c>
    </row>
    <row r="188" customFormat="false" ht="15" hidden="false" customHeight="false" outlineLevel="0" collapsed="false">
      <c r="A188" s="9" t="s">
        <v>1150</v>
      </c>
      <c r="B188" s="9" t="s">
        <v>831</v>
      </c>
      <c r="C188" s="9" t="s">
        <v>759</v>
      </c>
      <c r="D188" s="9" t="s">
        <v>1151</v>
      </c>
      <c r="E188" s="9" t="s">
        <v>765</v>
      </c>
      <c r="F188" s="9" t="s">
        <v>766</v>
      </c>
      <c r="G188" s="9" t="n">
        <v>5104</v>
      </c>
      <c r="H188" s="9" t="n">
        <v>5245</v>
      </c>
      <c r="I188" s="9" t="n">
        <v>9.7</v>
      </c>
      <c r="J188" s="9"/>
      <c r="K188" s="9" t="s">
        <v>597</v>
      </c>
      <c r="L188" s="9" t="s">
        <v>47</v>
      </c>
    </row>
    <row r="189" customFormat="false" ht="15" hidden="false" customHeight="false" outlineLevel="0" collapsed="false">
      <c r="A189" s="9" t="s">
        <v>1152</v>
      </c>
      <c r="B189" s="9" t="s">
        <v>853</v>
      </c>
      <c r="C189" s="9" t="s">
        <v>952</v>
      </c>
      <c r="D189" s="9" t="s">
        <v>1153</v>
      </c>
      <c r="E189" s="9" t="s">
        <v>739</v>
      </c>
      <c r="F189" s="9" t="s">
        <v>740</v>
      </c>
      <c r="G189" s="9" t="n">
        <v>242</v>
      </c>
      <c r="H189" s="9" t="n">
        <v>242</v>
      </c>
      <c r="I189" s="9" t="n">
        <v>0</v>
      </c>
      <c r="J189" s="9"/>
      <c r="K189" s="9" t="s">
        <v>48</v>
      </c>
      <c r="L189" s="9" t="s">
        <v>47</v>
      </c>
    </row>
    <row r="190" customFormat="false" ht="15" hidden="false" customHeight="false" outlineLevel="0" collapsed="false">
      <c r="A190" s="9" t="s">
        <v>1154</v>
      </c>
      <c r="B190" s="9" t="s">
        <v>831</v>
      </c>
      <c r="C190" s="9" t="s">
        <v>808</v>
      </c>
      <c r="D190" s="9" t="s">
        <v>1155</v>
      </c>
      <c r="E190" s="9" t="s">
        <v>753</v>
      </c>
      <c r="F190" s="9" t="s">
        <v>740</v>
      </c>
      <c r="G190" s="9" t="n">
        <v>301</v>
      </c>
      <c r="H190" s="9" t="n">
        <v>312</v>
      </c>
      <c r="I190" s="9" t="n">
        <v>0</v>
      </c>
      <c r="J190" s="9"/>
      <c r="K190" s="9" t="s">
        <v>185</v>
      </c>
      <c r="L190" s="9" t="s">
        <v>47</v>
      </c>
    </row>
    <row r="191" customFormat="false" ht="15" hidden="false" customHeight="false" outlineLevel="0" collapsed="false">
      <c r="A191" s="9" t="s">
        <v>1156</v>
      </c>
      <c r="B191" s="9" t="s">
        <v>743</v>
      </c>
      <c r="C191" s="9" t="s">
        <v>1007</v>
      </c>
      <c r="D191" s="9" t="s">
        <v>1157</v>
      </c>
      <c r="E191" s="9" t="s">
        <v>765</v>
      </c>
      <c r="F191" s="9" t="s">
        <v>766</v>
      </c>
      <c r="G191" s="9" t="n">
        <v>19701</v>
      </c>
      <c r="H191" s="9" t="n">
        <v>19681</v>
      </c>
      <c r="I191" s="9" t="n">
        <v>0</v>
      </c>
      <c r="J191" s="9"/>
      <c r="K191" s="9" t="s">
        <v>720</v>
      </c>
      <c r="L191" s="9" t="s">
        <v>47</v>
      </c>
    </row>
    <row r="192" customFormat="false" ht="15" hidden="false" customHeight="false" outlineLevel="0" collapsed="false">
      <c r="A192" s="9" t="s">
        <v>1158</v>
      </c>
      <c r="B192" s="9" t="s">
        <v>768</v>
      </c>
      <c r="C192" s="9" t="s">
        <v>824</v>
      </c>
      <c r="D192" s="9" t="s">
        <v>1059</v>
      </c>
      <c r="E192" s="9" t="s">
        <v>739</v>
      </c>
      <c r="F192" s="9" t="s">
        <v>740</v>
      </c>
      <c r="G192" s="9" t="n">
        <v>98</v>
      </c>
      <c r="H192" s="9" t="n">
        <v>86</v>
      </c>
      <c r="I192" s="9" t="n">
        <v>0</v>
      </c>
      <c r="J192" s="9"/>
      <c r="K192" s="9" t="s">
        <v>340</v>
      </c>
      <c r="L192" s="9" t="s">
        <v>47</v>
      </c>
    </row>
    <row r="193" customFormat="false" ht="15" hidden="false" customHeight="false" outlineLevel="0" collapsed="false">
      <c r="A193" s="9" t="s">
        <v>1159</v>
      </c>
      <c r="B193" s="9" t="s">
        <v>781</v>
      </c>
      <c r="C193" s="9" t="s">
        <v>858</v>
      </c>
      <c r="D193" s="9" t="s">
        <v>1160</v>
      </c>
      <c r="E193" s="9" t="s">
        <v>765</v>
      </c>
      <c r="F193" s="9" t="s">
        <v>766</v>
      </c>
      <c r="G193" s="9" t="n">
        <v>12126</v>
      </c>
      <c r="H193" s="9" t="n">
        <v>11381</v>
      </c>
      <c r="I193" s="9" t="n">
        <v>5.3</v>
      </c>
      <c r="J193" s="9" t="s">
        <v>829</v>
      </c>
      <c r="K193" s="9" t="s">
        <v>720</v>
      </c>
      <c r="L193" s="9" t="s">
        <v>47</v>
      </c>
    </row>
    <row r="194" customFormat="false" ht="15" hidden="false" customHeight="false" outlineLevel="0" collapsed="false">
      <c r="A194" s="9" t="s">
        <v>1161</v>
      </c>
      <c r="B194" s="9" t="s">
        <v>750</v>
      </c>
      <c r="C194" s="9" t="s">
        <v>873</v>
      </c>
      <c r="D194" s="9" t="s">
        <v>1162</v>
      </c>
      <c r="E194" s="9" t="s">
        <v>753</v>
      </c>
      <c r="F194" s="9" t="s">
        <v>740</v>
      </c>
      <c r="G194" s="9" t="n">
        <v>189</v>
      </c>
      <c r="H194" s="9" t="n">
        <v>150</v>
      </c>
      <c r="I194" s="9" t="n">
        <v>0</v>
      </c>
      <c r="J194" s="9"/>
      <c r="K194" s="9" t="s">
        <v>185</v>
      </c>
      <c r="L194" s="9" t="s">
        <v>47</v>
      </c>
    </row>
    <row r="195" customFormat="false" ht="15" hidden="false" customHeight="false" outlineLevel="0" collapsed="false">
      <c r="A195" s="9" t="s">
        <v>1163</v>
      </c>
      <c r="B195" s="9" t="s">
        <v>778</v>
      </c>
      <c r="C195" s="9" t="s">
        <v>979</v>
      </c>
      <c r="D195" s="9" t="s">
        <v>1164</v>
      </c>
      <c r="E195" s="9" t="s">
        <v>765</v>
      </c>
      <c r="F195" s="9" t="s">
        <v>766</v>
      </c>
      <c r="G195" s="9" t="n">
        <v>7693</v>
      </c>
      <c r="H195" s="9" t="n">
        <v>6680</v>
      </c>
      <c r="I195" s="9" t="n">
        <v>2.2</v>
      </c>
      <c r="J195" s="9" t="s">
        <v>829</v>
      </c>
      <c r="K195" s="9" t="s">
        <v>550</v>
      </c>
      <c r="L195" s="9" t="s">
        <v>47</v>
      </c>
    </row>
    <row r="196" customFormat="false" ht="15" hidden="false" customHeight="false" outlineLevel="0" collapsed="false">
      <c r="A196" s="9" t="s">
        <v>1165</v>
      </c>
      <c r="B196" s="9" t="s">
        <v>831</v>
      </c>
      <c r="C196" s="9" t="s">
        <v>751</v>
      </c>
      <c r="D196" s="9" t="s">
        <v>921</v>
      </c>
      <c r="E196" s="9" t="s">
        <v>753</v>
      </c>
      <c r="F196" s="9" t="s">
        <v>740</v>
      </c>
      <c r="G196" s="9" t="n">
        <v>185</v>
      </c>
      <c r="H196" s="9" t="n">
        <v>185</v>
      </c>
      <c r="I196" s="9" t="n">
        <v>14.5</v>
      </c>
      <c r="J196" s="9" t="s">
        <v>829</v>
      </c>
      <c r="K196" s="9" t="s">
        <v>597</v>
      </c>
      <c r="L196" s="9" t="s">
        <v>47</v>
      </c>
    </row>
    <row r="197" customFormat="false" ht="15" hidden="false" customHeight="false" outlineLevel="0" collapsed="false">
      <c r="A197" s="9" t="s">
        <v>1166</v>
      </c>
      <c r="B197" s="9" t="s">
        <v>778</v>
      </c>
      <c r="C197" s="9" t="s">
        <v>775</v>
      </c>
      <c r="D197" s="9" t="s">
        <v>1167</v>
      </c>
      <c r="E197" s="9" t="s">
        <v>753</v>
      </c>
      <c r="F197" s="9" t="s">
        <v>740</v>
      </c>
      <c r="G197" s="9" t="n">
        <v>125</v>
      </c>
      <c r="H197" s="9" t="n">
        <v>93</v>
      </c>
      <c r="I197" s="9" t="n">
        <v>6.4</v>
      </c>
      <c r="J197" s="9" t="s">
        <v>819</v>
      </c>
      <c r="K197" s="9" t="s">
        <v>97</v>
      </c>
      <c r="L197" s="9" t="s">
        <v>47</v>
      </c>
    </row>
    <row r="198" customFormat="false" ht="15" hidden="false" customHeight="false" outlineLevel="0" collapsed="false">
      <c r="A198" s="9" t="s">
        <v>1168</v>
      </c>
      <c r="B198" s="9" t="s">
        <v>743</v>
      </c>
      <c r="C198" s="9" t="s">
        <v>817</v>
      </c>
      <c r="D198" s="9" t="s">
        <v>1169</v>
      </c>
      <c r="E198" s="9" t="s">
        <v>765</v>
      </c>
      <c r="F198" s="9" t="s">
        <v>766</v>
      </c>
      <c r="G198" s="9" t="n">
        <v>11625</v>
      </c>
      <c r="H198" s="9" t="n">
        <v>11648</v>
      </c>
      <c r="I198" s="9" t="n">
        <v>0</v>
      </c>
      <c r="J198" s="9"/>
      <c r="K198" s="9" t="s">
        <v>416</v>
      </c>
      <c r="L198" s="9" t="s">
        <v>47</v>
      </c>
    </row>
    <row r="199" customFormat="false" ht="15" hidden="false" customHeight="false" outlineLevel="0" collapsed="false">
      <c r="A199" s="9" t="s">
        <v>1170</v>
      </c>
      <c r="B199" s="9" t="s">
        <v>831</v>
      </c>
      <c r="C199" s="9" t="s">
        <v>979</v>
      </c>
      <c r="D199" s="9" t="s">
        <v>1049</v>
      </c>
      <c r="E199" s="9" t="s">
        <v>765</v>
      </c>
      <c r="F199" s="9" t="s">
        <v>766</v>
      </c>
      <c r="G199" s="9" t="n">
        <v>18171</v>
      </c>
      <c r="H199" s="9" t="n">
        <v>17843</v>
      </c>
      <c r="I199" s="9" t="n">
        <v>1.1</v>
      </c>
      <c r="J199" s="9" t="s">
        <v>813</v>
      </c>
      <c r="K199" s="9" t="s">
        <v>185</v>
      </c>
      <c r="L199" s="9" t="s">
        <v>47</v>
      </c>
    </row>
    <row r="200" customFormat="false" ht="15" hidden="false" customHeight="false" outlineLevel="0" collapsed="false">
      <c r="A200" s="9" t="s">
        <v>1171</v>
      </c>
      <c r="B200" s="9" t="s">
        <v>831</v>
      </c>
      <c r="C200" s="9" t="s">
        <v>827</v>
      </c>
      <c r="D200" s="9" t="s">
        <v>1172</v>
      </c>
      <c r="E200" s="9" t="s">
        <v>739</v>
      </c>
      <c r="F200" s="9" t="s">
        <v>740</v>
      </c>
      <c r="G200" s="9" t="n">
        <v>372</v>
      </c>
      <c r="H200" s="9" t="n">
        <v>382</v>
      </c>
      <c r="I200" s="9" t="n">
        <v>10.6</v>
      </c>
      <c r="J200" s="9" t="s">
        <v>741</v>
      </c>
      <c r="K200" s="9" t="s">
        <v>97</v>
      </c>
      <c r="L200" s="9" t="s">
        <v>47</v>
      </c>
    </row>
    <row r="201" customFormat="false" ht="15" hidden="false" customHeight="false" outlineLevel="0" collapsed="false">
      <c r="A201" s="9" t="s">
        <v>1173</v>
      </c>
      <c r="B201" s="9" t="s">
        <v>781</v>
      </c>
      <c r="C201" s="9" t="s">
        <v>1174</v>
      </c>
      <c r="D201" s="9" t="s">
        <v>1175</v>
      </c>
      <c r="E201" s="9" t="s">
        <v>765</v>
      </c>
      <c r="F201" s="9" t="s">
        <v>766</v>
      </c>
      <c r="G201" s="9" t="n">
        <v>6506</v>
      </c>
      <c r="H201" s="9" t="n">
        <v>6627</v>
      </c>
      <c r="I201" s="9" t="n">
        <v>0</v>
      </c>
      <c r="J201" s="9"/>
      <c r="K201" s="9" t="s">
        <v>301</v>
      </c>
      <c r="L201" s="9" t="s">
        <v>47</v>
      </c>
    </row>
    <row r="202" customFormat="false" ht="15" hidden="false" customHeight="false" outlineLevel="0" collapsed="false">
      <c r="A202" s="9" t="s">
        <v>1176</v>
      </c>
      <c r="B202" s="9" t="s">
        <v>781</v>
      </c>
      <c r="C202" s="9" t="s">
        <v>775</v>
      </c>
      <c r="D202" s="9" t="s">
        <v>1177</v>
      </c>
      <c r="E202" s="9" t="s">
        <v>765</v>
      </c>
      <c r="F202" s="9" t="s">
        <v>766</v>
      </c>
      <c r="G202" s="9" t="n">
        <v>7752</v>
      </c>
      <c r="H202" s="9" t="n">
        <v>7945</v>
      </c>
      <c r="I202" s="9" t="n">
        <v>0</v>
      </c>
      <c r="J202" s="9"/>
      <c r="K202" s="9" t="s">
        <v>546</v>
      </c>
      <c r="L202" s="9" t="s">
        <v>47</v>
      </c>
    </row>
    <row r="203" customFormat="false" ht="15" hidden="false" customHeight="false" outlineLevel="0" collapsed="false">
      <c r="A203" s="9" t="s">
        <v>1178</v>
      </c>
      <c r="B203" s="9" t="s">
        <v>750</v>
      </c>
      <c r="C203" s="9" t="s">
        <v>838</v>
      </c>
      <c r="D203" s="9" t="s">
        <v>192</v>
      </c>
      <c r="E203" s="9" t="s">
        <v>753</v>
      </c>
      <c r="F203" s="9" t="s">
        <v>740</v>
      </c>
      <c r="G203" s="9" t="n">
        <v>399</v>
      </c>
      <c r="H203" s="9" t="n">
        <v>343</v>
      </c>
      <c r="I203" s="9" t="n">
        <v>0</v>
      </c>
      <c r="J203" s="9"/>
      <c r="K203" s="9" t="s">
        <v>720</v>
      </c>
      <c r="L203" s="9" t="s">
        <v>47</v>
      </c>
    </row>
    <row r="204" customFormat="false" ht="15" hidden="false" customHeight="false" outlineLevel="0" collapsed="false">
      <c r="A204" s="9" t="s">
        <v>1179</v>
      </c>
      <c r="B204" s="9" t="s">
        <v>736</v>
      </c>
      <c r="C204" s="9" t="s">
        <v>756</v>
      </c>
      <c r="D204" s="9" t="s">
        <v>1180</v>
      </c>
      <c r="E204" s="9" t="s">
        <v>753</v>
      </c>
      <c r="F204" s="9" t="s">
        <v>740</v>
      </c>
      <c r="G204" s="9" t="n">
        <v>126</v>
      </c>
      <c r="H204" s="9" t="n">
        <v>92</v>
      </c>
      <c r="I204" s="9" t="n">
        <v>0</v>
      </c>
      <c r="J204" s="9"/>
      <c r="K204" s="9" t="s">
        <v>223</v>
      </c>
      <c r="L204" s="9" t="s">
        <v>47</v>
      </c>
    </row>
    <row r="205" customFormat="false" ht="15" hidden="false" customHeight="false" outlineLevel="0" collapsed="false">
      <c r="A205" s="9" t="s">
        <v>1181</v>
      </c>
      <c r="B205" s="9" t="s">
        <v>743</v>
      </c>
      <c r="C205" s="9" t="s">
        <v>838</v>
      </c>
      <c r="D205" s="9" t="s">
        <v>1182</v>
      </c>
      <c r="E205" s="9" t="s">
        <v>739</v>
      </c>
      <c r="F205" s="9" t="s">
        <v>740</v>
      </c>
      <c r="G205" s="9" t="n">
        <v>295</v>
      </c>
      <c r="H205" s="9" t="n">
        <v>218</v>
      </c>
      <c r="I205" s="9" t="n">
        <v>2.5</v>
      </c>
      <c r="J205" s="9" t="s">
        <v>813</v>
      </c>
      <c r="K205" s="9" t="s">
        <v>542</v>
      </c>
      <c r="L205" s="9" t="s">
        <v>47</v>
      </c>
    </row>
    <row r="206" customFormat="false" ht="15" hidden="false" customHeight="false" outlineLevel="0" collapsed="false">
      <c r="A206" s="9" t="s">
        <v>1183</v>
      </c>
      <c r="B206" s="9" t="s">
        <v>755</v>
      </c>
      <c r="C206" s="9" t="s">
        <v>941</v>
      </c>
      <c r="D206" s="9" t="s">
        <v>1184</v>
      </c>
      <c r="E206" s="9" t="s">
        <v>765</v>
      </c>
      <c r="F206" s="9" t="s">
        <v>766</v>
      </c>
      <c r="G206" s="9" t="n">
        <v>11266</v>
      </c>
      <c r="H206" s="9" t="n">
        <v>11018</v>
      </c>
      <c r="I206" s="9" t="n">
        <v>0</v>
      </c>
      <c r="J206" s="9"/>
      <c r="K206" s="9" t="s">
        <v>416</v>
      </c>
      <c r="L206" s="9" t="s">
        <v>47</v>
      </c>
    </row>
    <row r="207" customFormat="false" ht="15" hidden="false" customHeight="false" outlineLevel="0" collapsed="false">
      <c r="A207" s="9" t="s">
        <v>1185</v>
      </c>
      <c r="B207" s="9" t="s">
        <v>762</v>
      </c>
      <c r="C207" s="9" t="s">
        <v>747</v>
      </c>
      <c r="D207" s="9" t="s">
        <v>1070</v>
      </c>
      <c r="E207" s="9" t="s">
        <v>739</v>
      </c>
      <c r="F207" s="9" t="s">
        <v>740</v>
      </c>
      <c r="G207" s="9" t="n">
        <v>214</v>
      </c>
      <c r="H207" s="9" t="n">
        <v>181</v>
      </c>
      <c r="I207" s="9" t="n">
        <v>5.7</v>
      </c>
      <c r="J207" s="9" t="s">
        <v>813</v>
      </c>
      <c r="K207" s="9" t="s">
        <v>97</v>
      </c>
      <c r="L207" s="9" t="s">
        <v>47</v>
      </c>
    </row>
    <row r="208" customFormat="false" ht="15" hidden="false" customHeight="false" outlineLevel="0" collapsed="false">
      <c r="A208" s="9" t="s">
        <v>1186</v>
      </c>
      <c r="B208" s="9" t="s">
        <v>743</v>
      </c>
      <c r="C208" s="9" t="s">
        <v>865</v>
      </c>
      <c r="D208" s="9" t="s">
        <v>1187</v>
      </c>
      <c r="E208" s="9" t="s">
        <v>739</v>
      </c>
      <c r="F208" s="9" t="s">
        <v>740</v>
      </c>
      <c r="G208" s="9" t="n">
        <v>233</v>
      </c>
      <c r="H208" s="9" t="n">
        <v>226</v>
      </c>
      <c r="I208" s="9" t="n">
        <v>0</v>
      </c>
      <c r="J208" s="9"/>
      <c r="K208" s="9" t="s">
        <v>185</v>
      </c>
      <c r="L208" s="9" t="s">
        <v>47</v>
      </c>
    </row>
    <row r="209" customFormat="false" ht="15" hidden="false" customHeight="false" outlineLevel="0" collapsed="false">
      <c r="A209" s="9" t="s">
        <v>1188</v>
      </c>
      <c r="B209" s="9" t="s">
        <v>781</v>
      </c>
      <c r="C209" s="9" t="s">
        <v>941</v>
      </c>
      <c r="D209" s="9" t="s">
        <v>1189</v>
      </c>
      <c r="E209" s="9" t="s">
        <v>753</v>
      </c>
      <c r="F209" s="9" t="s">
        <v>740</v>
      </c>
      <c r="G209" s="9" t="n">
        <v>323</v>
      </c>
      <c r="H209" s="9" t="n">
        <v>319</v>
      </c>
      <c r="I209" s="9" t="n">
        <v>0</v>
      </c>
      <c r="J209" s="9"/>
      <c r="K209" s="9" t="s">
        <v>97</v>
      </c>
      <c r="L209" s="9" t="s">
        <v>47</v>
      </c>
    </row>
    <row r="210" customFormat="false" ht="15" hidden="false" customHeight="false" outlineLevel="0" collapsed="false">
      <c r="A210" s="9" t="s">
        <v>1190</v>
      </c>
      <c r="B210" s="9" t="s">
        <v>831</v>
      </c>
      <c r="C210" s="9" t="s">
        <v>782</v>
      </c>
      <c r="D210" s="9" t="s">
        <v>1061</v>
      </c>
      <c r="E210" s="9" t="s">
        <v>753</v>
      </c>
      <c r="F210" s="9" t="s">
        <v>740</v>
      </c>
      <c r="G210" s="9" t="n">
        <v>138</v>
      </c>
      <c r="H210" s="9" t="n">
        <v>107</v>
      </c>
      <c r="I210" s="9" t="n">
        <v>0</v>
      </c>
      <c r="J210" s="9"/>
      <c r="K210" s="9" t="s">
        <v>550</v>
      </c>
      <c r="L210" s="9" t="s">
        <v>47</v>
      </c>
    </row>
    <row r="211" customFormat="false" ht="15" hidden="false" customHeight="false" outlineLevel="0" collapsed="false">
      <c r="A211" s="9" t="s">
        <v>1191</v>
      </c>
      <c r="B211" s="9" t="s">
        <v>768</v>
      </c>
      <c r="C211" s="9" t="s">
        <v>858</v>
      </c>
      <c r="D211" s="9" t="s">
        <v>1192</v>
      </c>
      <c r="E211" s="9" t="s">
        <v>739</v>
      </c>
      <c r="F211" s="9" t="s">
        <v>740</v>
      </c>
      <c r="G211" s="9" t="n">
        <v>230</v>
      </c>
      <c r="H211" s="9" t="n">
        <v>237</v>
      </c>
      <c r="I211" s="9" t="n">
        <v>0</v>
      </c>
      <c r="J211" s="9"/>
      <c r="K211" s="9" t="s">
        <v>454</v>
      </c>
      <c r="L211" s="9" t="s">
        <v>47</v>
      </c>
    </row>
    <row r="212" customFormat="false" ht="15" hidden="false" customHeight="false" outlineLevel="0" collapsed="false">
      <c r="A212" s="9" t="s">
        <v>1193</v>
      </c>
      <c r="B212" s="9" t="s">
        <v>831</v>
      </c>
      <c r="C212" s="9" t="s">
        <v>838</v>
      </c>
      <c r="D212" s="9" t="s">
        <v>1194</v>
      </c>
      <c r="E212" s="9" t="s">
        <v>753</v>
      </c>
      <c r="F212" s="9" t="s">
        <v>740</v>
      </c>
      <c r="G212" s="9" t="n">
        <v>139</v>
      </c>
      <c r="H212" s="9" t="n">
        <v>122</v>
      </c>
      <c r="I212" s="9" t="n">
        <v>4.2</v>
      </c>
      <c r="J212" s="9" t="s">
        <v>813</v>
      </c>
      <c r="K212" s="9" t="s">
        <v>97</v>
      </c>
      <c r="L212" s="9" t="s">
        <v>47</v>
      </c>
    </row>
    <row r="213" customFormat="false" ht="15" hidden="false" customHeight="false" outlineLevel="0" collapsed="false">
      <c r="A213" s="9" t="s">
        <v>1195</v>
      </c>
      <c r="B213" s="9" t="s">
        <v>755</v>
      </c>
      <c r="C213" s="9" t="s">
        <v>821</v>
      </c>
      <c r="D213" s="9" t="s">
        <v>1095</v>
      </c>
      <c r="E213" s="9" t="s">
        <v>753</v>
      </c>
      <c r="F213" s="9" t="s">
        <v>740</v>
      </c>
      <c r="G213" s="9" t="n">
        <v>364</v>
      </c>
      <c r="H213" s="9" t="n">
        <v>286</v>
      </c>
      <c r="I213" s="9" t="n">
        <v>12.9</v>
      </c>
      <c r="J213" s="9" t="s">
        <v>829</v>
      </c>
      <c r="K213" s="9" t="s">
        <v>97</v>
      </c>
      <c r="L213" s="9" t="s">
        <v>47</v>
      </c>
    </row>
    <row r="214" customFormat="false" ht="15" hidden="false" customHeight="false" outlineLevel="0" collapsed="false">
      <c r="A214" s="9" t="s">
        <v>1196</v>
      </c>
      <c r="B214" s="9" t="s">
        <v>853</v>
      </c>
      <c r="C214" s="9" t="s">
        <v>832</v>
      </c>
      <c r="D214" s="9" t="s">
        <v>886</v>
      </c>
      <c r="E214" s="9" t="s">
        <v>739</v>
      </c>
      <c r="F214" s="9" t="s">
        <v>740</v>
      </c>
      <c r="G214" s="9" t="n">
        <v>122</v>
      </c>
      <c r="H214" s="9" t="n">
        <v>119</v>
      </c>
      <c r="I214" s="9" t="n">
        <v>0</v>
      </c>
      <c r="J214" s="9"/>
      <c r="K214" s="9" t="s">
        <v>597</v>
      </c>
      <c r="L214" s="9" t="s">
        <v>47</v>
      </c>
    </row>
    <row r="215" customFormat="false" ht="15" hidden="false" customHeight="false" outlineLevel="0" collapsed="false">
      <c r="A215" s="9" t="s">
        <v>1197</v>
      </c>
      <c r="B215" s="9" t="s">
        <v>768</v>
      </c>
      <c r="C215" s="9" t="s">
        <v>993</v>
      </c>
      <c r="D215" s="9" t="s">
        <v>1198</v>
      </c>
      <c r="E215" s="9" t="s">
        <v>739</v>
      </c>
      <c r="F215" s="9" t="s">
        <v>740</v>
      </c>
      <c r="G215" s="9" t="n">
        <v>389</v>
      </c>
      <c r="H215" s="9" t="n">
        <v>330</v>
      </c>
      <c r="I215" s="9" t="n">
        <v>5.4</v>
      </c>
      <c r="J215" s="9" t="s">
        <v>813</v>
      </c>
      <c r="K215" s="9" t="s">
        <v>185</v>
      </c>
      <c r="L215" s="9" t="s">
        <v>47</v>
      </c>
    </row>
    <row r="216" customFormat="false" ht="15" hidden="false" customHeight="false" outlineLevel="0" collapsed="false">
      <c r="A216" s="9" t="s">
        <v>1199</v>
      </c>
      <c r="B216" s="9" t="s">
        <v>750</v>
      </c>
      <c r="C216" s="9" t="s">
        <v>838</v>
      </c>
      <c r="D216" s="9" t="s">
        <v>1200</v>
      </c>
      <c r="E216" s="9" t="s">
        <v>765</v>
      </c>
      <c r="F216" s="9" t="s">
        <v>766</v>
      </c>
      <c r="G216" s="9" t="n">
        <v>16586</v>
      </c>
      <c r="H216" s="9" t="n">
        <v>17244</v>
      </c>
      <c r="I216" s="9" t="n">
        <v>0</v>
      </c>
      <c r="J216" s="9"/>
      <c r="K216" s="9" t="s">
        <v>720</v>
      </c>
      <c r="L216" s="9" t="s">
        <v>47</v>
      </c>
    </row>
    <row r="217" customFormat="false" ht="15" hidden="false" customHeight="false" outlineLevel="0" collapsed="false">
      <c r="A217" s="9" t="s">
        <v>1201</v>
      </c>
      <c r="B217" s="9" t="s">
        <v>778</v>
      </c>
      <c r="C217" s="9" t="s">
        <v>747</v>
      </c>
      <c r="D217" s="9" t="s">
        <v>1202</v>
      </c>
      <c r="E217" s="9" t="s">
        <v>739</v>
      </c>
      <c r="F217" s="9" t="s">
        <v>740</v>
      </c>
      <c r="G217" s="9" t="n">
        <v>351</v>
      </c>
      <c r="H217" s="9" t="n">
        <v>347</v>
      </c>
      <c r="I217" s="9" t="n">
        <v>0</v>
      </c>
      <c r="J217" s="9"/>
      <c r="K217" s="9" t="s">
        <v>546</v>
      </c>
      <c r="L217" s="9" t="s">
        <v>47</v>
      </c>
    </row>
    <row r="218" customFormat="false" ht="15" hidden="false" customHeight="false" outlineLevel="0" collapsed="false">
      <c r="A218" s="9" t="s">
        <v>1203</v>
      </c>
      <c r="B218" s="9" t="s">
        <v>743</v>
      </c>
      <c r="C218" s="9" t="s">
        <v>737</v>
      </c>
      <c r="D218" s="9" t="s">
        <v>1204</v>
      </c>
      <c r="E218" s="9" t="s">
        <v>739</v>
      </c>
      <c r="F218" s="9" t="s">
        <v>740</v>
      </c>
      <c r="G218" s="9" t="n">
        <v>50</v>
      </c>
      <c r="H218" s="9" t="n">
        <v>51</v>
      </c>
      <c r="I218" s="9" t="n">
        <v>0</v>
      </c>
      <c r="J218" s="9"/>
      <c r="K218" s="9" t="s">
        <v>340</v>
      </c>
      <c r="L218" s="9" t="s">
        <v>47</v>
      </c>
    </row>
    <row r="219" customFormat="false" ht="15" hidden="false" customHeight="false" outlineLevel="0" collapsed="false">
      <c r="A219" s="9" t="s">
        <v>1205</v>
      </c>
      <c r="B219" s="9" t="s">
        <v>778</v>
      </c>
      <c r="C219" s="9" t="s">
        <v>775</v>
      </c>
      <c r="D219" s="9" t="s">
        <v>1206</v>
      </c>
      <c r="E219" s="9" t="s">
        <v>739</v>
      </c>
      <c r="F219" s="9" t="s">
        <v>740</v>
      </c>
      <c r="G219" s="9" t="n">
        <v>212</v>
      </c>
      <c r="H219" s="9" t="n">
        <v>217</v>
      </c>
      <c r="I219" s="9" t="n">
        <v>0</v>
      </c>
      <c r="J219" s="9"/>
      <c r="K219" s="9" t="s">
        <v>223</v>
      </c>
      <c r="L219" s="9" t="s">
        <v>47</v>
      </c>
    </row>
    <row r="220" customFormat="false" ht="15" hidden="false" customHeight="false" outlineLevel="0" collapsed="false">
      <c r="A220" s="9" t="s">
        <v>1207</v>
      </c>
      <c r="B220" s="9" t="s">
        <v>778</v>
      </c>
      <c r="C220" s="9" t="s">
        <v>979</v>
      </c>
      <c r="D220" s="9" t="s">
        <v>1208</v>
      </c>
      <c r="E220" s="9" t="s">
        <v>765</v>
      </c>
      <c r="F220" s="9" t="s">
        <v>766</v>
      </c>
      <c r="G220" s="9" t="n">
        <v>10425</v>
      </c>
      <c r="H220" s="9" t="n">
        <v>10070</v>
      </c>
      <c r="I220" s="9" t="n">
        <v>17.7</v>
      </c>
      <c r="J220" s="9" t="s">
        <v>813</v>
      </c>
      <c r="K220" s="9" t="s">
        <v>542</v>
      </c>
      <c r="L220" s="9" t="s">
        <v>47</v>
      </c>
    </row>
    <row r="221" customFormat="false" ht="15" hidden="false" customHeight="false" outlineLevel="0" collapsed="false">
      <c r="A221" s="9" t="s">
        <v>1209</v>
      </c>
      <c r="B221" s="9" t="s">
        <v>781</v>
      </c>
      <c r="C221" s="9" t="s">
        <v>952</v>
      </c>
      <c r="D221" s="9" t="s">
        <v>1210</v>
      </c>
      <c r="E221" s="9" t="s">
        <v>765</v>
      </c>
      <c r="F221" s="9" t="s">
        <v>766</v>
      </c>
      <c r="G221" s="9" t="n">
        <v>9345</v>
      </c>
      <c r="H221" s="9" t="n">
        <v>7375</v>
      </c>
      <c r="I221" s="9" t="n">
        <v>0</v>
      </c>
      <c r="J221" s="9"/>
      <c r="K221" s="9" t="s">
        <v>301</v>
      </c>
      <c r="L221" s="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23.85" hidden="false" customHeight="false" outlineLevel="0" collapsed="false">
      <c r="A1" s="8" t="s">
        <v>1211</v>
      </c>
      <c r="B1" s="8" t="s">
        <v>1212</v>
      </c>
      <c r="C1" s="8" t="s">
        <v>1213</v>
      </c>
      <c r="D1" s="8" t="s">
        <v>1214</v>
      </c>
      <c r="E1" s="8" t="s">
        <v>1215</v>
      </c>
      <c r="F1" s="8" t="s">
        <v>1216</v>
      </c>
      <c r="G1" s="8" t="s">
        <v>1217</v>
      </c>
      <c r="H1" s="8" t="s">
        <v>1218</v>
      </c>
      <c r="I1" s="8" t="s">
        <v>96</v>
      </c>
      <c r="J1" s="8" t="s">
        <v>1219</v>
      </c>
      <c r="K1" s="8" t="s">
        <v>1220</v>
      </c>
      <c r="L1" s="8" t="s">
        <v>1221</v>
      </c>
      <c r="M1" s="8" t="s">
        <v>41</v>
      </c>
    </row>
    <row r="2" customFormat="false" ht="15" hidden="false" customHeight="false" outlineLevel="0" collapsed="false">
      <c r="A2" s="9" t="s">
        <v>1222</v>
      </c>
      <c r="B2" s="9" t="s">
        <v>1223</v>
      </c>
      <c r="C2" s="9" t="s">
        <v>1224</v>
      </c>
      <c r="D2" s="9" t="s">
        <v>1225</v>
      </c>
      <c r="E2" s="9" t="s">
        <v>1226</v>
      </c>
      <c r="F2" s="9" t="s">
        <v>1227</v>
      </c>
      <c r="G2" s="9" t="s">
        <v>1228</v>
      </c>
      <c r="H2" s="9" t="n">
        <v>3594000000</v>
      </c>
      <c r="I2" s="9" t="s">
        <v>1229</v>
      </c>
      <c r="J2" s="9"/>
      <c r="K2" s="9" t="s">
        <v>530</v>
      </c>
      <c r="L2" s="9" t="s">
        <v>1230</v>
      </c>
      <c r="M2" s="9" t="s">
        <v>51</v>
      </c>
    </row>
    <row r="3" customFormat="false" ht="15" hidden="false" customHeight="false" outlineLevel="0" collapsed="false">
      <c r="A3" s="9" t="s">
        <v>1231</v>
      </c>
      <c r="B3" s="9" t="s">
        <v>1232</v>
      </c>
      <c r="C3" s="9" t="s">
        <v>1233</v>
      </c>
      <c r="D3" s="9" t="s">
        <v>1234</v>
      </c>
      <c r="E3" s="9" t="s">
        <v>1235</v>
      </c>
      <c r="F3" s="9" t="s">
        <v>1001</v>
      </c>
      <c r="G3" s="9" t="s">
        <v>1236</v>
      </c>
      <c r="H3" s="9" t="n">
        <v>3932000000</v>
      </c>
      <c r="I3" s="9" t="s">
        <v>1237</v>
      </c>
      <c r="J3" s="9" t="s">
        <v>797</v>
      </c>
      <c r="K3" s="9" t="s">
        <v>148</v>
      </c>
      <c r="L3" s="9" t="s">
        <v>1230</v>
      </c>
      <c r="M3" s="9" t="s">
        <v>51</v>
      </c>
    </row>
    <row r="4" customFormat="false" ht="15" hidden="false" customHeight="false" outlineLevel="0" collapsed="false">
      <c r="A4" s="9" t="s">
        <v>1238</v>
      </c>
      <c r="B4" s="9" t="s">
        <v>1239</v>
      </c>
      <c r="C4" s="9" t="s">
        <v>1240</v>
      </c>
      <c r="D4" s="9" t="s">
        <v>1241</v>
      </c>
      <c r="E4" s="9" t="s">
        <v>1226</v>
      </c>
      <c r="F4" s="9" t="s">
        <v>790</v>
      </c>
      <c r="G4" s="9" t="s">
        <v>1242</v>
      </c>
      <c r="H4" s="9" t="n">
        <v>1398000000</v>
      </c>
      <c r="I4" s="9" t="s">
        <v>1229</v>
      </c>
      <c r="J4" s="9" t="s">
        <v>799</v>
      </c>
      <c r="K4" s="9" t="s">
        <v>189</v>
      </c>
      <c r="L4" s="9" t="s">
        <v>1230</v>
      </c>
      <c r="M4" s="9" t="s">
        <v>51</v>
      </c>
    </row>
    <row r="5" customFormat="false" ht="15" hidden="false" customHeight="false" outlineLevel="0" collapsed="false">
      <c r="A5" s="9" t="s">
        <v>1243</v>
      </c>
      <c r="B5" s="9" t="s">
        <v>1244</v>
      </c>
      <c r="C5" s="9" t="s">
        <v>1245</v>
      </c>
      <c r="D5" s="9" t="s">
        <v>1246</v>
      </c>
      <c r="E5" s="9" t="s">
        <v>1226</v>
      </c>
      <c r="F5" s="9" t="s">
        <v>1247</v>
      </c>
      <c r="G5" s="9" t="s">
        <v>1248</v>
      </c>
      <c r="H5" s="9" t="n">
        <v>4980000000</v>
      </c>
      <c r="I5" s="9" t="s">
        <v>1229</v>
      </c>
      <c r="J5" s="9" t="s">
        <v>816</v>
      </c>
      <c r="K5" s="9" t="s">
        <v>498</v>
      </c>
      <c r="L5" s="9" t="s">
        <v>1230</v>
      </c>
      <c r="M5" s="9" t="s">
        <v>51</v>
      </c>
    </row>
    <row r="6" customFormat="false" ht="15" hidden="false" customHeight="false" outlineLevel="0" collapsed="false">
      <c r="A6" s="9" t="s">
        <v>1249</v>
      </c>
      <c r="B6" s="9" t="s">
        <v>1250</v>
      </c>
      <c r="C6" s="9" t="s">
        <v>1251</v>
      </c>
      <c r="D6" s="9" t="s">
        <v>1252</v>
      </c>
      <c r="E6" s="9" t="s">
        <v>1235</v>
      </c>
      <c r="F6" s="9" t="s">
        <v>1253</v>
      </c>
      <c r="G6" s="9" t="s">
        <v>1254</v>
      </c>
      <c r="H6" s="9" t="n">
        <v>2311000000</v>
      </c>
      <c r="I6" s="9" t="s">
        <v>1255</v>
      </c>
      <c r="J6" s="9" t="s">
        <v>784</v>
      </c>
      <c r="K6" s="9" t="s">
        <v>526</v>
      </c>
      <c r="L6" s="9" t="s">
        <v>1230</v>
      </c>
      <c r="M6" s="9" t="s">
        <v>51</v>
      </c>
    </row>
    <row r="7" customFormat="false" ht="15" hidden="false" customHeight="false" outlineLevel="0" collapsed="false">
      <c r="A7" s="9" t="s">
        <v>1256</v>
      </c>
      <c r="B7" s="9" t="s">
        <v>1257</v>
      </c>
      <c r="C7" s="9" t="s">
        <v>1245</v>
      </c>
      <c r="D7" s="9" t="s">
        <v>1258</v>
      </c>
      <c r="E7" s="9" t="s">
        <v>1226</v>
      </c>
      <c r="F7" s="9" t="s">
        <v>1005</v>
      </c>
      <c r="G7" s="9" t="s">
        <v>1259</v>
      </c>
      <c r="H7" s="9" t="n">
        <v>3507000000</v>
      </c>
      <c r="I7" s="9" t="s">
        <v>104</v>
      </c>
      <c r="J7" s="9" t="s">
        <v>1118</v>
      </c>
      <c r="K7" s="9" t="s">
        <v>601</v>
      </c>
      <c r="L7" s="9" t="s">
        <v>1260</v>
      </c>
      <c r="M7" s="9" t="s">
        <v>51</v>
      </c>
    </row>
    <row r="8" customFormat="false" ht="15" hidden="false" customHeight="false" outlineLevel="0" collapsed="false">
      <c r="A8" s="9" t="s">
        <v>1261</v>
      </c>
      <c r="B8" s="9" t="s">
        <v>1262</v>
      </c>
      <c r="C8" s="9" t="s">
        <v>1263</v>
      </c>
      <c r="D8" s="9" t="s">
        <v>1264</v>
      </c>
      <c r="E8" s="9" t="s">
        <v>1265</v>
      </c>
      <c r="F8" s="9" t="s">
        <v>1012</v>
      </c>
      <c r="G8" s="9" t="s">
        <v>1177</v>
      </c>
      <c r="H8" s="9" t="n">
        <v>3884000000</v>
      </c>
      <c r="I8" s="9" t="s">
        <v>104</v>
      </c>
      <c r="J8" s="9" t="s">
        <v>985</v>
      </c>
      <c r="K8" s="9" t="s">
        <v>601</v>
      </c>
      <c r="L8" s="9" t="s">
        <v>1230</v>
      </c>
      <c r="M8" s="9" t="s">
        <v>51</v>
      </c>
    </row>
    <row r="9" customFormat="false" ht="15" hidden="false" customHeight="false" outlineLevel="0" collapsed="false">
      <c r="A9" s="9" t="s">
        <v>1266</v>
      </c>
      <c r="B9" s="9" t="s">
        <v>1223</v>
      </c>
      <c r="C9" s="9" t="s">
        <v>1224</v>
      </c>
      <c r="D9" s="9" t="s">
        <v>1225</v>
      </c>
      <c r="E9" s="9" t="s">
        <v>1235</v>
      </c>
      <c r="F9" s="9" t="s">
        <v>1267</v>
      </c>
      <c r="G9" s="9" t="s">
        <v>1268</v>
      </c>
      <c r="H9" s="9" t="n">
        <v>3044000000</v>
      </c>
      <c r="I9" s="9" t="s">
        <v>1229</v>
      </c>
      <c r="J9" s="9" t="s">
        <v>1011</v>
      </c>
      <c r="K9" s="9" t="s">
        <v>148</v>
      </c>
      <c r="L9" s="9" t="s">
        <v>1230</v>
      </c>
      <c r="M9" s="9" t="s">
        <v>51</v>
      </c>
    </row>
    <row r="10" customFormat="false" ht="15" hidden="false" customHeight="false" outlineLevel="0" collapsed="false">
      <c r="A10" s="9" t="s">
        <v>1269</v>
      </c>
      <c r="B10" s="9" t="s">
        <v>1270</v>
      </c>
      <c r="C10" s="9" t="s">
        <v>1245</v>
      </c>
      <c r="D10" s="9" t="s">
        <v>1241</v>
      </c>
      <c r="E10" s="9" t="s">
        <v>1265</v>
      </c>
      <c r="F10" s="9" t="s">
        <v>1134</v>
      </c>
      <c r="G10" s="9" t="s">
        <v>1271</v>
      </c>
      <c r="H10" s="9" t="n">
        <v>509000000</v>
      </c>
      <c r="I10" s="9" t="s">
        <v>1237</v>
      </c>
      <c r="J10" s="9"/>
      <c r="K10" s="9" t="s">
        <v>226</v>
      </c>
      <c r="L10" s="9" t="s">
        <v>1260</v>
      </c>
      <c r="M10" s="9" t="s">
        <v>51</v>
      </c>
    </row>
    <row r="11" customFormat="false" ht="15" hidden="false" customHeight="false" outlineLevel="0" collapsed="false">
      <c r="A11" s="9" t="s">
        <v>1272</v>
      </c>
      <c r="B11" s="9" t="s">
        <v>1273</v>
      </c>
      <c r="C11" s="9" t="s">
        <v>1240</v>
      </c>
      <c r="D11" s="9" t="s">
        <v>1274</v>
      </c>
      <c r="E11" s="9" t="s">
        <v>1275</v>
      </c>
      <c r="F11" s="9" t="s">
        <v>1276</v>
      </c>
      <c r="G11" s="9" t="s">
        <v>1277</v>
      </c>
      <c r="H11" s="9" t="n">
        <v>4540000000</v>
      </c>
      <c r="I11" s="9" t="s">
        <v>104</v>
      </c>
      <c r="J11" s="9"/>
      <c r="K11" s="9" t="s">
        <v>708</v>
      </c>
      <c r="L11" s="9" t="s">
        <v>1230</v>
      </c>
      <c r="M11" s="9" t="s">
        <v>51</v>
      </c>
    </row>
    <row r="12" customFormat="false" ht="15" hidden="false" customHeight="false" outlineLevel="0" collapsed="false">
      <c r="A12" s="9" t="s">
        <v>1278</v>
      </c>
      <c r="B12" s="9" t="s">
        <v>1279</v>
      </c>
      <c r="C12" s="9" t="s">
        <v>1245</v>
      </c>
      <c r="D12" s="9" t="s">
        <v>1280</v>
      </c>
      <c r="E12" s="9" t="s">
        <v>1265</v>
      </c>
      <c r="F12" s="9" t="s">
        <v>1281</v>
      </c>
      <c r="G12" s="9" t="s">
        <v>1282</v>
      </c>
      <c r="H12" s="9" t="n">
        <v>651000000</v>
      </c>
      <c r="I12" s="9" t="s">
        <v>1229</v>
      </c>
      <c r="J12" s="9"/>
      <c r="K12" s="9" t="s">
        <v>148</v>
      </c>
      <c r="L12" s="9" t="s">
        <v>1230</v>
      </c>
      <c r="M12" s="9" t="s">
        <v>51</v>
      </c>
    </row>
    <row r="13" customFormat="false" ht="15" hidden="false" customHeight="false" outlineLevel="0" collapsed="false">
      <c r="A13" s="9" t="s">
        <v>1283</v>
      </c>
      <c r="B13" s="9" t="s">
        <v>1284</v>
      </c>
      <c r="C13" s="9" t="s">
        <v>1285</v>
      </c>
      <c r="D13" s="9" t="s">
        <v>1225</v>
      </c>
      <c r="E13" s="9" t="s">
        <v>1275</v>
      </c>
      <c r="F13" s="9" t="s">
        <v>874</v>
      </c>
      <c r="G13" s="9" t="s">
        <v>1286</v>
      </c>
      <c r="H13" s="9" t="n">
        <v>1740000000</v>
      </c>
      <c r="I13" s="9" t="s">
        <v>1237</v>
      </c>
      <c r="J13" s="9" t="s">
        <v>999</v>
      </c>
      <c r="K13" s="9" t="s">
        <v>189</v>
      </c>
      <c r="L13" s="9" t="s">
        <v>1230</v>
      </c>
      <c r="M13" s="9" t="s">
        <v>51</v>
      </c>
    </row>
    <row r="14" customFormat="false" ht="15" hidden="false" customHeight="false" outlineLevel="0" collapsed="false">
      <c r="A14" s="9" t="s">
        <v>1287</v>
      </c>
      <c r="B14" s="9" t="s">
        <v>1288</v>
      </c>
      <c r="C14" s="9" t="s">
        <v>1233</v>
      </c>
      <c r="D14" s="9" t="s">
        <v>1264</v>
      </c>
      <c r="E14" s="9" t="s">
        <v>1265</v>
      </c>
      <c r="F14" s="9" t="s">
        <v>1289</v>
      </c>
      <c r="G14" s="9" t="s">
        <v>1290</v>
      </c>
      <c r="H14" s="9" t="n">
        <v>2624000000</v>
      </c>
      <c r="I14" s="9" t="s">
        <v>104</v>
      </c>
      <c r="J14" s="9" t="s">
        <v>1065</v>
      </c>
      <c r="K14" s="9" t="s">
        <v>526</v>
      </c>
      <c r="L14" s="9" t="s">
        <v>1230</v>
      </c>
      <c r="M14" s="9" t="s">
        <v>51</v>
      </c>
    </row>
    <row r="15" customFormat="false" ht="15" hidden="false" customHeight="false" outlineLevel="0" collapsed="false">
      <c r="A15" s="9" t="s">
        <v>1291</v>
      </c>
      <c r="B15" s="9" t="s">
        <v>1292</v>
      </c>
      <c r="C15" s="9" t="s">
        <v>1224</v>
      </c>
      <c r="D15" s="9" t="s">
        <v>1274</v>
      </c>
      <c r="E15" s="9" t="s">
        <v>1275</v>
      </c>
      <c r="F15" s="9" t="s">
        <v>1293</v>
      </c>
      <c r="G15" s="9" t="s">
        <v>1294</v>
      </c>
      <c r="H15" s="9" t="n">
        <v>4818000000</v>
      </c>
      <c r="I15" s="9" t="s">
        <v>1229</v>
      </c>
      <c r="J15" s="9" t="s">
        <v>855</v>
      </c>
      <c r="K15" s="9" t="s">
        <v>266</v>
      </c>
      <c r="L15" s="9" t="s">
        <v>1230</v>
      </c>
      <c r="M15" s="9" t="s">
        <v>51</v>
      </c>
    </row>
    <row r="16" customFormat="false" ht="15" hidden="false" customHeight="false" outlineLevel="0" collapsed="false">
      <c r="A16" s="9" t="s">
        <v>1295</v>
      </c>
      <c r="B16" s="9" t="s">
        <v>1296</v>
      </c>
      <c r="C16" s="9" t="s">
        <v>1297</v>
      </c>
      <c r="D16" s="9" t="s">
        <v>1225</v>
      </c>
      <c r="E16" s="9" t="s">
        <v>1235</v>
      </c>
      <c r="F16" s="9" t="s">
        <v>1298</v>
      </c>
      <c r="G16" s="9" t="s">
        <v>863</v>
      </c>
      <c r="H16" s="9" t="n">
        <v>4392000000</v>
      </c>
      <c r="I16" s="9" t="s">
        <v>1255</v>
      </c>
      <c r="J16" s="9"/>
      <c r="K16" s="9" t="s">
        <v>420</v>
      </c>
      <c r="L16" s="9" t="s">
        <v>1230</v>
      </c>
      <c r="M16" s="9" t="s">
        <v>51</v>
      </c>
    </row>
    <row r="17" customFormat="false" ht="15" hidden="false" customHeight="false" outlineLevel="0" collapsed="false">
      <c r="A17" s="9" t="s">
        <v>1299</v>
      </c>
      <c r="B17" s="9" t="s">
        <v>1279</v>
      </c>
      <c r="C17" s="9" t="s">
        <v>1245</v>
      </c>
      <c r="D17" s="9" t="s">
        <v>1280</v>
      </c>
      <c r="E17" s="9" t="s">
        <v>1235</v>
      </c>
      <c r="F17" s="9" t="s">
        <v>1300</v>
      </c>
      <c r="G17" s="9" t="s">
        <v>1301</v>
      </c>
      <c r="H17" s="9" t="n">
        <v>1415000000</v>
      </c>
      <c r="I17" s="9" t="s">
        <v>1255</v>
      </c>
      <c r="J17" s="9" t="s">
        <v>1096</v>
      </c>
      <c r="K17" s="9" t="s">
        <v>526</v>
      </c>
      <c r="L17" s="9" t="s">
        <v>1260</v>
      </c>
      <c r="M17" s="9" t="s">
        <v>51</v>
      </c>
    </row>
    <row r="18" customFormat="false" ht="15" hidden="false" customHeight="false" outlineLevel="0" collapsed="false">
      <c r="A18" s="9" t="s">
        <v>1302</v>
      </c>
      <c r="B18" s="9" t="s">
        <v>1303</v>
      </c>
      <c r="C18" s="9" t="s">
        <v>1240</v>
      </c>
      <c r="D18" s="9" t="s">
        <v>1246</v>
      </c>
      <c r="E18" s="9" t="s">
        <v>1265</v>
      </c>
      <c r="F18" s="9" t="s">
        <v>1304</v>
      </c>
      <c r="G18" s="9" t="s">
        <v>1305</v>
      </c>
      <c r="H18" s="9" t="n">
        <v>2205000000</v>
      </c>
      <c r="I18" s="9" t="s">
        <v>1255</v>
      </c>
      <c r="J18" s="9" t="s">
        <v>1191</v>
      </c>
      <c r="K18" s="9" t="s">
        <v>458</v>
      </c>
      <c r="L18" s="9" t="s">
        <v>1230</v>
      </c>
      <c r="M18" s="9" t="s">
        <v>51</v>
      </c>
    </row>
    <row r="19" customFormat="false" ht="15" hidden="false" customHeight="false" outlineLevel="0" collapsed="false">
      <c r="A19" s="9" t="s">
        <v>1306</v>
      </c>
      <c r="B19" s="9" t="s">
        <v>1244</v>
      </c>
      <c r="C19" s="9" t="s">
        <v>1245</v>
      </c>
      <c r="D19" s="9" t="s">
        <v>1246</v>
      </c>
      <c r="E19" s="9" t="s">
        <v>1226</v>
      </c>
      <c r="F19" s="9" t="s">
        <v>1307</v>
      </c>
      <c r="G19" s="9" t="s">
        <v>1308</v>
      </c>
      <c r="H19" s="9" t="n">
        <v>2466000000</v>
      </c>
      <c r="I19" s="9" t="s">
        <v>1229</v>
      </c>
      <c r="J19" s="9"/>
      <c r="K19" s="9" t="s">
        <v>498</v>
      </c>
      <c r="L19" s="9" t="s">
        <v>1230</v>
      </c>
      <c r="M19" s="9" t="s">
        <v>51</v>
      </c>
    </row>
    <row r="20" customFormat="false" ht="15" hidden="false" customHeight="false" outlineLevel="0" collapsed="false">
      <c r="A20" s="9" t="s">
        <v>1309</v>
      </c>
      <c r="B20" s="9" t="s">
        <v>1310</v>
      </c>
      <c r="C20" s="9" t="s">
        <v>1233</v>
      </c>
      <c r="D20" s="9" t="s">
        <v>1280</v>
      </c>
      <c r="E20" s="9" t="s">
        <v>1226</v>
      </c>
      <c r="F20" s="9" t="s">
        <v>1311</v>
      </c>
      <c r="G20" s="9" t="s">
        <v>1312</v>
      </c>
      <c r="H20" s="9" t="n">
        <v>1736000000</v>
      </c>
      <c r="I20" s="9" t="s">
        <v>1229</v>
      </c>
      <c r="J20" s="9"/>
      <c r="K20" s="9" t="s">
        <v>708</v>
      </c>
      <c r="L20" s="9" t="s">
        <v>1230</v>
      </c>
      <c r="M20" s="9" t="s">
        <v>51</v>
      </c>
    </row>
    <row r="21" customFormat="false" ht="15" hidden="false" customHeight="false" outlineLevel="0" collapsed="false">
      <c r="A21" s="9" t="s">
        <v>1313</v>
      </c>
      <c r="B21" s="9" t="s">
        <v>1314</v>
      </c>
      <c r="C21" s="9" t="s">
        <v>1263</v>
      </c>
      <c r="D21" s="9" t="s">
        <v>1274</v>
      </c>
      <c r="E21" s="9" t="s">
        <v>1265</v>
      </c>
      <c r="F21" s="9" t="s">
        <v>1315</v>
      </c>
      <c r="G21" s="9" t="s">
        <v>1316</v>
      </c>
      <c r="H21" s="9" t="n">
        <v>4156000000</v>
      </c>
      <c r="I21" s="9" t="s">
        <v>1229</v>
      </c>
      <c r="J21" s="9" t="s">
        <v>1205</v>
      </c>
      <c r="K21" s="9" t="s">
        <v>708</v>
      </c>
      <c r="L21" s="9" t="s">
        <v>1230</v>
      </c>
      <c r="M21" s="9" t="s">
        <v>51</v>
      </c>
    </row>
    <row r="22" customFormat="false" ht="15" hidden="false" customHeight="false" outlineLevel="0" collapsed="false">
      <c r="A22" s="9" t="s">
        <v>1317</v>
      </c>
      <c r="B22" s="9" t="s">
        <v>1318</v>
      </c>
      <c r="C22" s="9" t="s">
        <v>1263</v>
      </c>
      <c r="D22" s="9" t="s">
        <v>1258</v>
      </c>
      <c r="E22" s="9" t="s">
        <v>1265</v>
      </c>
      <c r="F22" s="9" t="s">
        <v>1319</v>
      </c>
      <c r="G22" s="9" t="s">
        <v>1320</v>
      </c>
      <c r="H22" s="9" t="n">
        <v>2048000000</v>
      </c>
      <c r="I22" s="9" t="s">
        <v>104</v>
      </c>
      <c r="J22" s="9" t="s">
        <v>967</v>
      </c>
      <c r="K22" s="9" t="s">
        <v>344</v>
      </c>
      <c r="L22" s="9" t="s">
        <v>1230</v>
      </c>
      <c r="M22" s="9" t="s">
        <v>51</v>
      </c>
    </row>
    <row r="23" customFormat="false" ht="15" hidden="false" customHeight="false" outlineLevel="0" collapsed="false">
      <c r="A23" s="9" t="s">
        <v>1321</v>
      </c>
      <c r="B23" s="9" t="s">
        <v>1322</v>
      </c>
      <c r="C23" s="9" t="s">
        <v>1245</v>
      </c>
      <c r="D23" s="9" t="s">
        <v>1274</v>
      </c>
      <c r="E23" s="9" t="s">
        <v>1275</v>
      </c>
      <c r="F23" s="9" t="s">
        <v>1323</v>
      </c>
      <c r="G23" s="9" t="s">
        <v>1324</v>
      </c>
      <c r="H23" s="9" t="n">
        <v>1986000000</v>
      </c>
      <c r="I23" s="9" t="s">
        <v>1255</v>
      </c>
      <c r="J23" s="9" t="s">
        <v>1011</v>
      </c>
      <c r="K23" s="9" t="s">
        <v>305</v>
      </c>
      <c r="L23" s="9" t="s">
        <v>1230</v>
      </c>
      <c r="M23" s="9" t="s">
        <v>51</v>
      </c>
    </row>
    <row r="24" customFormat="false" ht="15" hidden="false" customHeight="false" outlineLevel="0" collapsed="false">
      <c r="A24" s="9" t="s">
        <v>1325</v>
      </c>
      <c r="B24" s="9" t="s">
        <v>1279</v>
      </c>
      <c r="C24" s="9" t="s">
        <v>1245</v>
      </c>
      <c r="D24" s="9" t="s">
        <v>1280</v>
      </c>
      <c r="E24" s="9" t="s">
        <v>1235</v>
      </c>
      <c r="F24" s="9" t="s">
        <v>1326</v>
      </c>
      <c r="G24" s="9" t="s">
        <v>1327</v>
      </c>
      <c r="H24" s="9" t="n">
        <v>1344000000</v>
      </c>
      <c r="I24" s="9" t="s">
        <v>1255</v>
      </c>
      <c r="J24" s="9"/>
      <c r="K24" s="9" t="s">
        <v>189</v>
      </c>
      <c r="L24" s="9" t="s">
        <v>1230</v>
      </c>
      <c r="M24" s="9" t="s">
        <v>51</v>
      </c>
    </row>
    <row r="25" customFormat="false" ht="15" hidden="false" customHeight="false" outlineLevel="0" collapsed="false">
      <c r="A25" s="9" t="s">
        <v>1328</v>
      </c>
      <c r="B25" s="9" t="s">
        <v>1329</v>
      </c>
      <c r="C25" s="9" t="s">
        <v>1233</v>
      </c>
      <c r="D25" s="9" t="s">
        <v>1330</v>
      </c>
      <c r="E25" s="9" t="s">
        <v>1265</v>
      </c>
      <c r="F25" s="9" t="s">
        <v>1331</v>
      </c>
      <c r="G25" s="9" t="s">
        <v>1332</v>
      </c>
      <c r="H25" s="9" t="n">
        <v>1818000000</v>
      </c>
      <c r="I25" s="9" t="s">
        <v>1237</v>
      </c>
      <c r="J25" s="9"/>
      <c r="K25" s="9" t="s">
        <v>420</v>
      </c>
      <c r="L25" s="9" t="s">
        <v>1230</v>
      </c>
      <c r="M25" s="9" t="s">
        <v>51</v>
      </c>
    </row>
    <row r="26" customFormat="false" ht="15" hidden="false" customHeight="false" outlineLevel="0" collapsed="false">
      <c r="A26" s="9" t="s">
        <v>1333</v>
      </c>
      <c r="B26" s="9" t="s">
        <v>1334</v>
      </c>
      <c r="C26" s="9" t="s">
        <v>1263</v>
      </c>
      <c r="D26" s="9" t="s">
        <v>1335</v>
      </c>
      <c r="E26" s="9" t="s">
        <v>1226</v>
      </c>
      <c r="F26" s="9" t="s">
        <v>1336</v>
      </c>
      <c r="G26" s="9" t="s">
        <v>1337</v>
      </c>
      <c r="H26" s="9" t="n">
        <v>1423000000</v>
      </c>
      <c r="I26" s="9" t="s">
        <v>104</v>
      </c>
      <c r="J26" s="9" t="s">
        <v>1090</v>
      </c>
      <c r="K26" s="9" t="s">
        <v>458</v>
      </c>
      <c r="L26" s="9" t="s">
        <v>1230</v>
      </c>
      <c r="M26" s="9" t="s">
        <v>51</v>
      </c>
    </row>
    <row r="27" customFormat="false" ht="15" hidden="false" customHeight="false" outlineLevel="0" collapsed="false">
      <c r="A27" s="9" t="s">
        <v>1338</v>
      </c>
      <c r="B27" s="9" t="s">
        <v>1339</v>
      </c>
      <c r="C27" s="9" t="s">
        <v>1224</v>
      </c>
      <c r="D27" s="9" t="s">
        <v>1252</v>
      </c>
      <c r="E27" s="9" t="s">
        <v>1275</v>
      </c>
      <c r="F27" s="9" t="s">
        <v>1340</v>
      </c>
      <c r="G27" s="9" t="s">
        <v>1341</v>
      </c>
      <c r="H27" s="9" t="n">
        <v>2069000000</v>
      </c>
      <c r="I27" s="9" t="s">
        <v>1237</v>
      </c>
      <c r="J27" s="9" t="s">
        <v>1125</v>
      </c>
      <c r="K27" s="9" t="s">
        <v>708</v>
      </c>
      <c r="L27" s="9" t="s">
        <v>1230</v>
      </c>
      <c r="M27" s="9" t="s">
        <v>51</v>
      </c>
    </row>
    <row r="28" customFormat="false" ht="15" hidden="false" customHeight="false" outlineLevel="0" collapsed="false">
      <c r="A28" s="9" t="s">
        <v>1342</v>
      </c>
      <c r="B28" s="9" t="s">
        <v>1310</v>
      </c>
      <c r="C28" s="9" t="s">
        <v>1233</v>
      </c>
      <c r="D28" s="9" t="s">
        <v>1280</v>
      </c>
      <c r="E28" s="9" t="s">
        <v>1226</v>
      </c>
      <c r="F28" s="9" t="s">
        <v>1343</v>
      </c>
      <c r="G28" s="9" t="s">
        <v>1344</v>
      </c>
      <c r="H28" s="9" t="n">
        <v>3070000000</v>
      </c>
      <c r="I28" s="9" t="s">
        <v>1255</v>
      </c>
      <c r="J28" s="9" t="s">
        <v>823</v>
      </c>
      <c r="K28" s="9" t="s">
        <v>601</v>
      </c>
      <c r="L28" s="9" t="s">
        <v>1260</v>
      </c>
      <c r="M28" s="9" t="s">
        <v>51</v>
      </c>
    </row>
    <row r="29" customFormat="false" ht="15" hidden="false" customHeight="false" outlineLevel="0" collapsed="false">
      <c r="A29" s="9" t="s">
        <v>1345</v>
      </c>
      <c r="B29" s="9" t="s">
        <v>1346</v>
      </c>
      <c r="C29" s="9" t="s">
        <v>1224</v>
      </c>
      <c r="D29" s="9" t="s">
        <v>1335</v>
      </c>
      <c r="E29" s="9" t="s">
        <v>1347</v>
      </c>
      <c r="F29" s="9" t="s">
        <v>1113</v>
      </c>
      <c r="G29" s="9" t="s">
        <v>1348</v>
      </c>
      <c r="H29" s="9" t="n">
        <v>2452000000</v>
      </c>
      <c r="I29" s="9" t="s">
        <v>1237</v>
      </c>
      <c r="J29" s="9" t="s">
        <v>1166</v>
      </c>
      <c r="K29" s="9" t="s">
        <v>381</v>
      </c>
      <c r="L29" s="9" t="s">
        <v>1230</v>
      </c>
      <c r="M29" s="9" t="s">
        <v>51</v>
      </c>
    </row>
    <row r="30" customFormat="false" ht="15" hidden="false" customHeight="false" outlineLevel="0" collapsed="false">
      <c r="A30" s="9" t="s">
        <v>1349</v>
      </c>
      <c r="B30" s="9" t="s">
        <v>1350</v>
      </c>
      <c r="C30" s="9" t="s">
        <v>1233</v>
      </c>
      <c r="D30" s="9" t="s">
        <v>1335</v>
      </c>
      <c r="E30" s="9" t="s">
        <v>1347</v>
      </c>
      <c r="F30" s="9" t="s">
        <v>856</v>
      </c>
      <c r="G30" s="9" t="s">
        <v>1351</v>
      </c>
      <c r="H30" s="9" t="n">
        <v>4079000000</v>
      </c>
      <c r="I30" s="9" t="s">
        <v>1255</v>
      </c>
      <c r="J30" s="9" t="s">
        <v>997</v>
      </c>
      <c r="K30" s="9" t="s">
        <v>526</v>
      </c>
      <c r="L30" s="9" t="s">
        <v>1230</v>
      </c>
      <c r="M30" s="9" t="s">
        <v>51</v>
      </c>
    </row>
    <row r="31" customFormat="false" ht="15" hidden="false" customHeight="false" outlineLevel="0" collapsed="false">
      <c r="A31" s="9" t="s">
        <v>1352</v>
      </c>
      <c r="B31" s="9" t="s">
        <v>1353</v>
      </c>
      <c r="C31" s="9" t="s">
        <v>1263</v>
      </c>
      <c r="D31" s="9" t="s">
        <v>1280</v>
      </c>
      <c r="E31" s="9" t="s">
        <v>1235</v>
      </c>
      <c r="F31" s="9" t="s">
        <v>1354</v>
      </c>
      <c r="G31" s="9" t="s">
        <v>1355</v>
      </c>
      <c r="H31" s="9" t="n">
        <v>1826000000</v>
      </c>
      <c r="I31" s="9" t="s">
        <v>1229</v>
      </c>
      <c r="J31" s="9"/>
      <c r="K31" s="9" t="s">
        <v>522</v>
      </c>
      <c r="L31" s="9" t="s">
        <v>1230</v>
      </c>
      <c r="M31" s="9" t="s">
        <v>51</v>
      </c>
    </row>
    <row r="32" customFormat="false" ht="15" hidden="false" customHeight="false" outlineLevel="0" collapsed="false">
      <c r="A32" s="9" t="s">
        <v>1356</v>
      </c>
      <c r="B32" s="9" t="s">
        <v>1357</v>
      </c>
      <c r="C32" s="9" t="s">
        <v>1285</v>
      </c>
      <c r="D32" s="9" t="s">
        <v>1335</v>
      </c>
      <c r="E32" s="9" t="s">
        <v>1235</v>
      </c>
      <c r="F32" s="9" t="s">
        <v>1358</v>
      </c>
      <c r="G32" s="9" t="s">
        <v>1359</v>
      </c>
      <c r="H32" s="9" t="n">
        <v>804000000</v>
      </c>
      <c r="I32" s="9" t="s">
        <v>1229</v>
      </c>
      <c r="J32" s="9" t="s">
        <v>913</v>
      </c>
      <c r="K32" s="9" t="s">
        <v>305</v>
      </c>
      <c r="L32" s="9" t="s">
        <v>1230</v>
      </c>
      <c r="M32" s="9" t="s">
        <v>51</v>
      </c>
    </row>
    <row r="33" customFormat="false" ht="15" hidden="false" customHeight="false" outlineLevel="0" collapsed="false">
      <c r="A33" s="9" t="s">
        <v>1360</v>
      </c>
      <c r="B33" s="9" t="s">
        <v>1361</v>
      </c>
      <c r="C33" s="9" t="s">
        <v>1240</v>
      </c>
      <c r="D33" s="9" t="s">
        <v>1335</v>
      </c>
      <c r="E33" s="9" t="s">
        <v>1226</v>
      </c>
      <c r="F33" s="9" t="s">
        <v>1362</v>
      </c>
      <c r="G33" s="9" t="s">
        <v>1363</v>
      </c>
      <c r="H33" s="9" t="n">
        <v>1834000000</v>
      </c>
      <c r="I33" s="9" t="s">
        <v>1255</v>
      </c>
      <c r="J33" s="9" t="s">
        <v>949</v>
      </c>
      <c r="K33" s="9" t="s">
        <v>522</v>
      </c>
      <c r="L33" s="9" t="s">
        <v>1230</v>
      </c>
      <c r="M33" s="9" t="s">
        <v>51</v>
      </c>
    </row>
    <row r="34" customFormat="false" ht="15" hidden="false" customHeight="false" outlineLevel="0" collapsed="false">
      <c r="A34" s="9" t="s">
        <v>1364</v>
      </c>
      <c r="B34" s="9" t="s">
        <v>1365</v>
      </c>
      <c r="C34" s="9" t="s">
        <v>1224</v>
      </c>
      <c r="D34" s="9" t="s">
        <v>1366</v>
      </c>
      <c r="E34" s="9" t="s">
        <v>1226</v>
      </c>
      <c r="F34" s="9" t="s">
        <v>1367</v>
      </c>
      <c r="G34" s="9" t="s">
        <v>1368</v>
      </c>
      <c r="H34" s="9" t="n">
        <v>4785000000</v>
      </c>
      <c r="I34" s="9" t="s">
        <v>104</v>
      </c>
      <c r="J34" s="9" t="s">
        <v>880</v>
      </c>
      <c r="K34" s="9" t="s">
        <v>708</v>
      </c>
      <c r="L34" s="9" t="s">
        <v>1260</v>
      </c>
      <c r="M34" s="9" t="s">
        <v>51</v>
      </c>
    </row>
    <row r="35" customFormat="false" ht="15" hidden="false" customHeight="false" outlineLevel="0" collapsed="false">
      <c r="A35" s="9" t="s">
        <v>1369</v>
      </c>
      <c r="B35" s="9" t="s">
        <v>1370</v>
      </c>
      <c r="C35" s="9" t="s">
        <v>1233</v>
      </c>
      <c r="D35" s="9" t="s">
        <v>1274</v>
      </c>
      <c r="E35" s="9" t="s">
        <v>1347</v>
      </c>
      <c r="F35" s="9" t="s">
        <v>1371</v>
      </c>
      <c r="G35" s="9" t="s">
        <v>1372</v>
      </c>
      <c r="H35" s="9" t="n">
        <v>1240000000</v>
      </c>
      <c r="I35" s="9" t="s">
        <v>1237</v>
      </c>
      <c r="J35" s="9"/>
      <c r="K35" s="9" t="s">
        <v>498</v>
      </c>
      <c r="L35" s="9" t="s">
        <v>1230</v>
      </c>
      <c r="M35" s="9" t="s">
        <v>51</v>
      </c>
    </row>
    <row r="36" customFormat="false" ht="15" hidden="false" customHeight="false" outlineLevel="0" collapsed="false">
      <c r="A36" s="9" t="s">
        <v>1373</v>
      </c>
      <c r="B36" s="9" t="s">
        <v>1257</v>
      </c>
      <c r="C36" s="9" t="s">
        <v>1245</v>
      </c>
      <c r="D36" s="9" t="s">
        <v>1258</v>
      </c>
      <c r="E36" s="9" t="s">
        <v>1347</v>
      </c>
      <c r="F36" s="9" t="s">
        <v>1374</v>
      </c>
      <c r="G36" s="9" t="s">
        <v>1340</v>
      </c>
      <c r="H36" s="9" t="n">
        <v>3999000000</v>
      </c>
      <c r="I36" s="9" t="s">
        <v>1255</v>
      </c>
      <c r="J36" s="9"/>
      <c r="K36" s="9" t="s">
        <v>305</v>
      </c>
      <c r="L36" s="9" t="s">
        <v>1230</v>
      </c>
      <c r="M36" s="9" t="s">
        <v>51</v>
      </c>
    </row>
    <row r="37" customFormat="false" ht="15" hidden="false" customHeight="false" outlineLevel="0" collapsed="false">
      <c r="A37" s="9" t="s">
        <v>1375</v>
      </c>
      <c r="B37" s="9" t="s">
        <v>1376</v>
      </c>
      <c r="C37" s="9" t="s">
        <v>1263</v>
      </c>
      <c r="D37" s="9" t="s">
        <v>1330</v>
      </c>
      <c r="E37" s="9" t="s">
        <v>1275</v>
      </c>
      <c r="F37" s="9" t="s">
        <v>1377</v>
      </c>
      <c r="G37" s="9" t="s">
        <v>1378</v>
      </c>
      <c r="H37" s="9" t="n">
        <v>1386000000</v>
      </c>
      <c r="I37" s="9" t="s">
        <v>1237</v>
      </c>
      <c r="J37" s="9" t="s">
        <v>1166</v>
      </c>
      <c r="K37" s="9" t="s">
        <v>189</v>
      </c>
      <c r="L37" s="9" t="s">
        <v>1260</v>
      </c>
      <c r="M37" s="9" t="s">
        <v>51</v>
      </c>
    </row>
    <row r="38" customFormat="false" ht="15" hidden="false" customHeight="false" outlineLevel="0" collapsed="false">
      <c r="A38" s="9" t="s">
        <v>1379</v>
      </c>
      <c r="B38" s="9" t="s">
        <v>1350</v>
      </c>
      <c r="C38" s="9" t="s">
        <v>1233</v>
      </c>
      <c r="D38" s="9" t="s">
        <v>1335</v>
      </c>
      <c r="E38" s="9" t="s">
        <v>1275</v>
      </c>
      <c r="F38" s="9" t="s">
        <v>1380</v>
      </c>
      <c r="G38" s="9" t="s">
        <v>1381</v>
      </c>
      <c r="H38" s="9" t="n">
        <v>3915000000</v>
      </c>
      <c r="I38" s="9" t="s">
        <v>1229</v>
      </c>
      <c r="J38" s="9" t="s">
        <v>1054</v>
      </c>
      <c r="K38" s="9" t="s">
        <v>344</v>
      </c>
      <c r="L38" s="9" t="s">
        <v>1230</v>
      </c>
      <c r="M38" s="9" t="s">
        <v>51</v>
      </c>
    </row>
    <row r="39" customFormat="false" ht="15" hidden="false" customHeight="false" outlineLevel="0" collapsed="false">
      <c r="A39" s="9" t="s">
        <v>1382</v>
      </c>
      <c r="B39" s="9" t="s">
        <v>1383</v>
      </c>
      <c r="C39" s="9" t="s">
        <v>1263</v>
      </c>
      <c r="D39" s="9" t="s">
        <v>1234</v>
      </c>
      <c r="E39" s="9" t="s">
        <v>1235</v>
      </c>
      <c r="F39" s="9" t="s">
        <v>1384</v>
      </c>
      <c r="G39" s="9" t="s">
        <v>1385</v>
      </c>
      <c r="H39" s="9" t="n">
        <v>38000000</v>
      </c>
      <c r="I39" s="9" t="s">
        <v>1237</v>
      </c>
      <c r="J39" s="9" t="s">
        <v>958</v>
      </c>
      <c r="K39" s="9" t="s">
        <v>458</v>
      </c>
      <c r="L39" s="9" t="s">
        <v>1260</v>
      </c>
      <c r="M39" s="9" t="s">
        <v>51</v>
      </c>
    </row>
    <row r="40" customFormat="false" ht="15" hidden="false" customHeight="false" outlineLevel="0" collapsed="false">
      <c r="A40" s="9" t="s">
        <v>1386</v>
      </c>
      <c r="B40" s="9" t="s">
        <v>1370</v>
      </c>
      <c r="C40" s="9" t="s">
        <v>1233</v>
      </c>
      <c r="D40" s="9" t="s">
        <v>1274</v>
      </c>
      <c r="E40" s="9" t="s">
        <v>1235</v>
      </c>
      <c r="F40" s="9" t="s">
        <v>1387</v>
      </c>
      <c r="G40" s="9" t="s">
        <v>1388</v>
      </c>
      <c r="H40" s="9" t="n">
        <v>539000000</v>
      </c>
      <c r="I40" s="9" t="s">
        <v>104</v>
      </c>
      <c r="J40" s="9" t="s">
        <v>928</v>
      </c>
      <c r="K40" s="9" t="s">
        <v>562</v>
      </c>
      <c r="L40" s="9" t="s">
        <v>1230</v>
      </c>
      <c r="M40" s="9" t="s">
        <v>51</v>
      </c>
    </row>
    <row r="41" customFormat="false" ht="15" hidden="false" customHeight="false" outlineLevel="0" collapsed="false">
      <c r="A41" s="9" t="s">
        <v>1389</v>
      </c>
      <c r="B41" s="9" t="s">
        <v>1390</v>
      </c>
      <c r="C41" s="9" t="s">
        <v>1240</v>
      </c>
      <c r="D41" s="9" t="s">
        <v>1252</v>
      </c>
      <c r="E41" s="9" t="s">
        <v>1265</v>
      </c>
      <c r="F41" s="9" t="s">
        <v>1391</v>
      </c>
      <c r="G41" s="9" t="s">
        <v>1381</v>
      </c>
      <c r="H41" s="9" t="n">
        <v>2947000000</v>
      </c>
      <c r="I41" s="9" t="s">
        <v>1237</v>
      </c>
      <c r="J41" s="9" t="s">
        <v>1188</v>
      </c>
      <c r="K41" s="9" t="s">
        <v>526</v>
      </c>
      <c r="L41" s="9" t="s">
        <v>1260</v>
      </c>
      <c r="M41" s="9" t="s">
        <v>51</v>
      </c>
    </row>
    <row r="42" customFormat="false" ht="15" hidden="false" customHeight="false" outlineLevel="0" collapsed="false">
      <c r="A42" s="9" t="s">
        <v>1392</v>
      </c>
      <c r="B42" s="9" t="s">
        <v>1393</v>
      </c>
      <c r="C42" s="9" t="s">
        <v>1251</v>
      </c>
      <c r="D42" s="9" t="s">
        <v>1246</v>
      </c>
      <c r="E42" s="9" t="s">
        <v>1265</v>
      </c>
      <c r="F42" s="9" t="s">
        <v>1394</v>
      </c>
      <c r="G42" s="9" t="s">
        <v>1395</v>
      </c>
      <c r="H42" s="9" t="n">
        <v>4835000000</v>
      </c>
      <c r="I42" s="9" t="s">
        <v>1237</v>
      </c>
      <c r="J42" s="9" t="s">
        <v>1143</v>
      </c>
      <c r="K42" s="9" t="s">
        <v>148</v>
      </c>
      <c r="L42" s="9" t="s">
        <v>1230</v>
      </c>
      <c r="M42" s="9" t="s">
        <v>51</v>
      </c>
    </row>
    <row r="43" customFormat="false" ht="15" hidden="false" customHeight="false" outlineLevel="0" collapsed="false">
      <c r="A43" s="9" t="s">
        <v>1396</v>
      </c>
      <c r="B43" s="9" t="s">
        <v>1292</v>
      </c>
      <c r="C43" s="9" t="s">
        <v>1224</v>
      </c>
      <c r="D43" s="9" t="s">
        <v>1274</v>
      </c>
      <c r="E43" s="9" t="s">
        <v>1235</v>
      </c>
      <c r="F43" s="9" t="s">
        <v>841</v>
      </c>
      <c r="G43" s="9" t="s">
        <v>1397</v>
      </c>
      <c r="H43" s="9" t="n">
        <v>397000000</v>
      </c>
      <c r="I43" s="9" t="s">
        <v>104</v>
      </c>
      <c r="J43" s="9"/>
      <c r="K43" s="9" t="s">
        <v>52</v>
      </c>
      <c r="L43" s="9" t="s">
        <v>1260</v>
      </c>
      <c r="M43" s="9" t="s">
        <v>51</v>
      </c>
    </row>
    <row r="44" customFormat="false" ht="15" hidden="false" customHeight="false" outlineLevel="0" collapsed="false">
      <c r="A44" s="9" t="s">
        <v>1398</v>
      </c>
      <c r="B44" s="9" t="s">
        <v>1399</v>
      </c>
      <c r="C44" s="9" t="s">
        <v>1297</v>
      </c>
      <c r="D44" s="9" t="s">
        <v>1252</v>
      </c>
      <c r="E44" s="9" t="s">
        <v>1275</v>
      </c>
      <c r="F44" s="9" t="s">
        <v>1400</v>
      </c>
      <c r="G44" s="9" t="s">
        <v>944</v>
      </c>
      <c r="H44" s="9" t="n">
        <v>4488000000</v>
      </c>
      <c r="I44" s="9" t="s">
        <v>1255</v>
      </c>
      <c r="J44" s="9" t="s">
        <v>857</v>
      </c>
      <c r="K44" s="9" t="s">
        <v>344</v>
      </c>
      <c r="L44" s="9" t="s">
        <v>1230</v>
      </c>
      <c r="M44" s="9" t="s">
        <v>51</v>
      </c>
    </row>
    <row r="45" customFormat="false" ht="15" hidden="false" customHeight="false" outlineLevel="0" collapsed="false">
      <c r="A45" s="9" t="s">
        <v>1401</v>
      </c>
      <c r="B45" s="9" t="s">
        <v>1402</v>
      </c>
      <c r="C45" s="9" t="s">
        <v>1263</v>
      </c>
      <c r="D45" s="9" t="s">
        <v>1241</v>
      </c>
      <c r="E45" s="9" t="s">
        <v>1275</v>
      </c>
      <c r="F45" s="9" t="s">
        <v>1298</v>
      </c>
      <c r="G45" s="9" t="s">
        <v>1403</v>
      </c>
      <c r="H45" s="9" t="n">
        <v>2216000000</v>
      </c>
      <c r="I45" s="9" t="s">
        <v>1237</v>
      </c>
      <c r="J45" s="9" t="s">
        <v>820</v>
      </c>
      <c r="K45" s="9" t="s">
        <v>708</v>
      </c>
      <c r="L45" s="9" t="s">
        <v>1230</v>
      </c>
      <c r="M45" s="9" t="s">
        <v>51</v>
      </c>
    </row>
    <row r="46" customFormat="false" ht="15" hidden="false" customHeight="false" outlineLevel="0" collapsed="false">
      <c r="A46" s="9" t="s">
        <v>1404</v>
      </c>
      <c r="B46" s="9" t="s">
        <v>1405</v>
      </c>
      <c r="C46" s="9" t="s">
        <v>1297</v>
      </c>
      <c r="D46" s="9" t="s">
        <v>1241</v>
      </c>
      <c r="E46" s="9" t="s">
        <v>1226</v>
      </c>
      <c r="F46" s="9" t="s">
        <v>1406</v>
      </c>
      <c r="G46" s="9" t="s">
        <v>1407</v>
      </c>
      <c r="H46" s="9" t="n">
        <v>1632000000</v>
      </c>
      <c r="I46" s="9" t="s">
        <v>1237</v>
      </c>
      <c r="J46" s="9"/>
      <c r="K46" s="9" t="s">
        <v>708</v>
      </c>
      <c r="L46" s="9" t="s">
        <v>1230</v>
      </c>
      <c r="M46" s="9" t="s">
        <v>51</v>
      </c>
    </row>
    <row r="47" customFormat="false" ht="15" hidden="false" customHeight="false" outlineLevel="0" collapsed="false">
      <c r="A47" s="9" t="s">
        <v>1408</v>
      </c>
      <c r="B47" s="9" t="s">
        <v>1303</v>
      </c>
      <c r="C47" s="9" t="s">
        <v>1240</v>
      </c>
      <c r="D47" s="9" t="s">
        <v>1246</v>
      </c>
      <c r="E47" s="9" t="s">
        <v>1275</v>
      </c>
      <c r="F47" s="9" t="s">
        <v>1409</v>
      </c>
      <c r="G47" s="9" t="s">
        <v>1410</v>
      </c>
      <c r="H47" s="9" t="n">
        <v>327000000</v>
      </c>
      <c r="I47" s="9" t="s">
        <v>1229</v>
      </c>
      <c r="J47" s="9"/>
      <c r="K47" s="9" t="s">
        <v>601</v>
      </c>
      <c r="L47" s="9" t="s">
        <v>1230</v>
      </c>
      <c r="M47" s="9" t="s">
        <v>51</v>
      </c>
    </row>
    <row r="48" customFormat="false" ht="15" hidden="false" customHeight="false" outlineLevel="0" collapsed="false">
      <c r="A48" s="9" t="s">
        <v>1411</v>
      </c>
      <c r="B48" s="9" t="s">
        <v>1376</v>
      </c>
      <c r="C48" s="9" t="s">
        <v>1263</v>
      </c>
      <c r="D48" s="9" t="s">
        <v>1330</v>
      </c>
      <c r="E48" s="9" t="s">
        <v>1226</v>
      </c>
      <c r="F48" s="9" t="s">
        <v>155</v>
      </c>
      <c r="G48" s="9" t="s">
        <v>1412</v>
      </c>
      <c r="H48" s="9" t="n">
        <v>4052000000</v>
      </c>
      <c r="I48" s="9" t="s">
        <v>1237</v>
      </c>
      <c r="J48" s="9"/>
      <c r="K48" s="9" t="s">
        <v>708</v>
      </c>
      <c r="L48" s="9" t="s">
        <v>1260</v>
      </c>
      <c r="M48" s="9" t="s">
        <v>51</v>
      </c>
    </row>
    <row r="49" customFormat="false" ht="15" hidden="false" customHeight="false" outlineLevel="0" collapsed="false">
      <c r="A49" s="9" t="s">
        <v>1413</v>
      </c>
      <c r="B49" s="9" t="s">
        <v>1405</v>
      </c>
      <c r="C49" s="9" t="s">
        <v>1297</v>
      </c>
      <c r="D49" s="9" t="s">
        <v>1241</v>
      </c>
      <c r="E49" s="9" t="s">
        <v>1265</v>
      </c>
      <c r="F49" s="9" t="s">
        <v>1414</v>
      </c>
      <c r="G49" s="9" t="s">
        <v>1415</v>
      </c>
      <c r="H49" s="9" t="n">
        <v>2168000000</v>
      </c>
      <c r="I49" s="9" t="s">
        <v>1229</v>
      </c>
      <c r="J49" s="9" t="s">
        <v>1190</v>
      </c>
      <c r="K49" s="9" t="s">
        <v>305</v>
      </c>
      <c r="L49" s="9" t="s">
        <v>1230</v>
      </c>
      <c r="M49" s="9" t="s">
        <v>51</v>
      </c>
    </row>
    <row r="50" customFormat="false" ht="15" hidden="false" customHeight="false" outlineLevel="0" collapsed="false">
      <c r="A50" s="9" t="s">
        <v>1416</v>
      </c>
      <c r="B50" s="9" t="s">
        <v>1417</v>
      </c>
      <c r="C50" s="9" t="s">
        <v>1224</v>
      </c>
      <c r="D50" s="9" t="s">
        <v>1234</v>
      </c>
      <c r="E50" s="9" t="s">
        <v>1347</v>
      </c>
      <c r="F50" s="9" t="s">
        <v>764</v>
      </c>
      <c r="G50" s="9" t="s">
        <v>1418</v>
      </c>
      <c r="H50" s="9" t="n">
        <v>783000000</v>
      </c>
      <c r="I50" s="9" t="s">
        <v>104</v>
      </c>
      <c r="J50" s="9" t="s">
        <v>847</v>
      </c>
      <c r="K50" s="9" t="s">
        <v>305</v>
      </c>
      <c r="L50" s="9" t="s">
        <v>1230</v>
      </c>
      <c r="M50" s="9" t="s">
        <v>51</v>
      </c>
    </row>
    <row r="51" customFormat="false" ht="15" hidden="false" customHeight="false" outlineLevel="0" collapsed="false">
      <c r="A51" s="9" t="s">
        <v>1419</v>
      </c>
      <c r="B51" s="9" t="s">
        <v>1279</v>
      </c>
      <c r="C51" s="9" t="s">
        <v>1245</v>
      </c>
      <c r="D51" s="9" t="s">
        <v>1280</v>
      </c>
      <c r="E51" s="9" t="s">
        <v>1347</v>
      </c>
      <c r="F51" s="9" t="s">
        <v>1420</v>
      </c>
      <c r="G51" s="9" t="s">
        <v>966</v>
      </c>
      <c r="H51" s="9" t="n">
        <v>2812000000</v>
      </c>
      <c r="I51" s="9" t="s">
        <v>1237</v>
      </c>
      <c r="J51" s="9" t="s">
        <v>987</v>
      </c>
      <c r="K51" s="9" t="s">
        <v>562</v>
      </c>
      <c r="L51" s="9" t="s">
        <v>1230</v>
      </c>
      <c r="M51" s="9" t="s">
        <v>51</v>
      </c>
    </row>
    <row r="52" customFormat="false" ht="15" hidden="false" customHeight="false" outlineLevel="0" collapsed="false">
      <c r="A52" s="9" t="s">
        <v>1421</v>
      </c>
      <c r="B52" s="9" t="s">
        <v>1422</v>
      </c>
      <c r="C52" s="9" t="s">
        <v>1233</v>
      </c>
      <c r="D52" s="9" t="s">
        <v>1246</v>
      </c>
      <c r="E52" s="9" t="s">
        <v>1275</v>
      </c>
      <c r="F52" s="9" t="s">
        <v>1423</v>
      </c>
      <c r="G52" s="9" t="s">
        <v>1424</v>
      </c>
      <c r="H52" s="9" t="n">
        <v>931000000</v>
      </c>
      <c r="I52" s="9" t="s">
        <v>1237</v>
      </c>
      <c r="J52" s="9"/>
      <c r="K52" s="9" t="s">
        <v>148</v>
      </c>
      <c r="L52" s="9" t="s">
        <v>1230</v>
      </c>
      <c r="M52" s="9" t="s">
        <v>51</v>
      </c>
    </row>
    <row r="53" customFormat="false" ht="15" hidden="false" customHeight="false" outlineLevel="0" collapsed="false">
      <c r="A53" s="9" t="s">
        <v>1425</v>
      </c>
      <c r="B53" s="9" t="s">
        <v>1284</v>
      </c>
      <c r="C53" s="9" t="s">
        <v>1285</v>
      </c>
      <c r="D53" s="9" t="s">
        <v>1225</v>
      </c>
      <c r="E53" s="9" t="s">
        <v>1275</v>
      </c>
      <c r="F53" s="9" t="s">
        <v>1426</v>
      </c>
      <c r="G53" s="9" t="s">
        <v>1427</v>
      </c>
      <c r="H53" s="9" t="n">
        <v>4665000000</v>
      </c>
      <c r="I53" s="9" t="s">
        <v>1229</v>
      </c>
      <c r="J53" s="9" t="s">
        <v>976</v>
      </c>
      <c r="K53" s="9" t="s">
        <v>522</v>
      </c>
      <c r="L53" s="9" t="s">
        <v>1230</v>
      </c>
      <c r="M53" s="9" t="s">
        <v>51</v>
      </c>
    </row>
    <row r="54" customFormat="false" ht="15" hidden="false" customHeight="false" outlineLevel="0" collapsed="false">
      <c r="A54" s="9" t="s">
        <v>1428</v>
      </c>
      <c r="B54" s="9" t="s">
        <v>1429</v>
      </c>
      <c r="C54" s="9" t="s">
        <v>1285</v>
      </c>
      <c r="D54" s="9" t="s">
        <v>1366</v>
      </c>
      <c r="E54" s="9" t="s">
        <v>1275</v>
      </c>
      <c r="F54" s="9" t="s">
        <v>1430</v>
      </c>
      <c r="G54" s="9" t="s">
        <v>1305</v>
      </c>
      <c r="H54" s="9" t="n">
        <v>3615000000</v>
      </c>
      <c r="I54" s="9" t="s">
        <v>104</v>
      </c>
      <c r="J54" s="9" t="s">
        <v>1114</v>
      </c>
      <c r="K54" s="9" t="s">
        <v>498</v>
      </c>
      <c r="L54" s="9" t="s">
        <v>1260</v>
      </c>
      <c r="M54" s="9" t="s">
        <v>51</v>
      </c>
    </row>
    <row r="55" customFormat="false" ht="15" hidden="false" customHeight="false" outlineLevel="0" collapsed="false">
      <c r="A55" s="9" t="s">
        <v>1431</v>
      </c>
      <c r="B55" s="9" t="s">
        <v>1432</v>
      </c>
      <c r="C55" s="9" t="s">
        <v>1251</v>
      </c>
      <c r="D55" s="9" t="s">
        <v>1335</v>
      </c>
      <c r="E55" s="9" t="s">
        <v>1347</v>
      </c>
      <c r="F55" s="9" t="s">
        <v>1433</v>
      </c>
      <c r="G55" s="9" t="s">
        <v>1434</v>
      </c>
      <c r="H55" s="9" t="n">
        <v>785000000</v>
      </c>
      <c r="I55" s="9" t="s">
        <v>1229</v>
      </c>
      <c r="J55" s="9"/>
      <c r="K55" s="9" t="s">
        <v>381</v>
      </c>
      <c r="L55" s="9" t="s">
        <v>1230</v>
      </c>
      <c r="M55" s="9" t="s">
        <v>51</v>
      </c>
    </row>
    <row r="56" customFormat="false" ht="15" hidden="false" customHeight="false" outlineLevel="0" collapsed="false">
      <c r="A56" s="9" t="s">
        <v>1435</v>
      </c>
      <c r="B56" s="9" t="s">
        <v>1436</v>
      </c>
      <c r="C56" s="9" t="s">
        <v>1233</v>
      </c>
      <c r="D56" s="9" t="s">
        <v>1258</v>
      </c>
      <c r="E56" s="9" t="s">
        <v>1235</v>
      </c>
      <c r="F56" s="9" t="s">
        <v>1437</v>
      </c>
      <c r="G56" s="9" t="s">
        <v>1438</v>
      </c>
      <c r="H56" s="9" t="n">
        <v>100000000</v>
      </c>
      <c r="I56" s="9" t="s">
        <v>1237</v>
      </c>
      <c r="J56" s="9" t="s">
        <v>1021</v>
      </c>
      <c r="K56" s="9" t="s">
        <v>601</v>
      </c>
      <c r="L56" s="9" t="s">
        <v>1230</v>
      </c>
      <c r="M56" s="9" t="s">
        <v>51</v>
      </c>
    </row>
    <row r="57" customFormat="false" ht="15" hidden="false" customHeight="false" outlineLevel="0" collapsed="false">
      <c r="A57" s="9" t="s">
        <v>1439</v>
      </c>
      <c r="B57" s="9" t="s">
        <v>1440</v>
      </c>
      <c r="C57" s="9" t="s">
        <v>1297</v>
      </c>
      <c r="D57" s="9" t="s">
        <v>1366</v>
      </c>
      <c r="E57" s="9" t="s">
        <v>1347</v>
      </c>
      <c r="F57" s="9" t="s">
        <v>1189</v>
      </c>
      <c r="G57" s="9" t="s">
        <v>1441</v>
      </c>
      <c r="H57" s="9" t="n">
        <v>2283000000</v>
      </c>
      <c r="I57" s="9" t="s">
        <v>104</v>
      </c>
      <c r="J57" s="9" t="s">
        <v>1062</v>
      </c>
      <c r="K57" s="9" t="s">
        <v>526</v>
      </c>
      <c r="L57" s="9" t="s">
        <v>1230</v>
      </c>
      <c r="M57" s="9" t="s">
        <v>51</v>
      </c>
    </row>
    <row r="58" customFormat="false" ht="15" hidden="false" customHeight="false" outlineLevel="0" collapsed="false">
      <c r="A58" s="9" t="s">
        <v>1442</v>
      </c>
      <c r="B58" s="9" t="s">
        <v>1443</v>
      </c>
      <c r="C58" s="9" t="s">
        <v>1251</v>
      </c>
      <c r="D58" s="9" t="s">
        <v>1225</v>
      </c>
      <c r="E58" s="9" t="s">
        <v>1275</v>
      </c>
      <c r="F58" s="9" t="s">
        <v>1444</v>
      </c>
      <c r="G58" s="9" t="s">
        <v>1445</v>
      </c>
      <c r="H58" s="9" t="n">
        <v>3675000000</v>
      </c>
      <c r="I58" s="9" t="s">
        <v>104</v>
      </c>
      <c r="J58" s="9"/>
      <c r="K58" s="9" t="s">
        <v>562</v>
      </c>
      <c r="L58" s="9" t="s">
        <v>1230</v>
      </c>
      <c r="M58" s="9" t="s">
        <v>51</v>
      </c>
    </row>
    <row r="59" customFormat="false" ht="15" hidden="false" customHeight="false" outlineLevel="0" collapsed="false">
      <c r="A59" s="9" t="s">
        <v>1446</v>
      </c>
      <c r="B59" s="9" t="s">
        <v>1244</v>
      </c>
      <c r="C59" s="9" t="s">
        <v>1245</v>
      </c>
      <c r="D59" s="9" t="s">
        <v>1246</v>
      </c>
      <c r="E59" s="9" t="s">
        <v>1226</v>
      </c>
      <c r="F59" s="9" t="s">
        <v>430</v>
      </c>
      <c r="G59" s="9" t="s">
        <v>1447</v>
      </c>
      <c r="H59" s="9" t="n">
        <v>3382000000</v>
      </c>
      <c r="I59" s="9" t="s">
        <v>104</v>
      </c>
      <c r="J59" s="9" t="s">
        <v>735</v>
      </c>
      <c r="K59" s="9" t="s">
        <v>189</v>
      </c>
      <c r="L59" s="9" t="s">
        <v>1230</v>
      </c>
      <c r="M59" s="9" t="s">
        <v>51</v>
      </c>
    </row>
    <row r="60" customFormat="false" ht="15" hidden="false" customHeight="false" outlineLevel="0" collapsed="false">
      <c r="A60" s="9" t="s">
        <v>1448</v>
      </c>
      <c r="B60" s="9" t="s">
        <v>1292</v>
      </c>
      <c r="C60" s="9" t="s">
        <v>1224</v>
      </c>
      <c r="D60" s="9" t="s">
        <v>1274</v>
      </c>
      <c r="E60" s="9" t="s">
        <v>1235</v>
      </c>
      <c r="F60" s="9" t="s">
        <v>1449</v>
      </c>
      <c r="G60" s="9" t="s">
        <v>1450</v>
      </c>
      <c r="H60" s="9" t="n">
        <v>2797000000</v>
      </c>
      <c r="I60" s="9" t="s">
        <v>1255</v>
      </c>
      <c r="J60" s="9"/>
      <c r="K60" s="9" t="s">
        <v>381</v>
      </c>
      <c r="L60" s="9" t="s">
        <v>1230</v>
      </c>
      <c r="M60" s="9" t="s">
        <v>51</v>
      </c>
    </row>
    <row r="61" customFormat="false" ht="15" hidden="false" customHeight="false" outlineLevel="0" collapsed="false">
      <c r="A61" s="9" t="s">
        <v>1451</v>
      </c>
      <c r="B61" s="9" t="s">
        <v>1273</v>
      </c>
      <c r="C61" s="9" t="s">
        <v>1240</v>
      </c>
      <c r="D61" s="9" t="s">
        <v>1274</v>
      </c>
      <c r="E61" s="9" t="s">
        <v>1235</v>
      </c>
      <c r="F61" s="9" t="s">
        <v>1452</v>
      </c>
      <c r="G61" s="9" t="s">
        <v>1453</v>
      </c>
      <c r="H61" s="9" t="n">
        <v>2981000000</v>
      </c>
      <c r="I61" s="9" t="s">
        <v>1229</v>
      </c>
      <c r="J61" s="9" t="s">
        <v>1165</v>
      </c>
      <c r="K61" s="9" t="s">
        <v>381</v>
      </c>
      <c r="L61" s="9" t="s">
        <v>1260</v>
      </c>
      <c r="M61" s="9" t="s">
        <v>51</v>
      </c>
    </row>
    <row r="62" customFormat="false" ht="15" hidden="false" customHeight="false" outlineLevel="0" collapsed="false">
      <c r="A62" s="9" t="s">
        <v>1454</v>
      </c>
      <c r="B62" s="9" t="s">
        <v>1361</v>
      </c>
      <c r="C62" s="9" t="s">
        <v>1240</v>
      </c>
      <c r="D62" s="9" t="s">
        <v>1335</v>
      </c>
      <c r="E62" s="9" t="s">
        <v>1347</v>
      </c>
      <c r="F62" s="9" t="s">
        <v>1455</v>
      </c>
      <c r="G62" s="9" t="s">
        <v>1456</v>
      </c>
      <c r="H62" s="9" t="n">
        <v>3067000000</v>
      </c>
      <c r="I62" s="9" t="s">
        <v>104</v>
      </c>
      <c r="J62" s="9" t="s">
        <v>864</v>
      </c>
      <c r="K62" s="9" t="s">
        <v>601</v>
      </c>
      <c r="L62" s="9" t="s">
        <v>1260</v>
      </c>
      <c r="M62" s="9" t="s">
        <v>51</v>
      </c>
    </row>
    <row r="63" customFormat="false" ht="15" hidden="false" customHeight="false" outlineLevel="0" collapsed="false">
      <c r="A63" s="9" t="s">
        <v>1457</v>
      </c>
      <c r="B63" s="9" t="s">
        <v>1458</v>
      </c>
      <c r="C63" s="9" t="s">
        <v>1233</v>
      </c>
      <c r="D63" s="9" t="s">
        <v>1225</v>
      </c>
      <c r="E63" s="9" t="s">
        <v>1347</v>
      </c>
      <c r="F63" s="9" t="s">
        <v>1459</v>
      </c>
      <c r="G63" s="9" t="s">
        <v>1460</v>
      </c>
      <c r="H63" s="9" t="n">
        <v>1541000000</v>
      </c>
      <c r="I63" s="9" t="s">
        <v>104</v>
      </c>
      <c r="J63" s="9"/>
      <c r="K63" s="9" t="s">
        <v>526</v>
      </c>
      <c r="L63" s="9" t="s">
        <v>1230</v>
      </c>
      <c r="M63" s="9" t="s">
        <v>51</v>
      </c>
    </row>
    <row r="64" customFormat="false" ht="15" hidden="false" customHeight="false" outlineLevel="0" collapsed="false">
      <c r="A64" s="9" t="s">
        <v>1461</v>
      </c>
      <c r="B64" s="9" t="s">
        <v>1393</v>
      </c>
      <c r="C64" s="9" t="s">
        <v>1251</v>
      </c>
      <c r="D64" s="9" t="s">
        <v>1246</v>
      </c>
      <c r="E64" s="9" t="s">
        <v>1347</v>
      </c>
      <c r="F64" s="9" t="s">
        <v>1462</v>
      </c>
      <c r="G64" s="9" t="s">
        <v>1463</v>
      </c>
      <c r="H64" s="9" t="n">
        <v>385000000</v>
      </c>
      <c r="I64" s="9" t="s">
        <v>104</v>
      </c>
      <c r="J64" s="9"/>
      <c r="K64" s="9" t="s">
        <v>562</v>
      </c>
      <c r="L64" s="9" t="s">
        <v>1230</v>
      </c>
      <c r="M64" s="9" t="s">
        <v>51</v>
      </c>
    </row>
    <row r="65" customFormat="false" ht="15" hidden="false" customHeight="false" outlineLevel="0" collapsed="false">
      <c r="A65" s="9" t="s">
        <v>1464</v>
      </c>
      <c r="B65" s="9" t="s">
        <v>1429</v>
      </c>
      <c r="C65" s="9" t="s">
        <v>1285</v>
      </c>
      <c r="D65" s="9" t="s">
        <v>1366</v>
      </c>
      <c r="E65" s="9" t="s">
        <v>1226</v>
      </c>
      <c r="F65" s="9" t="s">
        <v>1465</v>
      </c>
      <c r="G65" s="9" t="s">
        <v>1466</v>
      </c>
      <c r="H65" s="9" t="n">
        <v>4537000000</v>
      </c>
      <c r="I65" s="9" t="s">
        <v>1229</v>
      </c>
      <c r="J65" s="9"/>
      <c r="K65" s="9" t="s">
        <v>601</v>
      </c>
      <c r="L65" s="9" t="s">
        <v>1230</v>
      </c>
      <c r="M65" s="9" t="s">
        <v>51</v>
      </c>
    </row>
    <row r="66" customFormat="false" ht="15" hidden="false" customHeight="false" outlineLevel="0" collapsed="false">
      <c r="A66" s="9" t="s">
        <v>1467</v>
      </c>
      <c r="B66" s="9" t="s">
        <v>1468</v>
      </c>
      <c r="C66" s="9" t="s">
        <v>1285</v>
      </c>
      <c r="D66" s="9" t="s">
        <v>1246</v>
      </c>
      <c r="E66" s="9" t="s">
        <v>1235</v>
      </c>
      <c r="F66" s="9" t="s">
        <v>1469</v>
      </c>
      <c r="G66" s="9" t="s">
        <v>1470</v>
      </c>
      <c r="H66" s="9" t="n">
        <v>853000000</v>
      </c>
      <c r="I66" s="9" t="s">
        <v>1229</v>
      </c>
      <c r="J66" s="9"/>
      <c r="K66" s="9" t="s">
        <v>498</v>
      </c>
      <c r="L66" s="9" t="s">
        <v>1230</v>
      </c>
      <c r="M66" s="9" t="s">
        <v>51</v>
      </c>
    </row>
    <row r="67" customFormat="false" ht="15" hidden="false" customHeight="false" outlineLevel="0" collapsed="false">
      <c r="A67" s="9" t="s">
        <v>1471</v>
      </c>
      <c r="B67" s="9" t="s">
        <v>1472</v>
      </c>
      <c r="C67" s="9" t="s">
        <v>1233</v>
      </c>
      <c r="D67" s="9" t="s">
        <v>1252</v>
      </c>
      <c r="E67" s="9" t="s">
        <v>1235</v>
      </c>
      <c r="F67" s="9" t="s">
        <v>465</v>
      </c>
      <c r="G67" s="9" t="s">
        <v>1463</v>
      </c>
      <c r="H67" s="9" t="n">
        <v>3264000000</v>
      </c>
      <c r="I67" s="9" t="s">
        <v>1255</v>
      </c>
      <c r="J67" s="9"/>
      <c r="K67" s="9" t="s">
        <v>562</v>
      </c>
      <c r="L67" s="9" t="s">
        <v>1230</v>
      </c>
      <c r="M67" s="9" t="s">
        <v>51</v>
      </c>
    </row>
    <row r="68" customFormat="false" ht="15" hidden="false" customHeight="false" outlineLevel="0" collapsed="false">
      <c r="A68" s="9" t="s">
        <v>1473</v>
      </c>
      <c r="B68" s="9" t="s">
        <v>1474</v>
      </c>
      <c r="C68" s="9" t="s">
        <v>1285</v>
      </c>
      <c r="D68" s="9" t="s">
        <v>1252</v>
      </c>
      <c r="E68" s="9" t="s">
        <v>1235</v>
      </c>
      <c r="F68" s="9" t="s">
        <v>1475</v>
      </c>
      <c r="G68" s="9" t="s">
        <v>1476</v>
      </c>
      <c r="H68" s="9" t="n">
        <v>4492000000</v>
      </c>
      <c r="I68" s="9" t="s">
        <v>1255</v>
      </c>
      <c r="J68" s="9"/>
      <c r="K68" s="9" t="s">
        <v>344</v>
      </c>
      <c r="L68" s="9" t="s">
        <v>1230</v>
      </c>
      <c r="M68" s="9" t="s">
        <v>51</v>
      </c>
    </row>
    <row r="69" customFormat="false" ht="15" hidden="false" customHeight="false" outlineLevel="0" collapsed="false">
      <c r="A69" s="9" t="s">
        <v>1477</v>
      </c>
      <c r="B69" s="9" t="s">
        <v>1346</v>
      </c>
      <c r="C69" s="9" t="s">
        <v>1224</v>
      </c>
      <c r="D69" s="9" t="s">
        <v>1335</v>
      </c>
      <c r="E69" s="9" t="s">
        <v>1347</v>
      </c>
      <c r="F69" s="9" t="s">
        <v>1478</v>
      </c>
      <c r="G69" s="9" t="s">
        <v>745</v>
      </c>
      <c r="H69" s="9" t="n">
        <v>4132000000</v>
      </c>
      <c r="I69" s="9" t="s">
        <v>1255</v>
      </c>
      <c r="J69" s="9"/>
      <c r="K69" s="9" t="s">
        <v>522</v>
      </c>
      <c r="L69" s="9" t="s">
        <v>1230</v>
      </c>
      <c r="M69" s="9" t="s">
        <v>51</v>
      </c>
    </row>
    <row r="70" customFormat="false" ht="15" hidden="false" customHeight="false" outlineLevel="0" collapsed="false">
      <c r="A70" s="9" t="s">
        <v>1479</v>
      </c>
      <c r="B70" s="9" t="s">
        <v>1350</v>
      </c>
      <c r="C70" s="9" t="s">
        <v>1233</v>
      </c>
      <c r="D70" s="9" t="s">
        <v>1335</v>
      </c>
      <c r="E70" s="9" t="s">
        <v>1235</v>
      </c>
      <c r="F70" s="9" t="s">
        <v>1480</v>
      </c>
      <c r="G70" s="9" t="s">
        <v>1481</v>
      </c>
      <c r="H70" s="9" t="n">
        <v>109000000</v>
      </c>
      <c r="I70" s="9" t="s">
        <v>104</v>
      </c>
      <c r="J70" s="9" t="s">
        <v>852</v>
      </c>
      <c r="K70" s="9" t="s">
        <v>148</v>
      </c>
      <c r="L70" s="9" t="s">
        <v>1230</v>
      </c>
      <c r="M70" s="9" t="s">
        <v>51</v>
      </c>
    </row>
    <row r="71" customFormat="false" ht="15" hidden="false" customHeight="false" outlineLevel="0" collapsed="false">
      <c r="A71" s="9" t="s">
        <v>1482</v>
      </c>
      <c r="B71" s="9" t="s">
        <v>1483</v>
      </c>
      <c r="C71" s="9" t="s">
        <v>1251</v>
      </c>
      <c r="D71" s="9" t="s">
        <v>1241</v>
      </c>
      <c r="E71" s="9" t="s">
        <v>1265</v>
      </c>
      <c r="F71" s="9" t="s">
        <v>1123</v>
      </c>
      <c r="G71" s="9" t="s">
        <v>1484</v>
      </c>
      <c r="H71" s="9" t="n">
        <v>1204000000</v>
      </c>
      <c r="I71" s="9" t="s">
        <v>104</v>
      </c>
      <c r="J71" s="9"/>
      <c r="K71" s="9" t="s">
        <v>458</v>
      </c>
      <c r="L71" s="9" t="s">
        <v>1230</v>
      </c>
      <c r="M71" s="9" t="s">
        <v>51</v>
      </c>
    </row>
    <row r="72" customFormat="false" ht="15" hidden="false" customHeight="false" outlineLevel="0" collapsed="false">
      <c r="A72" s="9" t="s">
        <v>1485</v>
      </c>
      <c r="B72" s="9" t="s">
        <v>1383</v>
      </c>
      <c r="C72" s="9" t="s">
        <v>1263</v>
      </c>
      <c r="D72" s="9" t="s">
        <v>1234</v>
      </c>
      <c r="E72" s="9" t="s">
        <v>1275</v>
      </c>
      <c r="F72" s="9" t="s">
        <v>1486</v>
      </c>
      <c r="G72" s="9" t="s">
        <v>1487</v>
      </c>
      <c r="H72" s="9" t="n">
        <v>4607000000</v>
      </c>
      <c r="I72" s="9" t="s">
        <v>1237</v>
      </c>
      <c r="J72" s="9"/>
      <c r="K72" s="9" t="s">
        <v>526</v>
      </c>
      <c r="L72" s="9" t="s">
        <v>1230</v>
      </c>
      <c r="M72" s="9" t="s">
        <v>51</v>
      </c>
    </row>
    <row r="73" customFormat="false" ht="15" hidden="false" customHeight="false" outlineLevel="0" collapsed="false">
      <c r="A73" s="9" t="s">
        <v>1488</v>
      </c>
      <c r="B73" s="9" t="s">
        <v>1489</v>
      </c>
      <c r="C73" s="9" t="s">
        <v>1224</v>
      </c>
      <c r="D73" s="9" t="s">
        <v>1246</v>
      </c>
      <c r="E73" s="9" t="s">
        <v>1226</v>
      </c>
      <c r="F73" s="9" t="s">
        <v>1490</v>
      </c>
      <c r="G73" s="9" t="s">
        <v>1491</v>
      </c>
      <c r="H73" s="9" t="n">
        <v>3417000000</v>
      </c>
      <c r="I73" s="9" t="s">
        <v>1255</v>
      </c>
      <c r="J73" s="9"/>
      <c r="K73" s="9" t="s">
        <v>148</v>
      </c>
      <c r="L73" s="9" t="s">
        <v>1260</v>
      </c>
      <c r="M73" s="9" t="s">
        <v>51</v>
      </c>
    </row>
    <row r="74" customFormat="false" ht="15" hidden="false" customHeight="false" outlineLevel="0" collapsed="false">
      <c r="A74" s="9" t="s">
        <v>1492</v>
      </c>
      <c r="B74" s="9" t="s">
        <v>1493</v>
      </c>
      <c r="C74" s="9" t="s">
        <v>1224</v>
      </c>
      <c r="D74" s="9" t="s">
        <v>1264</v>
      </c>
      <c r="E74" s="9" t="s">
        <v>1235</v>
      </c>
      <c r="F74" s="9" t="s">
        <v>1494</v>
      </c>
      <c r="G74" s="9" t="s">
        <v>1495</v>
      </c>
      <c r="H74" s="9" t="n">
        <v>3017000000</v>
      </c>
      <c r="I74" s="9" t="s">
        <v>1237</v>
      </c>
      <c r="J74" s="9"/>
      <c r="K74" s="9" t="s">
        <v>344</v>
      </c>
      <c r="L74" s="9" t="s">
        <v>1230</v>
      </c>
      <c r="M74" s="9" t="s">
        <v>51</v>
      </c>
    </row>
    <row r="75" customFormat="false" ht="15" hidden="false" customHeight="false" outlineLevel="0" collapsed="false">
      <c r="A75" s="9" t="s">
        <v>1496</v>
      </c>
      <c r="B75" s="9" t="s">
        <v>1357</v>
      </c>
      <c r="C75" s="9" t="s">
        <v>1285</v>
      </c>
      <c r="D75" s="9" t="s">
        <v>1335</v>
      </c>
      <c r="E75" s="9" t="s">
        <v>1226</v>
      </c>
      <c r="F75" s="9" t="s">
        <v>1497</v>
      </c>
      <c r="G75" s="9" t="s">
        <v>1498</v>
      </c>
      <c r="H75" s="9" t="n">
        <v>4214000000</v>
      </c>
      <c r="I75" s="9" t="s">
        <v>104</v>
      </c>
      <c r="J75" s="9" t="s">
        <v>1000</v>
      </c>
      <c r="K75" s="9" t="s">
        <v>420</v>
      </c>
      <c r="L75" s="9" t="s">
        <v>1230</v>
      </c>
      <c r="M75" s="9" t="s">
        <v>51</v>
      </c>
    </row>
    <row r="76" customFormat="false" ht="15" hidden="false" customHeight="false" outlineLevel="0" collapsed="false">
      <c r="A76" s="9" t="s">
        <v>1499</v>
      </c>
      <c r="B76" s="9" t="s">
        <v>1500</v>
      </c>
      <c r="C76" s="9" t="s">
        <v>1285</v>
      </c>
      <c r="D76" s="9" t="s">
        <v>1258</v>
      </c>
      <c r="E76" s="9" t="s">
        <v>1235</v>
      </c>
      <c r="F76" s="9" t="s">
        <v>1501</v>
      </c>
      <c r="G76" s="9" t="s">
        <v>1042</v>
      </c>
      <c r="H76" s="9" t="n">
        <v>2712000000</v>
      </c>
      <c r="I76" s="9" t="s">
        <v>1229</v>
      </c>
      <c r="J76" s="9"/>
      <c r="K76" s="9" t="s">
        <v>266</v>
      </c>
      <c r="L76" s="9" t="s">
        <v>1260</v>
      </c>
      <c r="M76" s="9" t="s">
        <v>51</v>
      </c>
    </row>
    <row r="77" customFormat="false" ht="15" hidden="false" customHeight="false" outlineLevel="0" collapsed="false">
      <c r="A77" s="9" t="s">
        <v>1502</v>
      </c>
      <c r="B77" s="9" t="s">
        <v>1503</v>
      </c>
      <c r="C77" s="9" t="s">
        <v>1240</v>
      </c>
      <c r="D77" s="9" t="s">
        <v>1280</v>
      </c>
      <c r="E77" s="9" t="s">
        <v>1226</v>
      </c>
      <c r="F77" s="9" t="s">
        <v>1504</v>
      </c>
      <c r="G77" s="9" t="s">
        <v>1505</v>
      </c>
      <c r="H77" s="9" t="n">
        <v>4023000000</v>
      </c>
      <c r="I77" s="9" t="s">
        <v>1255</v>
      </c>
      <c r="J77" s="9" t="s">
        <v>1141</v>
      </c>
      <c r="K77" s="9" t="s">
        <v>498</v>
      </c>
      <c r="L77" s="9" t="s">
        <v>1230</v>
      </c>
      <c r="M77" s="9" t="s">
        <v>51</v>
      </c>
    </row>
    <row r="78" customFormat="false" ht="15" hidden="false" customHeight="false" outlineLevel="0" collapsed="false">
      <c r="A78" s="9" t="s">
        <v>1506</v>
      </c>
      <c r="B78" s="9" t="s">
        <v>1507</v>
      </c>
      <c r="C78" s="9" t="s">
        <v>1285</v>
      </c>
      <c r="D78" s="9" t="s">
        <v>1274</v>
      </c>
      <c r="E78" s="9" t="s">
        <v>1226</v>
      </c>
      <c r="F78" s="9" t="s">
        <v>1508</v>
      </c>
      <c r="G78" s="9" t="s">
        <v>1509</v>
      </c>
      <c r="H78" s="9" t="n">
        <v>3412000000</v>
      </c>
      <c r="I78" s="9" t="s">
        <v>1229</v>
      </c>
      <c r="J78" s="9" t="s">
        <v>893</v>
      </c>
      <c r="K78" s="9" t="s">
        <v>344</v>
      </c>
      <c r="L78" s="9" t="s">
        <v>1230</v>
      </c>
      <c r="M78" s="9" t="s">
        <v>51</v>
      </c>
    </row>
    <row r="79" customFormat="false" ht="15" hidden="false" customHeight="false" outlineLevel="0" collapsed="false">
      <c r="A79" s="9" t="s">
        <v>1510</v>
      </c>
      <c r="B79" s="9" t="s">
        <v>1511</v>
      </c>
      <c r="C79" s="9" t="s">
        <v>1240</v>
      </c>
      <c r="D79" s="9" t="s">
        <v>1234</v>
      </c>
      <c r="E79" s="9" t="s">
        <v>1347</v>
      </c>
      <c r="F79" s="9" t="s">
        <v>1512</v>
      </c>
      <c r="G79" s="9" t="s">
        <v>1513</v>
      </c>
      <c r="H79" s="9" t="n">
        <v>4350000000</v>
      </c>
      <c r="I79" s="9" t="s">
        <v>1229</v>
      </c>
      <c r="J79" s="9"/>
      <c r="K79" s="9" t="s">
        <v>52</v>
      </c>
      <c r="L79" s="9" t="s">
        <v>1260</v>
      </c>
      <c r="M79" s="9" t="s">
        <v>51</v>
      </c>
    </row>
    <row r="80" customFormat="false" ht="15" hidden="false" customHeight="false" outlineLevel="0" collapsed="false">
      <c r="A80" s="9" t="s">
        <v>1514</v>
      </c>
      <c r="B80" s="9" t="s">
        <v>1515</v>
      </c>
      <c r="C80" s="9" t="s">
        <v>1240</v>
      </c>
      <c r="D80" s="9" t="s">
        <v>1366</v>
      </c>
      <c r="E80" s="9" t="s">
        <v>1265</v>
      </c>
      <c r="F80" s="9" t="s">
        <v>1516</v>
      </c>
      <c r="G80" s="9" t="s">
        <v>1517</v>
      </c>
      <c r="H80" s="9" t="n">
        <v>2002000000</v>
      </c>
      <c r="I80" s="9" t="s">
        <v>104</v>
      </c>
      <c r="J80" s="9"/>
      <c r="K80" s="9" t="s">
        <v>498</v>
      </c>
      <c r="L80" s="9" t="s">
        <v>1230</v>
      </c>
      <c r="M80" s="9" t="s">
        <v>51</v>
      </c>
    </row>
    <row r="81" customFormat="false" ht="15" hidden="false" customHeight="false" outlineLevel="0" collapsed="false">
      <c r="A81" s="9" t="s">
        <v>1518</v>
      </c>
      <c r="B81" s="9" t="s">
        <v>1399</v>
      </c>
      <c r="C81" s="9" t="s">
        <v>1297</v>
      </c>
      <c r="D81" s="9" t="s">
        <v>1252</v>
      </c>
      <c r="E81" s="9" t="s">
        <v>1347</v>
      </c>
      <c r="F81" s="9" t="s">
        <v>1253</v>
      </c>
      <c r="G81" s="9" t="s">
        <v>1519</v>
      </c>
      <c r="H81" s="9" t="n">
        <v>207000000</v>
      </c>
      <c r="I81" s="9" t="s">
        <v>1255</v>
      </c>
      <c r="J81" s="9" t="s">
        <v>1041</v>
      </c>
      <c r="K81" s="9" t="s">
        <v>562</v>
      </c>
      <c r="L81" s="9" t="s">
        <v>1230</v>
      </c>
      <c r="M81" s="9" t="s">
        <v>51</v>
      </c>
    </row>
    <row r="82" customFormat="false" ht="15" hidden="false" customHeight="false" outlineLevel="0" collapsed="false">
      <c r="A82" s="9" t="s">
        <v>1520</v>
      </c>
      <c r="B82" s="9" t="s">
        <v>1346</v>
      </c>
      <c r="C82" s="9" t="s">
        <v>1224</v>
      </c>
      <c r="D82" s="9" t="s">
        <v>1335</v>
      </c>
      <c r="E82" s="9" t="s">
        <v>1265</v>
      </c>
      <c r="F82" s="9" t="s">
        <v>1395</v>
      </c>
      <c r="G82" s="9" t="s">
        <v>1521</v>
      </c>
      <c r="H82" s="9" t="n">
        <v>679000000</v>
      </c>
      <c r="I82" s="9" t="s">
        <v>104</v>
      </c>
      <c r="J82" s="9" t="s">
        <v>1170</v>
      </c>
      <c r="K82" s="9" t="s">
        <v>52</v>
      </c>
      <c r="L82" s="9" t="s">
        <v>1230</v>
      </c>
      <c r="M82" s="9" t="s">
        <v>51</v>
      </c>
    </row>
    <row r="83" customFormat="false" ht="15" hidden="false" customHeight="false" outlineLevel="0" collapsed="false">
      <c r="A83" s="9" t="s">
        <v>1522</v>
      </c>
      <c r="B83" s="9" t="s">
        <v>1432</v>
      </c>
      <c r="C83" s="9" t="s">
        <v>1251</v>
      </c>
      <c r="D83" s="9" t="s">
        <v>1335</v>
      </c>
      <c r="E83" s="9" t="s">
        <v>1265</v>
      </c>
      <c r="F83" s="9" t="s">
        <v>1523</v>
      </c>
      <c r="G83" s="9" t="s">
        <v>1504</v>
      </c>
      <c r="H83" s="9" t="n">
        <v>1689000000</v>
      </c>
      <c r="I83" s="9" t="s">
        <v>1229</v>
      </c>
      <c r="J83" s="9"/>
      <c r="K83" s="9" t="s">
        <v>189</v>
      </c>
      <c r="L83" s="9" t="s">
        <v>1230</v>
      </c>
      <c r="M83" s="9" t="s">
        <v>51</v>
      </c>
    </row>
    <row r="84" customFormat="false" ht="15" hidden="false" customHeight="false" outlineLevel="0" collapsed="false">
      <c r="A84" s="9" t="s">
        <v>1524</v>
      </c>
      <c r="B84" s="9" t="s">
        <v>1525</v>
      </c>
      <c r="C84" s="9" t="s">
        <v>1285</v>
      </c>
      <c r="D84" s="9" t="s">
        <v>1330</v>
      </c>
      <c r="E84" s="9" t="s">
        <v>1275</v>
      </c>
      <c r="F84" s="9" t="s">
        <v>1526</v>
      </c>
      <c r="G84" s="9" t="s">
        <v>1527</v>
      </c>
      <c r="H84" s="9" t="n">
        <v>721000000</v>
      </c>
      <c r="I84" s="9" t="s">
        <v>104</v>
      </c>
      <c r="J84" s="9" t="s">
        <v>1181</v>
      </c>
      <c r="K84" s="9" t="s">
        <v>420</v>
      </c>
      <c r="L84" s="9" t="s">
        <v>1230</v>
      </c>
      <c r="M84" s="9" t="s">
        <v>51</v>
      </c>
    </row>
    <row r="85" customFormat="false" ht="15" hidden="false" customHeight="false" outlineLevel="0" collapsed="false">
      <c r="A85" s="9" t="s">
        <v>1528</v>
      </c>
      <c r="B85" s="9" t="s">
        <v>1483</v>
      </c>
      <c r="C85" s="9" t="s">
        <v>1251</v>
      </c>
      <c r="D85" s="9" t="s">
        <v>1241</v>
      </c>
      <c r="E85" s="9" t="s">
        <v>1275</v>
      </c>
      <c r="F85" s="9" t="s">
        <v>1529</v>
      </c>
      <c r="G85" s="9" t="s">
        <v>1530</v>
      </c>
      <c r="H85" s="9" t="n">
        <v>3318000000</v>
      </c>
      <c r="I85" s="9" t="s">
        <v>1229</v>
      </c>
      <c r="J85" s="9" t="s">
        <v>981</v>
      </c>
      <c r="K85" s="9" t="s">
        <v>226</v>
      </c>
      <c r="L85" s="9" t="s">
        <v>1230</v>
      </c>
      <c r="M85" s="9" t="s">
        <v>51</v>
      </c>
    </row>
    <row r="86" customFormat="false" ht="15" hidden="false" customHeight="false" outlineLevel="0" collapsed="false">
      <c r="A86" s="9" t="s">
        <v>1531</v>
      </c>
      <c r="B86" s="9" t="s">
        <v>1532</v>
      </c>
      <c r="C86" s="9" t="s">
        <v>1297</v>
      </c>
      <c r="D86" s="9" t="s">
        <v>1246</v>
      </c>
      <c r="E86" s="9" t="s">
        <v>1235</v>
      </c>
      <c r="F86" s="9" t="s">
        <v>1533</v>
      </c>
      <c r="G86" s="9" t="s">
        <v>1534</v>
      </c>
      <c r="H86" s="9" t="n">
        <v>2935000000</v>
      </c>
      <c r="I86" s="9" t="s">
        <v>104</v>
      </c>
      <c r="J86" s="9" t="s">
        <v>1129</v>
      </c>
      <c r="K86" s="9" t="s">
        <v>458</v>
      </c>
      <c r="L86" s="9" t="s">
        <v>1230</v>
      </c>
      <c r="M86" s="9" t="s">
        <v>51</v>
      </c>
    </row>
    <row r="87" customFormat="false" ht="15" hidden="false" customHeight="false" outlineLevel="0" collapsed="false">
      <c r="A87" s="9" t="s">
        <v>1535</v>
      </c>
      <c r="B87" s="9" t="s">
        <v>1365</v>
      </c>
      <c r="C87" s="9" t="s">
        <v>1224</v>
      </c>
      <c r="D87" s="9" t="s">
        <v>1366</v>
      </c>
      <c r="E87" s="9" t="s">
        <v>1275</v>
      </c>
      <c r="F87" s="9" t="s">
        <v>1536</v>
      </c>
      <c r="G87" s="9" t="s">
        <v>1537</v>
      </c>
      <c r="H87" s="9" t="n">
        <v>3887000000</v>
      </c>
      <c r="I87" s="9" t="s">
        <v>1237</v>
      </c>
      <c r="J87" s="9" t="s">
        <v>845</v>
      </c>
      <c r="K87" s="9" t="s">
        <v>526</v>
      </c>
      <c r="L87" s="9" t="s">
        <v>1230</v>
      </c>
      <c r="M87" s="9" t="s">
        <v>51</v>
      </c>
    </row>
    <row r="88" customFormat="false" ht="15" hidden="false" customHeight="false" outlineLevel="0" collapsed="false">
      <c r="A88" s="9" t="s">
        <v>1538</v>
      </c>
      <c r="B88" s="9" t="s">
        <v>1346</v>
      </c>
      <c r="C88" s="9" t="s">
        <v>1224</v>
      </c>
      <c r="D88" s="9" t="s">
        <v>1335</v>
      </c>
      <c r="E88" s="9" t="s">
        <v>1265</v>
      </c>
      <c r="F88" s="9" t="s">
        <v>1539</v>
      </c>
      <c r="G88" s="9" t="s">
        <v>1540</v>
      </c>
      <c r="H88" s="9" t="n">
        <v>96000000</v>
      </c>
      <c r="I88" s="9" t="s">
        <v>1237</v>
      </c>
      <c r="J88" s="9" t="s">
        <v>742</v>
      </c>
      <c r="K88" s="9" t="s">
        <v>526</v>
      </c>
      <c r="L88" s="9" t="s">
        <v>1230</v>
      </c>
      <c r="M88" s="9" t="s">
        <v>51</v>
      </c>
    </row>
    <row r="89" customFormat="false" ht="15" hidden="false" customHeight="false" outlineLevel="0" collapsed="false">
      <c r="A89" s="9" t="s">
        <v>1541</v>
      </c>
      <c r="B89" s="9" t="s">
        <v>1405</v>
      </c>
      <c r="C89" s="9" t="s">
        <v>1297</v>
      </c>
      <c r="D89" s="9" t="s">
        <v>1241</v>
      </c>
      <c r="E89" s="9" t="s">
        <v>1265</v>
      </c>
      <c r="F89" s="9" t="s">
        <v>1542</v>
      </c>
      <c r="G89" s="9" t="s">
        <v>1543</v>
      </c>
      <c r="H89" s="9" t="n">
        <v>3385000000</v>
      </c>
      <c r="I89" s="9" t="s">
        <v>1237</v>
      </c>
      <c r="J89" s="9" t="s">
        <v>893</v>
      </c>
      <c r="K89" s="9" t="s">
        <v>420</v>
      </c>
      <c r="L89" s="9" t="s">
        <v>1260</v>
      </c>
      <c r="M89" s="9" t="s">
        <v>51</v>
      </c>
    </row>
    <row r="90" customFormat="false" ht="15" hidden="false" customHeight="false" outlineLevel="0" collapsed="false">
      <c r="A90" s="9" t="s">
        <v>1544</v>
      </c>
      <c r="B90" s="9" t="s">
        <v>1357</v>
      </c>
      <c r="C90" s="9" t="s">
        <v>1285</v>
      </c>
      <c r="D90" s="9" t="s">
        <v>1335</v>
      </c>
      <c r="E90" s="9" t="s">
        <v>1235</v>
      </c>
      <c r="F90" s="9" t="s">
        <v>1117</v>
      </c>
      <c r="G90" s="9" t="s">
        <v>1545</v>
      </c>
      <c r="H90" s="9" t="n">
        <v>3783000000</v>
      </c>
      <c r="I90" s="9" t="s">
        <v>104</v>
      </c>
      <c r="J90" s="9" t="s">
        <v>795</v>
      </c>
      <c r="K90" s="9" t="s">
        <v>420</v>
      </c>
      <c r="L90" s="9" t="s">
        <v>1260</v>
      </c>
      <c r="M90" s="9" t="s">
        <v>51</v>
      </c>
    </row>
    <row r="91" customFormat="false" ht="15" hidden="false" customHeight="false" outlineLevel="0" collapsed="false">
      <c r="A91" s="9" t="s">
        <v>1546</v>
      </c>
      <c r="B91" s="9" t="s">
        <v>1547</v>
      </c>
      <c r="C91" s="9" t="s">
        <v>1245</v>
      </c>
      <c r="D91" s="9" t="s">
        <v>1234</v>
      </c>
      <c r="E91" s="9" t="s">
        <v>1347</v>
      </c>
      <c r="F91" s="9" t="s">
        <v>804</v>
      </c>
      <c r="G91" s="9" t="s">
        <v>1548</v>
      </c>
      <c r="H91" s="9" t="n">
        <v>824000000</v>
      </c>
      <c r="I91" s="9" t="s">
        <v>1255</v>
      </c>
      <c r="J91" s="9"/>
      <c r="K91" s="9" t="s">
        <v>344</v>
      </c>
      <c r="L91" s="9" t="s">
        <v>1230</v>
      </c>
      <c r="M91" s="9" t="s">
        <v>51</v>
      </c>
    </row>
    <row r="92" customFormat="false" ht="15" hidden="false" customHeight="false" outlineLevel="0" collapsed="false">
      <c r="A92" s="9" t="s">
        <v>1549</v>
      </c>
      <c r="B92" s="9" t="s">
        <v>1547</v>
      </c>
      <c r="C92" s="9" t="s">
        <v>1245</v>
      </c>
      <c r="D92" s="9" t="s">
        <v>1234</v>
      </c>
      <c r="E92" s="9" t="s">
        <v>1235</v>
      </c>
      <c r="F92" s="9" t="s">
        <v>1387</v>
      </c>
      <c r="G92" s="9" t="s">
        <v>1550</v>
      </c>
      <c r="H92" s="9" t="n">
        <v>1253000000</v>
      </c>
      <c r="I92" s="9" t="s">
        <v>1255</v>
      </c>
      <c r="J92" s="9"/>
      <c r="K92" s="9" t="s">
        <v>530</v>
      </c>
      <c r="L92" s="9" t="s">
        <v>1260</v>
      </c>
      <c r="M92" s="9" t="s">
        <v>51</v>
      </c>
    </row>
    <row r="93" customFormat="false" ht="15" hidden="false" customHeight="false" outlineLevel="0" collapsed="false">
      <c r="A93" s="9" t="s">
        <v>1551</v>
      </c>
      <c r="B93" s="9" t="s">
        <v>1552</v>
      </c>
      <c r="C93" s="9" t="s">
        <v>1240</v>
      </c>
      <c r="D93" s="9" t="s">
        <v>1264</v>
      </c>
      <c r="E93" s="9" t="s">
        <v>1265</v>
      </c>
      <c r="F93" s="9" t="s">
        <v>1553</v>
      </c>
      <c r="G93" s="9" t="s">
        <v>1554</v>
      </c>
      <c r="H93" s="9" t="n">
        <v>2949000000</v>
      </c>
      <c r="I93" s="9" t="s">
        <v>1237</v>
      </c>
      <c r="J93" s="9"/>
      <c r="K93" s="9" t="s">
        <v>498</v>
      </c>
      <c r="L93" s="9" t="s">
        <v>1230</v>
      </c>
      <c r="M93" s="9" t="s">
        <v>51</v>
      </c>
    </row>
    <row r="94" customFormat="false" ht="15" hidden="false" customHeight="false" outlineLevel="0" collapsed="false">
      <c r="A94" s="9" t="s">
        <v>1555</v>
      </c>
      <c r="B94" s="9" t="s">
        <v>1556</v>
      </c>
      <c r="C94" s="9" t="s">
        <v>1245</v>
      </c>
      <c r="D94" s="9" t="s">
        <v>1366</v>
      </c>
      <c r="E94" s="9" t="s">
        <v>1347</v>
      </c>
      <c r="F94" s="9" t="s">
        <v>1099</v>
      </c>
      <c r="G94" s="9" t="s">
        <v>1557</v>
      </c>
      <c r="H94" s="9" t="n">
        <v>4524000000</v>
      </c>
      <c r="I94" s="9" t="s">
        <v>104</v>
      </c>
      <c r="J94" s="9" t="s">
        <v>1090</v>
      </c>
      <c r="K94" s="9" t="s">
        <v>189</v>
      </c>
      <c r="L94" s="9" t="s">
        <v>1230</v>
      </c>
      <c r="M94" s="9" t="s">
        <v>51</v>
      </c>
    </row>
    <row r="95" customFormat="false" ht="15" hidden="false" customHeight="false" outlineLevel="0" collapsed="false">
      <c r="A95" s="9" t="s">
        <v>1558</v>
      </c>
      <c r="B95" s="9" t="s">
        <v>1507</v>
      </c>
      <c r="C95" s="9" t="s">
        <v>1285</v>
      </c>
      <c r="D95" s="9" t="s">
        <v>1274</v>
      </c>
      <c r="E95" s="9" t="s">
        <v>1265</v>
      </c>
      <c r="F95" s="9" t="s">
        <v>1559</v>
      </c>
      <c r="G95" s="9" t="s">
        <v>1550</v>
      </c>
      <c r="H95" s="9" t="n">
        <v>631000000</v>
      </c>
      <c r="I95" s="9" t="s">
        <v>104</v>
      </c>
      <c r="J95" s="9"/>
      <c r="K95" s="9" t="s">
        <v>708</v>
      </c>
      <c r="L95" s="9" t="s">
        <v>1230</v>
      </c>
      <c r="M95" s="9" t="s">
        <v>51</v>
      </c>
    </row>
    <row r="96" customFormat="false" ht="15" hidden="false" customHeight="false" outlineLevel="0" collapsed="false">
      <c r="A96" s="9" t="s">
        <v>1560</v>
      </c>
      <c r="B96" s="9" t="s">
        <v>1310</v>
      </c>
      <c r="C96" s="9" t="s">
        <v>1233</v>
      </c>
      <c r="D96" s="9" t="s">
        <v>1280</v>
      </c>
      <c r="E96" s="9" t="s">
        <v>1265</v>
      </c>
      <c r="F96" s="9" t="s">
        <v>1032</v>
      </c>
      <c r="G96" s="9" t="s">
        <v>1424</v>
      </c>
      <c r="H96" s="9" t="n">
        <v>2139000000</v>
      </c>
      <c r="I96" s="9" t="s">
        <v>1229</v>
      </c>
      <c r="J96" s="9"/>
      <c r="K96" s="9" t="s">
        <v>266</v>
      </c>
      <c r="L96" s="9" t="s">
        <v>1230</v>
      </c>
      <c r="M96" s="9" t="s">
        <v>51</v>
      </c>
    </row>
    <row r="97" customFormat="false" ht="15" hidden="false" customHeight="false" outlineLevel="0" collapsed="false">
      <c r="A97" s="9" t="s">
        <v>1561</v>
      </c>
      <c r="B97" s="9" t="s">
        <v>1562</v>
      </c>
      <c r="C97" s="9" t="s">
        <v>1251</v>
      </c>
      <c r="D97" s="9" t="s">
        <v>1280</v>
      </c>
      <c r="E97" s="9" t="s">
        <v>1347</v>
      </c>
      <c r="F97" s="9" t="s">
        <v>1563</v>
      </c>
      <c r="G97" s="9" t="s">
        <v>1564</v>
      </c>
      <c r="H97" s="9" t="n">
        <v>4110000000</v>
      </c>
      <c r="I97" s="9" t="s">
        <v>104</v>
      </c>
      <c r="J97" s="9" t="s">
        <v>1037</v>
      </c>
      <c r="K97" s="9" t="s">
        <v>52</v>
      </c>
      <c r="L97" s="9" t="s">
        <v>1230</v>
      </c>
      <c r="M97" s="9" t="s">
        <v>51</v>
      </c>
    </row>
    <row r="98" customFormat="false" ht="15" hidden="false" customHeight="false" outlineLevel="0" collapsed="false">
      <c r="A98" s="9" t="s">
        <v>1565</v>
      </c>
      <c r="B98" s="9" t="s">
        <v>1507</v>
      </c>
      <c r="C98" s="9" t="s">
        <v>1285</v>
      </c>
      <c r="D98" s="9" t="s">
        <v>1274</v>
      </c>
      <c r="E98" s="9" t="s">
        <v>1265</v>
      </c>
      <c r="F98" s="9" t="s">
        <v>1566</v>
      </c>
      <c r="G98" s="9" t="s">
        <v>1567</v>
      </c>
      <c r="H98" s="9" t="n">
        <v>1472000000</v>
      </c>
      <c r="I98" s="9" t="s">
        <v>1237</v>
      </c>
      <c r="J98" s="9"/>
      <c r="K98" s="9" t="s">
        <v>601</v>
      </c>
      <c r="L98" s="9" t="s">
        <v>1230</v>
      </c>
      <c r="M98" s="9" t="s">
        <v>51</v>
      </c>
    </row>
    <row r="99" customFormat="false" ht="15" hidden="false" customHeight="false" outlineLevel="0" collapsed="false">
      <c r="A99" s="9" t="s">
        <v>1568</v>
      </c>
      <c r="B99" s="9" t="s">
        <v>1262</v>
      </c>
      <c r="C99" s="9" t="s">
        <v>1263</v>
      </c>
      <c r="D99" s="9" t="s">
        <v>1264</v>
      </c>
      <c r="E99" s="9" t="s">
        <v>1275</v>
      </c>
      <c r="F99" s="9" t="s">
        <v>1569</v>
      </c>
      <c r="G99" s="9" t="s">
        <v>1570</v>
      </c>
      <c r="H99" s="9" t="n">
        <v>2170000000</v>
      </c>
      <c r="I99" s="9" t="s">
        <v>1255</v>
      </c>
      <c r="J99" s="9" t="s">
        <v>1122</v>
      </c>
      <c r="K99" s="9" t="s">
        <v>344</v>
      </c>
      <c r="L99" s="9" t="s">
        <v>1230</v>
      </c>
      <c r="M99" s="9" t="s">
        <v>51</v>
      </c>
    </row>
    <row r="100" customFormat="false" ht="15" hidden="false" customHeight="false" outlineLevel="0" collapsed="false">
      <c r="A100" s="9" t="s">
        <v>1571</v>
      </c>
      <c r="B100" s="9" t="s">
        <v>1390</v>
      </c>
      <c r="C100" s="9" t="s">
        <v>1240</v>
      </c>
      <c r="D100" s="9" t="s">
        <v>1252</v>
      </c>
      <c r="E100" s="9" t="s">
        <v>1275</v>
      </c>
      <c r="F100" s="9" t="s">
        <v>1572</v>
      </c>
      <c r="G100" s="9" t="s">
        <v>1573</v>
      </c>
      <c r="H100" s="9" t="n">
        <v>331000000</v>
      </c>
      <c r="I100" s="9" t="s">
        <v>1255</v>
      </c>
      <c r="J100" s="9" t="s">
        <v>1047</v>
      </c>
      <c r="K100" s="9" t="s">
        <v>420</v>
      </c>
      <c r="L100" s="9" t="s">
        <v>1230</v>
      </c>
      <c r="M100" s="9" t="s">
        <v>51</v>
      </c>
    </row>
    <row r="101" customFormat="false" ht="15" hidden="false" customHeight="false" outlineLevel="0" collapsed="false">
      <c r="A101" s="9" t="s">
        <v>1574</v>
      </c>
      <c r="B101" s="9" t="s">
        <v>1575</v>
      </c>
      <c r="C101" s="9" t="s">
        <v>1224</v>
      </c>
      <c r="D101" s="9" t="s">
        <v>1280</v>
      </c>
      <c r="E101" s="9" t="s">
        <v>1235</v>
      </c>
      <c r="F101" s="9" t="s">
        <v>1576</v>
      </c>
      <c r="G101" s="9" t="s">
        <v>1577</v>
      </c>
      <c r="H101" s="9" t="n">
        <v>3090000000</v>
      </c>
      <c r="I101" s="9" t="s">
        <v>1229</v>
      </c>
      <c r="J101" s="9" t="s">
        <v>1114</v>
      </c>
      <c r="K101" s="9" t="s">
        <v>189</v>
      </c>
      <c r="L101" s="9" t="s">
        <v>1230</v>
      </c>
      <c r="M101" s="9" t="s">
        <v>51</v>
      </c>
    </row>
    <row r="102" customFormat="false" ht="15" hidden="false" customHeight="false" outlineLevel="0" collapsed="false">
      <c r="A102" s="9" t="s">
        <v>1578</v>
      </c>
      <c r="B102" s="9" t="s">
        <v>1288</v>
      </c>
      <c r="C102" s="9" t="s">
        <v>1233</v>
      </c>
      <c r="D102" s="9" t="s">
        <v>1264</v>
      </c>
      <c r="E102" s="9" t="s">
        <v>1235</v>
      </c>
      <c r="F102" s="9" t="s">
        <v>1579</v>
      </c>
      <c r="G102" s="9" t="s">
        <v>1580</v>
      </c>
      <c r="H102" s="9" t="n">
        <v>2831000000</v>
      </c>
      <c r="I102" s="9" t="s">
        <v>1229</v>
      </c>
      <c r="J102" s="9"/>
      <c r="K102" s="9" t="s">
        <v>52</v>
      </c>
      <c r="L102" s="9" t="s">
        <v>1230</v>
      </c>
      <c r="M102" s="9" t="s">
        <v>51</v>
      </c>
    </row>
    <row r="103" customFormat="false" ht="15" hidden="false" customHeight="false" outlineLevel="0" collapsed="false">
      <c r="A103" s="9" t="s">
        <v>1581</v>
      </c>
      <c r="B103" s="9" t="s">
        <v>1429</v>
      </c>
      <c r="C103" s="9" t="s">
        <v>1285</v>
      </c>
      <c r="D103" s="9" t="s">
        <v>1366</v>
      </c>
      <c r="E103" s="9" t="s">
        <v>1265</v>
      </c>
      <c r="F103" s="9" t="s">
        <v>1582</v>
      </c>
      <c r="G103" s="9" t="s">
        <v>1583</v>
      </c>
      <c r="H103" s="9" t="n">
        <v>4220000000</v>
      </c>
      <c r="I103" s="9" t="s">
        <v>1255</v>
      </c>
      <c r="J103" s="9" t="s">
        <v>875</v>
      </c>
      <c r="K103" s="9" t="s">
        <v>305</v>
      </c>
      <c r="L103" s="9" t="s">
        <v>1230</v>
      </c>
      <c r="M103" s="9" t="s">
        <v>51</v>
      </c>
    </row>
    <row r="104" customFormat="false" ht="15" hidden="false" customHeight="false" outlineLevel="0" collapsed="false">
      <c r="A104" s="9" t="s">
        <v>1584</v>
      </c>
      <c r="B104" s="9" t="s">
        <v>1585</v>
      </c>
      <c r="C104" s="9" t="s">
        <v>1297</v>
      </c>
      <c r="D104" s="9" t="s">
        <v>1335</v>
      </c>
      <c r="E104" s="9" t="s">
        <v>1265</v>
      </c>
      <c r="F104" s="9" t="s">
        <v>1586</v>
      </c>
      <c r="G104" s="9" t="s">
        <v>1587</v>
      </c>
      <c r="H104" s="9" t="n">
        <v>933000000</v>
      </c>
      <c r="I104" s="9" t="s">
        <v>1229</v>
      </c>
      <c r="J104" s="9"/>
      <c r="K104" s="9" t="s">
        <v>601</v>
      </c>
      <c r="L104" s="9" t="s">
        <v>1230</v>
      </c>
      <c r="M104" s="9" t="s">
        <v>51</v>
      </c>
    </row>
    <row r="105" customFormat="false" ht="15" hidden="false" customHeight="false" outlineLevel="0" collapsed="false">
      <c r="A105" s="9" t="s">
        <v>1588</v>
      </c>
      <c r="B105" s="9" t="s">
        <v>1357</v>
      </c>
      <c r="C105" s="9" t="s">
        <v>1285</v>
      </c>
      <c r="D105" s="9" t="s">
        <v>1335</v>
      </c>
      <c r="E105" s="9" t="s">
        <v>1275</v>
      </c>
      <c r="F105" s="9" t="s">
        <v>1589</v>
      </c>
      <c r="G105" s="9" t="s">
        <v>1010</v>
      </c>
      <c r="H105" s="9" t="n">
        <v>358000000</v>
      </c>
      <c r="I105" s="9" t="s">
        <v>1237</v>
      </c>
      <c r="J105" s="9" t="s">
        <v>862</v>
      </c>
      <c r="K105" s="9" t="s">
        <v>266</v>
      </c>
      <c r="L105" s="9" t="s">
        <v>1230</v>
      </c>
      <c r="M105" s="9" t="s">
        <v>51</v>
      </c>
    </row>
    <row r="106" customFormat="false" ht="15" hidden="false" customHeight="false" outlineLevel="0" collapsed="false">
      <c r="A106" s="9" t="s">
        <v>1590</v>
      </c>
      <c r="B106" s="9" t="s">
        <v>1353</v>
      </c>
      <c r="C106" s="9" t="s">
        <v>1263</v>
      </c>
      <c r="D106" s="9" t="s">
        <v>1280</v>
      </c>
      <c r="E106" s="9" t="s">
        <v>1265</v>
      </c>
      <c r="F106" s="9" t="s">
        <v>1591</v>
      </c>
      <c r="G106" s="9" t="s">
        <v>1592</v>
      </c>
      <c r="H106" s="9" t="n">
        <v>2120000000</v>
      </c>
      <c r="I106" s="9" t="s">
        <v>1237</v>
      </c>
      <c r="J106" s="9" t="s">
        <v>989</v>
      </c>
      <c r="K106" s="9" t="s">
        <v>52</v>
      </c>
      <c r="L106" s="9" t="s">
        <v>1230</v>
      </c>
      <c r="M106" s="9" t="s">
        <v>51</v>
      </c>
    </row>
    <row r="107" customFormat="false" ht="15" hidden="false" customHeight="false" outlineLevel="0" collapsed="false">
      <c r="A107" s="9" t="s">
        <v>1593</v>
      </c>
      <c r="B107" s="9" t="s">
        <v>1223</v>
      </c>
      <c r="C107" s="9" t="s">
        <v>1224</v>
      </c>
      <c r="D107" s="9" t="s">
        <v>1225</v>
      </c>
      <c r="E107" s="9" t="s">
        <v>1265</v>
      </c>
      <c r="F107" s="9" t="s">
        <v>1030</v>
      </c>
      <c r="G107" s="9" t="s">
        <v>1594</v>
      </c>
      <c r="H107" s="9" t="n">
        <v>3866000000</v>
      </c>
      <c r="I107" s="9" t="s">
        <v>1229</v>
      </c>
      <c r="J107" s="9" t="s">
        <v>1196</v>
      </c>
      <c r="K107" s="9" t="s">
        <v>530</v>
      </c>
      <c r="L107" s="9" t="s">
        <v>1230</v>
      </c>
      <c r="M107" s="9" t="s">
        <v>51</v>
      </c>
    </row>
    <row r="108" customFormat="false" ht="15" hidden="false" customHeight="false" outlineLevel="0" collapsed="false">
      <c r="A108" s="9" t="s">
        <v>1595</v>
      </c>
      <c r="B108" s="9" t="s">
        <v>1596</v>
      </c>
      <c r="C108" s="9" t="s">
        <v>1285</v>
      </c>
      <c r="D108" s="9" t="s">
        <v>1280</v>
      </c>
      <c r="E108" s="9" t="s">
        <v>1235</v>
      </c>
      <c r="F108" s="9" t="s">
        <v>1597</v>
      </c>
      <c r="G108" s="9" t="s">
        <v>1598</v>
      </c>
      <c r="H108" s="9" t="n">
        <v>2812000000</v>
      </c>
      <c r="I108" s="9" t="s">
        <v>1229</v>
      </c>
      <c r="J108" s="9" t="s">
        <v>795</v>
      </c>
      <c r="K108" s="9" t="s">
        <v>381</v>
      </c>
      <c r="L108" s="9" t="s">
        <v>1230</v>
      </c>
      <c r="M108" s="9" t="s">
        <v>51</v>
      </c>
    </row>
    <row r="109" customFormat="false" ht="15" hidden="false" customHeight="false" outlineLevel="0" collapsed="false">
      <c r="A109" s="9" t="s">
        <v>1599</v>
      </c>
      <c r="B109" s="9" t="s">
        <v>1284</v>
      </c>
      <c r="C109" s="9" t="s">
        <v>1285</v>
      </c>
      <c r="D109" s="9" t="s">
        <v>1225</v>
      </c>
      <c r="E109" s="9" t="s">
        <v>1226</v>
      </c>
      <c r="F109" s="9" t="s">
        <v>1600</v>
      </c>
      <c r="G109" s="9" t="s">
        <v>1601</v>
      </c>
      <c r="H109" s="9" t="n">
        <v>4136000000</v>
      </c>
      <c r="I109" s="9" t="s">
        <v>1229</v>
      </c>
      <c r="J109" s="9"/>
      <c r="K109" s="9" t="s">
        <v>226</v>
      </c>
      <c r="L109" s="9" t="s">
        <v>1260</v>
      </c>
      <c r="M109" s="9" t="s">
        <v>51</v>
      </c>
    </row>
    <row r="110" customFormat="false" ht="15" hidden="false" customHeight="false" outlineLevel="0" collapsed="false">
      <c r="A110" s="9" t="s">
        <v>1602</v>
      </c>
      <c r="B110" s="9" t="s">
        <v>1314</v>
      </c>
      <c r="C110" s="9" t="s">
        <v>1263</v>
      </c>
      <c r="D110" s="9" t="s">
        <v>1274</v>
      </c>
      <c r="E110" s="9" t="s">
        <v>1235</v>
      </c>
      <c r="F110" s="9" t="s">
        <v>1603</v>
      </c>
      <c r="G110" s="9" t="s">
        <v>1539</v>
      </c>
      <c r="H110" s="9" t="n">
        <v>3955000000</v>
      </c>
      <c r="I110" s="9" t="s">
        <v>1237</v>
      </c>
      <c r="J110" s="9"/>
      <c r="K110" s="9" t="s">
        <v>52</v>
      </c>
      <c r="L110" s="9" t="s">
        <v>1230</v>
      </c>
      <c r="M110" s="9" t="s">
        <v>51</v>
      </c>
    </row>
    <row r="111" customFormat="false" ht="15" hidden="false" customHeight="false" outlineLevel="0" collapsed="false">
      <c r="A111" s="9" t="s">
        <v>1604</v>
      </c>
      <c r="B111" s="9" t="s">
        <v>1370</v>
      </c>
      <c r="C111" s="9" t="s">
        <v>1233</v>
      </c>
      <c r="D111" s="9" t="s">
        <v>1274</v>
      </c>
      <c r="E111" s="9" t="s">
        <v>1275</v>
      </c>
      <c r="F111" s="9" t="s">
        <v>1605</v>
      </c>
      <c r="G111" s="9" t="s">
        <v>1606</v>
      </c>
      <c r="H111" s="9" t="n">
        <v>4345000000</v>
      </c>
      <c r="I111" s="9" t="s">
        <v>1229</v>
      </c>
      <c r="J111" s="9" t="s">
        <v>1185</v>
      </c>
      <c r="K111" s="9" t="s">
        <v>601</v>
      </c>
      <c r="L111" s="9" t="s">
        <v>1230</v>
      </c>
      <c r="M111" s="9" t="s">
        <v>51</v>
      </c>
    </row>
    <row r="112" customFormat="false" ht="15" hidden="false" customHeight="false" outlineLevel="0" collapsed="false">
      <c r="A112" s="9" t="s">
        <v>1607</v>
      </c>
      <c r="B112" s="9" t="s">
        <v>1232</v>
      </c>
      <c r="C112" s="9" t="s">
        <v>1233</v>
      </c>
      <c r="D112" s="9" t="s">
        <v>1234</v>
      </c>
      <c r="E112" s="9" t="s">
        <v>1235</v>
      </c>
      <c r="F112" s="9" t="s">
        <v>1022</v>
      </c>
      <c r="G112" s="9" t="s">
        <v>1608</v>
      </c>
      <c r="H112" s="9" t="n">
        <v>3490000000</v>
      </c>
      <c r="I112" s="9" t="s">
        <v>1237</v>
      </c>
      <c r="J112" s="9" t="s">
        <v>1168</v>
      </c>
      <c r="K112" s="9" t="s">
        <v>381</v>
      </c>
      <c r="L112" s="9" t="s">
        <v>1230</v>
      </c>
      <c r="M112" s="9" t="s">
        <v>51</v>
      </c>
    </row>
    <row r="113" customFormat="false" ht="15" hidden="false" customHeight="false" outlineLevel="0" collapsed="false">
      <c r="A113" s="9" t="s">
        <v>1609</v>
      </c>
      <c r="B113" s="9" t="s">
        <v>1405</v>
      </c>
      <c r="C113" s="9" t="s">
        <v>1297</v>
      </c>
      <c r="D113" s="9" t="s">
        <v>1241</v>
      </c>
      <c r="E113" s="9" t="s">
        <v>1235</v>
      </c>
      <c r="F113" s="9" t="s">
        <v>1184</v>
      </c>
      <c r="G113" s="9" t="s">
        <v>1610</v>
      </c>
      <c r="H113" s="9" t="n">
        <v>2116000000</v>
      </c>
      <c r="I113" s="9" t="s">
        <v>1237</v>
      </c>
      <c r="J113" s="9" t="s">
        <v>1158</v>
      </c>
      <c r="K113" s="9" t="s">
        <v>52</v>
      </c>
      <c r="L113" s="9" t="s">
        <v>1230</v>
      </c>
      <c r="M113" s="9" t="s">
        <v>51</v>
      </c>
    </row>
    <row r="114" customFormat="false" ht="15" hidden="false" customHeight="false" outlineLevel="0" collapsed="false">
      <c r="A114" s="9" t="s">
        <v>1611</v>
      </c>
      <c r="B114" s="9" t="s">
        <v>1612</v>
      </c>
      <c r="C114" s="9" t="s">
        <v>1297</v>
      </c>
      <c r="D114" s="9" t="s">
        <v>1274</v>
      </c>
      <c r="E114" s="9" t="s">
        <v>1226</v>
      </c>
      <c r="F114" s="9" t="s">
        <v>1001</v>
      </c>
      <c r="G114" s="9" t="s">
        <v>1613</v>
      </c>
      <c r="H114" s="9" t="n">
        <v>2592000000</v>
      </c>
      <c r="I114" s="9" t="s">
        <v>1229</v>
      </c>
      <c r="J114" s="9" t="s">
        <v>857</v>
      </c>
      <c r="K114" s="9" t="s">
        <v>530</v>
      </c>
      <c r="L114" s="9" t="s">
        <v>1230</v>
      </c>
      <c r="M114" s="9" t="s">
        <v>51</v>
      </c>
    </row>
    <row r="115" customFormat="false" ht="15" hidden="false" customHeight="false" outlineLevel="0" collapsed="false">
      <c r="A115" s="9" t="s">
        <v>1614</v>
      </c>
      <c r="B115" s="9" t="s">
        <v>1615</v>
      </c>
      <c r="C115" s="9" t="s">
        <v>1224</v>
      </c>
      <c r="D115" s="9" t="s">
        <v>1241</v>
      </c>
      <c r="E115" s="9" t="s">
        <v>1235</v>
      </c>
      <c r="F115" s="9" t="s">
        <v>1616</v>
      </c>
      <c r="G115" s="9" t="s">
        <v>1617</v>
      </c>
      <c r="H115" s="9" t="n">
        <v>3000000000</v>
      </c>
      <c r="I115" s="9" t="s">
        <v>1255</v>
      </c>
      <c r="J115" s="9"/>
      <c r="K115" s="9" t="s">
        <v>526</v>
      </c>
      <c r="L115" s="9" t="s">
        <v>1230</v>
      </c>
      <c r="M115" s="9" t="s">
        <v>51</v>
      </c>
    </row>
    <row r="116" customFormat="false" ht="15" hidden="false" customHeight="false" outlineLevel="0" collapsed="false">
      <c r="A116" s="9" t="s">
        <v>1618</v>
      </c>
      <c r="B116" s="9" t="s">
        <v>1370</v>
      </c>
      <c r="C116" s="9" t="s">
        <v>1233</v>
      </c>
      <c r="D116" s="9" t="s">
        <v>1274</v>
      </c>
      <c r="E116" s="9" t="s">
        <v>1235</v>
      </c>
      <c r="F116" s="9" t="s">
        <v>1619</v>
      </c>
      <c r="G116" s="9" t="s">
        <v>1620</v>
      </c>
      <c r="H116" s="9" t="n">
        <v>3037000000</v>
      </c>
      <c r="I116" s="9" t="s">
        <v>1229</v>
      </c>
      <c r="J116" s="9" t="s">
        <v>938</v>
      </c>
      <c r="K116" s="9" t="s">
        <v>522</v>
      </c>
      <c r="L116" s="9" t="s">
        <v>1230</v>
      </c>
      <c r="M116" s="9" t="s">
        <v>51</v>
      </c>
    </row>
    <row r="117" customFormat="false" ht="15" hidden="false" customHeight="false" outlineLevel="0" collapsed="false">
      <c r="A117" s="9" t="s">
        <v>1621</v>
      </c>
      <c r="B117" s="9" t="s">
        <v>1422</v>
      </c>
      <c r="C117" s="9" t="s">
        <v>1233</v>
      </c>
      <c r="D117" s="9" t="s">
        <v>1246</v>
      </c>
      <c r="E117" s="9" t="s">
        <v>1265</v>
      </c>
      <c r="F117" s="9" t="s">
        <v>1622</v>
      </c>
      <c r="G117" s="9" t="s">
        <v>1553</v>
      </c>
      <c r="H117" s="9" t="n">
        <v>3663000000</v>
      </c>
      <c r="I117" s="9" t="s">
        <v>1237</v>
      </c>
      <c r="J117" s="9" t="s">
        <v>1041</v>
      </c>
      <c r="K117" s="9" t="s">
        <v>526</v>
      </c>
      <c r="L117" s="9" t="s">
        <v>1230</v>
      </c>
      <c r="M117" s="9" t="s">
        <v>51</v>
      </c>
    </row>
    <row r="118" customFormat="false" ht="15" hidden="false" customHeight="false" outlineLevel="0" collapsed="false">
      <c r="A118" s="9" t="s">
        <v>1623</v>
      </c>
      <c r="B118" s="9" t="s">
        <v>1318</v>
      </c>
      <c r="C118" s="9" t="s">
        <v>1263</v>
      </c>
      <c r="D118" s="9" t="s">
        <v>1258</v>
      </c>
      <c r="E118" s="9" t="s">
        <v>1275</v>
      </c>
      <c r="F118" s="9" t="s">
        <v>1624</v>
      </c>
      <c r="G118" s="9" t="s">
        <v>1625</v>
      </c>
      <c r="H118" s="9" t="n">
        <v>1195000000</v>
      </c>
      <c r="I118" s="9" t="s">
        <v>1229</v>
      </c>
      <c r="J118" s="9"/>
      <c r="K118" s="9" t="s">
        <v>530</v>
      </c>
      <c r="L118" s="9" t="s">
        <v>1260</v>
      </c>
      <c r="M118" s="9" t="s">
        <v>51</v>
      </c>
    </row>
    <row r="119" customFormat="false" ht="15" hidden="false" customHeight="false" outlineLevel="0" collapsed="false">
      <c r="A119" s="9" t="s">
        <v>1626</v>
      </c>
      <c r="B119" s="9" t="s">
        <v>1493</v>
      </c>
      <c r="C119" s="9" t="s">
        <v>1224</v>
      </c>
      <c r="D119" s="9" t="s">
        <v>1264</v>
      </c>
      <c r="E119" s="9" t="s">
        <v>1347</v>
      </c>
      <c r="F119" s="9" t="s">
        <v>1627</v>
      </c>
      <c r="G119" s="9" t="s">
        <v>1628</v>
      </c>
      <c r="H119" s="9" t="n">
        <v>314000000</v>
      </c>
      <c r="I119" s="9" t="s">
        <v>1229</v>
      </c>
      <c r="J119" s="9"/>
      <c r="K119" s="9" t="s">
        <v>526</v>
      </c>
      <c r="L119" s="9" t="s">
        <v>1230</v>
      </c>
      <c r="M119" s="9" t="s">
        <v>51</v>
      </c>
    </row>
    <row r="120" customFormat="false" ht="15" hidden="false" customHeight="false" outlineLevel="0" collapsed="false">
      <c r="A120" s="9" t="s">
        <v>1629</v>
      </c>
      <c r="B120" s="9" t="s">
        <v>1489</v>
      </c>
      <c r="C120" s="9" t="s">
        <v>1224</v>
      </c>
      <c r="D120" s="9" t="s">
        <v>1246</v>
      </c>
      <c r="E120" s="9" t="s">
        <v>1235</v>
      </c>
      <c r="F120" s="9" t="s">
        <v>1630</v>
      </c>
      <c r="G120" s="9" t="s">
        <v>964</v>
      </c>
      <c r="H120" s="9" t="n">
        <v>4054000000</v>
      </c>
      <c r="I120" s="9" t="s">
        <v>1229</v>
      </c>
      <c r="J120" s="9" t="s">
        <v>1205</v>
      </c>
      <c r="K120" s="9" t="s">
        <v>708</v>
      </c>
      <c r="L120" s="9" t="s">
        <v>1230</v>
      </c>
      <c r="M120" s="9" t="s">
        <v>51</v>
      </c>
    </row>
    <row r="121" customFormat="false" ht="15" hidden="false" customHeight="false" outlineLevel="0" collapsed="false">
      <c r="A121" s="9" t="s">
        <v>1631</v>
      </c>
      <c r="B121" s="9" t="s">
        <v>1353</v>
      </c>
      <c r="C121" s="9" t="s">
        <v>1263</v>
      </c>
      <c r="D121" s="9" t="s">
        <v>1280</v>
      </c>
      <c r="E121" s="9" t="s">
        <v>1235</v>
      </c>
      <c r="F121" s="9" t="s">
        <v>1632</v>
      </c>
      <c r="G121" s="9" t="s">
        <v>1633</v>
      </c>
      <c r="H121" s="9" t="n">
        <v>1393000000</v>
      </c>
      <c r="I121" s="9" t="s">
        <v>104</v>
      </c>
      <c r="J121" s="9" t="s">
        <v>1114</v>
      </c>
      <c r="K121" s="9" t="s">
        <v>52</v>
      </c>
      <c r="L121" s="9" t="s">
        <v>1230</v>
      </c>
      <c r="M121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2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20"/>
  </cols>
  <sheetData>
    <row r="1" customFormat="false" ht="23.85" hidden="false" customHeight="false" outlineLevel="0" collapsed="false">
      <c r="A1" s="8" t="s">
        <v>1634</v>
      </c>
      <c r="B1" s="8" t="s">
        <v>1635</v>
      </c>
      <c r="C1" s="8" t="s">
        <v>1636</v>
      </c>
      <c r="D1" s="8" t="s">
        <v>1637</v>
      </c>
      <c r="E1" s="8" t="s">
        <v>1638</v>
      </c>
      <c r="F1" s="8" t="s">
        <v>1639</v>
      </c>
      <c r="G1" s="8" t="s">
        <v>1640</v>
      </c>
      <c r="H1" s="8" t="s">
        <v>1641</v>
      </c>
      <c r="I1" s="8" t="s">
        <v>1642</v>
      </c>
      <c r="J1" s="8" t="s">
        <v>1643</v>
      </c>
      <c r="K1" s="8" t="s">
        <v>1644</v>
      </c>
      <c r="L1" s="8" t="s">
        <v>1645</v>
      </c>
      <c r="M1" s="8" t="s">
        <v>96</v>
      </c>
      <c r="N1" s="8" t="s">
        <v>1219</v>
      </c>
      <c r="O1" s="8" t="s">
        <v>1646</v>
      </c>
    </row>
    <row r="2" customFormat="false" ht="15" hidden="false" customHeight="false" outlineLevel="0" collapsed="false">
      <c r="A2" s="9" t="s">
        <v>1647</v>
      </c>
      <c r="B2" s="9" t="s">
        <v>1648</v>
      </c>
      <c r="C2" s="9" t="s">
        <v>1280</v>
      </c>
      <c r="D2" s="9" t="s">
        <v>1649</v>
      </c>
      <c r="E2" s="9" t="s">
        <v>1650</v>
      </c>
      <c r="F2" s="9" t="s">
        <v>1651</v>
      </c>
      <c r="G2" s="9" t="s">
        <v>950</v>
      </c>
      <c r="H2" s="9" t="s">
        <v>1082</v>
      </c>
      <c r="I2" s="9" t="n">
        <v>301</v>
      </c>
      <c r="J2" s="9" t="n">
        <v>421081</v>
      </c>
      <c r="K2" s="9" t="n">
        <f aca="false">I2*J2</f>
        <v>126745381</v>
      </c>
      <c r="L2" s="9" t="s">
        <v>1652</v>
      </c>
      <c r="M2" s="9" t="s">
        <v>1653</v>
      </c>
      <c r="N2" s="9"/>
      <c r="O2" s="9" t="s">
        <v>193</v>
      </c>
    </row>
    <row r="3" customFormat="false" ht="15" hidden="false" customHeight="false" outlineLevel="0" collapsed="false">
      <c r="A3" s="9" t="s">
        <v>1654</v>
      </c>
      <c r="B3" s="9" t="s">
        <v>1648</v>
      </c>
      <c r="C3" s="9" t="s">
        <v>1280</v>
      </c>
      <c r="D3" s="9" t="s">
        <v>1655</v>
      </c>
      <c r="E3" s="9" t="s">
        <v>1650</v>
      </c>
      <c r="F3" s="9" t="s">
        <v>1656</v>
      </c>
      <c r="G3" s="9" t="s">
        <v>1657</v>
      </c>
      <c r="H3" s="9" t="s">
        <v>1658</v>
      </c>
      <c r="I3" s="9" t="n">
        <v>116</v>
      </c>
      <c r="J3" s="9" t="n">
        <v>1272636</v>
      </c>
      <c r="K3" s="9" t="n">
        <f aca="false">I3*J3</f>
        <v>147625776</v>
      </c>
      <c r="L3" s="9" t="s">
        <v>1652</v>
      </c>
      <c r="M3" s="9" t="s">
        <v>1659</v>
      </c>
      <c r="N3" s="9" t="s">
        <v>989</v>
      </c>
      <c r="O3" s="9" t="s">
        <v>111</v>
      </c>
    </row>
    <row r="4" customFormat="false" ht="15" hidden="false" customHeight="false" outlineLevel="0" collapsed="false">
      <c r="A4" s="9" t="s">
        <v>1660</v>
      </c>
      <c r="B4" s="9" t="s">
        <v>1661</v>
      </c>
      <c r="C4" s="9" t="s">
        <v>1662</v>
      </c>
      <c r="D4" s="9" t="s">
        <v>1663</v>
      </c>
      <c r="E4" s="9" t="s">
        <v>1664</v>
      </c>
      <c r="F4" s="9" t="s">
        <v>1665</v>
      </c>
      <c r="G4" s="9" t="s">
        <v>1666</v>
      </c>
      <c r="H4" s="9" t="s">
        <v>1667</v>
      </c>
      <c r="I4" s="9" t="n">
        <v>258</v>
      </c>
      <c r="J4" s="9" t="n">
        <v>618090</v>
      </c>
      <c r="K4" s="9" t="n">
        <f aca="false">I4*J4</f>
        <v>159467220</v>
      </c>
      <c r="L4" s="9" t="s">
        <v>1652</v>
      </c>
      <c r="M4" s="9" t="s">
        <v>1668</v>
      </c>
      <c r="N4" s="9" t="s">
        <v>830</v>
      </c>
      <c r="O4" s="9" t="s">
        <v>716</v>
      </c>
    </row>
    <row r="5" customFormat="false" ht="15" hidden="false" customHeight="false" outlineLevel="0" collapsed="false">
      <c r="A5" s="9" t="s">
        <v>1669</v>
      </c>
      <c r="B5" s="9" t="s">
        <v>1661</v>
      </c>
      <c r="C5" s="9" t="s">
        <v>1662</v>
      </c>
      <c r="D5" s="9" t="s">
        <v>1670</v>
      </c>
      <c r="E5" s="9" t="s">
        <v>1650</v>
      </c>
      <c r="F5" s="9" t="s">
        <v>1671</v>
      </c>
      <c r="G5" s="9" t="s">
        <v>1414</v>
      </c>
      <c r="H5" s="9" t="s">
        <v>1672</v>
      </c>
      <c r="I5" s="9" t="n">
        <v>388</v>
      </c>
      <c r="J5" s="9" t="n">
        <v>713320</v>
      </c>
      <c r="K5" s="9" t="n">
        <f aca="false">I5*J5</f>
        <v>276768160</v>
      </c>
      <c r="L5" s="9" t="s">
        <v>1652</v>
      </c>
      <c r="M5" s="9" t="s">
        <v>1653</v>
      </c>
      <c r="N5" s="9"/>
      <c r="O5" s="9" t="s">
        <v>111</v>
      </c>
    </row>
    <row r="6" customFormat="false" ht="15" hidden="false" customHeight="false" outlineLevel="0" collapsed="false">
      <c r="A6" s="9" t="s">
        <v>1673</v>
      </c>
      <c r="B6" s="9" t="s">
        <v>1674</v>
      </c>
      <c r="C6" s="9" t="s">
        <v>1675</v>
      </c>
      <c r="D6" s="9" t="s">
        <v>1676</v>
      </c>
      <c r="E6" s="9" t="s">
        <v>1677</v>
      </c>
      <c r="F6" s="9" t="s">
        <v>1678</v>
      </c>
      <c r="G6" s="9" t="s">
        <v>1679</v>
      </c>
      <c r="H6" s="9" t="s">
        <v>1680</v>
      </c>
      <c r="I6" s="9" t="n">
        <v>347</v>
      </c>
      <c r="J6" s="9" t="n">
        <v>1471472</v>
      </c>
      <c r="K6" s="9" t="n">
        <f aca="false">I6*J6</f>
        <v>510600784</v>
      </c>
      <c r="L6" s="9" t="s">
        <v>1652</v>
      </c>
      <c r="M6" s="9" t="s">
        <v>1659</v>
      </c>
      <c r="N6" s="9"/>
      <c r="O6" s="9" t="s">
        <v>643</v>
      </c>
    </row>
    <row r="7" customFormat="false" ht="15" hidden="false" customHeight="false" outlineLevel="0" collapsed="false">
      <c r="A7" s="9" t="s">
        <v>1681</v>
      </c>
      <c r="B7" s="9" t="s">
        <v>1682</v>
      </c>
      <c r="C7" s="9" t="s">
        <v>1683</v>
      </c>
      <c r="D7" s="9" t="s">
        <v>1684</v>
      </c>
      <c r="E7" s="9" t="s">
        <v>1685</v>
      </c>
      <c r="F7" s="9" t="s">
        <v>1559</v>
      </c>
      <c r="G7" s="9" t="s">
        <v>1686</v>
      </c>
      <c r="H7" s="9" t="s">
        <v>1687</v>
      </c>
      <c r="I7" s="9" t="n">
        <v>345</v>
      </c>
      <c r="J7" s="9" t="n">
        <v>1571322</v>
      </c>
      <c r="K7" s="9" t="n">
        <f aca="false">I7*J7</f>
        <v>542106090</v>
      </c>
      <c r="L7" s="9" t="s">
        <v>1652</v>
      </c>
      <c r="M7" s="9" t="s">
        <v>1653</v>
      </c>
      <c r="N7" s="9" t="s">
        <v>870</v>
      </c>
      <c r="O7" s="9" t="s">
        <v>705</v>
      </c>
    </row>
    <row r="8" customFormat="false" ht="15" hidden="false" customHeight="false" outlineLevel="0" collapsed="false">
      <c r="A8" s="9" t="s">
        <v>1688</v>
      </c>
      <c r="B8" s="9" t="s">
        <v>1682</v>
      </c>
      <c r="C8" s="9" t="s">
        <v>1683</v>
      </c>
      <c r="D8" s="9" t="s">
        <v>1689</v>
      </c>
      <c r="E8" s="9" t="s">
        <v>1690</v>
      </c>
      <c r="F8" s="9" t="s">
        <v>1512</v>
      </c>
      <c r="G8" s="9" t="s">
        <v>1691</v>
      </c>
      <c r="H8" s="9" t="s">
        <v>1155</v>
      </c>
      <c r="I8" s="9" t="n">
        <v>256</v>
      </c>
      <c r="J8" s="9" t="n">
        <v>1546836</v>
      </c>
      <c r="K8" s="9" t="n">
        <f aca="false">I8*J8</f>
        <v>395990016</v>
      </c>
      <c r="L8" s="9" t="s">
        <v>1652</v>
      </c>
      <c r="M8" s="9" t="s">
        <v>1659</v>
      </c>
      <c r="N8" s="9" t="s">
        <v>903</v>
      </c>
      <c r="O8" s="9" t="s">
        <v>424</v>
      </c>
    </row>
    <row r="9" customFormat="false" ht="15" hidden="false" customHeight="false" outlineLevel="0" collapsed="false">
      <c r="A9" s="9" t="s">
        <v>1692</v>
      </c>
      <c r="B9" s="9" t="s">
        <v>1693</v>
      </c>
      <c r="C9" s="9" t="s">
        <v>1694</v>
      </c>
      <c r="D9" s="9" t="s">
        <v>1695</v>
      </c>
      <c r="E9" s="9" t="s">
        <v>1696</v>
      </c>
      <c r="F9" s="9" t="s">
        <v>1697</v>
      </c>
      <c r="G9" s="9" t="s">
        <v>1698</v>
      </c>
      <c r="H9" s="9" t="s">
        <v>1189</v>
      </c>
      <c r="I9" s="9" t="n">
        <v>183</v>
      </c>
      <c r="J9" s="9" t="n">
        <v>328146</v>
      </c>
      <c r="K9" s="9" t="n">
        <f aca="false">I9*J9</f>
        <v>60050718</v>
      </c>
      <c r="L9" s="9" t="s">
        <v>1652</v>
      </c>
      <c r="M9" s="9" t="s">
        <v>1668</v>
      </c>
      <c r="N9" s="9"/>
      <c r="O9" s="9" t="s">
        <v>230</v>
      </c>
    </row>
    <row r="10" customFormat="false" ht="15" hidden="false" customHeight="false" outlineLevel="0" collapsed="false">
      <c r="A10" s="9" t="s">
        <v>1699</v>
      </c>
      <c r="B10" s="9" t="s">
        <v>1648</v>
      </c>
      <c r="C10" s="9" t="s">
        <v>1280</v>
      </c>
      <c r="D10" s="9" t="s">
        <v>1700</v>
      </c>
      <c r="E10" s="9" t="s">
        <v>1701</v>
      </c>
      <c r="F10" s="9" t="s">
        <v>1702</v>
      </c>
      <c r="G10" s="9" t="s">
        <v>975</v>
      </c>
      <c r="H10" s="9" t="s">
        <v>975</v>
      </c>
      <c r="I10" s="9" t="n">
        <v>435</v>
      </c>
      <c r="J10" s="9" t="n">
        <v>1012439</v>
      </c>
      <c r="K10" s="9" t="n">
        <f aca="false">I10*J10</f>
        <v>440410965</v>
      </c>
      <c r="L10" s="9" t="s">
        <v>1652</v>
      </c>
      <c r="M10" s="9" t="s">
        <v>1653</v>
      </c>
      <c r="N10" s="9"/>
      <c r="O10" s="9" t="s">
        <v>705</v>
      </c>
    </row>
    <row r="11" customFormat="false" ht="15" hidden="false" customHeight="false" outlineLevel="0" collapsed="false">
      <c r="A11" s="9" t="s">
        <v>1703</v>
      </c>
      <c r="B11" s="9" t="s">
        <v>1704</v>
      </c>
      <c r="C11" s="9" t="s">
        <v>1705</v>
      </c>
      <c r="D11" s="9" t="s">
        <v>1706</v>
      </c>
      <c r="E11" s="9" t="s">
        <v>1650</v>
      </c>
      <c r="F11" s="9" t="s">
        <v>1707</v>
      </c>
      <c r="G11" s="9" t="s">
        <v>1708</v>
      </c>
      <c r="H11" s="9" t="s">
        <v>1709</v>
      </c>
      <c r="I11" s="9" t="n">
        <v>204</v>
      </c>
      <c r="J11" s="9" t="n">
        <v>466762</v>
      </c>
      <c r="K11" s="9" t="n">
        <f aca="false">I11*J11</f>
        <v>95219448</v>
      </c>
      <c r="L11" s="9" t="s">
        <v>1652</v>
      </c>
      <c r="M11" s="9" t="s">
        <v>1659</v>
      </c>
      <c r="N11" s="9" t="s">
        <v>1183</v>
      </c>
      <c r="O11" s="9" t="s">
        <v>643</v>
      </c>
    </row>
    <row r="12" customFormat="false" ht="15" hidden="false" customHeight="false" outlineLevel="0" collapsed="false">
      <c r="A12" s="9" t="s">
        <v>1710</v>
      </c>
      <c r="B12" s="9" t="s">
        <v>1674</v>
      </c>
      <c r="C12" s="9" t="s">
        <v>1675</v>
      </c>
      <c r="D12" s="9" t="s">
        <v>1711</v>
      </c>
      <c r="E12" s="9" t="s">
        <v>1685</v>
      </c>
      <c r="F12" s="9" t="s">
        <v>908</v>
      </c>
      <c r="G12" s="9" t="s">
        <v>1632</v>
      </c>
      <c r="H12" s="9" t="s">
        <v>1086</v>
      </c>
      <c r="I12" s="9" t="n">
        <v>235</v>
      </c>
      <c r="J12" s="9" t="n">
        <v>253430</v>
      </c>
      <c r="K12" s="9" t="n">
        <f aca="false">I12*J12</f>
        <v>59556050</v>
      </c>
      <c r="L12" s="9" t="s">
        <v>1652</v>
      </c>
      <c r="M12" s="9" t="s">
        <v>1653</v>
      </c>
      <c r="N12" s="9" t="s">
        <v>746</v>
      </c>
      <c r="O12" s="9" t="s">
        <v>111</v>
      </c>
    </row>
    <row r="13" customFormat="false" ht="15" hidden="false" customHeight="false" outlineLevel="0" collapsed="false">
      <c r="A13" s="9" t="s">
        <v>1712</v>
      </c>
      <c r="B13" s="9" t="s">
        <v>1713</v>
      </c>
      <c r="C13" s="9" t="s">
        <v>1714</v>
      </c>
      <c r="D13" s="9" t="s">
        <v>1715</v>
      </c>
      <c r="E13" s="9" t="s">
        <v>1696</v>
      </c>
      <c r="F13" s="9" t="s">
        <v>1716</v>
      </c>
      <c r="G13" s="9" t="s">
        <v>1717</v>
      </c>
      <c r="H13" s="9" t="s">
        <v>1579</v>
      </c>
      <c r="I13" s="9" t="n">
        <v>314</v>
      </c>
      <c r="J13" s="9" t="n">
        <v>1808413</v>
      </c>
      <c r="K13" s="9" t="n">
        <f aca="false">I13*J13</f>
        <v>567841682</v>
      </c>
      <c r="L13" s="9" t="s">
        <v>1652</v>
      </c>
      <c r="M13" s="9" t="s">
        <v>1668</v>
      </c>
      <c r="N13" s="9" t="s">
        <v>1062</v>
      </c>
      <c r="O13" s="9" t="s">
        <v>424</v>
      </c>
    </row>
    <row r="14" customFormat="false" ht="15" hidden="false" customHeight="false" outlineLevel="0" collapsed="false">
      <c r="A14" s="9" t="s">
        <v>1718</v>
      </c>
      <c r="B14" s="9" t="s">
        <v>1693</v>
      </c>
      <c r="C14" s="9" t="s">
        <v>1694</v>
      </c>
      <c r="D14" s="9" t="s">
        <v>1719</v>
      </c>
      <c r="E14" s="9" t="s">
        <v>1650</v>
      </c>
      <c r="F14" s="9" t="s">
        <v>1720</v>
      </c>
      <c r="G14" s="9" t="s">
        <v>1721</v>
      </c>
      <c r="H14" s="9" t="s">
        <v>1722</v>
      </c>
      <c r="I14" s="9" t="n">
        <v>256</v>
      </c>
      <c r="J14" s="9" t="n">
        <v>890072</v>
      </c>
      <c r="K14" s="9" t="n">
        <f aca="false">I14*J14</f>
        <v>227858432</v>
      </c>
      <c r="L14" s="9" t="s">
        <v>1652</v>
      </c>
      <c r="M14" s="9" t="s">
        <v>1659</v>
      </c>
      <c r="N14" s="9" t="s">
        <v>1161</v>
      </c>
      <c r="O14" s="9" t="s">
        <v>581</v>
      </c>
    </row>
    <row r="15" customFormat="false" ht="15" hidden="false" customHeight="false" outlineLevel="0" collapsed="false">
      <c r="A15" s="9" t="s">
        <v>1723</v>
      </c>
      <c r="B15" s="9" t="s">
        <v>1682</v>
      </c>
      <c r="C15" s="9" t="s">
        <v>1683</v>
      </c>
      <c r="D15" s="9" t="s">
        <v>1724</v>
      </c>
      <c r="E15" s="9" t="s">
        <v>1725</v>
      </c>
      <c r="F15" s="9" t="s">
        <v>1726</v>
      </c>
      <c r="G15" s="9" t="s">
        <v>1727</v>
      </c>
      <c r="H15" s="9" t="s">
        <v>1539</v>
      </c>
      <c r="I15" s="9" t="n">
        <v>295</v>
      </c>
      <c r="J15" s="9" t="n">
        <v>1439671</v>
      </c>
      <c r="K15" s="9" t="n">
        <f aca="false">I15*J15</f>
        <v>424702945</v>
      </c>
      <c r="L15" s="9" t="s">
        <v>1652</v>
      </c>
      <c r="M15" s="9" t="s">
        <v>1668</v>
      </c>
      <c r="N15" s="9" t="s">
        <v>816</v>
      </c>
      <c r="O15" s="9" t="s">
        <v>424</v>
      </c>
    </row>
    <row r="16" customFormat="false" ht="15" hidden="false" customHeight="false" outlineLevel="0" collapsed="false">
      <c r="A16" s="9" t="s">
        <v>1728</v>
      </c>
      <c r="B16" s="9" t="s">
        <v>1693</v>
      </c>
      <c r="C16" s="9" t="s">
        <v>1694</v>
      </c>
      <c r="D16" s="9" t="s">
        <v>1729</v>
      </c>
      <c r="E16" s="9" t="s">
        <v>1725</v>
      </c>
      <c r="F16" s="9" t="s">
        <v>946</v>
      </c>
      <c r="G16" s="9" t="s">
        <v>1470</v>
      </c>
      <c r="H16" s="9" t="s">
        <v>1730</v>
      </c>
      <c r="I16" s="9" t="n">
        <v>243</v>
      </c>
      <c r="J16" s="9" t="n">
        <v>1690609</v>
      </c>
      <c r="K16" s="9" t="n">
        <f aca="false">I16*J16</f>
        <v>410817987</v>
      </c>
      <c r="L16" s="9" t="s">
        <v>1652</v>
      </c>
      <c r="M16" s="9" t="s">
        <v>1668</v>
      </c>
      <c r="N16" s="9" t="s">
        <v>997</v>
      </c>
      <c r="O16" s="9" t="s">
        <v>705</v>
      </c>
    </row>
    <row r="17" customFormat="false" ht="15" hidden="false" customHeight="false" outlineLevel="0" collapsed="false">
      <c r="A17" s="9" t="s">
        <v>1731</v>
      </c>
      <c r="B17" s="9" t="s">
        <v>1732</v>
      </c>
      <c r="C17" s="9" t="s">
        <v>1335</v>
      </c>
      <c r="D17" s="9" t="s">
        <v>1733</v>
      </c>
      <c r="E17" s="9" t="s">
        <v>1690</v>
      </c>
      <c r="F17" s="9" t="s">
        <v>1734</v>
      </c>
      <c r="G17" s="9" t="s">
        <v>1735</v>
      </c>
      <c r="H17" s="9" t="s">
        <v>1735</v>
      </c>
      <c r="I17" s="9" t="n">
        <v>204</v>
      </c>
      <c r="J17" s="9" t="n">
        <v>208565</v>
      </c>
      <c r="K17" s="9" t="n">
        <f aca="false">I17*J17</f>
        <v>42547260</v>
      </c>
      <c r="L17" s="9" t="s">
        <v>1652</v>
      </c>
      <c r="M17" s="9" t="s">
        <v>1659</v>
      </c>
      <c r="N17" s="9" t="s">
        <v>1190</v>
      </c>
      <c r="O17" s="9" t="s">
        <v>424</v>
      </c>
    </row>
    <row r="18" customFormat="false" ht="15" hidden="false" customHeight="false" outlineLevel="0" collapsed="false">
      <c r="A18" s="9" t="s">
        <v>1736</v>
      </c>
      <c r="B18" s="9" t="s">
        <v>1674</v>
      </c>
      <c r="C18" s="9" t="s">
        <v>1675</v>
      </c>
      <c r="D18" s="9" t="s">
        <v>1737</v>
      </c>
      <c r="E18" s="9" t="s">
        <v>1677</v>
      </c>
      <c r="F18" s="9" t="s">
        <v>1308</v>
      </c>
      <c r="G18" s="9" t="s">
        <v>1738</v>
      </c>
      <c r="H18" s="9" t="s">
        <v>863</v>
      </c>
      <c r="I18" s="9" t="n">
        <v>185</v>
      </c>
      <c r="J18" s="9" t="n">
        <v>1176139</v>
      </c>
      <c r="K18" s="9" t="n">
        <f aca="false">I18*J18</f>
        <v>217585715</v>
      </c>
      <c r="L18" s="9" t="s">
        <v>1652</v>
      </c>
      <c r="M18" s="9" t="s">
        <v>1653</v>
      </c>
      <c r="N18" s="9" t="s">
        <v>992</v>
      </c>
      <c r="O18" s="9" t="s">
        <v>230</v>
      </c>
    </row>
    <row r="19" customFormat="false" ht="15" hidden="false" customHeight="false" outlineLevel="0" collapsed="false">
      <c r="A19" s="9" t="s">
        <v>1739</v>
      </c>
      <c r="B19" s="9" t="s">
        <v>1682</v>
      </c>
      <c r="C19" s="9" t="s">
        <v>1683</v>
      </c>
      <c r="D19" s="9" t="s">
        <v>1740</v>
      </c>
      <c r="E19" s="9" t="s">
        <v>1696</v>
      </c>
      <c r="F19" s="9" t="s">
        <v>1741</v>
      </c>
      <c r="G19" s="9" t="s">
        <v>1742</v>
      </c>
      <c r="H19" s="9" t="s">
        <v>1743</v>
      </c>
      <c r="I19" s="9" t="n">
        <v>400</v>
      </c>
      <c r="J19" s="9" t="n">
        <v>597867</v>
      </c>
      <c r="K19" s="9" t="n">
        <f aca="false">I19*J19</f>
        <v>239146800</v>
      </c>
      <c r="L19" s="9" t="s">
        <v>1652</v>
      </c>
      <c r="M19" s="9" t="s">
        <v>1653</v>
      </c>
      <c r="N19" s="9" t="s">
        <v>1041</v>
      </c>
      <c r="O19" s="9" t="s">
        <v>705</v>
      </c>
    </row>
    <row r="20" customFormat="false" ht="15" hidden="false" customHeight="false" outlineLevel="0" collapsed="false">
      <c r="A20" s="9" t="s">
        <v>1744</v>
      </c>
      <c r="B20" s="9" t="s">
        <v>1745</v>
      </c>
      <c r="C20" s="9" t="s">
        <v>1746</v>
      </c>
      <c r="D20" s="9" t="s">
        <v>1747</v>
      </c>
      <c r="E20" s="9" t="s">
        <v>1701</v>
      </c>
      <c r="F20" s="9" t="s">
        <v>1748</v>
      </c>
      <c r="G20" s="9" t="s">
        <v>1749</v>
      </c>
      <c r="H20" s="9" t="s">
        <v>1750</v>
      </c>
      <c r="I20" s="9" t="n">
        <v>324</v>
      </c>
      <c r="J20" s="9" t="n">
        <v>304768</v>
      </c>
      <c r="K20" s="9" t="n">
        <f aca="false">I20*J20</f>
        <v>98744832</v>
      </c>
      <c r="L20" s="9" t="s">
        <v>1652</v>
      </c>
      <c r="M20" s="9" t="s">
        <v>1659</v>
      </c>
      <c r="N20" s="9"/>
      <c r="O20" s="9" t="s">
        <v>558</v>
      </c>
    </row>
    <row r="21" customFormat="false" ht="15" hidden="false" customHeight="false" outlineLevel="0" collapsed="false">
      <c r="A21" s="9" t="s">
        <v>1751</v>
      </c>
      <c r="B21" s="9" t="s">
        <v>1752</v>
      </c>
      <c r="C21" s="9" t="s">
        <v>1753</v>
      </c>
      <c r="D21" s="9" t="s">
        <v>1754</v>
      </c>
      <c r="E21" s="9" t="s">
        <v>1725</v>
      </c>
      <c r="F21" s="9" t="s">
        <v>1755</v>
      </c>
      <c r="G21" s="9" t="s">
        <v>1756</v>
      </c>
      <c r="H21" s="9" t="s">
        <v>1757</v>
      </c>
      <c r="I21" s="9" t="n">
        <v>161</v>
      </c>
      <c r="J21" s="9" t="n">
        <v>665541</v>
      </c>
      <c r="K21" s="9" t="n">
        <f aca="false">I21*J21</f>
        <v>107152101</v>
      </c>
      <c r="L21" s="9" t="s">
        <v>1652</v>
      </c>
      <c r="M21" s="9" t="s">
        <v>1668</v>
      </c>
      <c r="N21" s="9"/>
      <c r="O21" s="9" t="s">
        <v>424</v>
      </c>
    </row>
    <row r="22" customFormat="false" ht="15" hidden="false" customHeight="false" outlineLevel="0" collapsed="false">
      <c r="A22" s="9" t="s">
        <v>1758</v>
      </c>
      <c r="B22" s="9" t="s">
        <v>1704</v>
      </c>
      <c r="C22" s="9" t="s">
        <v>1705</v>
      </c>
      <c r="D22" s="9" t="s">
        <v>1759</v>
      </c>
      <c r="E22" s="9" t="s">
        <v>1725</v>
      </c>
      <c r="F22" s="9" t="s">
        <v>990</v>
      </c>
      <c r="G22" s="9" t="s">
        <v>1760</v>
      </c>
      <c r="H22" s="9" t="s">
        <v>1123</v>
      </c>
      <c r="I22" s="9" t="n">
        <v>383</v>
      </c>
      <c r="J22" s="9" t="n">
        <v>1231859</v>
      </c>
      <c r="K22" s="9" t="n">
        <f aca="false">I22*J22</f>
        <v>471801997</v>
      </c>
      <c r="L22" s="9" t="s">
        <v>1652</v>
      </c>
      <c r="M22" s="9" t="s">
        <v>1653</v>
      </c>
      <c r="N22" s="9" t="s">
        <v>875</v>
      </c>
      <c r="O22" s="9" t="s">
        <v>111</v>
      </c>
    </row>
    <row r="23" customFormat="false" ht="15" hidden="false" customHeight="false" outlineLevel="0" collapsed="false">
      <c r="A23" s="9" t="s">
        <v>1761</v>
      </c>
      <c r="B23" s="9" t="s">
        <v>1732</v>
      </c>
      <c r="C23" s="9" t="s">
        <v>1335</v>
      </c>
      <c r="D23" s="9" t="s">
        <v>1762</v>
      </c>
      <c r="E23" s="9" t="s">
        <v>1696</v>
      </c>
      <c r="F23" s="9" t="s">
        <v>704</v>
      </c>
      <c r="G23" s="9" t="s">
        <v>1113</v>
      </c>
      <c r="H23" s="9" t="s">
        <v>1113</v>
      </c>
      <c r="I23" s="9" t="n">
        <v>108</v>
      </c>
      <c r="J23" s="9" t="n">
        <v>351036</v>
      </c>
      <c r="K23" s="9" t="n">
        <f aca="false">I23*J23</f>
        <v>37911888</v>
      </c>
      <c r="L23" s="9" t="s">
        <v>1652</v>
      </c>
      <c r="M23" s="9" t="s">
        <v>1653</v>
      </c>
      <c r="N23" s="9" t="s">
        <v>793</v>
      </c>
      <c r="O23" s="9" t="s">
        <v>705</v>
      </c>
    </row>
    <row r="24" customFormat="false" ht="15" hidden="false" customHeight="false" outlineLevel="0" collapsed="false">
      <c r="A24" s="9" t="s">
        <v>1763</v>
      </c>
      <c r="B24" s="9" t="s">
        <v>1764</v>
      </c>
      <c r="C24" s="9" t="s">
        <v>1765</v>
      </c>
      <c r="D24" s="9" t="s">
        <v>1766</v>
      </c>
      <c r="E24" s="9" t="s">
        <v>1685</v>
      </c>
      <c r="F24" s="9" t="s">
        <v>1767</v>
      </c>
      <c r="G24" s="9" t="s">
        <v>1768</v>
      </c>
      <c r="H24" s="9" t="s">
        <v>1768</v>
      </c>
      <c r="I24" s="9" t="n">
        <v>54</v>
      </c>
      <c r="J24" s="9" t="n">
        <v>551402</v>
      </c>
      <c r="K24" s="9" t="n">
        <f aca="false">I24*J24</f>
        <v>29775708</v>
      </c>
      <c r="L24" s="9" t="s">
        <v>1652</v>
      </c>
      <c r="M24" s="9" t="s">
        <v>1659</v>
      </c>
      <c r="N24" s="9" t="s">
        <v>981</v>
      </c>
      <c r="O24" s="9" t="s">
        <v>462</v>
      </c>
    </row>
    <row r="25" customFormat="false" ht="15" hidden="false" customHeight="false" outlineLevel="0" collapsed="false">
      <c r="A25" s="9" t="s">
        <v>1769</v>
      </c>
      <c r="B25" s="9" t="s">
        <v>1693</v>
      </c>
      <c r="C25" s="9" t="s">
        <v>1694</v>
      </c>
      <c r="D25" s="9" t="s">
        <v>1770</v>
      </c>
      <c r="E25" s="9" t="s">
        <v>1696</v>
      </c>
      <c r="F25" s="9" t="s">
        <v>809</v>
      </c>
      <c r="G25" s="9" t="s">
        <v>1771</v>
      </c>
      <c r="H25" s="9" t="s">
        <v>1772</v>
      </c>
      <c r="I25" s="9" t="n">
        <v>270</v>
      </c>
      <c r="J25" s="9" t="n">
        <v>1759499</v>
      </c>
      <c r="K25" s="9" t="n">
        <f aca="false">I25*J25</f>
        <v>475064730</v>
      </c>
      <c r="L25" s="9" t="s">
        <v>1652</v>
      </c>
      <c r="M25" s="9" t="s">
        <v>1659</v>
      </c>
      <c r="N25" s="9" t="s">
        <v>1118</v>
      </c>
      <c r="O25" s="9" t="s">
        <v>581</v>
      </c>
    </row>
    <row r="26" customFormat="false" ht="15" hidden="false" customHeight="false" outlineLevel="0" collapsed="false">
      <c r="A26" s="9" t="s">
        <v>1773</v>
      </c>
      <c r="B26" s="9" t="s">
        <v>1682</v>
      </c>
      <c r="C26" s="9" t="s">
        <v>1683</v>
      </c>
      <c r="D26" s="9" t="s">
        <v>1774</v>
      </c>
      <c r="E26" s="9" t="s">
        <v>1701</v>
      </c>
      <c r="F26" s="9" t="s">
        <v>172</v>
      </c>
      <c r="G26" s="9" t="s">
        <v>1208</v>
      </c>
      <c r="H26" s="9" t="s">
        <v>1775</v>
      </c>
      <c r="I26" s="9" t="n">
        <v>281</v>
      </c>
      <c r="J26" s="9" t="n">
        <v>933907</v>
      </c>
      <c r="K26" s="9" t="n">
        <f aca="false">I26*J26</f>
        <v>262427867</v>
      </c>
      <c r="L26" s="9" t="s">
        <v>1652</v>
      </c>
      <c r="M26" s="9" t="s">
        <v>1659</v>
      </c>
      <c r="N26" s="9"/>
      <c r="O26" s="9" t="s">
        <v>309</v>
      </c>
    </row>
    <row r="27" customFormat="false" ht="15" hidden="false" customHeight="false" outlineLevel="0" collapsed="false">
      <c r="A27" s="9" t="s">
        <v>1776</v>
      </c>
      <c r="B27" s="9" t="s">
        <v>1704</v>
      </c>
      <c r="C27" s="9" t="s">
        <v>1705</v>
      </c>
      <c r="D27" s="9" t="s">
        <v>1777</v>
      </c>
      <c r="E27" s="9" t="s">
        <v>1701</v>
      </c>
      <c r="F27" s="9" t="s">
        <v>1236</v>
      </c>
      <c r="G27" s="9" t="s">
        <v>1657</v>
      </c>
      <c r="H27" s="9" t="s">
        <v>1658</v>
      </c>
      <c r="I27" s="9" t="n">
        <v>466</v>
      </c>
      <c r="J27" s="9" t="n">
        <v>729064</v>
      </c>
      <c r="K27" s="9" t="n">
        <f aca="false">I27*J27</f>
        <v>339743824</v>
      </c>
      <c r="L27" s="9" t="s">
        <v>1652</v>
      </c>
      <c r="M27" s="9" t="s">
        <v>1653</v>
      </c>
      <c r="N27" s="9"/>
      <c r="O27" s="9" t="s">
        <v>193</v>
      </c>
    </row>
    <row r="28" customFormat="false" ht="15" hidden="false" customHeight="false" outlineLevel="0" collapsed="false">
      <c r="A28" s="9" t="s">
        <v>1778</v>
      </c>
      <c r="B28" s="9" t="s">
        <v>1674</v>
      </c>
      <c r="C28" s="9" t="s">
        <v>1675</v>
      </c>
      <c r="D28" s="9" t="s">
        <v>1779</v>
      </c>
      <c r="E28" s="9" t="s">
        <v>1650</v>
      </c>
      <c r="F28" s="9" t="s">
        <v>1780</v>
      </c>
      <c r="G28" s="9" t="s">
        <v>946</v>
      </c>
      <c r="H28" s="9" t="s">
        <v>1400</v>
      </c>
      <c r="I28" s="9" t="n">
        <v>6</v>
      </c>
      <c r="J28" s="9" t="n">
        <v>1193</v>
      </c>
      <c r="K28" s="9" t="n">
        <f aca="false">I28*J28</f>
        <v>7158</v>
      </c>
      <c r="L28" s="9" t="s">
        <v>1652</v>
      </c>
      <c r="M28" s="9" t="s">
        <v>1659</v>
      </c>
      <c r="N28" s="9" t="s">
        <v>1021</v>
      </c>
      <c r="O28" s="9" t="s">
        <v>111</v>
      </c>
    </row>
    <row r="29" customFormat="false" ht="15" hidden="false" customHeight="false" outlineLevel="0" collapsed="false">
      <c r="A29" s="9" t="s">
        <v>1781</v>
      </c>
      <c r="B29" s="9" t="s">
        <v>1745</v>
      </c>
      <c r="C29" s="9" t="s">
        <v>1746</v>
      </c>
      <c r="D29" s="9" t="s">
        <v>1782</v>
      </c>
      <c r="E29" s="9" t="s">
        <v>1701</v>
      </c>
      <c r="F29" s="9" t="s">
        <v>1783</v>
      </c>
      <c r="G29" s="9" t="s">
        <v>879</v>
      </c>
      <c r="H29" s="9" t="s">
        <v>1017</v>
      </c>
      <c r="I29" s="9" t="n">
        <v>409</v>
      </c>
      <c r="J29" s="9" t="n">
        <v>615303</v>
      </c>
      <c r="K29" s="9" t="n">
        <f aca="false">I29*J29</f>
        <v>251658927</v>
      </c>
      <c r="L29" s="9" t="s">
        <v>1652</v>
      </c>
      <c r="M29" s="9" t="s">
        <v>1668</v>
      </c>
      <c r="N29" s="9"/>
      <c r="O29" s="9" t="s">
        <v>111</v>
      </c>
    </row>
    <row r="30" customFormat="false" ht="15" hidden="false" customHeight="false" outlineLevel="0" collapsed="false">
      <c r="A30" s="9" t="s">
        <v>1784</v>
      </c>
      <c r="B30" s="9" t="s">
        <v>1764</v>
      </c>
      <c r="C30" s="9" t="s">
        <v>1765</v>
      </c>
      <c r="D30" s="9" t="s">
        <v>1785</v>
      </c>
      <c r="E30" s="9" t="s">
        <v>1690</v>
      </c>
      <c r="F30" s="9" t="s">
        <v>1786</v>
      </c>
      <c r="G30" s="9" t="s">
        <v>825</v>
      </c>
      <c r="H30" s="9" t="s">
        <v>1600</v>
      </c>
      <c r="I30" s="9" t="n">
        <v>203</v>
      </c>
      <c r="J30" s="9" t="n">
        <v>525070</v>
      </c>
      <c r="K30" s="9" t="n">
        <f aca="false">I30*J30</f>
        <v>106589210</v>
      </c>
      <c r="L30" s="9" t="s">
        <v>1652</v>
      </c>
      <c r="M30" s="9" t="s">
        <v>1659</v>
      </c>
      <c r="N30" s="9"/>
      <c r="O30" s="9" t="s">
        <v>616</v>
      </c>
    </row>
    <row r="31" customFormat="false" ht="15" hidden="false" customHeight="false" outlineLevel="0" collapsed="false">
      <c r="A31" s="9" t="s">
        <v>1787</v>
      </c>
      <c r="B31" s="9" t="s">
        <v>1752</v>
      </c>
      <c r="C31" s="9" t="s">
        <v>1753</v>
      </c>
      <c r="D31" s="9" t="s">
        <v>1788</v>
      </c>
      <c r="E31" s="9" t="s">
        <v>1696</v>
      </c>
      <c r="F31" s="9" t="s">
        <v>1789</v>
      </c>
      <c r="G31" s="9" t="s">
        <v>568</v>
      </c>
      <c r="H31" s="9" t="s">
        <v>1790</v>
      </c>
      <c r="I31" s="9" t="n">
        <v>265</v>
      </c>
      <c r="J31" s="9" t="n">
        <v>1604353</v>
      </c>
      <c r="K31" s="9" t="n">
        <f aca="false">I31*J31</f>
        <v>425153545</v>
      </c>
      <c r="L31" s="9" t="s">
        <v>1652</v>
      </c>
      <c r="M31" s="9" t="s">
        <v>1653</v>
      </c>
      <c r="N31" s="9" t="s">
        <v>1158</v>
      </c>
      <c r="O31" s="9" t="s">
        <v>424</v>
      </c>
    </row>
    <row r="32" customFormat="false" ht="15" hidden="false" customHeight="false" outlineLevel="0" collapsed="false">
      <c r="A32" s="9" t="s">
        <v>1791</v>
      </c>
      <c r="B32" s="9" t="s">
        <v>1752</v>
      </c>
      <c r="C32" s="9" t="s">
        <v>1753</v>
      </c>
      <c r="D32" s="9" t="s">
        <v>1792</v>
      </c>
      <c r="E32" s="9" t="s">
        <v>1696</v>
      </c>
      <c r="F32" s="9" t="s">
        <v>1107</v>
      </c>
      <c r="G32" s="9" t="s">
        <v>1756</v>
      </c>
      <c r="H32" s="9" t="s">
        <v>1748</v>
      </c>
      <c r="I32" s="9" t="n">
        <v>327</v>
      </c>
      <c r="J32" s="9" t="n">
        <v>955923</v>
      </c>
      <c r="K32" s="9" t="n">
        <f aca="false">I32*J32</f>
        <v>312586821</v>
      </c>
      <c r="L32" s="9" t="s">
        <v>1652</v>
      </c>
      <c r="M32" s="9" t="s">
        <v>1668</v>
      </c>
      <c r="N32" s="9"/>
      <c r="O32" s="9" t="s">
        <v>424</v>
      </c>
    </row>
    <row r="33" customFormat="false" ht="15" hidden="false" customHeight="false" outlineLevel="0" collapsed="false">
      <c r="A33" s="9" t="s">
        <v>1793</v>
      </c>
      <c r="B33" s="9" t="s">
        <v>1745</v>
      </c>
      <c r="C33" s="9" t="s">
        <v>1746</v>
      </c>
      <c r="D33" s="9" t="s">
        <v>1794</v>
      </c>
      <c r="E33" s="9" t="s">
        <v>1701</v>
      </c>
      <c r="F33" s="9" t="s">
        <v>1311</v>
      </c>
      <c r="G33" s="9" t="s">
        <v>1795</v>
      </c>
      <c r="H33" s="9" t="s">
        <v>1319</v>
      </c>
      <c r="I33" s="9" t="n">
        <v>497</v>
      </c>
      <c r="J33" s="9" t="n">
        <v>1122914</v>
      </c>
      <c r="K33" s="9" t="n">
        <f aca="false">I33*J33</f>
        <v>558088258</v>
      </c>
      <c r="L33" s="9" t="s">
        <v>1652</v>
      </c>
      <c r="M33" s="9" t="s">
        <v>1668</v>
      </c>
      <c r="N33" s="9" t="s">
        <v>820</v>
      </c>
      <c r="O33" s="9" t="s">
        <v>462</v>
      </c>
    </row>
    <row r="34" customFormat="false" ht="15" hidden="false" customHeight="false" outlineLevel="0" collapsed="false">
      <c r="A34" s="9" t="s">
        <v>1796</v>
      </c>
      <c r="B34" s="9" t="s">
        <v>1661</v>
      </c>
      <c r="C34" s="9" t="s">
        <v>1662</v>
      </c>
      <c r="D34" s="9" t="s">
        <v>1797</v>
      </c>
      <c r="E34" s="9" t="s">
        <v>1664</v>
      </c>
      <c r="F34" s="9" t="s">
        <v>1026</v>
      </c>
      <c r="G34" s="9" t="s">
        <v>1798</v>
      </c>
      <c r="H34" s="9" t="s">
        <v>1316</v>
      </c>
      <c r="I34" s="9" t="n">
        <v>78</v>
      </c>
      <c r="J34" s="9" t="n">
        <v>31880</v>
      </c>
      <c r="K34" s="9" t="n">
        <f aca="false">I34*J34</f>
        <v>2486640</v>
      </c>
      <c r="L34" s="9" t="s">
        <v>1652</v>
      </c>
      <c r="M34" s="9" t="s">
        <v>1668</v>
      </c>
      <c r="N34" s="9" t="s">
        <v>956</v>
      </c>
      <c r="O34" s="9" t="s">
        <v>643</v>
      </c>
    </row>
    <row r="35" customFormat="false" ht="15" hidden="false" customHeight="false" outlineLevel="0" collapsed="false">
      <c r="A35" s="9" t="s">
        <v>1799</v>
      </c>
      <c r="B35" s="9" t="s">
        <v>1661</v>
      </c>
      <c r="C35" s="9" t="s">
        <v>1662</v>
      </c>
      <c r="D35" s="9" t="s">
        <v>1800</v>
      </c>
      <c r="E35" s="9" t="s">
        <v>1701</v>
      </c>
      <c r="F35" s="9" t="s">
        <v>1801</v>
      </c>
      <c r="G35" s="9" t="s">
        <v>1529</v>
      </c>
      <c r="H35" s="9" t="s">
        <v>1529</v>
      </c>
      <c r="I35" s="9" t="n">
        <v>170</v>
      </c>
      <c r="J35" s="9" t="n">
        <v>169240</v>
      </c>
      <c r="K35" s="9" t="n">
        <f aca="false">I35*J35</f>
        <v>28770800</v>
      </c>
      <c r="L35" s="9" t="s">
        <v>1652</v>
      </c>
      <c r="M35" s="9" t="s">
        <v>1659</v>
      </c>
      <c r="N35" s="9" t="s">
        <v>1171</v>
      </c>
      <c r="O35" s="9" t="s">
        <v>616</v>
      </c>
    </row>
    <row r="36" customFormat="false" ht="15" hidden="false" customHeight="false" outlineLevel="0" collapsed="false">
      <c r="A36" s="9" t="s">
        <v>1802</v>
      </c>
      <c r="B36" s="9" t="s">
        <v>1648</v>
      </c>
      <c r="C36" s="9" t="s">
        <v>1280</v>
      </c>
      <c r="D36" s="9" t="s">
        <v>1803</v>
      </c>
      <c r="E36" s="9" t="s">
        <v>1701</v>
      </c>
      <c r="F36" s="9" t="s">
        <v>1804</v>
      </c>
      <c r="G36" s="9" t="s">
        <v>1354</v>
      </c>
      <c r="H36" s="9" t="s">
        <v>1786</v>
      </c>
      <c r="I36" s="9" t="n">
        <v>419</v>
      </c>
      <c r="J36" s="9" t="n">
        <v>801225</v>
      </c>
      <c r="K36" s="9" t="n">
        <f aca="false">I36*J36</f>
        <v>335713275</v>
      </c>
      <c r="L36" s="9" t="s">
        <v>1652</v>
      </c>
      <c r="M36" s="9" t="s">
        <v>1653</v>
      </c>
      <c r="N36" s="9" t="s">
        <v>1168</v>
      </c>
      <c r="O36" s="9" t="s">
        <v>385</v>
      </c>
    </row>
    <row r="37" customFormat="false" ht="15" hidden="false" customHeight="false" outlineLevel="0" collapsed="false">
      <c r="A37" s="9" t="s">
        <v>1805</v>
      </c>
      <c r="B37" s="9" t="s">
        <v>1752</v>
      </c>
      <c r="C37" s="9" t="s">
        <v>1753</v>
      </c>
      <c r="D37" s="9" t="s">
        <v>1806</v>
      </c>
      <c r="E37" s="9" t="s">
        <v>1701</v>
      </c>
      <c r="F37" s="9" t="s">
        <v>935</v>
      </c>
      <c r="G37" s="9" t="s">
        <v>1807</v>
      </c>
      <c r="H37" s="9" t="s">
        <v>1808</v>
      </c>
      <c r="I37" s="9" t="n">
        <v>236</v>
      </c>
      <c r="J37" s="9" t="n">
        <v>1543083</v>
      </c>
      <c r="K37" s="9" t="n">
        <f aca="false">I37*J37</f>
        <v>364167588</v>
      </c>
      <c r="L37" s="9" t="s">
        <v>1652</v>
      </c>
      <c r="M37" s="9" t="s">
        <v>1653</v>
      </c>
      <c r="N37" s="9"/>
      <c r="O37" s="9" t="s">
        <v>57</v>
      </c>
    </row>
    <row r="38" customFormat="false" ht="15" hidden="false" customHeight="false" outlineLevel="0" collapsed="false">
      <c r="A38" s="9" t="s">
        <v>1809</v>
      </c>
      <c r="B38" s="9" t="s">
        <v>1674</v>
      </c>
      <c r="C38" s="9" t="s">
        <v>1675</v>
      </c>
      <c r="D38" s="9" t="s">
        <v>1810</v>
      </c>
      <c r="E38" s="9" t="s">
        <v>1725</v>
      </c>
      <c r="F38" s="9" t="s">
        <v>1811</v>
      </c>
      <c r="G38" s="9" t="s">
        <v>1812</v>
      </c>
      <c r="H38" s="9" t="s">
        <v>1813</v>
      </c>
      <c r="I38" s="9" t="n">
        <v>382</v>
      </c>
      <c r="J38" s="9" t="n">
        <v>1966914</v>
      </c>
      <c r="K38" s="9" t="n">
        <f aca="false">I38*J38</f>
        <v>751361148</v>
      </c>
      <c r="L38" s="9" t="s">
        <v>1652</v>
      </c>
      <c r="M38" s="9" t="s">
        <v>1668</v>
      </c>
      <c r="N38" s="9"/>
      <c r="O38" s="9" t="s">
        <v>230</v>
      </c>
    </row>
    <row r="39" customFormat="false" ht="15" hidden="false" customHeight="false" outlineLevel="0" collapsed="false">
      <c r="A39" s="9" t="s">
        <v>1814</v>
      </c>
      <c r="B39" s="9" t="s">
        <v>1661</v>
      </c>
      <c r="C39" s="9" t="s">
        <v>1662</v>
      </c>
      <c r="D39" s="9" t="s">
        <v>1815</v>
      </c>
      <c r="E39" s="9" t="s">
        <v>1701</v>
      </c>
      <c r="F39" s="9" t="s">
        <v>1816</v>
      </c>
      <c r="G39" s="9" t="s">
        <v>1817</v>
      </c>
      <c r="H39" s="9" t="s">
        <v>1817</v>
      </c>
      <c r="I39" s="9" t="n">
        <v>443</v>
      </c>
      <c r="J39" s="9" t="n">
        <v>1399160</v>
      </c>
      <c r="K39" s="9" t="n">
        <f aca="false">I39*J39</f>
        <v>619827880</v>
      </c>
      <c r="L39" s="9" t="s">
        <v>1652</v>
      </c>
      <c r="M39" s="9" t="s">
        <v>1659</v>
      </c>
      <c r="N39" s="9"/>
      <c r="O39" s="9" t="s">
        <v>385</v>
      </c>
    </row>
    <row r="40" customFormat="false" ht="15" hidden="false" customHeight="false" outlineLevel="0" collapsed="false">
      <c r="A40" s="9" t="s">
        <v>1818</v>
      </c>
      <c r="B40" s="9" t="s">
        <v>1713</v>
      </c>
      <c r="C40" s="9" t="s">
        <v>1714</v>
      </c>
      <c r="D40" s="9" t="s">
        <v>1819</v>
      </c>
      <c r="E40" s="9" t="s">
        <v>1725</v>
      </c>
      <c r="F40" s="9" t="s">
        <v>1812</v>
      </c>
      <c r="G40" s="9" t="s">
        <v>1126</v>
      </c>
      <c r="H40" s="9" t="s">
        <v>1820</v>
      </c>
      <c r="I40" s="9" t="n">
        <v>300</v>
      </c>
      <c r="J40" s="9" t="n">
        <v>251923</v>
      </c>
      <c r="K40" s="9" t="n">
        <f aca="false">I40*J40</f>
        <v>75576900</v>
      </c>
      <c r="L40" s="9" t="s">
        <v>1652</v>
      </c>
      <c r="M40" s="9" t="s">
        <v>1668</v>
      </c>
      <c r="N40" s="9" t="s">
        <v>905</v>
      </c>
      <c r="O40" s="9" t="s">
        <v>111</v>
      </c>
    </row>
    <row r="41" customFormat="false" ht="15" hidden="false" customHeight="false" outlineLevel="0" collapsed="false">
      <c r="A41" s="9" t="s">
        <v>1821</v>
      </c>
      <c r="B41" s="9" t="s">
        <v>1822</v>
      </c>
      <c r="C41" s="9" t="s">
        <v>1274</v>
      </c>
      <c r="D41" s="9" t="s">
        <v>1823</v>
      </c>
      <c r="E41" s="9" t="s">
        <v>1701</v>
      </c>
      <c r="F41" s="9" t="s">
        <v>1743</v>
      </c>
      <c r="G41" s="9" t="s">
        <v>1824</v>
      </c>
      <c r="H41" s="9" t="s">
        <v>1824</v>
      </c>
      <c r="I41" s="9" t="n">
        <v>128</v>
      </c>
      <c r="J41" s="9" t="n">
        <v>331717</v>
      </c>
      <c r="K41" s="9" t="n">
        <f aca="false">I41*J41</f>
        <v>42459776</v>
      </c>
      <c r="L41" s="9" t="s">
        <v>1652</v>
      </c>
      <c r="M41" s="9" t="s">
        <v>1653</v>
      </c>
      <c r="N41" s="9" t="s">
        <v>1096</v>
      </c>
      <c r="O41" s="9" t="s">
        <v>558</v>
      </c>
    </row>
    <row r="42" customFormat="false" ht="15" hidden="false" customHeight="false" outlineLevel="0" collapsed="false">
      <c r="A42" s="9" t="s">
        <v>1825</v>
      </c>
      <c r="B42" s="9" t="s">
        <v>1713</v>
      </c>
      <c r="C42" s="9" t="s">
        <v>1714</v>
      </c>
      <c r="D42" s="9" t="s">
        <v>1826</v>
      </c>
      <c r="E42" s="9" t="s">
        <v>1685</v>
      </c>
      <c r="F42" s="9" t="s">
        <v>1827</v>
      </c>
      <c r="G42" s="9" t="s">
        <v>923</v>
      </c>
      <c r="H42" s="9" t="s">
        <v>923</v>
      </c>
      <c r="I42" s="9" t="n">
        <v>65</v>
      </c>
      <c r="J42" s="9" t="n">
        <v>1024080</v>
      </c>
      <c r="K42" s="9" t="n">
        <f aca="false">I42*J42</f>
        <v>66565200</v>
      </c>
      <c r="L42" s="9" t="s">
        <v>1652</v>
      </c>
      <c r="M42" s="9" t="s">
        <v>1659</v>
      </c>
      <c r="N42" s="9" t="s">
        <v>1065</v>
      </c>
      <c r="O42" s="9" t="s">
        <v>581</v>
      </c>
    </row>
    <row r="43" customFormat="false" ht="15" hidden="false" customHeight="false" outlineLevel="0" collapsed="false">
      <c r="A43" s="9" t="s">
        <v>1828</v>
      </c>
      <c r="B43" s="9" t="s">
        <v>1674</v>
      </c>
      <c r="C43" s="9" t="s">
        <v>1675</v>
      </c>
      <c r="D43" s="9" t="s">
        <v>1829</v>
      </c>
      <c r="E43" s="9" t="s">
        <v>1696</v>
      </c>
      <c r="F43" s="9" t="s">
        <v>1830</v>
      </c>
      <c r="G43" s="9" t="s">
        <v>846</v>
      </c>
      <c r="H43" s="9" t="s">
        <v>1831</v>
      </c>
      <c r="I43" s="9" t="n">
        <v>129</v>
      </c>
      <c r="J43" s="9" t="n">
        <v>1885633</v>
      </c>
      <c r="K43" s="9" t="n">
        <f aca="false">I43*J43</f>
        <v>243246657</v>
      </c>
      <c r="L43" s="9" t="s">
        <v>1652</v>
      </c>
      <c r="M43" s="9" t="s">
        <v>1653</v>
      </c>
      <c r="N43" s="9" t="s">
        <v>1006</v>
      </c>
      <c r="O43" s="9" t="s">
        <v>462</v>
      </c>
    </row>
    <row r="44" customFormat="false" ht="15" hidden="false" customHeight="false" outlineLevel="0" collapsed="false">
      <c r="A44" s="9" t="s">
        <v>1832</v>
      </c>
      <c r="B44" s="9" t="s">
        <v>1764</v>
      </c>
      <c r="C44" s="9" t="s">
        <v>1765</v>
      </c>
      <c r="D44" s="9" t="s">
        <v>1833</v>
      </c>
      <c r="E44" s="9" t="s">
        <v>1701</v>
      </c>
      <c r="F44" s="9" t="s">
        <v>1354</v>
      </c>
      <c r="G44" s="9" t="s">
        <v>1076</v>
      </c>
      <c r="H44" s="9" t="s">
        <v>1834</v>
      </c>
      <c r="I44" s="9" t="n">
        <v>166</v>
      </c>
      <c r="J44" s="9" t="n">
        <v>1536959</v>
      </c>
      <c r="K44" s="9" t="n">
        <f aca="false">I44*J44</f>
        <v>255135194</v>
      </c>
      <c r="L44" s="9" t="s">
        <v>1652</v>
      </c>
      <c r="M44" s="9" t="s">
        <v>1668</v>
      </c>
      <c r="N44" s="9" t="s">
        <v>1196</v>
      </c>
      <c r="O44" s="9" t="s">
        <v>309</v>
      </c>
    </row>
    <row r="45" customFormat="false" ht="15" hidden="false" customHeight="false" outlineLevel="0" collapsed="false">
      <c r="A45" s="9" t="s">
        <v>1835</v>
      </c>
      <c r="B45" s="9" t="s">
        <v>1648</v>
      </c>
      <c r="C45" s="9" t="s">
        <v>1280</v>
      </c>
      <c r="D45" s="9" t="s">
        <v>1836</v>
      </c>
      <c r="E45" s="9" t="s">
        <v>1664</v>
      </c>
      <c r="F45" s="9" t="s">
        <v>1837</v>
      </c>
      <c r="G45" s="9" t="s">
        <v>1838</v>
      </c>
      <c r="H45" s="9" t="s">
        <v>1839</v>
      </c>
      <c r="I45" s="9" t="n">
        <v>233</v>
      </c>
      <c r="J45" s="9" t="n">
        <v>2509</v>
      </c>
      <c r="K45" s="9" t="n">
        <f aca="false">I45*J45</f>
        <v>584597</v>
      </c>
      <c r="L45" s="9" t="s">
        <v>1652</v>
      </c>
      <c r="M45" s="9" t="s">
        <v>1653</v>
      </c>
      <c r="N45" s="9"/>
      <c r="O45" s="9" t="s">
        <v>111</v>
      </c>
    </row>
    <row r="46" customFormat="false" ht="15" hidden="false" customHeight="false" outlineLevel="0" collapsed="false">
      <c r="A46" s="9" t="s">
        <v>1840</v>
      </c>
      <c r="B46" s="9" t="s">
        <v>1704</v>
      </c>
      <c r="C46" s="9" t="s">
        <v>1705</v>
      </c>
      <c r="D46" s="9" t="s">
        <v>1841</v>
      </c>
      <c r="E46" s="9" t="s">
        <v>1690</v>
      </c>
      <c r="F46" s="9" t="s">
        <v>1355</v>
      </c>
      <c r="G46" s="9" t="s">
        <v>1842</v>
      </c>
      <c r="H46" s="9" t="s">
        <v>1842</v>
      </c>
      <c r="I46" s="9" t="n">
        <v>338</v>
      </c>
      <c r="J46" s="9" t="n">
        <v>1131273</v>
      </c>
      <c r="K46" s="9" t="n">
        <f aca="false">I46*J46</f>
        <v>382370274</v>
      </c>
      <c r="L46" s="9" t="s">
        <v>1652</v>
      </c>
      <c r="M46" s="9" t="s">
        <v>1653</v>
      </c>
      <c r="N46" s="9" t="s">
        <v>1127</v>
      </c>
      <c r="O46" s="9" t="s">
        <v>705</v>
      </c>
    </row>
    <row r="47" customFormat="false" ht="15" hidden="false" customHeight="false" outlineLevel="0" collapsed="false">
      <c r="A47" s="9" t="s">
        <v>1843</v>
      </c>
      <c r="B47" s="9" t="s">
        <v>1764</v>
      </c>
      <c r="C47" s="9" t="s">
        <v>1765</v>
      </c>
      <c r="D47" s="9" t="s">
        <v>1844</v>
      </c>
      <c r="E47" s="9" t="s">
        <v>1664</v>
      </c>
      <c r="F47" s="9" t="s">
        <v>1437</v>
      </c>
      <c r="G47" s="9" t="s">
        <v>1845</v>
      </c>
      <c r="H47" s="9" t="s">
        <v>1846</v>
      </c>
      <c r="I47" s="9" t="n">
        <v>57</v>
      </c>
      <c r="J47" s="9" t="n">
        <v>202864</v>
      </c>
      <c r="K47" s="9" t="n">
        <f aca="false">I47*J47</f>
        <v>11563248</v>
      </c>
      <c r="L47" s="9" t="s">
        <v>1652</v>
      </c>
      <c r="M47" s="9" t="s">
        <v>1653</v>
      </c>
      <c r="N47" s="9" t="s">
        <v>842</v>
      </c>
      <c r="O47" s="9" t="s">
        <v>309</v>
      </c>
    </row>
    <row r="48" customFormat="false" ht="15" hidden="false" customHeight="false" outlineLevel="0" collapsed="false">
      <c r="A48" s="9" t="s">
        <v>1847</v>
      </c>
      <c r="B48" s="9" t="s">
        <v>1822</v>
      </c>
      <c r="C48" s="9" t="s">
        <v>1274</v>
      </c>
      <c r="D48" s="9" t="s">
        <v>1848</v>
      </c>
      <c r="E48" s="9" t="s">
        <v>1696</v>
      </c>
      <c r="F48" s="9" t="s">
        <v>1849</v>
      </c>
      <c r="G48" s="9" t="s">
        <v>1850</v>
      </c>
      <c r="H48" s="9" t="s">
        <v>1851</v>
      </c>
      <c r="I48" s="9" t="n">
        <v>293</v>
      </c>
      <c r="J48" s="9" t="n">
        <v>1346850</v>
      </c>
      <c r="K48" s="9" t="n">
        <f aca="false">I48*J48</f>
        <v>394627050</v>
      </c>
      <c r="L48" s="9" t="s">
        <v>1652</v>
      </c>
      <c r="M48" s="9" t="s">
        <v>1668</v>
      </c>
      <c r="N48" s="9"/>
      <c r="O48" s="9" t="s">
        <v>705</v>
      </c>
    </row>
    <row r="49" customFormat="false" ht="15" hidden="false" customHeight="false" outlineLevel="0" collapsed="false">
      <c r="A49" s="9" t="s">
        <v>1852</v>
      </c>
      <c r="B49" s="9" t="s">
        <v>1764</v>
      </c>
      <c r="C49" s="9" t="s">
        <v>1765</v>
      </c>
      <c r="D49" s="9" t="s">
        <v>1853</v>
      </c>
      <c r="E49" s="9" t="s">
        <v>1650</v>
      </c>
      <c r="F49" s="9" t="s">
        <v>1304</v>
      </c>
      <c r="G49" s="9" t="s">
        <v>471</v>
      </c>
      <c r="H49" s="9" t="s">
        <v>1854</v>
      </c>
      <c r="I49" s="9" t="n">
        <v>7</v>
      </c>
      <c r="J49" s="9" t="n">
        <v>1951793</v>
      </c>
      <c r="K49" s="9" t="n">
        <f aca="false">I49*J49</f>
        <v>13662551</v>
      </c>
      <c r="L49" s="9" t="s">
        <v>1652</v>
      </c>
      <c r="M49" s="9" t="s">
        <v>1668</v>
      </c>
      <c r="N49" s="9"/>
      <c r="O49" s="9" t="s">
        <v>705</v>
      </c>
    </row>
    <row r="50" customFormat="false" ht="15" hidden="false" customHeight="false" outlineLevel="0" collapsed="false">
      <c r="A50" s="9" t="s">
        <v>1855</v>
      </c>
      <c r="B50" s="9" t="s">
        <v>1648</v>
      </c>
      <c r="C50" s="9" t="s">
        <v>1280</v>
      </c>
      <c r="D50" s="9" t="s">
        <v>1856</v>
      </c>
      <c r="E50" s="9" t="s">
        <v>1701</v>
      </c>
      <c r="F50" s="9" t="s">
        <v>1857</v>
      </c>
      <c r="G50" s="9" t="s">
        <v>1858</v>
      </c>
      <c r="H50" s="9" t="s">
        <v>923</v>
      </c>
      <c r="I50" s="9" t="n">
        <v>421</v>
      </c>
      <c r="J50" s="9" t="n">
        <v>774993</v>
      </c>
      <c r="K50" s="9" t="n">
        <f aca="false">I50*J50</f>
        <v>326272053</v>
      </c>
      <c r="L50" s="9" t="s">
        <v>1652</v>
      </c>
      <c r="M50" s="9" t="s">
        <v>1653</v>
      </c>
      <c r="N50" s="9"/>
      <c r="O50" s="9" t="s">
        <v>424</v>
      </c>
    </row>
    <row r="51" customFormat="false" ht="15" hidden="false" customHeight="false" outlineLevel="0" collapsed="false">
      <c r="A51" s="9" t="s">
        <v>1859</v>
      </c>
      <c r="B51" s="9" t="s">
        <v>1764</v>
      </c>
      <c r="C51" s="9" t="s">
        <v>1765</v>
      </c>
      <c r="D51" s="9" t="s">
        <v>1860</v>
      </c>
      <c r="E51" s="9" t="s">
        <v>1685</v>
      </c>
      <c r="F51" s="9" t="s">
        <v>1861</v>
      </c>
      <c r="G51" s="9" t="s">
        <v>1862</v>
      </c>
      <c r="H51" s="9" t="s">
        <v>596</v>
      </c>
      <c r="I51" s="9" t="n">
        <v>492</v>
      </c>
      <c r="J51" s="9" t="n">
        <v>1090439</v>
      </c>
      <c r="K51" s="9" t="n">
        <f aca="false">I51*J51</f>
        <v>536495988</v>
      </c>
      <c r="L51" s="9" t="s">
        <v>1652</v>
      </c>
      <c r="M51" s="9" t="s">
        <v>1653</v>
      </c>
      <c r="N51" s="9" t="s">
        <v>900</v>
      </c>
      <c r="O51" s="9" t="s">
        <v>616</v>
      </c>
    </row>
    <row r="52" customFormat="false" ht="15" hidden="false" customHeight="false" outlineLevel="0" collapsed="false">
      <c r="A52" s="9" t="s">
        <v>1863</v>
      </c>
      <c r="B52" s="9" t="s">
        <v>1693</v>
      </c>
      <c r="C52" s="9" t="s">
        <v>1694</v>
      </c>
      <c r="D52" s="9" t="s">
        <v>1864</v>
      </c>
      <c r="E52" s="9" t="s">
        <v>1696</v>
      </c>
      <c r="F52" s="9" t="s">
        <v>1865</v>
      </c>
      <c r="G52" s="9" t="s">
        <v>912</v>
      </c>
      <c r="H52" s="9" t="s">
        <v>1866</v>
      </c>
      <c r="I52" s="9" t="n">
        <v>286</v>
      </c>
      <c r="J52" s="9" t="n">
        <v>1572174</v>
      </c>
      <c r="K52" s="9" t="n">
        <f aca="false">I52*J52</f>
        <v>449641764</v>
      </c>
      <c r="L52" s="9" t="s">
        <v>1652</v>
      </c>
      <c r="M52" s="9" t="s">
        <v>1668</v>
      </c>
      <c r="N52" s="9"/>
      <c r="O52" s="9" t="s">
        <v>230</v>
      </c>
    </row>
    <row r="53" customFormat="false" ht="15" hidden="false" customHeight="false" outlineLevel="0" collapsed="false">
      <c r="A53" s="9" t="s">
        <v>1867</v>
      </c>
      <c r="B53" s="9" t="s">
        <v>1713</v>
      </c>
      <c r="C53" s="9" t="s">
        <v>1714</v>
      </c>
      <c r="D53" s="9" t="s">
        <v>1868</v>
      </c>
      <c r="E53" s="9" t="s">
        <v>1690</v>
      </c>
      <c r="F53" s="9" t="s">
        <v>1869</v>
      </c>
      <c r="G53" s="9" t="s">
        <v>1619</v>
      </c>
      <c r="H53" s="9" t="s">
        <v>1619</v>
      </c>
      <c r="I53" s="9" t="n">
        <v>86</v>
      </c>
      <c r="J53" s="9" t="n">
        <v>1662912</v>
      </c>
      <c r="K53" s="9" t="n">
        <f aca="false">I53*J53</f>
        <v>143010432</v>
      </c>
      <c r="L53" s="9" t="s">
        <v>1652</v>
      </c>
      <c r="M53" s="9" t="s">
        <v>1659</v>
      </c>
      <c r="N53" s="9"/>
      <c r="O53" s="9" t="s">
        <v>716</v>
      </c>
    </row>
    <row r="54" customFormat="false" ht="15" hidden="false" customHeight="false" outlineLevel="0" collapsed="false">
      <c r="A54" s="9" t="s">
        <v>1870</v>
      </c>
      <c r="B54" s="9" t="s">
        <v>1682</v>
      </c>
      <c r="C54" s="9" t="s">
        <v>1683</v>
      </c>
      <c r="D54" s="9" t="s">
        <v>1871</v>
      </c>
      <c r="E54" s="9" t="s">
        <v>1664</v>
      </c>
      <c r="F54" s="9" t="s">
        <v>1872</v>
      </c>
      <c r="G54" s="9" t="s">
        <v>1372</v>
      </c>
      <c r="H54" s="9" t="s">
        <v>1873</v>
      </c>
      <c r="I54" s="9" t="n">
        <v>463</v>
      </c>
      <c r="J54" s="9" t="n">
        <v>661927</v>
      </c>
      <c r="K54" s="9" t="n">
        <f aca="false">I54*J54</f>
        <v>306472201</v>
      </c>
      <c r="L54" s="9" t="s">
        <v>1652</v>
      </c>
      <c r="M54" s="9" t="s">
        <v>1653</v>
      </c>
      <c r="N54" s="9"/>
      <c r="O54" s="9" t="s">
        <v>643</v>
      </c>
    </row>
    <row r="55" customFormat="false" ht="15" hidden="false" customHeight="false" outlineLevel="0" collapsed="false">
      <c r="A55" s="9" t="s">
        <v>1874</v>
      </c>
      <c r="B55" s="9" t="s">
        <v>1713</v>
      </c>
      <c r="C55" s="9" t="s">
        <v>1714</v>
      </c>
      <c r="D55" s="9" t="s">
        <v>1875</v>
      </c>
      <c r="E55" s="9" t="s">
        <v>1725</v>
      </c>
      <c r="F55" s="9" t="s">
        <v>904</v>
      </c>
      <c r="G55" s="9" t="s">
        <v>1876</v>
      </c>
      <c r="H55" s="9" t="s">
        <v>1877</v>
      </c>
      <c r="I55" s="9" t="n">
        <v>110</v>
      </c>
      <c r="J55" s="9" t="n">
        <v>787564</v>
      </c>
      <c r="K55" s="9" t="n">
        <f aca="false">I55*J55</f>
        <v>86632040</v>
      </c>
      <c r="L55" s="9" t="s">
        <v>1652</v>
      </c>
      <c r="M55" s="9" t="s">
        <v>1668</v>
      </c>
      <c r="N55" s="9"/>
      <c r="O55" s="9" t="s">
        <v>424</v>
      </c>
    </row>
    <row r="56" customFormat="false" ht="15" hidden="false" customHeight="false" outlineLevel="0" collapsed="false">
      <c r="A56" s="9" t="s">
        <v>1878</v>
      </c>
      <c r="B56" s="9" t="s">
        <v>1682</v>
      </c>
      <c r="C56" s="9" t="s">
        <v>1683</v>
      </c>
      <c r="D56" s="9" t="s">
        <v>1879</v>
      </c>
      <c r="E56" s="9" t="s">
        <v>1701</v>
      </c>
      <c r="F56" s="9" t="s">
        <v>1880</v>
      </c>
      <c r="G56" s="9" t="s">
        <v>1049</v>
      </c>
      <c r="H56" s="9" t="s">
        <v>1798</v>
      </c>
      <c r="I56" s="9" t="n">
        <v>146</v>
      </c>
      <c r="J56" s="9" t="n">
        <v>1250405</v>
      </c>
      <c r="K56" s="9" t="n">
        <f aca="false">I56*J56</f>
        <v>182559130</v>
      </c>
      <c r="L56" s="9" t="s">
        <v>1652</v>
      </c>
      <c r="M56" s="9" t="s">
        <v>1668</v>
      </c>
      <c r="N56" s="9" t="s">
        <v>845</v>
      </c>
      <c r="O56" s="9" t="s">
        <v>462</v>
      </c>
    </row>
    <row r="57" customFormat="false" ht="15" hidden="false" customHeight="false" outlineLevel="0" collapsed="false">
      <c r="A57" s="9" t="s">
        <v>1881</v>
      </c>
      <c r="B57" s="9" t="s">
        <v>1822</v>
      </c>
      <c r="C57" s="9" t="s">
        <v>1274</v>
      </c>
      <c r="D57" s="9" t="s">
        <v>1882</v>
      </c>
      <c r="E57" s="9" t="s">
        <v>1650</v>
      </c>
      <c r="F57" s="9" t="s">
        <v>1883</v>
      </c>
      <c r="G57" s="9" t="s">
        <v>1884</v>
      </c>
      <c r="H57" s="9" t="s">
        <v>1884</v>
      </c>
      <c r="I57" s="9" t="n">
        <v>396</v>
      </c>
      <c r="J57" s="9" t="n">
        <v>1724732</v>
      </c>
      <c r="K57" s="9" t="n">
        <f aca="false">I57*J57</f>
        <v>682993872</v>
      </c>
      <c r="L57" s="9" t="s">
        <v>1652</v>
      </c>
      <c r="M57" s="9" t="s">
        <v>1653</v>
      </c>
      <c r="N57" s="9"/>
      <c r="O57" s="9" t="s">
        <v>716</v>
      </c>
    </row>
    <row r="58" customFormat="false" ht="15" hidden="false" customHeight="false" outlineLevel="0" collapsed="false">
      <c r="A58" s="9" t="s">
        <v>1885</v>
      </c>
      <c r="B58" s="9" t="s">
        <v>1764</v>
      </c>
      <c r="C58" s="9" t="s">
        <v>1765</v>
      </c>
      <c r="D58" s="9" t="s">
        <v>1886</v>
      </c>
      <c r="E58" s="9" t="s">
        <v>1664</v>
      </c>
      <c r="F58" s="9" t="s">
        <v>1887</v>
      </c>
      <c r="G58" s="9" t="s">
        <v>1888</v>
      </c>
      <c r="H58" s="9" t="s">
        <v>1889</v>
      </c>
      <c r="I58" s="9" t="n">
        <v>71</v>
      </c>
      <c r="J58" s="9" t="n">
        <v>556720</v>
      </c>
      <c r="K58" s="9" t="n">
        <f aca="false">I58*J58</f>
        <v>39527120</v>
      </c>
      <c r="L58" s="9" t="s">
        <v>1652</v>
      </c>
      <c r="M58" s="9" t="s">
        <v>1653</v>
      </c>
      <c r="N58" s="9"/>
      <c r="O58" s="9" t="s">
        <v>385</v>
      </c>
    </row>
    <row r="59" customFormat="false" ht="15" hidden="false" customHeight="false" outlineLevel="0" collapsed="false">
      <c r="A59" s="9" t="s">
        <v>1890</v>
      </c>
      <c r="B59" s="9" t="s">
        <v>1693</v>
      </c>
      <c r="C59" s="9" t="s">
        <v>1694</v>
      </c>
      <c r="D59" s="9" t="s">
        <v>1891</v>
      </c>
      <c r="E59" s="9" t="s">
        <v>1650</v>
      </c>
      <c r="F59" s="9" t="s">
        <v>1020</v>
      </c>
      <c r="G59" s="9" t="s">
        <v>1099</v>
      </c>
      <c r="H59" s="9" t="s">
        <v>1892</v>
      </c>
      <c r="I59" s="9" t="n">
        <v>376</v>
      </c>
      <c r="J59" s="9" t="n">
        <v>162903</v>
      </c>
      <c r="K59" s="9" t="n">
        <f aca="false">I59*J59</f>
        <v>61251528</v>
      </c>
      <c r="L59" s="9" t="s">
        <v>1652</v>
      </c>
      <c r="M59" s="9" t="s">
        <v>1653</v>
      </c>
      <c r="N59" s="9"/>
      <c r="O59" s="9" t="s">
        <v>309</v>
      </c>
    </row>
    <row r="60" customFormat="false" ht="15" hidden="false" customHeight="false" outlineLevel="0" collapsed="false">
      <c r="A60" s="9" t="s">
        <v>1893</v>
      </c>
      <c r="B60" s="9" t="s">
        <v>1674</v>
      </c>
      <c r="C60" s="9" t="s">
        <v>1675</v>
      </c>
      <c r="D60" s="9" t="s">
        <v>1894</v>
      </c>
      <c r="E60" s="9" t="s">
        <v>1677</v>
      </c>
      <c r="F60" s="9" t="s">
        <v>1895</v>
      </c>
      <c r="G60" s="9" t="s">
        <v>1896</v>
      </c>
      <c r="H60" s="9" t="s">
        <v>975</v>
      </c>
      <c r="I60" s="9" t="n">
        <v>41</v>
      </c>
      <c r="J60" s="9" t="n">
        <v>1637034</v>
      </c>
      <c r="K60" s="9" t="n">
        <f aca="false">I60*J60</f>
        <v>67118394</v>
      </c>
      <c r="L60" s="9" t="s">
        <v>1652</v>
      </c>
      <c r="M60" s="9" t="s">
        <v>1653</v>
      </c>
      <c r="N60" s="9"/>
      <c r="O60" s="9" t="s">
        <v>558</v>
      </c>
    </row>
    <row r="61" customFormat="false" ht="15" hidden="false" customHeight="false" outlineLevel="0" collapsed="false">
      <c r="A61" s="9" t="s">
        <v>1897</v>
      </c>
      <c r="B61" s="9" t="s">
        <v>1682</v>
      </c>
      <c r="C61" s="9" t="s">
        <v>1683</v>
      </c>
      <c r="D61" s="9" t="s">
        <v>1898</v>
      </c>
      <c r="E61" s="9" t="s">
        <v>1725</v>
      </c>
      <c r="F61" s="9" t="s">
        <v>1899</v>
      </c>
      <c r="G61" s="9" t="s">
        <v>1566</v>
      </c>
      <c r="H61" s="9" t="s">
        <v>1308</v>
      </c>
      <c r="I61" s="9" t="n">
        <v>383</v>
      </c>
      <c r="J61" s="9" t="n">
        <v>1369977</v>
      </c>
      <c r="K61" s="9" t="n">
        <f aca="false">I61*J61</f>
        <v>524701191</v>
      </c>
      <c r="L61" s="9" t="s">
        <v>1652</v>
      </c>
      <c r="M61" s="9" t="s">
        <v>1668</v>
      </c>
      <c r="N61" s="9"/>
      <c r="O61" s="9" t="s">
        <v>111</v>
      </c>
    </row>
    <row r="62" customFormat="false" ht="15" hidden="false" customHeight="false" outlineLevel="0" collapsed="false">
      <c r="A62" s="9" t="s">
        <v>1900</v>
      </c>
      <c r="B62" s="9" t="s">
        <v>1713</v>
      </c>
      <c r="C62" s="9" t="s">
        <v>1714</v>
      </c>
      <c r="D62" s="9" t="s">
        <v>1901</v>
      </c>
      <c r="E62" s="9" t="s">
        <v>1725</v>
      </c>
      <c r="F62" s="9" t="s">
        <v>1902</v>
      </c>
      <c r="G62" s="9" t="s">
        <v>1315</v>
      </c>
      <c r="H62" s="9" t="s">
        <v>792</v>
      </c>
      <c r="I62" s="9" t="n">
        <v>277</v>
      </c>
      <c r="J62" s="9" t="n">
        <v>1185708</v>
      </c>
      <c r="K62" s="9" t="n">
        <f aca="false">I62*J62</f>
        <v>328441116</v>
      </c>
      <c r="L62" s="9" t="s">
        <v>1652</v>
      </c>
      <c r="M62" s="9" t="s">
        <v>1659</v>
      </c>
      <c r="N62" s="9" t="s">
        <v>1135</v>
      </c>
      <c r="O62" s="9" t="s">
        <v>385</v>
      </c>
    </row>
    <row r="63" customFormat="false" ht="15" hidden="false" customHeight="false" outlineLevel="0" collapsed="false">
      <c r="A63" s="9" t="s">
        <v>1903</v>
      </c>
      <c r="B63" s="9" t="s">
        <v>1732</v>
      </c>
      <c r="C63" s="9" t="s">
        <v>1335</v>
      </c>
      <c r="D63" s="9" t="s">
        <v>1904</v>
      </c>
      <c r="E63" s="9" t="s">
        <v>1685</v>
      </c>
      <c r="F63" s="9" t="s">
        <v>1084</v>
      </c>
      <c r="G63" s="9" t="s">
        <v>1066</v>
      </c>
      <c r="H63" s="9" t="s">
        <v>1066</v>
      </c>
      <c r="I63" s="9" t="n">
        <v>114</v>
      </c>
      <c r="J63" s="9" t="n">
        <v>906834</v>
      </c>
      <c r="K63" s="9" t="n">
        <f aca="false">I63*J63</f>
        <v>103379076</v>
      </c>
      <c r="L63" s="9" t="s">
        <v>1652</v>
      </c>
      <c r="M63" s="9" t="s">
        <v>1653</v>
      </c>
      <c r="N63" s="9"/>
      <c r="O63" s="9" t="s">
        <v>270</v>
      </c>
    </row>
    <row r="64" customFormat="false" ht="15" hidden="false" customHeight="false" outlineLevel="0" collapsed="false">
      <c r="A64" s="9" t="s">
        <v>1905</v>
      </c>
      <c r="B64" s="9" t="s">
        <v>1732</v>
      </c>
      <c r="C64" s="9" t="s">
        <v>1335</v>
      </c>
      <c r="D64" s="9" t="s">
        <v>1906</v>
      </c>
      <c r="E64" s="9" t="s">
        <v>1690</v>
      </c>
      <c r="F64" s="9" t="s">
        <v>757</v>
      </c>
      <c r="G64" s="9" t="s">
        <v>1907</v>
      </c>
      <c r="H64" s="9" t="s">
        <v>1907</v>
      </c>
      <c r="I64" s="9" t="n">
        <v>281</v>
      </c>
      <c r="J64" s="9" t="n">
        <v>838164</v>
      </c>
      <c r="K64" s="9" t="n">
        <f aca="false">I64*J64</f>
        <v>235524084</v>
      </c>
      <c r="L64" s="9" t="s">
        <v>1652</v>
      </c>
      <c r="M64" s="9" t="s">
        <v>1653</v>
      </c>
      <c r="N64" s="9" t="s">
        <v>1037</v>
      </c>
      <c r="O64" s="9" t="s">
        <v>643</v>
      </c>
    </row>
    <row r="65" customFormat="false" ht="15" hidden="false" customHeight="false" outlineLevel="0" collapsed="false">
      <c r="A65" s="9" t="s">
        <v>1908</v>
      </c>
      <c r="B65" s="9" t="s">
        <v>1745</v>
      </c>
      <c r="C65" s="9" t="s">
        <v>1746</v>
      </c>
      <c r="D65" s="9" t="s">
        <v>1909</v>
      </c>
      <c r="E65" s="9" t="s">
        <v>1664</v>
      </c>
      <c r="F65" s="9" t="s">
        <v>1910</v>
      </c>
      <c r="G65" s="9" t="s">
        <v>1911</v>
      </c>
      <c r="H65" s="9" t="s">
        <v>1912</v>
      </c>
      <c r="I65" s="9" t="n">
        <v>203</v>
      </c>
      <c r="J65" s="9" t="n">
        <v>1368864</v>
      </c>
      <c r="K65" s="9" t="n">
        <f aca="false">I65*J65</f>
        <v>277879392</v>
      </c>
      <c r="L65" s="9" t="s">
        <v>1652</v>
      </c>
      <c r="M65" s="9" t="s">
        <v>1659</v>
      </c>
      <c r="N65" s="9"/>
      <c r="O65" s="9" t="s">
        <v>716</v>
      </c>
    </row>
    <row r="66" customFormat="false" ht="15" hidden="false" customHeight="false" outlineLevel="0" collapsed="false">
      <c r="A66" s="9" t="s">
        <v>1913</v>
      </c>
      <c r="B66" s="9" t="s">
        <v>1693</v>
      </c>
      <c r="C66" s="9" t="s">
        <v>1694</v>
      </c>
      <c r="D66" s="9" t="s">
        <v>1914</v>
      </c>
      <c r="E66" s="9" t="s">
        <v>1696</v>
      </c>
      <c r="F66" s="9" t="s">
        <v>1755</v>
      </c>
      <c r="G66" s="9" t="s">
        <v>1915</v>
      </c>
      <c r="H66" s="9" t="s">
        <v>1916</v>
      </c>
      <c r="I66" s="9" t="n">
        <v>351</v>
      </c>
      <c r="J66" s="9" t="n">
        <v>1939058</v>
      </c>
      <c r="K66" s="9" t="n">
        <f aca="false">I66*J66</f>
        <v>680609358</v>
      </c>
      <c r="L66" s="9" t="s">
        <v>1652</v>
      </c>
      <c r="M66" s="9" t="s">
        <v>1653</v>
      </c>
      <c r="N66" s="9" t="s">
        <v>992</v>
      </c>
      <c r="O66" s="9" t="s">
        <v>643</v>
      </c>
    </row>
    <row r="67" customFormat="false" ht="15" hidden="false" customHeight="false" outlineLevel="0" collapsed="false">
      <c r="A67" s="9" t="s">
        <v>1917</v>
      </c>
      <c r="B67" s="9" t="s">
        <v>1682</v>
      </c>
      <c r="C67" s="9" t="s">
        <v>1683</v>
      </c>
      <c r="D67" s="9" t="s">
        <v>1918</v>
      </c>
      <c r="E67" s="9" t="s">
        <v>1690</v>
      </c>
      <c r="F67" s="9" t="s">
        <v>1384</v>
      </c>
      <c r="G67" s="9" t="s">
        <v>1697</v>
      </c>
      <c r="H67" s="9" t="s">
        <v>1697</v>
      </c>
      <c r="I67" s="9" t="n">
        <v>395</v>
      </c>
      <c r="J67" s="9" t="n">
        <v>640251</v>
      </c>
      <c r="K67" s="9" t="n">
        <f aca="false">I67*J67</f>
        <v>252899145</v>
      </c>
      <c r="L67" s="9" t="s">
        <v>1652</v>
      </c>
      <c r="M67" s="9" t="s">
        <v>1659</v>
      </c>
      <c r="N67" s="9"/>
      <c r="O67" s="9" t="s">
        <v>669</v>
      </c>
    </row>
    <row r="68" customFormat="false" ht="15" hidden="false" customHeight="false" outlineLevel="0" collapsed="false">
      <c r="A68" s="9" t="s">
        <v>1919</v>
      </c>
      <c r="B68" s="9" t="s">
        <v>1704</v>
      </c>
      <c r="C68" s="9" t="s">
        <v>1705</v>
      </c>
      <c r="D68" s="9" t="s">
        <v>1920</v>
      </c>
      <c r="E68" s="9" t="s">
        <v>1664</v>
      </c>
      <c r="F68" s="9" t="s">
        <v>1921</v>
      </c>
      <c r="G68" s="9" t="s">
        <v>1444</v>
      </c>
      <c r="H68" s="9" t="s">
        <v>1175</v>
      </c>
      <c r="I68" s="9" t="n">
        <v>103</v>
      </c>
      <c r="J68" s="9" t="n">
        <v>1438302</v>
      </c>
      <c r="K68" s="9" t="n">
        <f aca="false">I68*J68</f>
        <v>148145106</v>
      </c>
      <c r="L68" s="9" t="s">
        <v>1652</v>
      </c>
      <c r="M68" s="9" t="s">
        <v>1653</v>
      </c>
      <c r="N68" s="9" t="s">
        <v>1150</v>
      </c>
      <c r="O68" s="9" t="s">
        <v>193</v>
      </c>
    </row>
    <row r="69" customFormat="false" ht="15" hidden="false" customHeight="false" outlineLevel="0" collapsed="false">
      <c r="A69" s="9" t="s">
        <v>1922</v>
      </c>
      <c r="B69" s="9" t="s">
        <v>1648</v>
      </c>
      <c r="C69" s="9" t="s">
        <v>1280</v>
      </c>
      <c r="D69" s="9" t="s">
        <v>1923</v>
      </c>
      <c r="E69" s="9" t="s">
        <v>1685</v>
      </c>
      <c r="F69" s="9" t="s">
        <v>1924</v>
      </c>
      <c r="G69" s="9" t="s">
        <v>1597</v>
      </c>
      <c r="H69" s="9" t="s">
        <v>1559</v>
      </c>
      <c r="I69" s="9" t="n">
        <v>8</v>
      </c>
      <c r="J69" s="9" t="n">
        <v>720892</v>
      </c>
      <c r="K69" s="9" t="n">
        <f aca="false">I69*J69</f>
        <v>5767136</v>
      </c>
      <c r="L69" s="9" t="s">
        <v>1652</v>
      </c>
      <c r="M69" s="9" t="s">
        <v>1653</v>
      </c>
      <c r="N69" s="9" t="s">
        <v>1021</v>
      </c>
      <c r="O69" s="9" t="s">
        <v>111</v>
      </c>
    </row>
    <row r="70" customFormat="false" ht="15" hidden="false" customHeight="false" outlineLevel="0" collapsed="false">
      <c r="A70" s="9" t="s">
        <v>1925</v>
      </c>
      <c r="B70" s="9" t="s">
        <v>1682</v>
      </c>
      <c r="C70" s="9" t="s">
        <v>1683</v>
      </c>
      <c r="D70" s="9" t="s">
        <v>1926</v>
      </c>
      <c r="E70" s="9" t="s">
        <v>1696</v>
      </c>
      <c r="F70" s="9" t="s">
        <v>948</v>
      </c>
      <c r="G70" s="9" t="s">
        <v>1927</v>
      </c>
      <c r="H70" s="9" t="s">
        <v>1372</v>
      </c>
      <c r="I70" s="9" t="n">
        <v>385</v>
      </c>
      <c r="J70" s="9" t="n">
        <v>543445</v>
      </c>
      <c r="K70" s="9" t="n">
        <f aca="false">I70*J70</f>
        <v>209226325</v>
      </c>
      <c r="L70" s="9" t="s">
        <v>1652</v>
      </c>
      <c r="M70" s="9" t="s">
        <v>1668</v>
      </c>
      <c r="N70" s="9"/>
      <c r="O70" s="9" t="s">
        <v>270</v>
      </c>
    </row>
    <row r="71" customFormat="false" ht="15" hidden="false" customHeight="false" outlineLevel="0" collapsed="false">
      <c r="A71" s="9" t="s">
        <v>1928</v>
      </c>
      <c r="B71" s="9" t="s">
        <v>1745</v>
      </c>
      <c r="C71" s="9" t="s">
        <v>1746</v>
      </c>
      <c r="D71" s="9" t="s">
        <v>1929</v>
      </c>
      <c r="E71" s="9" t="s">
        <v>1685</v>
      </c>
      <c r="F71" s="9" t="s">
        <v>1930</v>
      </c>
      <c r="G71" s="9" t="s">
        <v>1931</v>
      </c>
      <c r="H71" s="9" t="s">
        <v>1931</v>
      </c>
      <c r="I71" s="9" t="n">
        <v>131</v>
      </c>
      <c r="J71" s="9" t="n">
        <v>358186</v>
      </c>
      <c r="K71" s="9" t="n">
        <f aca="false">I71*J71</f>
        <v>46922366</v>
      </c>
      <c r="L71" s="9" t="s">
        <v>1652</v>
      </c>
      <c r="M71" s="9" t="s">
        <v>1653</v>
      </c>
      <c r="N71" s="9" t="s">
        <v>1179</v>
      </c>
      <c r="O71" s="9" t="s">
        <v>424</v>
      </c>
    </row>
    <row r="72" customFormat="false" ht="15" hidden="false" customHeight="false" outlineLevel="0" collapsed="false">
      <c r="A72" s="9" t="s">
        <v>1932</v>
      </c>
      <c r="B72" s="9" t="s">
        <v>1822</v>
      </c>
      <c r="C72" s="9" t="s">
        <v>1274</v>
      </c>
      <c r="D72" s="9" t="s">
        <v>1933</v>
      </c>
      <c r="E72" s="9" t="s">
        <v>1701</v>
      </c>
      <c r="F72" s="9" t="s">
        <v>1934</v>
      </c>
      <c r="G72" s="9" t="s">
        <v>1935</v>
      </c>
      <c r="H72" s="9" t="s">
        <v>1936</v>
      </c>
      <c r="I72" s="9" t="n">
        <v>340</v>
      </c>
      <c r="J72" s="9" t="n">
        <v>1787947</v>
      </c>
      <c r="K72" s="9" t="n">
        <f aca="false">I72*J72</f>
        <v>607901980</v>
      </c>
      <c r="L72" s="9" t="s">
        <v>1652</v>
      </c>
      <c r="M72" s="9" t="s">
        <v>1653</v>
      </c>
      <c r="N72" s="9"/>
      <c r="O72" s="9" t="s">
        <v>111</v>
      </c>
    </row>
    <row r="73" customFormat="false" ht="15" hidden="false" customHeight="false" outlineLevel="0" collapsed="false">
      <c r="A73" s="9" t="s">
        <v>1937</v>
      </c>
      <c r="B73" s="9" t="s">
        <v>1661</v>
      </c>
      <c r="C73" s="9" t="s">
        <v>1662</v>
      </c>
      <c r="D73" s="9" t="s">
        <v>1938</v>
      </c>
      <c r="E73" s="9" t="s">
        <v>1725</v>
      </c>
      <c r="F73" s="9" t="s">
        <v>1698</v>
      </c>
      <c r="G73" s="9" t="s">
        <v>1151</v>
      </c>
      <c r="H73" s="9" t="s">
        <v>1151</v>
      </c>
      <c r="I73" s="9" t="n">
        <v>463</v>
      </c>
      <c r="J73" s="9" t="n">
        <v>662559</v>
      </c>
      <c r="K73" s="9" t="n">
        <f aca="false">I73*J73</f>
        <v>306764817</v>
      </c>
      <c r="L73" s="9" t="s">
        <v>1652</v>
      </c>
      <c r="M73" s="9" t="s">
        <v>1653</v>
      </c>
      <c r="N73" s="9"/>
      <c r="O73" s="9" t="s">
        <v>193</v>
      </c>
    </row>
    <row r="74" customFormat="false" ht="15" hidden="false" customHeight="false" outlineLevel="0" collapsed="false">
      <c r="A74" s="9" t="s">
        <v>1939</v>
      </c>
      <c r="B74" s="9" t="s">
        <v>1732</v>
      </c>
      <c r="C74" s="9" t="s">
        <v>1335</v>
      </c>
      <c r="D74" s="9" t="s">
        <v>1940</v>
      </c>
      <c r="E74" s="9" t="s">
        <v>1696</v>
      </c>
      <c r="F74" s="9" t="s">
        <v>1941</v>
      </c>
      <c r="G74" s="9" t="s">
        <v>1942</v>
      </c>
      <c r="H74" s="9" t="s">
        <v>1942</v>
      </c>
      <c r="I74" s="9" t="n">
        <v>21</v>
      </c>
      <c r="J74" s="9" t="n">
        <v>519818</v>
      </c>
      <c r="K74" s="9" t="n">
        <f aca="false">I74*J74</f>
        <v>10916178</v>
      </c>
      <c r="L74" s="9" t="s">
        <v>1652</v>
      </c>
      <c r="M74" s="9" t="s">
        <v>1653</v>
      </c>
      <c r="N74" s="9" t="s">
        <v>983</v>
      </c>
      <c r="O74" s="9" t="s">
        <v>309</v>
      </c>
    </row>
    <row r="75" customFormat="false" ht="15" hidden="false" customHeight="false" outlineLevel="0" collapsed="false">
      <c r="A75" s="9" t="s">
        <v>1943</v>
      </c>
      <c r="B75" s="9" t="s">
        <v>1822</v>
      </c>
      <c r="C75" s="9" t="s">
        <v>1274</v>
      </c>
      <c r="D75" s="9" t="s">
        <v>1944</v>
      </c>
      <c r="E75" s="9" t="s">
        <v>1690</v>
      </c>
      <c r="F75" s="9" t="s">
        <v>1945</v>
      </c>
      <c r="G75" s="9" t="s">
        <v>1946</v>
      </c>
      <c r="H75" s="9" t="s">
        <v>1947</v>
      </c>
      <c r="I75" s="9" t="n">
        <v>257</v>
      </c>
      <c r="J75" s="9" t="n">
        <v>579558</v>
      </c>
      <c r="K75" s="9" t="n">
        <f aca="false">I75*J75</f>
        <v>148946406</v>
      </c>
      <c r="L75" s="9" t="s">
        <v>1652</v>
      </c>
      <c r="M75" s="9" t="s">
        <v>1653</v>
      </c>
      <c r="N75" s="9"/>
      <c r="O75" s="9" t="s">
        <v>616</v>
      </c>
    </row>
    <row r="76" customFormat="false" ht="15" hidden="false" customHeight="false" outlineLevel="0" collapsed="false">
      <c r="A76" s="9" t="s">
        <v>1948</v>
      </c>
      <c r="B76" s="9" t="s">
        <v>1822</v>
      </c>
      <c r="C76" s="9" t="s">
        <v>1274</v>
      </c>
      <c r="D76" s="9" t="s">
        <v>1949</v>
      </c>
      <c r="E76" s="9" t="s">
        <v>1650</v>
      </c>
      <c r="F76" s="9" t="s">
        <v>1950</v>
      </c>
      <c r="G76" s="9" t="s">
        <v>124</v>
      </c>
      <c r="H76" s="9" t="s">
        <v>1884</v>
      </c>
      <c r="I76" s="9" t="n">
        <v>337</v>
      </c>
      <c r="J76" s="9" t="n">
        <v>288856</v>
      </c>
      <c r="K76" s="9" t="n">
        <f aca="false">I76*J76</f>
        <v>97344472</v>
      </c>
      <c r="L76" s="9" t="s">
        <v>1652</v>
      </c>
      <c r="M76" s="9" t="s">
        <v>1653</v>
      </c>
      <c r="N76" s="9"/>
      <c r="O76" s="9" t="s">
        <v>716</v>
      </c>
    </row>
    <row r="77" customFormat="false" ht="15" hidden="false" customHeight="false" outlineLevel="0" collapsed="false">
      <c r="A77" s="9" t="s">
        <v>1951</v>
      </c>
      <c r="B77" s="9" t="s">
        <v>1713</v>
      </c>
      <c r="C77" s="9" t="s">
        <v>1714</v>
      </c>
      <c r="D77" s="9" t="s">
        <v>1952</v>
      </c>
      <c r="E77" s="9" t="s">
        <v>1696</v>
      </c>
      <c r="F77" s="9" t="s">
        <v>1953</v>
      </c>
      <c r="G77" s="9" t="s">
        <v>1954</v>
      </c>
      <c r="H77" s="9" t="s">
        <v>1955</v>
      </c>
      <c r="I77" s="9" t="n">
        <v>497</v>
      </c>
      <c r="J77" s="9" t="n">
        <v>656114</v>
      </c>
      <c r="K77" s="9" t="n">
        <f aca="false">I77*J77</f>
        <v>326088658</v>
      </c>
      <c r="L77" s="9" t="s">
        <v>1652</v>
      </c>
      <c r="M77" s="9" t="s">
        <v>1653</v>
      </c>
      <c r="N77" s="9" t="s">
        <v>842</v>
      </c>
      <c r="O77" s="9" t="s">
        <v>57</v>
      </c>
    </row>
    <row r="78" customFormat="false" ht="15" hidden="false" customHeight="false" outlineLevel="0" collapsed="false">
      <c r="A78" s="9" t="s">
        <v>1956</v>
      </c>
      <c r="B78" s="9" t="s">
        <v>1713</v>
      </c>
      <c r="C78" s="9" t="s">
        <v>1714</v>
      </c>
      <c r="D78" s="9" t="s">
        <v>1957</v>
      </c>
      <c r="E78" s="9" t="s">
        <v>1664</v>
      </c>
      <c r="F78" s="9" t="s">
        <v>1958</v>
      </c>
      <c r="G78" s="9" t="s">
        <v>1452</v>
      </c>
      <c r="H78" s="9" t="s">
        <v>1959</v>
      </c>
      <c r="I78" s="9" t="n">
        <v>442</v>
      </c>
      <c r="J78" s="9" t="n">
        <v>290636</v>
      </c>
      <c r="K78" s="9" t="n">
        <f aca="false">I78*J78</f>
        <v>128461112</v>
      </c>
      <c r="L78" s="9" t="s">
        <v>1652</v>
      </c>
      <c r="M78" s="9" t="s">
        <v>1653</v>
      </c>
      <c r="N78" s="9"/>
      <c r="O78" s="9" t="s">
        <v>716</v>
      </c>
    </row>
    <row r="79" customFormat="false" ht="15" hidden="false" customHeight="false" outlineLevel="0" collapsed="false">
      <c r="A79" s="9" t="s">
        <v>1960</v>
      </c>
      <c r="B79" s="9" t="s">
        <v>1732</v>
      </c>
      <c r="C79" s="9" t="s">
        <v>1335</v>
      </c>
      <c r="D79" s="9" t="s">
        <v>1961</v>
      </c>
      <c r="E79" s="9" t="s">
        <v>1725</v>
      </c>
      <c r="F79" s="9" t="s">
        <v>1962</v>
      </c>
      <c r="G79" s="9" t="s">
        <v>1963</v>
      </c>
      <c r="H79" s="9" t="s">
        <v>1964</v>
      </c>
      <c r="I79" s="9" t="n">
        <v>163</v>
      </c>
      <c r="J79" s="9" t="n">
        <v>143216</v>
      </c>
      <c r="K79" s="9" t="n">
        <f aca="false">I79*J79</f>
        <v>23344208</v>
      </c>
      <c r="L79" s="9" t="s">
        <v>1652</v>
      </c>
      <c r="M79" s="9" t="s">
        <v>1653</v>
      </c>
      <c r="N79" s="9" t="s">
        <v>1199</v>
      </c>
      <c r="O79" s="9" t="s">
        <v>270</v>
      </c>
    </row>
    <row r="80" customFormat="false" ht="15" hidden="false" customHeight="false" outlineLevel="0" collapsed="false">
      <c r="A80" s="9" t="s">
        <v>1965</v>
      </c>
      <c r="B80" s="9" t="s">
        <v>1745</v>
      </c>
      <c r="C80" s="9" t="s">
        <v>1746</v>
      </c>
      <c r="D80" s="9" t="s">
        <v>1966</v>
      </c>
      <c r="E80" s="9" t="s">
        <v>1685</v>
      </c>
      <c r="F80" s="9" t="s">
        <v>1967</v>
      </c>
      <c r="G80" s="9" t="s">
        <v>1968</v>
      </c>
      <c r="H80" s="9" t="s">
        <v>1969</v>
      </c>
      <c r="I80" s="9" t="n">
        <v>227</v>
      </c>
      <c r="J80" s="9" t="n">
        <v>1564656</v>
      </c>
      <c r="K80" s="9" t="n">
        <f aca="false">I80*J80</f>
        <v>355176912</v>
      </c>
      <c r="L80" s="9" t="s">
        <v>1652</v>
      </c>
      <c r="M80" s="9" t="s">
        <v>1653</v>
      </c>
      <c r="N80" s="9" t="s">
        <v>877</v>
      </c>
      <c r="O80" s="9" t="s">
        <v>230</v>
      </c>
    </row>
    <row r="81" customFormat="false" ht="15" hidden="false" customHeight="false" outlineLevel="0" collapsed="false">
      <c r="A81" s="9" t="s">
        <v>1970</v>
      </c>
      <c r="B81" s="9" t="s">
        <v>1732</v>
      </c>
      <c r="C81" s="9" t="s">
        <v>1335</v>
      </c>
      <c r="D81" s="9" t="s">
        <v>1971</v>
      </c>
      <c r="E81" s="9" t="s">
        <v>1664</v>
      </c>
      <c r="F81" s="9" t="s">
        <v>1767</v>
      </c>
      <c r="G81" s="9" t="s">
        <v>1972</v>
      </c>
      <c r="H81" s="9" t="s">
        <v>1973</v>
      </c>
      <c r="I81" s="9" t="n">
        <v>311</v>
      </c>
      <c r="J81" s="9" t="n">
        <v>1190175</v>
      </c>
      <c r="K81" s="9" t="n">
        <f aca="false">I81*J81</f>
        <v>370144425</v>
      </c>
      <c r="L81" s="9" t="s">
        <v>1652</v>
      </c>
      <c r="M81" s="9" t="s">
        <v>1659</v>
      </c>
      <c r="N81" s="9"/>
      <c r="O81" s="9" t="s">
        <v>385</v>
      </c>
    </row>
    <row r="82" customFormat="false" ht="15" hidden="false" customHeight="false" outlineLevel="0" collapsed="false">
      <c r="A82" s="9" t="s">
        <v>1974</v>
      </c>
      <c r="B82" s="9" t="s">
        <v>1713</v>
      </c>
      <c r="C82" s="9" t="s">
        <v>1714</v>
      </c>
      <c r="D82" s="9" t="s">
        <v>1975</v>
      </c>
      <c r="E82" s="9" t="s">
        <v>1685</v>
      </c>
      <c r="F82" s="9" t="s">
        <v>1976</v>
      </c>
      <c r="G82" s="9" t="s">
        <v>1977</v>
      </c>
      <c r="H82" s="9" t="s">
        <v>1978</v>
      </c>
      <c r="I82" s="9" t="n">
        <v>69</v>
      </c>
      <c r="J82" s="9" t="n">
        <v>1054451</v>
      </c>
      <c r="K82" s="9" t="n">
        <f aca="false">I82*J82</f>
        <v>72757119</v>
      </c>
      <c r="L82" s="9" t="s">
        <v>1652</v>
      </c>
      <c r="M82" s="9" t="s">
        <v>1653</v>
      </c>
      <c r="N82" s="9"/>
      <c r="O82" s="9" t="s">
        <v>581</v>
      </c>
    </row>
    <row r="83" customFormat="false" ht="15" hidden="false" customHeight="false" outlineLevel="0" collapsed="false">
      <c r="A83" s="9" t="s">
        <v>1979</v>
      </c>
      <c r="B83" s="9" t="s">
        <v>1732</v>
      </c>
      <c r="C83" s="9" t="s">
        <v>1335</v>
      </c>
      <c r="D83" s="9" t="s">
        <v>1980</v>
      </c>
      <c r="E83" s="9" t="s">
        <v>1725</v>
      </c>
      <c r="F83" s="9" t="s">
        <v>1981</v>
      </c>
      <c r="G83" s="9" t="s">
        <v>794</v>
      </c>
      <c r="H83" s="9" t="s">
        <v>1982</v>
      </c>
      <c r="I83" s="9" t="n">
        <v>116</v>
      </c>
      <c r="J83" s="9" t="n">
        <v>68590</v>
      </c>
      <c r="K83" s="9" t="n">
        <f aca="false">I83*J83</f>
        <v>7956440</v>
      </c>
      <c r="L83" s="9" t="s">
        <v>1652</v>
      </c>
      <c r="M83" s="9" t="s">
        <v>1668</v>
      </c>
      <c r="N83" s="9" t="s">
        <v>749</v>
      </c>
      <c r="O83" s="9" t="s">
        <v>424</v>
      </c>
    </row>
    <row r="84" customFormat="false" ht="15" hidden="false" customHeight="false" outlineLevel="0" collapsed="false">
      <c r="A84" s="9" t="s">
        <v>1983</v>
      </c>
      <c r="B84" s="9" t="s">
        <v>1752</v>
      </c>
      <c r="C84" s="9" t="s">
        <v>1753</v>
      </c>
      <c r="D84" s="9" t="s">
        <v>1984</v>
      </c>
      <c r="E84" s="9" t="s">
        <v>1696</v>
      </c>
      <c r="F84" s="9" t="s">
        <v>1697</v>
      </c>
      <c r="G84" s="9" t="s">
        <v>1985</v>
      </c>
      <c r="H84" s="9" t="s">
        <v>1569</v>
      </c>
      <c r="I84" s="9" t="n">
        <v>475</v>
      </c>
      <c r="J84" s="9" t="n">
        <v>922247</v>
      </c>
      <c r="K84" s="9" t="n">
        <f aca="false">I84*J84</f>
        <v>438067325</v>
      </c>
      <c r="L84" s="9" t="s">
        <v>1652</v>
      </c>
      <c r="M84" s="9" t="s">
        <v>1668</v>
      </c>
      <c r="N84" s="9"/>
      <c r="O84" s="9" t="s">
        <v>705</v>
      </c>
    </row>
    <row r="85" customFormat="false" ht="15" hidden="false" customHeight="false" outlineLevel="0" collapsed="false">
      <c r="A85" s="9" t="s">
        <v>1986</v>
      </c>
      <c r="B85" s="9" t="s">
        <v>1745</v>
      </c>
      <c r="C85" s="9" t="s">
        <v>1746</v>
      </c>
      <c r="D85" s="9" t="s">
        <v>1987</v>
      </c>
      <c r="E85" s="9" t="s">
        <v>1690</v>
      </c>
      <c r="F85" s="9" t="s">
        <v>1988</v>
      </c>
      <c r="G85" s="9" t="s">
        <v>1989</v>
      </c>
      <c r="H85" s="9" t="s">
        <v>1989</v>
      </c>
      <c r="I85" s="9" t="n">
        <v>312</v>
      </c>
      <c r="J85" s="9" t="n">
        <v>1543102</v>
      </c>
      <c r="K85" s="9" t="n">
        <f aca="false">I85*J85</f>
        <v>481447824</v>
      </c>
      <c r="L85" s="9" t="s">
        <v>1652</v>
      </c>
      <c r="M85" s="9" t="s">
        <v>1653</v>
      </c>
      <c r="N85" s="9"/>
      <c r="O85" s="9" t="s">
        <v>616</v>
      </c>
    </row>
    <row r="86" customFormat="false" ht="15" hidden="false" customHeight="false" outlineLevel="0" collapsed="false">
      <c r="A86" s="9" t="s">
        <v>1990</v>
      </c>
      <c r="B86" s="9" t="s">
        <v>1704</v>
      </c>
      <c r="C86" s="9" t="s">
        <v>1705</v>
      </c>
      <c r="D86" s="9" t="s">
        <v>1991</v>
      </c>
      <c r="E86" s="9" t="s">
        <v>1685</v>
      </c>
      <c r="F86" s="9" t="s">
        <v>1992</v>
      </c>
      <c r="G86" s="9" t="s">
        <v>1865</v>
      </c>
      <c r="H86" s="9" t="s">
        <v>1865</v>
      </c>
      <c r="I86" s="9" t="n">
        <v>450</v>
      </c>
      <c r="J86" s="9" t="n">
        <v>516315</v>
      </c>
      <c r="K86" s="9" t="n">
        <f aca="false">I86*J86</f>
        <v>232341750</v>
      </c>
      <c r="L86" s="9" t="s">
        <v>1652</v>
      </c>
      <c r="M86" s="9" t="s">
        <v>1653</v>
      </c>
      <c r="N86" s="9"/>
      <c r="O86" s="9" t="s">
        <v>152</v>
      </c>
    </row>
    <row r="87" customFormat="false" ht="15" hidden="false" customHeight="false" outlineLevel="0" collapsed="false">
      <c r="A87" s="9" t="s">
        <v>1993</v>
      </c>
      <c r="B87" s="9" t="s">
        <v>1764</v>
      </c>
      <c r="C87" s="9" t="s">
        <v>1765</v>
      </c>
      <c r="D87" s="9" t="s">
        <v>1994</v>
      </c>
      <c r="E87" s="9" t="s">
        <v>1725</v>
      </c>
      <c r="F87" s="9" t="s">
        <v>1995</v>
      </c>
      <c r="G87" s="9" t="s">
        <v>1194</v>
      </c>
      <c r="H87" s="9" t="s">
        <v>1194</v>
      </c>
      <c r="I87" s="9" t="n">
        <v>98</v>
      </c>
      <c r="J87" s="9" t="n">
        <v>611647</v>
      </c>
      <c r="K87" s="9" t="n">
        <f aca="false">I87*J87</f>
        <v>59941406</v>
      </c>
      <c r="L87" s="9" t="s">
        <v>1652</v>
      </c>
      <c r="M87" s="9" t="s">
        <v>1653</v>
      </c>
      <c r="N87" s="9" t="s">
        <v>936</v>
      </c>
      <c r="O87" s="9" t="s">
        <v>462</v>
      </c>
    </row>
    <row r="88" customFormat="false" ht="15" hidden="false" customHeight="false" outlineLevel="0" collapsed="false">
      <c r="A88" s="9" t="s">
        <v>1996</v>
      </c>
      <c r="B88" s="9" t="s">
        <v>1674</v>
      </c>
      <c r="C88" s="9" t="s">
        <v>1675</v>
      </c>
      <c r="D88" s="9" t="s">
        <v>1997</v>
      </c>
      <c r="E88" s="9" t="s">
        <v>1664</v>
      </c>
      <c r="F88" s="9" t="s">
        <v>1998</v>
      </c>
      <c r="G88" s="9" t="s">
        <v>1999</v>
      </c>
      <c r="H88" s="9" t="s">
        <v>1999</v>
      </c>
      <c r="I88" s="9" t="n">
        <v>354</v>
      </c>
      <c r="J88" s="9" t="n">
        <v>1085163</v>
      </c>
      <c r="K88" s="9" t="n">
        <f aca="false">I88*J88</f>
        <v>384147702</v>
      </c>
      <c r="L88" s="9" t="s">
        <v>1652</v>
      </c>
      <c r="M88" s="9" t="s">
        <v>1659</v>
      </c>
      <c r="N88" s="9" t="s">
        <v>1110</v>
      </c>
      <c r="O88" s="9" t="s">
        <v>669</v>
      </c>
    </row>
    <row r="89" customFormat="false" ht="15" hidden="false" customHeight="false" outlineLevel="0" collapsed="false">
      <c r="A89" s="9" t="s">
        <v>2000</v>
      </c>
      <c r="B89" s="9" t="s">
        <v>1648</v>
      </c>
      <c r="C89" s="9" t="s">
        <v>1280</v>
      </c>
      <c r="D89" s="9" t="s">
        <v>2001</v>
      </c>
      <c r="E89" s="9" t="s">
        <v>1677</v>
      </c>
      <c r="F89" s="9" t="s">
        <v>2002</v>
      </c>
      <c r="G89" s="9" t="s">
        <v>2003</v>
      </c>
      <c r="H89" s="9" t="s">
        <v>1534</v>
      </c>
      <c r="I89" s="9" t="n">
        <v>202</v>
      </c>
      <c r="J89" s="9" t="n">
        <v>868296</v>
      </c>
      <c r="K89" s="9" t="n">
        <f aca="false">I89*J89</f>
        <v>175395792</v>
      </c>
      <c r="L89" s="9" t="s">
        <v>1652</v>
      </c>
      <c r="M89" s="9" t="s">
        <v>1653</v>
      </c>
      <c r="N89" s="9" t="s">
        <v>870</v>
      </c>
      <c r="O89" s="9" t="s">
        <v>669</v>
      </c>
    </row>
    <row r="90" customFormat="false" ht="15" hidden="false" customHeight="false" outlineLevel="0" collapsed="false">
      <c r="A90" s="9" t="s">
        <v>2004</v>
      </c>
      <c r="B90" s="9" t="s">
        <v>1704</v>
      </c>
      <c r="C90" s="9" t="s">
        <v>1705</v>
      </c>
      <c r="D90" s="9" t="s">
        <v>2005</v>
      </c>
      <c r="E90" s="9" t="s">
        <v>1696</v>
      </c>
      <c r="F90" s="9" t="s">
        <v>1572</v>
      </c>
      <c r="G90" s="9" t="s">
        <v>1839</v>
      </c>
      <c r="H90" s="9" t="s">
        <v>2006</v>
      </c>
      <c r="I90" s="9" t="n">
        <v>368</v>
      </c>
      <c r="J90" s="9" t="n">
        <v>1538762</v>
      </c>
      <c r="K90" s="9" t="n">
        <f aca="false">I90*J90</f>
        <v>566264416</v>
      </c>
      <c r="L90" s="9" t="s">
        <v>1652</v>
      </c>
      <c r="M90" s="9" t="s">
        <v>1653</v>
      </c>
      <c r="N90" s="9" t="s">
        <v>1139</v>
      </c>
      <c r="O90" s="9" t="s">
        <v>669</v>
      </c>
    </row>
    <row r="91" customFormat="false" ht="15" hidden="false" customHeight="false" outlineLevel="0" collapsed="false">
      <c r="A91" s="9" t="s">
        <v>2007</v>
      </c>
      <c r="B91" s="9" t="s">
        <v>1713</v>
      </c>
      <c r="C91" s="9" t="s">
        <v>1714</v>
      </c>
      <c r="D91" s="9" t="s">
        <v>2008</v>
      </c>
      <c r="E91" s="9" t="s">
        <v>1690</v>
      </c>
      <c r="F91" s="9" t="s">
        <v>2009</v>
      </c>
      <c r="G91" s="9" t="s">
        <v>2010</v>
      </c>
      <c r="H91" s="9" t="s">
        <v>2011</v>
      </c>
      <c r="I91" s="9" t="n">
        <v>194</v>
      </c>
      <c r="J91" s="9" t="n">
        <v>1155158</v>
      </c>
      <c r="K91" s="9" t="n">
        <f aca="false">I91*J91</f>
        <v>224100652</v>
      </c>
      <c r="L91" s="9" t="s">
        <v>1652</v>
      </c>
      <c r="M91" s="9" t="s">
        <v>1653</v>
      </c>
      <c r="N91" s="9" t="s">
        <v>867</v>
      </c>
      <c r="O91" s="9" t="s">
        <v>558</v>
      </c>
    </row>
    <row r="92" customFormat="false" ht="15" hidden="false" customHeight="false" outlineLevel="0" collapsed="false">
      <c r="A92" s="9" t="s">
        <v>2012</v>
      </c>
      <c r="B92" s="9" t="s">
        <v>1704</v>
      </c>
      <c r="C92" s="9" t="s">
        <v>1705</v>
      </c>
      <c r="D92" s="9" t="s">
        <v>2013</v>
      </c>
      <c r="E92" s="9" t="s">
        <v>1664</v>
      </c>
      <c r="F92" s="9" t="s">
        <v>2014</v>
      </c>
      <c r="G92" s="9" t="s">
        <v>2015</v>
      </c>
      <c r="H92" s="9" t="s">
        <v>2016</v>
      </c>
      <c r="I92" s="9" t="n">
        <v>215</v>
      </c>
      <c r="J92" s="9" t="n">
        <v>647053</v>
      </c>
      <c r="K92" s="9" t="n">
        <f aca="false">I92*J92</f>
        <v>139116395</v>
      </c>
      <c r="L92" s="9" t="s">
        <v>1652</v>
      </c>
      <c r="M92" s="9" t="s">
        <v>1668</v>
      </c>
      <c r="N92" s="9" t="s">
        <v>1168</v>
      </c>
      <c r="O92" s="9" t="s">
        <v>669</v>
      </c>
    </row>
    <row r="93" customFormat="false" ht="15" hidden="false" customHeight="false" outlineLevel="0" collapsed="false">
      <c r="A93" s="9" t="s">
        <v>2017</v>
      </c>
      <c r="B93" s="9" t="s">
        <v>1661</v>
      </c>
      <c r="C93" s="9" t="s">
        <v>1662</v>
      </c>
      <c r="D93" s="9" t="s">
        <v>2018</v>
      </c>
      <c r="E93" s="9" t="s">
        <v>1664</v>
      </c>
      <c r="F93" s="9" t="s">
        <v>1603</v>
      </c>
      <c r="G93" s="9" t="s">
        <v>1323</v>
      </c>
      <c r="H93" s="9" t="s">
        <v>1323</v>
      </c>
      <c r="I93" s="9" t="n">
        <v>319</v>
      </c>
      <c r="J93" s="9" t="n">
        <v>1606151</v>
      </c>
      <c r="K93" s="9" t="n">
        <f aca="false">I93*J93</f>
        <v>512362169</v>
      </c>
      <c r="L93" s="9" t="s">
        <v>1652</v>
      </c>
      <c r="M93" s="9" t="s">
        <v>1653</v>
      </c>
      <c r="N93" s="9" t="s">
        <v>1035</v>
      </c>
      <c r="O93" s="9" t="s">
        <v>705</v>
      </c>
    </row>
    <row r="94" customFormat="false" ht="15" hidden="false" customHeight="false" outlineLevel="0" collapsed="false">
      <c r="A94" s="9" t="s">
        <v>2019</v>
      </c>
      <c r="B94" s="9" t="s">
        <v>1764</v>
      </c>
      <c r="C94" s="9" t="s">
        <v>1765</v>
      </c>
      <c r="D94" s="9" t="s">
        <v>2020</v>
      </c>
      <c r="E94" s="9" t="s">
        <v>1685</v>
      </c>
      <c r="F94" s="9" t="s">
        <v>2021</v>
      </c>
      <c r="G94" s="9" t="s">
        <v>1348</v>
      </c>
      <c r="H94" s="9" t="s">
        <v>2022</v>
      </c>
      <c r="I94" s="9" t="n">
        <v>338</v>
      </c>
      <c r="J94" s="9" t="n">
        <v>998640</v>
      </c>
      <c r="K94" s="9" t="n">
        <f aca="false">I94*J94</f>
        <v>337540320</v>
      </c>
      <c r="L94" s="9" t="s">
        <v>1652</v>
      </c>
      <c r="M94" s="9" t="s">
        <v>1668</v>
      </c>
      <c r="N94" s="9" t="s">
        <v>1009</v>
      </c>
      <c r="O94" s="9" t="s">
        <v>193</v>
      </c>
    </row>
    <row r="95" customFormat="false" ht="15" hidden="false" customHeight="false" outlineLevel="0" collapsed="false">
      <c r="A95" s="9" t="s">
        <v>2023</v>
      </c>
      <c r="B95" s="9" t="s">
        <v>1704</v>
      </c>
      <c r="C95" s="9" t="s">
        <v>1705</v>
      </c>
      <c r="D95" s="9" t="s">
        <v>2024</v>
      </c>
      <c r="E95" s="9" t="s">
        <v>1685</v>
      </c>
      <c r="F95" s="9" t="s">
        <v>822</v>
      </c>
      <c r="G95" s="9" t="s">
        <v>1597</v>
      </c>
      <c r="H95" s="9" t="s">
        <v>2025</v>
      </c>
      <c r="I95" s="9" t="n">
        <v>26</v>
      </c>
      <c r="J95" s="9" t="n">
        <v>388637</v>
      </c>
      <c r="K95" s="9" t="n">
        <f aca="false">I95*J95</f>
        <v>10104562</v>
      </c>
      <c r="L95" s="9" t="s">
        <v>1652</v>
      </c>
      <c r="M95" s="9" t="s">
        <v>1659</v>
      </c>
      <c r="N95" s="9" t="s">
        <v>960</v>
      </c>
      <c r="O95" s="9" t="s">
        <v>152</v>
      </c>
    </row>
    <row r="96" customFormat="false" ht="15" hidden="false" customHeight="false" outlineLevel="0" collapsed="false">
      <c r="A96" s="9" t="s">
        <v>2026</v>
      </c>
      <c r="B96" s="9" t="s">
        <v>1732</v>
      </c>
      <c r="C96" s="9" t="s">
        <v>1335</v>
      </c>
      <c r="D96" s="9" t="s">
        <v>2027</v>
      </c>
      <c r="E96" s="9" t="s">
        <v>1685</v>
      </c>
      <c r="F96" s="9" t="s">
        <v>2028</v>
      </c>
      <c r="G96" s="9" t="s">
        <v>2029</v>
      </c>
      <c r="H96" s="9" t="s">
        <v>779</v>
      </c>
      <c r="I96" s="9" t="n">
        <v>472</v>
      </c>
      <c r="J96" s="9" t="n">
        <v>184925</v>
      </c>
      <c r="K96" s="9" t="n">
        <f aca="false">I96*J96</f>
        <v>87284600</v>
      </c>
      <c r="L96" s="9" t="s">
        <v>1652</v>
      </c>
      <c r="M96" s="9" t="s">
        <v>1653</v>
      </c>
      <c r="N96" s="9" t="s">
        <v>870</v>
      </c>
      <c r="O96" s="9" t="s">
        <v>309</v>
      </c>
    </row>
    <row r="97" customFormat="false" ht="15" hidden="false" customHeight="false" outlineLevel="0" collapsed="false">
      <c r="A97" s="9" t="s">
        <v>2030</v>
      </c>
      <c r="B97" s="9" t="s">
        <v>1713</v>
      </c>
      <c r="C97" s="9" t="s">
        <v>1714</v>
      </c>
      <c r="D97" s="9" t="s">
        <v>2031</v>
      </c>
      <c r="E97" s="9" t="s">
        <v>1650</v>
      </c>
      <c r="F97" s="9" t="s">
        <v>1459</v>
      </c>
      <c r="G97" s="9" t="s">
        <v>2032</v>
      </c>
      <c r="H97" s="9" t="s">
        <v>2033</v>
      </c>
      <c r="I97" s="9" t="n">
        <v>495</v>
      </c>
      <c r="J97" s="9" t="n">
        <v>955912</v>
      </c>
      <c r="K97" s="9" t="n">
        <f aca="false">I97*J97</f>
        <v>473176440</v>
      </c>
      <c r="L97" s="9" t="s">
        <v>1652</v>
      </c>
      <c r="M97" s="9" t="s">
        <v>1653</v>
      </c>
      <c r="N97" s="9"/>
      <c r="O97" s="9" t="s">
        <v>193</v>
      </c>
    </row>
    <row r="98" customFormat="false" ht="15" hidden="false" customHeight="false" outlineLevel="0" collapsed="false">
      <c r="A98" s="9" t="s">
        <v>2034</v>
      </c>
      <c r="B98" s="9" t="s">
        <v>1661</v>
      </c>
      <c r="C98" s="9" t="s">
        <v>1662</v>
      </c>
      <c r="D98" s="9" t="s">
        <v>2035</v>
      </c>
      <c r="E98" s="9" t="s">
        <v>1690</v>
      </c>
      <c r="F98" s="9" t="s">
        <v>861</v>
      </c>
      <c r="G98" s="9" t="s">
        <v>927</v>
      </c>
      <c r="H98" s="9" t="s">
        <v>946</v>
      </c>
      <c r="I98" s="9" t="n">
        <v>432</v>
      </c>
      <c r="J98" s="9" t="n">
        <v>1155421</v>
      </c>
      <c r="K98" s="9" t="n">
        <f aca="false">I98*J98</f>
        <v>499141872</v>
      </c>
      <c r="L98" s="9" t="s">
        <v>1652</v>
      </c>
      <c r="M98" s="9" t="s">
        <v>1653</v>
      </c>
      <c r="N98" s="9" t="s">
        <v>845</v>
      </c>
      <c r="O98" s="9" t="s">
        <v>230</v>
      </c>
    </row>
    <row r="99" customFormat="false" ht="15" hidden="false" customHeight="false" outlineLevel="0" collapsed="false">
      <c r="A99" s="9" t="s">
        <v>2036</v>
      </c>
      <c r="B99" s="9" t="s">
        <v>1745</v>
      </c>
      <c r="C99" s="9" t="s">
        <v>1746</v>
      </c>
      <c r="D99" s="9" t="s">
        <v>2037</v>
      </c>
      <c r="E99" s="9" t="s">
        <v>1650</v>
      </c>
      <c r="F99" s="9" t="s">
        <v>168</v>
      </c>
      <c r="G99" s="9" t="s">
        <v>929</v>
      </c>
      <c r="H99" s="9" t="s">
        <v>2038</v>
      </c>
      <c r="I99" s="9" t="n">
        <v>357</v>
      </c>
      <c r="J99" s="9" t="n">
        <v>439411</v>
      </c>
      <c r="K99" s="9" t="n">
        <f aca="false">I99*J99</f>
        <v>156869727</v>
      </c>
      <c r="L99" s="9" t="s">
        <v>1652</v>
      </c>
      <c r="M99" s="9" t="s">
        <v>1653</v>
      </c>
      <c r="N99" s="9" t="s">
        <v>1150</v>
      </c>
      <c r="O99" s="9" t="s">
        <v>716</v>
      </c>
    </row>
    <row r="100" customFormat="false" ht="15" hidden="false" customHeight="false" outlineLevel="0" collapsed="false">
      <c r="A100" s="9" t="s">
        <v>2039</v>
      </c>
      <c r="B100" s="9" t="s">
        <v>1648</v>
      </c>
      <c r="C100" s="9" t="s">
        <v>1280</v>
      </c>
      <c r="D100" s="9" t="s">
        <v>2040</v>
      </c>
      <c r="E100" s="9" t="s">
        <v>1701</v>
      </c>
      <c r="F100" s="9" t="s">
        <v>2041</v>
      </c>
      <c r="G100" s="9" t="s">
        <v>2042</v>
      </c>
      <c r="H100" s="9" t="s">
        <v>2043</v>
      </c>
      <c r="I100" s="9" t="n">
        <v>219</v>
      </c>
      <c r="J100" s="9" t="n">
        <v>1277839</v>
      </c>
      <c r="K100" s="9" t="n">
        <f aca="false">I100*J100</f>
        <v>279846741</v>
      </c>
      <c r="L100" s="9" t="s">
        <v>1652</v>
      </c>
      <c r="M100" s="9" t="s">
        <v>1653</v>
      </c>
      <c r="N100" s="9" t="s">
        <v>1075</v>
      </c>
      <c r="O100" s="9" t="s">
        <v>581</v>
      </c>
    </row>
    <row r="101" customFormat="false" ht="15" hidden="false" customHeight="false" outlineLevel="0" collapsed="false">
      <c r="A101" s="9" t="s">
        <v>2044</v>
      </c>
      <c r="B101" s="9" t="s">
        <v>1732</v>
      </c>
      <c r="C101" s="9" t="s">
        <v>1335</v>
      </c>
      <c r="D101" s="9" t="s">
        <v>2045</v>
      </c>
      <c r="E101" s="9" t="s">
        <v>1701</v>
      </c>
      <c r="F101" s="9" t="s">
        <v>1598</v>
      </c>
      <c r="G101" s="9" t="s">
        <v>2046</v>
      </c>
      <c r="H101" s="9" t="s">
        <v>1410</v>
      </c>
      <c r="I101" s="9" t="n">
        <v>414</v>
      </c>
      <c r="J101" s="9" t="n">
        <v>378292</v>
      </c>
      <c r="K101" s="9" t="n">
        <f aca="false">I101*J101</f>
        <v>156612888</v>
      </c>
      <c r="L101" s="9" t="s">
        <v>1652</v>
      </c>
      <c r="M101" s="9" t="s">
        <v>1659</v>
      </c>
      <c r="N101" s="9"/>
      <c r="O101" s="9" t="s">
        <v>57</v>
      </c>
    </row>
    <row r="102" customFormat="false" ht="15" hidden="false" customHeight="false" outlineLevel="0" collapsed="false">
      <c r="A102" s="9" t="s">
        <v>2047</v>
      </c>
      <c r="B102" s="9" t="s">
        <v>1822</v>
      </c>
      <c r="C102" s="9" t="s">
        <v>1274</v>
      </c>
      <c r="D102" s="9" t="s">
        <v>2048</v>
      </c>
      <c r="E102" s="9" t="s">
        <v>1677</v>
      </c>
      <c r="F102" s="9" t="s">
        <v>2049</v>
      </c>
      <c r="G102" s="9" t="s">
        <v>362</v>
      </c>
      <c r="H102" s="9" t="s">
        <v>362</v>
      </c>
      <c r="I102" s="9" t="n">
        <v>378</v>
      </c>
      <c r="J102" s="9" t="n">
        <v>1779531</v>
      </c>
      <c r="K102" s="9" t="n">
        <f aca="false">I102*J102</f>
        <v>672662718</v>
      </c>
      <c r="L102" s="9" t="s">
        <v>1652</v>
      </c>
      <c r="M102" s="9" t="s">
        <v>1659</v>
      </c>
      <c r="N102" s="9"/>
      <c r="O102" s="9" t="s">
        <v>643</v>
      </c>
    </row>
    <row r="103" customFormat="false" ht="15" hidden="false" customHeight="false" outlineLevel="0" collapsed="false">
      <c r="A103" s="9" t="s">
        <v>2050</v>
      </c>
      <c r="B103" s="9" t="s">
        <v>1752</v>
      </c>
      <c r="C103" s="9" t="s">
        <v>1753</v>
      </c>
      <c r="D103" s="9" t="s">
        <v>2051</v>
      </c>
      <c r="E103" s="9" t="s">
        <v>1685</v>
      </c>
      <c r="F103" s="9" t="s">
        <v>1968</v>
      </c>
      <c r="G103" s="9" t="s">
        <v>1132</v>
      </c>
      <c r="H103" s="9" t="s">
        <v>1320</v>
      </c>
      <c r="I103" s="9" t="n">
        <v>6</v>
      </c>
      <c r="J103" s="9" t="n">
        <v>1344473</v>
      </c>
      <c r="K103" s="9" t="n">
        <f aca="false">I103*J103</f>
        <v>8066838</v>
      </c>
      <c r="L103" s="9" t="s">
        <v>1652</v>
      </c>
      <c r="M103" s="9" t="s">
        <v>1659</v>
      </c>
      <c r="N103" s="9"/>
      <c r="O103" s="9" t="s">
        <v>424</v>
      </c>
    </row>
    <row r="104" customFormat="false" ht="15" hidden="false" customHeight="false" outlineLevel="0" collapsed="false">
      <c r="A104" s="9" t="s">
        <v>2052</v>
      </c>
      <c r="B104" s="9" t="s">
        <v>1648</v>
      </c>
      <c r="C104" s="9" t="s">
        <v>1280</v>
      </c>
      <c r="D104" s="9" t="s">
        <v>2053</v>
      </c>
      <c r="E104" s="9" t="s">
        <v>1650</v>
      </c>
      <c r="F104" s="9" t="s">
        <v>1771</v>
      </c>
      <c r="G104" s="9" t="s">
        <v>1162</v>
      </c>
      <c r="H104" s="9" t="s">
        <v>1162</v>
      </c>
      <c r="I104" s="9" t="n">
        <v>59</v>
      </c>
      <c r="J104" s="9" t="n">
        <v>1439301</v>
      </c>
      <c r="K104" s="9" t="n">
        <f aca="false">I104*J104</f>
        <v>84918759</v>
      </c>
      <c r="L104" s="9" t="s">
        <v>1652</v>
      </c>
      <c r="M104" s="9" t="s">
        <v>1653</v>
      </c>
      <c r="N104" s="9" t="s">
        <v>1148</v>
      </c>
      <c r="O104" s="9" t="s">
        <v>111</v>
      </c>
    </row>
    <row r="105" customFormat="false" ht="15" hidden="false" customHeight="false" outlineLevel="0" collapsed="false">
      <c r="A105" s="9" t="s">
        <v>2054</v>
      </c>
      <c r="B105" s="9" t="s">
        <v>1732</v>
      </c>
      <c r="C105" s="9" t="s">
        <v>1335</v>
      </c>
      <c r="D105" s="9" t="s">
        <v>2055</v>
      </c>
      <c r="E105" s="9" t="s">
        <v>1696</v>
      </c>
      <c r="F105" s="9" t="s">
        <v>2056</v>
      </c>
      <c r="G105" s="9" t="s">
        <v>297</v>
      </c>
      <c r="H105" s="9" t="s">
        <v>2057</v>
      </c>
      <c r="I105" s="9" t="n">
        <v>470</v>
      </c>
      <c r="J105" s="9" t="n">
        <v>996099</v>
      </c>
      <c r="K105" s="9" t="n">
        <f aca="false">I105*J105</f>
        <v>468166530</v>
      </c>
      <c r="L105" s="9" t="s">
        <v>1652</v>
      </c>
      <c r="M105" s="9" t="s">
        <v>1653</v>
      </c>
      <c r="N105" s="9"/>
      <c r="O105" s="9" t="s">
        <v>705</v>
      </c>
    </row>
    <row r="106" customFormat="false" ht="15" hidden="false" customHeight="false" outlineLevel="0" collapsed="false">
      <c r="A106" s="9" t="s">
        <v>2058</v>
      </c>
      <c r="B106" s="9" t="s">
        <v>1732</v>
      </c>
      <c r="C106" s="9" t="s">
        <v>1335</v>
      </c>
      <c r="D106" s="9" t="s">
        <v>2059</v>
      </c>
      <c r="E106" s="9" t="s">
        <v>1701</v>
      </c>
      <c r="F106" s="9" t="s">
        <v>844</v>
      </c>
      <c r="G106" s="9" t="s">
        <v>2060</v>
      </c>
      <c r="H106" s="9" t="s">
        <v>2061</v>
      </c>
      <c r="I106" s="9" t="n">
        <v>476</v>
      </c>
      <c r="J106" s="9" t="n">
        <v>1558312</v>
      </c>
      <c r="K106" s="9" t="n">
        <f aca="false">I106*J106</f>
        <v>741756512</v>
      </c>
      <c r="L106" s="9" t="s">
        <v>1652</v>
      </c>
      <c r="M106" s="9" t="s">
        <v>1653</v>
      </c>
      <c r="N106" s="9"/>
      <c r="O106" s="9" t="s">
        <v>462</v>
      </c>
    </row>
    <row r="107" customFormat="false" ht="15" hidden="false" customHeight="false" outlineLevel="0" collapsed="false">
      <c r="A107" s="9" t="s">
        <v>2062</v>
      </c>
      <c r="B107" s="9" t="s">
        <v>1704</v>
      </c>
      <c r="C107" s="9" t="s">
        <v>1705</v>
      </c>
      <c r="D107" s="9" t="s">
        <v>2063</v>
      </c>
      <c r="E107" s="9" t="s">
        <v>1690</v>
      </c>
      <c r="F107" s="9" t="s">
        <v>2064</v>
      </c>
      <c r="G107" s="9" t="s">
        <v>2065</v>
      </c>
      <c r="H107" s="9" t="s">
        <v>866</v>
      </c>
      <c r="I107" s="9" t="n">
        <v>351</v>
      </c>
      <c r="J107" s="9" t="n">
        <v>696665</v>
      </c>
      <c r="K107" s="9" t="n">
        <f aca="false">I107*J107</f>
        <v>244529415</v>
      </c>
      <c r="L107" s="9" t="s">
        <v>1652</v>
      </c>
      <c r="M107" s="9" t="s">
        <v>1668</v>
      </c>
      <c r="N107" s="9"/>
      <c r="O107" s="9" t="s">
        <v>581</v>
      </c>
    </row>
    <row r="108" customFormat="false" ht="15" hidden="false" customHeight="false" outlineLevel="0" collapsed="false">
      <c r="A108" s="9" t="s">
        <v>2066</v>
      </c>
      <c r="B108" s="9" t="s">
        <v>1648</v>
      </c>
      <c r="C108" s="9" t="s">
        <v>1280</v>
      </c>
      <c r="D108" s="9" t="s">
        <v>2067</v>
      </c>
      <c r="E108" s="9" t="s">
        <v>1664</v>
      </c>
      <c r="F108" s="9" t="s">
        <v>2068</v>
      </c>
      <c r="G108" s="9" t="s">
        <v>2069</v>
      </c>
      <c r="H108" s="9" t="s">
        <v>2070</v>
      </c>
      <c r="I108" s="9" t="n">
        <v>321</v>
      </c>
      <c r="J108" s="9" t="n">
        <v>1121452</v>
      </c>
      <c r="K108" s="9" t="n">
        <f aca="false">I108*J108</f>
        <v>359986092</v>
      </c>
      <c r="L108" s="9" t="s">
        <v>1652</v>
      </c>
      <c r="M108" s="9" t="s">
        <v>1668</v>
      </c>
      <c r="N108" s="9"/>
      <c r="O108" s="9" t="s">
        <v>616</v>
      </c>
    </row>
    <row r="109" customFormat="false" ht="15" hidden="false" customHeight="false" outlineLevel="0" collapsed="false">
      <c r="A109" s="9" t="s">
        <v>2071</v>
      </c>
      <c r="B109" s="9" t="s">
        <v>1732</v>
      </c>
      <c r="C109" s="9" t="s">
        <v>1335</v>
      </c>
      <c r="D109" s="9" t="s">
        <v>2072</v>
      </c>
      <c r="E109" s="9" t="s">
        <v>1677</v>
      </c>
      <c r="F109" s="9" t="s">
        <v>921</v>
      </c>
      <c r="G109" s="9" t="s">
        <v>1969</v>
      </c>
      <c r="H109" s="9" t="s">
        <v>1969</v>
      </c>
      <c r="I109" s="9" t="n">
        <v>140</v>
      </c>
      <c r="J109" s="9" t="n">
        <v>868947</v>
      </c>
      <c r="K109" s="9" t="n">
        <f aca="false">I109*J109</f>
        <v>121652580</v>
      </c>
      <c r="L109" s="9" t="s">
        <v>1652</v>
      </c>
      <c r="M109" s="9" t="s">
        <v>1653</v>
      </c>
      <c r="N109" s="9" t="s">
        <v>901</v>
      </c>
      <c r="O109" s="9" t="s">
        <v>581</v>
      </c>
    </row>
    <row r="110" customFormat="false" ht="15" hidden="false" customHeight="false" outlineLevel="0" collapsed="false">
      <c r="A110" s="9" t="s">
        <v>2073</v>
      </c>
      <c r="B110" s="9" t="s">
        <v>1674</v>
      </c>
      <c r="C110" s="9" t="s">
        <v>1675</v>
      </c>
      <c r="D110" s="9" t="s">
        <v>2074</v>
      </c>
      <c r="E110" s="9" t="s">
        <v>1650</v>
      </c>
      <c r="F110" s="9" t="s">
        <v>2075</v>
      </c>
      <c r="G110" s="9" t="s">
        <v>304</v>
      </c>
      <c r="H110" s="9" t="s">
        <v>304</v>
      </c>
      <c r="I110" s="9" t="n">
        <v>192</v>
      </c>
      <c r="J110" s="9" t="n">
        <v>1647146</v>
      </c>
      <c r="K110" s="9" t="n">
        <f aca="false">I110*J110</f>
        <v>316252032</v>
      </c>
      <c r="L110" s="9" t="s">
        <v>1652</v>
      </c>
      <c r="M110" s="9" t="s">
        <v>1653</v>
      </c>
      <c r="N110" s="9"/>
      <c r="O110" s="9" t="s">
        <v>193</v>
      </c>
    </row>
    <row r="111" customFormat="false" ht="15" hidden="false" customHeight="false" outlineLevel="0" collapsed="false">
      <c r="A111" s="9" t="s">
        <v>2076</v>
      </c>
      <c r="B111" s="9" t="s">
        <v>1674</v>
      </c>
      <c r="C111" s="9" t="s">
        <v>1675</v>
      </c>
      <c r="D111" s="9" t="s">
        <v>2077</v>
      </c>
      <c r="E111" s="9" t="s">
        <v>1685</v>
      </c>
      <c r="F111" s="9" t="s">
        <v>1619</v>
      </c>
      <c r="G111" s="9" t="s">
        <v>1941</v>
      </c>
      <c r="H111" s="9" t="s">
        <v>2078</v>
      </c>
      <c r="I111" s="9" t="n">
        <v>473</v>
      </c>
      <c r="J111" s="9" t="n">
        <v>1014914</v>
      </c>
      <c r="K111" s="9" t="n">
        <f aca="false">I111*J111</f>
        <v>480054322</v>
      </c>
      <c r="L111" s="9" t="s">
        <v>1652</v>
      </c>
      <c r="M111" s="9" t="s">
        <v>1668</v>
      </c>
      <c r="N111" s="9"/>
      <c r="O111" s="9" t="s">
        <v>716</v>
      </c>
    </row>
    <row r="112" customFormat="false" ht="15" hidden="false" customHeight="false" outlineLevel="0" collapsed="false">
      <c r="A112" s="9" t="s">
        <v>2079</v>
      </c>
      <c r="B112" s="9" t="s">
        <v>1661</v>
      </c>
      <c r="C112" s="9" t="s">
        <v>1662</v>
      </c>
      <c r="D112" s="9" t="s">
        <v>2080</v>
      </c>
      <c r="E112" s="9" t="s">
        <v>1690</v>
      </c>
      <c r="F112" s="9" t="s">
        <v>2081</v>
      </c>
      <c r="G112" s="9" t="s">
        <v>2082</v>
      </c>
      <c r="H112" s="9" t="s">
        <v>2083</v>
      </c>
      <c r="I112" s="9" t="n">
        <v>106</v>
      </c>
      <c r="J112" s="9" t="n">
        <v>1520534</v>
      </c>
      <c r="K112" s="9" t="n">
        <f aca="false">I112*J112</f>
        <v>161176604</v>
      </c>
      <c r="L112" s="9" t="s">
        <v>1652</v>
      </c>
      <c r="M112" s="9" t="s">
        <v>1653</v>
      </c>
      <c r="N112" s="9" t="s">
        <v>1143</v>
      </c>
      <c r="O112" s="9" t="s">
        <v>716</v>
      </c>
    </row>
    <row r="113" customFormat="false" ht="15" hidden="false" customHeight="false" outlineLevel="0" collapsed="false">
      <c r="A113" s="9" t="s">
        <v>2084</v>
      </c>
      <c r="B113" s="9" t="s">
        <v>1648</v>
      </c>
      <c r="C113" s="9" t="s">
        <v>1280</v>
      </c>
      <c r="D113" s="9" t="s">
        <v>2085</v>
      </c>
      <c r="E113" s="9" t="s">
        <v>1685</v>
      </c>
      <c r="F113" s="9" t="s">
        <v>2086</v>
      </c>
      <c r="G113" s="9" t="s">
        <v>2087</v>
      </c>
      <c r="H113" s="9" t="s">
        <v>2087</v>
      </c>
      <c r="I113" s="9" t="n">
        <v>171</v>
      </c>
      <c r="J113" s="9" t="n">
        <v>980109</v>
      </c>
      <c r="K113" s="9" t="n">
        <f aca="false">I113*J113</f>
        <v>167598639</v>
      </c>
      <c r="L113" s="9" t="s">
        <v>1652</v>
      </c>
      <c r="M113" s="9" t="s">
        <v>1653</v>
      </c>
      <c r="N113" s="9" t="s">
        <v>1168</v>
      </c>
      <c r="O113" s="9" t="s">
        <v>462</v>
      </c>
    </row>
    <row r="114" customFormat="false" ht="15" hidden="false" customHeight="false" outlineLevel="0" collapsed="false">
      <c r="A114" s="9" t="s">
        <v>2088</v>
      </c>
      <c r="B114" s="9" t="s">
        <v>1822</v>
      </c>
      <c r="C114" s="9" t="s">
        <v>1274</v>
      </c>
      <c r="D114" s="9" t="s">
        <v>2089</v>
      </c>
      <c r="E114" s="9" t="s">
        <v>1650</v>
      </c>
      <c r="F114" s="9" t="s">
        <v>1076</v>
      </c>
      <c r="G114" s="9" t="s">
        <v>1883</v>
      </c>
      <c r="H114" s="9" t="s">
        <v>2090</v>
      </c>
      <c r="I114" s="9" t="n">
        <v>142</v>
      </c>
      <c r="J114" s="9" t="n">
        <v>1117263</v>
      </c>
      <c r="K114" s="9" t="n">
        <f aca="false">I114*J114</f>
        <v>158651346</v>
      </c>
      <c r="L114" s="9" t="s">
        <v>1652</v>
      </c>
      <c r="M114" s="9" t="s">
        <v>1668</v>
      </c>
      <c r="N114" s="9" t="s">
        <v>1006</v>
      </c>
      <c r="O114" s="9" t="s">
        <v>230</v>
      </c>
    </row>
    <row r="115" customFormat="false" ht="15" hidden="false" customHeight="false" outlineLevel="0" collapsed="false">
      <c r="A115" s="9" t="s">
        <v>2091</v>
      </c>
      <c r="B115" s="9" t="s">
        <v>1661</v>
      </c>
      <c r="C115" s="9" t="s">
        <v>1662</v>
      </c>
      <c r="D115" s="9" t="s">
        <v>2092</v>
      </c>
      <c r="E115" s="9" t="s">
        <v>1664</v>
      </c>
      <c r="F115" s="9" t="s">
        <v>2093</v>
      </c>
      <c r="G115" s="9" t="s">
        <v>970</v>
      </c>
      <c r="H115" s="9" t="s">
        <v>2094</v>
      </c>
      <c r="I115" s="9" t="n">
        <v>287</v>
      </c>
      <c r="J115" s="9" t="n">
        <v>1079063</v>
      </c>
      <c r="K115" s="9" t="n">
        <f aca="false">I115*J115</f>
        <v>309691081</v>
      </c>
      <c r="L115" s="9" t="s">
        <v>1652</v>
      </c>
      <c r="M115" s="9" t="s">
        <v>1668</v>
      </c>
      <c r="N115" s="9" t="s">
        <v>1058</v>
      </c>
      <c r="O115" s="9" t="s">
        <v>581</v>
      </c>
    </row>
    <row r="116" customFormat="false" ht="15" hidden="false" customHeight="false" outlineLevel="0" collapsed="false">
      <c r="A116" s="9" t="s">
        <v>2095</v>
      </c>
      <c r="B116" s="9" t="s">
        <v>1764</v>
      </c>
      <c r="C116" s="9" t="s">
        <v>1765</v>
      </c>
      <c r="D116" s="9" t="s">
        <v>2096</v>
      </c>
      <c r="E116" s="9" t="s">
        <v>1690</v>
      </c>
      <c r="F116" s="9" t="s">
        <v>990</v>
      </c>
      <c r="G116" s="9" t="s">
        <v>2097</v>
      </c>
      <c r="H116" s="9" t="s">
        <v>1113</v>
      </c>
      <c r="I116" s="9" t="n">
        <v>294</v>
      </c>
      <c r="J116" s="9" t="n">
        <v>514435</v>
      </c>
      <c r="K116" s="9" t="n">
        <f aca="false">I116*J116</f>
        <v>151243890</v>
      </c>
      <c r="L116" s="9" t="s">
        <v>1652</v>
      </c>
      <c r="M116" s="9" t="s">
        <v>1659</v>
      </c>
      <c r="N116" s="9" t="s">
        <v>1092</v>
      </c>
      <c r="O116" s="9" t="s">
        <v>558</v>
      </c>
    </row>
    <row r="117" customFormat="false" ht="15" hidden="false" customHeight="false" outlineLevel="0" collapsed="false">
      <c r="A117" s="9" t="s">
        <v>2098</v>
      </c>
      <c r="B117" s="9" t="s">
        <v>1764</v>
      </c>
      <c r="C117" s="9" t="s">
        <v>1765</v>
      </c>
      <c r="D117" s="9" t="s">
        <v>2099</v>
      </c>
      <c r="E117" s="9" t="s">
        <v>1701</v>
      </c>
      <c r="F117" s="9" t="s">
        <v>2100</v>
      </c>
      <c r="G117" s="9" t="s">
        <v>2101</v>
      </c>
      <c r="H117" s="9" t="s">
        <v>2102</v>
      </c>
      <c r="I117" s="9" t="n">
        <v>55</v>
      </c>
      <c r="J117" s="9" t="n">
        <v>805466</v>
      </c>
      <c r="K117" s="9" t="n">
        <f aca="false">I117*J117</f>
        <v>44300630</v>
      </c>
      <c r="L117" s="9" t="s">
        <v>1652</v>
      </c>
      <c r="M117" s="9" t="s">
        <v>1668</v>
      </c>
      <c r="N117" s="9" t="s">
        <v>1000</v>
      </c>
      <c r="O117" s="9" t="s">
        <v>616</v>
      </c>
    </row>
    <row r="118" customFormat="false" ht="15" hidden="false" customHeight="false" outlineLevel="0" collapsed="false">
      <c r="A118" s="9" t="s">
        <v>2103</v>
      </c>
      <c r="B118" s="9" t="s">
        <v>1732</v>
      </c>
      <c r="C118" s="9" t="s">
        <v>1335</v>
      </c>
      <c r="D118" s="9" t="s">
        <v>2104</v>
      </c>
      <c r="E118" s="9" t="s">
        <v>1701</v>
      </c>
      <c r="F118" s="9" t="s">
        <v>975</v>
      </c>
      <c r="G118" s="9" t="s">
        <v>1418</v>
      </c>
      <c r="H118" s="9" t="s">
        <v>2105</v>
      </c>
      <c r="I118" s="9" t="n">
        <v>366</v>
      </c>
      <c r="J118" s="9" t="n">
        <v>1591485</v>
      </c>
      <c r="K118" s="9" t="n">
        <f aca="false">I118*J118</f>
        <v>582483510</v>
      </c>
      <c r="L118" s="9" t="s">
        <v>1652</v>
      </c>
      <c r="M118" s="9" t="s">
        <v>1653</v>
      </c>
      <c r="N118" s="9"/>
      <c r="O118" s="9" t="s">
        <v>669</v>
      </c>
    </row>
    <row r="119" customFormat="false" ht="15" hidden="false" customHeight="false" outlineLevel="0" collapsed="false">
      <c r="A119" s="9" t="s">
        <v>2106</v>
      </c>
      <c r="B119" s="9" t="s">
        <v>1704</v>
      </c>
      <c r="C119" s="9" t="s">
        <v>1705</v>
      </c>
      <c r="D119" s="9" t="s">
        <v>2107</v>
      </c>
      <c r="E119" s="9" t="s">
        <v>1664</v>
      </c>
      <c r="F119" s="9" t="s">
        <v>1420</v>
      </c>
      <c r="G119" s="9" t="s">
        <v>2108</v>
      </c>
      <c r="H119" s="9" t="s">
        <v>2109</v>
      </c>
      <c r="I119" s="9" t="n">
        <v>50</v>
      </c>
      <c r="J119" s="9" t="n">
        <v>956429</v>
      </c>
      <c r="K119" s="9" t="n">
        <f aca="false">I119*J119</f>
        <v>47821450</v>
      </c>
      <c r="L119" s="9" t="s">
        <v>1652</v>
      </c>
      <c r="M119" s="9" t="s">
        <v>1653</v>
      </c>
      <c r="N119" s="9"/>
      <c r="O119" s="9" t="s">
        <v>669</v>
      </c>
    </row>
    <row r="120" customFormat="false" ht="15" hidden="false" customHeight="false" outlineLevel="0" collapsed="false">
      <c r="A120" s="9" t="s">
        <v>2110</v>
      </c>
      <c r="B120" s="9" t="s">
        <v>1674</v>
      </c>
      <c r="C120" s="9" t="s">
        <v>1675</v>
      </c>
      <c r="D120" s="9" t="s">
        <v>2111</v>
      </c>
      <c r="E120" s="9" t="s">
        <v>1696</v>
      </c>
      <c r="F120" s="9" t="s">
        <v>2112</v>
      </c>
      <c r="G120" s="9" t="s">
        <v>1884</v>
      </c>
      <c r="H120" s="9" t="s">
        <v>2113</v>
      </c>
      <c r="I120" s="9" t="n">
        <v>468</v>
      </c>
      <c r="J120" s="9" t="n">
        <v>763208</v>
      </c>
      <c r="K120" s="9" t="n">
        <f aca="false">I120*J120</f>
        <v>357181344</v>
      </c>
      <c r="L120" s="9" t="s">
        <v>1652</v>
      </c>
      <c r="M120" s="9" t="s">
        <v>1653</v>
      </c>
      <c r="N120" s="9" t="s">
        <v>1120</v>
      </c>
      <c r="O120" s="9" t="s">
        <v>558</v>
      </c>
    </row>
    <row r="121" customFormat="false" ht="15" hidden="false" customHeight="false" outlineLevel="0" collapsed="false">
      <c r="A121" s="9" t="s">
        <v>2114</v>
      </c>
      <c r="B121" s="9" t="s">
        <v>1682</v>
      </c>
      <c r="C121" s="9" t="s">
        <v>1683</v>
      </c>
      <c r="D121" s="9" t="s">
        <v>2115</v>
      </c>
      <c r="E121" s="9" t="s">
        <v>1701</v>
      </c>
      <c r="F121" s="9" t="s">
        <v>2116</v>
      </c>
      <c r="G121" s="9" t="s">
        <v>2117</v>
      </c>
      <c r="H121" s="9" t="s">
        <v>1722</v>
      </c>
      <c r="I121" s="9" t="n">
        <v>180</v>
      </c>
      <c r="J121" s="9" t="n">
        <v>1004806</v>
      </c>
      <c r="K121" s="9" t="n">
        <f aca="false">I121*J121</f>
        <v>180865080</v>
      </c>
      <c r="L121" s="9" t="s">
        <v>1652</v>
      </c>
      <c r="M121" s="9" t="s">
        <v>1668</v>
      </c>
      <c r="N121" s="9" t="s">
        <v>867</v>
      </c>
      <c r="O121" s="9" t="s">
        <v>462</v>
      </c>
    </row>
    <row r="122" customFormat="false" ht="15" hidden="false" customHeight="false" outlineLevel="0" collapsed="false">
      <c r="A122" s="9" t="s">
        <v>2118</v>
      </c>
      <c r="B122" s="9" t="s">
        <v>1682</v>
      </c>
      <c r="C122" s="9" t="s">
        <v>1683</v>
      </c>
      <c r="D122" s="9" t="s">
        <v>2119</v>
      </c>
      <c r="E122" s="9" t="s">
        <v>1664</v>
      </c>
      <c r="F122" s="9" t="s">
        <v>2120</v>
      </c>
      <c r="G122" s="9" t="s">
        <v>441</v>
      </c>
      <c r="H122" s="9" t="s">
        <v>441</v>
      </c>
      <c r="I122" s="9" t="n">
        <v>167</v>
      </c>
      <c r="J122" s="9" t="n">
        <v>1167330</v>
      </c>
      <c r="K122" s="9" t="n">
        <f aca="false">I122*J122</f>
        <v>194944110</v>
      </c>
      <c r="L122" s="9" t="s">
        <v>1652</v>
      </c>
      <c r="M122" s="9" t="s">
        <v>1653</v>
      </c>
      <c r="N122" s="9"/>
      <c r="O122" s="9" t="s">
        <v>669</v>
      </c>
    </row>
    <row r="123" customFormat="false" ht="15" hidden="false" customHeight="false" outlineLevel="0" collapsed="false">
      <c r="A123" s="9" t="s">
        <v>2121</v>
      </c>
      <c r="B123" s="9" t="s">
        <v>1752</v>
      </c>
      <c r="C123" s="9" t="s">
        <v>1753</v>
      </c>
      <c r="D123" s="9" t="s">
        <v>2122</v>
      </c>
      <c r="E123" s="9" t="s">
        <v>1725</v>
      </c>
      <c r="F123" s="9" t="s">
        <v>1691</v>
      </c>
      <c r="G123" s="9" t="s">
        <v>2123</v>
      </c>
      <c r="H123" s="9" t="s">
        <v>1789</v>
      </c>
      <c r="I123" s="9" t="n">
        <v>499</v>
      </c>
      <c r="J123" s="9" t="n">
        <v>1012612</v>
      </c>
      <c r="K123" s="9" t="n">
        <f aca="false">I123*J123</f>
        <v>505293388</v>
      </c>
      <c r="L123" s="9" t="s">
        <v>1652</v>
      </c>
      <c r="M123" s="9" t="s">
        <v>1668</v>
      </c>
      <c r="N123" s="9" t="s">
        <v>956</v>
      </c>
      <c r="O123" s="9" t="s">
        <v>57</v>
      </c>
    </row>
    <row r="124" customFormat="false" ht="15" hidden="false" customHeight="false" outlineLevel="0" collapsed="false">
      <c r="A124" s="9" t="s">
        <v>2124</v>
      </c>
      <c r="B124" s="9" t="s">
        <v>1745</v>
      </c>
      <c r="C124" s="9" t="s">
        <v>1746</v>
      </c>
      <c r="D124" s="9" t="s">
        <v>2125</v>
      </c>
      <c r="E124" s="9" t="s">
        <v>1725</v>
      </c>
      <c r="F124" s="9" t="s">
        <v>2126</v>
      </c>
      <c r="G124" s="9" t="s">
        <v>2127</v>
      </c>
      <c r="H124" s="9" t="s">
        <v>1572</v>
      </c>
      <c r="I124" s="9" t="n">
        <v>89</v>
      </c>
      <c r="J124" s="9" t="n">
        <v>1390598</v>
      </c>
      <c r="K124" s="9" t="n">
        <f aca="false">I124*J124</f>
        <v>123763222</v>
      </c>
      <c r="L124" s="9" t="s">
        <v>1652</v>
      </c>
      <c r="M124" s="9" t="s">
        <v>1653</v>
      </c>
      <c r="N124" s="9"/>
      <c r="O124" s="9" t="s">
        <v>705</v>
      </c>
    </row>
    <row r="125" customFormat="false" ht="15" hidden="false" customHeight="false" outlineLevel="0" collapsed="false">
      <c r="A125" s="9" t="s">
        <v>2128</v>
      </c>
      <c r="B125" s="9" t="s">
        <v>1648</v>
      </c>
      <c r="C125" s="9" t="s">
        <v>1280</v>
      </c>
      <c r="D125" s="9" t="s">
        <v>2129</v>
      </c>
      <c r="E125" s="9" t="s">
        <v>1701</v>
      </c>
      <c r="F125" s="9" t="s">
        <v>1813</v>
      </c>
      <c r="G125" s="9" t="s">
        <v>1040</v>
      </c>
      <c r="H125" s="9" t="s">
        <v>2130</v>
      </c>
      <c r="I125" s="9" t="n">
        <v>91</v>
      </c>
      <c r="J125" s="9" t="n">
        <v>646997</v>
      </c>
      <c r="K125" s="9" t="n">
        <f aca="false">I125*J125</f>
        <v>58876727</v>
      </c>
      <c r="L125" s="9" t="s">
        <v>1652</v>
      </c>
      <c r="M125" s="9" t="s">
        <v>1668</v>
      </c>
      <c r="N125" s="9"/>
      <c r="O125" s="9" t="s">
        <v>193</v>
      </c>
    </row>
    <row r="126" customFormat="false" ht="15" hidden="false" customHeight="false" outlineLevel="0" collapsed="false">
      <c r="A126" s="9" t="s">
        <v>2131</v>
      </c>
      <c r="B126" s="9" t="s">
        <v>1704</v>
      </c>
      <c r="C126" s="9" t="s">
        <v>1705</v>
      </c>
      <c r="D126" s="9" t="s">
        <v>2132</v>
      </c>
      <c r="E126" s="9" t="s">
        <v>1677</v>
      </c>
      <c r="F126" s="9" t="s">
        <v>1743</v>
      </c>
      <c r="G126" s="9" t="s">
        <v>2133</v>
      </c>
      <c r="H126" s="9" t="s">
        <v>2134</v>
      </c>
      <c r="I126" s="9" t="n">
        <v>254</v>
      </c>
      <c r="J126" s="9" t="n">
        <v>1353640</v>
      </c>
      <c r="K126" s="9" t="n">
        <f aca="false">I126*J126</f>
        <v>343824560</v>
      </c>
      <c r="L126" s="9" t="s">
        <v>1652</v>
      </c>
      <c r="M126" s="9" t="s">
        <v>1653</v>
      </c>
      <c r="N126" s="9" t="s">
        <v>1191</v>
      </c>
      <c r="O126" s="9" t="s">
        <v>270</v>
      </c>
    </row>
    <row r="127" customFormat="false" ht="15" hidden="false" customHeight="false" outlineLevel="0" collapsed="false">
      <c r="A127" s="9" t="s">
        <v>2135</v>
      </c>
      <c r="B127" s="9" t="s">
        <v>1704</v>
      </c>
      <c r="C127" s="9" t="s">
        <v>1705</v>
      </c>
      <c r="D127" s="9" t="s">
        <v>2136</v>
      </c>
      <c r="E127" s="9" t="s">
        <v>1685</v>
      </c>
      <c r="F127" s="9" t="s">
        <v>2137</v>
      </c>
      <c r="G127" s="9" t="s">
        <v>2082</v>
      </c>
      <c r="H127" s="9" t="s">
        <v>2138</v>
      </c>
      <c r="I127" s="9" t="n">
        <v>150</v>
      </c>
      <c r="J127" s="9" t="n">
        <v>818852</v>
      </c>
      <c r="K127" s="9" t="n">
        <f aca="false">I127*J127</f>
        <v>122827800</v>
      </c>
      <c r="L127" s="9" t="s">
        <v>1652</v>
      </c>
      <c r="M127" s="9" t="s">
        <v>1668</v>
      </c>
      <c r="N127" s="9"/>
      <c r="O127" s="9" t="s">
        <v>669</v>
      </c>
    </row>
    <row r="128" customFormat="false" ht="15" hidden="false" customHeight="false" outlineLevel="0" collapsed="false">
      <c r="A128" s="9" t="s">
        <v>2139</v>
      </c>
      <c r="B128" s="9" t="s">
        <v>1693</v>
      </c>
      <c r="C128" s="9" t="s">
        <v>1694</v>
      </c>
      <c r="D128" s="9" t="s">
        <v>2140</v>
      </c>
      <c r="E128" s="9" t="s">
        <v>1696</v>
      </c>
      <c r="F128" s="9" t="s">
        <v>1119</v>
      </c>
      <c r="G128" s="9" t="s">
        <v>2141</v>
      </c>
      <c r="H128" s="9" t="s">
        <v>836</v>
      </c>
      <c r="I128" s="9" t="n">
        <v>471</v>
      </c>
      <c r="J128" s="9" t="n">
        <v>1979313</v>
      </c>
      <c r="K128" s="9" t="n">
        <f aca="false">I128*J128</f>
        <v>932256423</v>
      </c>
      <c r="L128" s="9" t="s">
        <v>1652</v>
      </c>
      <c r="M128" s="9" t="s">
        <v>1653</v>
      </c>
      <c r="N128" s="9"/>
      <c r="O128" s="9" t="s">
        <v>581</v>
      </c>
    </row>
    <row r="129" customFormat="false" ht="15" hidden="false" customHeight="false" outlineLevel="0" collapsed="false">
      <c r="A129" s="9" t="s">
        <v>2142</v>
      </c>
      <c r="B129" s="9" t="s">
        <v>1648</v>
      </c>
      <c r="C129" s="9" t="s">
        <v>1280</v>
      </c>
      <c r="D129" s="9" t="s">
        <v>2143</v>
      </c>
      <c r="E129" s="9" t="s">
        <v>1685</v>
      </c>
      <c r="F129" s="9" t="s">
        <v>1368</v>
      </c>
      <c r="G129" s="9" t="s">
        <v>1418</v>
      </c>
      <c r="H129" s="9" t="s">
        <v>2105</v>
      </c>
      <c r="I129" s="9" t="n">
        <v>437</v>
      </c>
      <c r="J129" s="9" t="n">
        <v>617949</v>
      </c>
      <c r="K129" s="9" t="n">
        <f aca="false">I129*J129</f>
        <v>270043713</v>
      </c>
      <c r="L129" s="9" t="s">
        <v>1652</v>
      </c>
      <c r="M129" s="9" t="s">
        <v>1653</v>
      </c>
      <c r="N129" s="9" t="s">
        <v>1062</v>
      </c>
      <c r="O129" s="9" t="s">
        <v>152</v>
      </c>
    </row>
    <row r="130" customFormat="false" ht="15" hidden="false" customHeight="false" outlineLevel="0" collapsed="false">
      <c r="A130" s="9" t="s">
        <v>2144</v>
      </c>
      <c r="B130" s="9" t="s">
        <v>1822</v>
      </c>
      <c r="C130" s="9" t="s">
        <v>1274</v>
      </c>
      <c r="D130" s="9" t="s">
        <v>2145</v>
      </c>
      <c r="E130" s="9" t="s">
        <v>1690</v>
      </c>
      <c r="F130" s="9" t="s">
        <v>2146</v>
      </c>
      <c r="G130" s="9" t="s">
        <v>2147</v>
      </c>
      <c r="H130" s="9" t="s">
        <v>2147</v>
      </c>
      <c r="I130" s="9" t="n">
        <v>121</v>
      </c>
      <c r="J130" s="9" t="n">
        <v>906373</v>
      </c>
      <c r="K130" s="9" t="n">
        <f aca="false">I130*J130</f>
        <v>109671133</v>
      </c>
      <c r="L130" s="9" t="s">
        <v>1652</v>
      </c>
      <c r="M130" s="9" t="s">
        <v>1653</v>
      </c>
      <c r="N130" s="9"/>
      <c r="O130" s="9" t="s">
        <v>616</v>
      </c>
    </row>
    <row r="131" customFormat="false" ht="15" hidden="false" customHeight="false" outlineLevel="0" collapsed="false">
      <c r="A131" s="9" t="s">
        <v>2148</v>
      </c>
      <c r="B131" s="9" t="s">
        <v>1752</v>
      </c>
      <c r="C131" s="9" t="s">
        <v>1753</v>
      </c>
      <c r="D131" s="9" t="s">
        <v>2149</v>
      </c>
      <c r="E131" s="9" t="s">
        <v>1725</v>
      </c>
      <c r="F131" s="9" t="s">
        <v>2126</v>
      </c>
      <c r="G131" s="9" t="s">
        <v>2150</v>
      </c>
      <c r="H131" s="9" t="s">
        <v>1527</v>
      </c>
      <c r="I131" s="9" t="n">
        <v>244</v>
      </c>
      <c r="J131" s="9" t="n">
        <v>292648</v>
      </c>
      <c r="K131" s="9" t="n">
        <f aca="false">I131*J131</f>
        <v>71406112</v>
      </c>
      <c r="L131" s="9" t="s">
        <v>1652</v>
      </c>
      <c r="M131" s="9" t="s">
        <v>1668</v>
      </c>
      <c r="N131" s="9" t="s">
        <v>978</v>
      </c>
      <c r="O131" s="9" t="s">
        <v>581</v>
      </c>
    </row>
    <row r="132" customFormat="false" ht="15" hidden="false" customHeight="false" outlineLevel="0" collapsed="false">
      <c r="A132" s="9" t="s">
        <v>2151</v>
      </c>
      <c r="B132" s="9" t="s">
        <v>1752</v>
      </c>
      <c r="C132" s="9" t="s">
        <v>1753</v>
      </c>
      <c r="D132" s="9" t="s">
        <v>2152</v>
      </c>
      <c r="E132" s="9" t="s">
        <v>1664</v>
      </c>
      <c r="F132" s="9" t="s">
        <v>2153</v>
      </c>
      <c r="G132" s="9" t="s">
        <v>2154</v>
      </c>
      <c r="H132" s="9" t="s">
        <v>1200</v>
      </c>
      <c r="I132" s="9" t="n">
        <v>6</v>
      </c>
      <c r="J132" s="9" t="n">
        <v>151462</v>
      </c>
      <c r="K132" s="9" t="n">
        <f aca="false">I132*J132</f>
        <v>908772</v>
      </c>
      <c r="L132" s="9" t="s">
        <v>1652</v>
      </c>
      <c r="M132" s="9" t="s">
        <v>1653</v>
      </c>
      <c r="N132" s="9" t="s">
        <v>1029</v>
      </c>
      <c r="O132" s="9" t="s">
        <v>643</v>
      </c>
    </row>
    <row r="133" customFormat="false" ht="15" hidden="false" customHeight="false" outlineLevel="0" collapsed="false">
      <c r="A133" s="9" t="s">
        <v>2155</v>
      </c>
      <c r="B133" s="9" t="s">
        <v>1732</v>
      </c>
      <c r="C133" s="9" t="s">
        <v>1335</v>
      </c>
      <c r="D133" s="9" t="s">
        <v>2156</v>
      </c>
      <c r="E133" s="9" t="s">
        <v>1677</v>
      </c>
      <c r="F133" s="9" t="s">
        <v>783</v>
      </c>
      <c r="G133" s="9" t="s">
        <v>2157</v>
      </c>
      <c r="H133" s="9" t="s">
        <v>2158</v>
      </c>
      <c r="I133" s="9" t="n">
        <v>458</v>
      </c>
      <c r="J133" s="9" t="n">
        <v>1655502</v>
      </c>
      <c r="K133" s="9" t="n">
        <f aca="false">I133*J133</f>
        <v>758219916</v>
      </c>
      <c r="L133" s="9" t="s">
        <v>1652</v>
      </c>
      <c r="M133" s="9" t="s">
        <v>1653</v>
      </c>
      <c r="N133" s="9"/>
      <c r="O133" s="9" t="s">
        <v>669</v>
      </c>
    </row>
    <row r="134" customFormat="false" ht="15" hidden="false" customHeight="false" outlineLevel="0" collapsed="false">
      <c r="A134" s="9" t="s">
        <v>2159</v>
      </c>
      <c r="B134" s="9" t="s">
        <v>1764</v>
      </c>
      <c r="C134" s="9" t="s">
        <v>1765</v>
      </c>
      <c r="D134" s="9" t="s">
        <v>2160</v>
      </c>
      <c r="E134" s="9" t="s">
        <v>1725</v>
      </c>
      <c r="F134" s="9" t="s">
        <v>1866</v>
      </c>
      <c r="G134" s="9" t="s">
        <v>1657</v>
      </c>
      <c r="H134" s="9" t="s">
        <v>1658</v>
      </c>
      <c r="I134" s="9" t="n">
        <v>116</v>
      </c>
      <c r="J134" s="9" t="n">
        <v>390632</v>
      </c>
      <c r="K134" s="9" t="n">
        <f aca="false">I134*J134</f>
        <v>45313312</v>
      </c>
      <c r="L134" s="9" t="s">
        <v>1652</v>
      </c>
      <c r="M134" s="9" t="s">
        <v>1653</v>
      </c>
      <c r="N134" s="9"/>
      <c r="O134" s="9" t="s">
        <v>705</v>
      </c>
    </row>
    <row r="135" customFormat="false" ht="15" hidden="false" customHeight="false" outlineLevel="0" collapsed="false">
      <c r="A135" s="9" t="s">
        <v>2161</v>
      </c>
      <c r="B135" s="9" t="s">
        <v>1745</v>
      </c>
      <c r="C135" s="9" t="s">
        <v>1746</v>
      </c>
      <c r="D135" s="9" t="s">
        <v>2162</v>
      </c>
      <c r="E135" s="9" t="s">
        <v>1696</v>
      </c>
      <c r="F135" s="9" t="s">
        <v>2163</v>
      </c>
      <c r="G135" s="9" t="s">
        <v>1475</v>
      </c>
      <c r="H135" s="9" t="s">
        <v>200</v>
      </c>
      <c r="I135" s="9" t="n">
        <v>18</v>
      </c>
      <c r="J135" s="9" t="n">
        <v>80408</v>
      </c>
      <c r="K135" s="9" t="n">
        <f aca="false">I135*J135</f>
        <v>1447344</v>
      </c>
      <c r="L135" s="9" t="s">
        <v>1652</v>
      </c>
      <c r="M135" s="9" t="s">
        <v>1653</v>
      </c>
      <c r="N135" s="9"/>
      <c r="O135" s="9" t="s">
        <v>230</v>
      </c>
    </row>
    <row r="136" customFormat="false" ht="15" hidden="false" customHeight="false" outlineLevel="0" collapsed="false">
      <c r="A136" s="9" t="s">
        <v>2164</v>
      </c>
      <c r="B136" s="9" t="s">
        <v>1704</v>
      </c>
      <c r="C136" s="9" t="s">
        <v>1705</v>
      </c>
      <c r="D136" s="9" t="s">
        <v>2165</v>
      </c>
      <c r="E136" s="9" t="s">
        <v>1701</v>
      </c>
      <c r="F136" s="9" t="s">
        <v>1627</v>
      </c>
      <c r="G136" s="9" t="s">
        <v>2166</v>
      </c>
      <c r="H136" s="9" t="s">
        <v>2167</v>
      </c>
      <c r="I136" s="9" t="n">
        <v>239</v>
      </c>
      <c r="J136" s="9" t="n">
        <v>1085121</v>
      </c>
      <c r="K136" s="9" t="n">
        <f aca="false">I136*J136</f>
        <v>259343919</v>
      </c>
      <c r="L136" s="9" t="s">
        <v>1652</v>
      </c>
      <c r="M136" s="9" t="s">
        <v>1653</v>
      </c>
      <c r="N136" s="9"/>
      <c r="O136" s="9" t="s">
        <v>193</v>
      </c>
    </row>
    <row r="137" customFormat="false" ht="15" hidden="false" customHeight="false" outlineLevel="0" collapsed="false">
      <c r="A137" s="9" t="s">
        <v>2168</v>
      </c>
      <c r="B137" s="9" t="s">
        <v>1693</v>
      </c>
      <c r="C137" s="9" t="s">
        <v>1694</v>
      </c>
      <c r="D137" s="9" t="s">
        <v>2169</v>
      </c>
      <c r="E137" s="9" t="s">
        <v>1701</v>
      </c>
      <c r="F137" s="9" t="s">
        <v>684</v>
      </c>
      <c r="G137" s="9" t="s">
        <v>2170</v>
      </c>
      <c r="H137" s="9" t="s">
        <v>888</v>
      </c>
      <c r="I137" s="9" t="n">
        <v>314</v>
      </c>
      <c r="J137" s="9" t="n">
        <v>111675</v>
      </c>
      <c r="K137" s="9" t="n">
        <f aca="false">I137*J137</f>
        <v>35065950</v>
      </c>
      <c r="L137" s="9" t="s">
        <v>1652</v>
      </c>
      <c r="M137" s="9" t="s">
        <v>1653</v>
      </c>
      <c r="N137" s="9"/>
      <c r="O137" s="9" t="s">
        <v>111</v>
      </c>
    </row>
    <row r="138" customFormat="false" ht="15" hidden="false" customHeight="false" outlineLevel="0" collapsed="false">
      <c r="A138" s="9" t="s">
        <v>2171</v>
      </c>
      <c r="B138" s="9" t="s">
        <v>1674</v>
      </c>
      <c r="C138" s="9" t="s">
        <v>1675</v>
      </c>
      <c r="D138" s="9" t="s">
        <v>2172</v>
      </c>
      <c r="E138" s="9" t="s">
        <v>1701</v>
      </c>
      <c r="F138" s="9" t="s">
        <v>1475</v>
      </c>
      <c r="G138" s="9" t="s">
        <v>2173</v>
      </c>
      <c r="H138" s="9" t="s">
        <v>2174</v>
      </c>
      <c r="I138" s="9" t="n">
        <v>216</v>
      </c>
      <c r="J138" s="9" t="n">
        <v>741115</v>
      </c>
      <c r="K138" s="9" t="n">
        <f aca="false">I138*J138</f>
        <v>160080840</v>
      </c>
      <c r="L138" s="9" t="s">
        <v>1652</v>
      </c>
      <c r="M138" s="9" t="s">
        <v>1653</v>
      </c>
      <c r="N138" s="9" t="s">
        <v>774</v>
      </c>
      <c r="O138" s="9" t="s">
        <v>462</v>
      </c>
    </row>
    <row r="139" customFormat="false" ht="15" hidden="false" customHeight="false" outlineLevel="0" collapsed="false">
      <c r="A139" s="9" t="s">
        <v>2175</v>
      </c>
      <c r="B139" s="9" t="s">
        <v>1745</v>
      </c>
      <c r="C139" s="9" t="s">
        <v>1746</v>
      </c>
      <c r="D139" s="9" t="s">
        <v>2176</v>
      </c>
      <c r="E139" s="9" t="s">
        <v>1650</v>
      </c>
      <c r="F139" s="9" t="s">
        <v>2177</v>
      </c>
      <c r="G139" s="9" t="s">
        <v>2178</v>
      </c>
      <c r="H139" s="9" t="s">
        <v>757</v>
      </c>
      <c r="I139" s="9" t="n">
        <v>294</v>
      </c>
      <c r="J139" s="9" t="n">
        <v>109254</v>
      </c>
      <c r="K139" s="9" t="n">
        <f aca="false">I139*J139</f>
        <v>32120676</v>
      </c>
      <c r="L139" s="9" t="s">
        <v>1652</v>
      </c>
      <c r="M139" s="9" t="s">
        <v>1653</v>
      </c>
      <c r="N139" s="9"/>
      <c r="O139" s="9" t="s">
        <v>111</v>
      </c>
    </row>
    <row r="140" customFormat="false" ht="15" hidden="false" customHeight="false" outlineLevel="0" collapsed="false">
      <c r="A140" s="9" t="s">
        <v>2179</v>
      </c>
      <c r="B140" s="9" t="s">
        <v>1661</v>
      </c>
      <c r="C140" s="9" t="s">
        <v>1662</v>
      </c>
      <c r="D140" s="9" t="s">
        <v>2180</v>
      </c>
      <c r="E140" s="9" t="s">
        <v>1701</v>
      </c>
      <c r="F140" s="9" t="s">
        <v>1915</v>
      </c>
      <c r="G140" s="9" t="s">
        <v>2181</v>
      </c>
      <c r="H140" s="9" t="s">
        <v>2182</v>
      </c>
      <c r="I140" s="9" t="n">
        <v>130</v>
      </c>
      <c r="J140" s="9" t="n">
        <v>278953</v>
      </c>
      <c r="K140" s="9" t="n">
        <f aca="false">I140*J140</f>
        <v>36263890</v>
      </c>
      <c r="L140" s="9" t="s">
        <v>1652</v>
      </c>
      <c r="M140" s="9" t="s">
        <v>1653</v>
      </c>
      <c r="N140" s="9" t="s">
        <v>911</v>
      </c>
      <c r="O140" s="9" t="s">
        <v>111</v>
      </c>
    </row>
    <row r="141" customFormat="false" ht="15" hidden="false" customHeight="false" outlineLevel="0" collapsed="false">
      <c r="A141" s="9" t="s">
        <v>2183</v>
      </c>
      <c r="B141" s="9" t="s">
        <v>1745</v>
      </c>
      <c r="C141" s="9" t="s">
        <v>1746</v>
      </c>
      <c r="D141" s="9" t="s">
        <v>2184</v>
      </c>
      <c r="E141" s="9" t="s">
        <v>1677</v>
      </c>
      <c r="F141" s="9" t="s">
        <v>2185</v>
      </c>
      <c r="G141" s="9" t="s">
        <v>1368</v>
      </c>
      <c r="H141" s="9" t="s">
        <v>1459</v>
      </c>
      <c r="I141" s="9" t="n">
        <v>338</v>
      </c>
      <c r="J141" s="9" t="n">
        <v>937699</v>
      </c>
      <c r="K141" s="9" t="n">
        <f aca="false">I141*J141</f>
        <v>316942262</v>
      </c>
      <c r="L141" s="9" t="s">
        <v>1652</v>
      </c>
      <c r="M141" s="9" t="s">
        <v>1653</v>
      </c>
      <c r="N141" s="9"/>
      <c r="O141" s="9" t="s">
        <v>424</v>
      </c>
    </row>
    <row r="142" customFormat="false" ht="15" hidden="false" customHeight="false" outlineLevel="0" collapsed="false">
      <c r="A142" s="9" t="s">
        <v>2186</v>
      </c>
      <c r="B142" s="9" t="s">
        <v>1745</v>
      </c>
      <c r="C142" s="9" t="s">
        <v>1746</v>
      </c>
      <c r="D142" s="9" t="s">
        <v>2187</v>
      </c>
      <c r="E142" s="9" t="s">
        <v>1696</v>
      </c>
      <c r="F142" s="9" t="s">
        <v>2188</v>
      </c>
      <c r="G142" s="9" t="s">
        <v>1721</v>
      </c>
      <c r="H142" s="9" t="s">
        <v>1721</v>
      </c>
      <c r="I142" s="9" t="n">
        <v>176</v>
      </c>
      <c r="J142" s="9" t="n">
        <v>178002</v>
      </c>
      <c r="K142" s="9" t="n">
        <f aca="false">I142*J142</f>
        <v>31328352</v>
      </c>
      <c r="L142" s="9" t="s">
        <v>1652</v>
      </c>
      <c r="M142" s="9" t="s">
        <v>1659</v>
      </c>
      <c r="N142" s="9"/>
      <c r="O142" s="9" t="s">
        <v>270</v>
      </c>
    </row>
    <row r="143" customFormat="false" ht="15" hidden="false" customHeight="false" outlineLevel="0" collapsed="false">
      <c r="A143" s="9" t="s">
        <v>2189</v>
      </c>
      <c r="B143" s="9" t="s">
        <v>1674</v>
      </c>
      <c r="C143" s="9" t="s">
        <v>1675</v>
      </c>
      <c r="D143" s="9" t="s">
        <v>2190</v>
      </c>
      <c r="E143" s="9" t="s">
        <v>1725</v>
      </c>
      <c r="F143" s="9" t="s">
        <v>2191</v>
      </c>
      <c r="G143" s="9" t="s">
        <v>1084</v>
      </c>
      <c r="H143" s="9" t="s">
        <v>2192</v>
      </c>
      <c r="I143" s="9" t="n">
        <v>108</v>
      </c>
      <c r="J143" s="9" t="n">
        <v>1212645</v>
      </c>
      <c r="K143" s="9" t="n">
        <f aca="false">I143*J143</f>
        <v>130965660</v>
      </c>
      <c r="L143" s="9" t="s">
        <v>1652</v>
      </c>
      <c r="M143" s="9" t="s">
        <v>1653</v>
      </c>
      <c r="N143" s="9" t="s">
        <v>914</v>
      </c>
      <c r="O143" s="9" t="s">
        <v>230</v>
      </c>
    </row>
    <row r="144" customFormat="false" ht="15" hidden="false" customHeight="false" outlineLevel="0" collapsed="false">
      <c r="A144" s="9" t="s">
        <v>2193</v>
      </c>
      <c r="B144" s="9" t="s">
        <v>1822</v>
      </c>
      <c r="C144" s="9" t="s">
        <v>1274</v>
      </c>
      <c r="D144" s="9" t="s">
        <v>2194</v>
      </c>
      <c r="E144" s="9" t="s">
        <v>1664</v>
      </c>
      <c r="F144" s="9" t="s">
        <v>1149</v>
      </c>
      <c r="G144" s="9" t="s">
        <v>959</v>
      </c>
      <c r="H144" s="9" t="s">
        <v>1783</v>
      </c>
      <c r="I144" s="9" t="n">
        <v>383</v>
      </c>
      <c r="J144" s="9" t="n">
        <v>1989628</v>
      </c>
      <c r="K144" s="9" t="n">
        <f aca="false">I144*J144</f>
        <v>762027524</v>
      </c>
      <c r="L144" s="9" t="s">
        <v>1652</v>
      </c>
      <c r="M144" s="9" t="s">
        <v>1659</v>
      </c>
      <c r="N144" s="9" t="s">
        <v>1139</v>
      </c>
      <c r="O144" s="9" t="s">
        <v>616</v>
      </c>
    </row>
    <row r="145" customFormat="false" ht="15" hidden="false" customHeight="false" outlineLevel="0" collapsed="false">
      <c r="A145" s="9" t="s">
        <v>2195</v>
      </c>
      <c r="B145" s="9" t="s">
        <v>1674</v>
      </c>
      <c r="C145" s="9" t="s">
        <v>1675</v>
      </c>
      <c r="D145" s="9" t="s">
        <v>2196</v>
      </c>
      <c r="E145" s="9" t="s">
        <v>1650</v>
      </c>
      <c r="F145" s="9" t="s">
        <v>1962</v>
      </c>
      <c r="G145" s="9" t="s">
        <v>2197</v>
      </c>
      <c r="H145" s="9" t="s">
        <v>2197</v>
      </c>
      <c r="I145" s="9" t="n">
        <v>148</v>
      </c>
      <c r="J145" s="9" t="n">
        <v>1945526</v>
      </c>
      <c r="K145" s="9" t="n">
        <f aca="false">I145*J145</f>
        <v>287937848</v>
      </c>
      <c r="L145" s="9" t="s">
        <v>1652</v>
      </c>
      <c r="M145" s="9" t="s">
        <v>1653</v>
      </c>
      <c r="N145" s="9" t="s">
        <v>940</v>
      </c>
      <c r="O145" s="9" t="s">
        <v>716</v>
      </c>
    </row>
    <row r="146" customFormat="false" ht="15" hidden="false" customHeight="false" outlineLevel="0" collapsed="false">
      <c r="A146" s="9" t="s">
        <v>2198</v>
      </c>
      <c r="B146" s="9" t="s">
        <v>1713</v>
      </c>
      <c r="C146" s="9" t="s">
        <v>1714</v>
      </c>
      <c r="D146" s="9" t="s">
        <v>2199</v>
      </c>
      <c r="E146" s="9" t="s">
        <v>1685</v>
      </c>
      <c r="F146" s="9" t="s">
        <v>1889</v>
      </c>
      <c r="G146" s="9" t="s">
        <v>2200</v>
      </c>
      <c r="H146" s="9" t="s">
        <v>2201</v>
      </c>
      <c r="I146" s="9" t="n">
        <v>313</v>
      </c>
      <c r="J146" s="9" t="n">
        <v>1926273</v>
      </c>
      <c r="K146" s="9" t="n">
        <f aca="false">I146*J146</f>
        <v>602923449</v>
      </c>
      <c r="L146" s="9" t="s">
        <v>1652</v>
      </c>
      <c r="M146" s="9" t="s">
        <v>1653</v>
      </c>
      <c r="N146" s="9" t="s">
        <v>917</v>
      </c>
      <c r="O146" s="9" t="s">
        <v>230</v>
      </c>
    </row>
    <row r="147" customFormat="false" ht="15" hidden="false" customHeight="false" outlineLevel="0" collapsed="false">
      <c r="A147" s="9" t="s">
        <v>2202</v>
      </c>
      <c r="B147" s="9" t="s">
        <v>1661</v>
      </c>
      <c r="C147" s="9" t="s">
        <v>1662</v>
      </c>
      <c r="D147" s="9" t="s">
        <v>2203</v>
      </c>
      <c r="E147" s="9" t="s">
        <v>1725</v>
      </c>
      <c r="F147" s="9" t="s">
        <v>1177</v>
      </c>
      <c r="G147" s="9" t="s">
        <v>2116</v>
      </c>
      <c r="H147" s="9" t="s">
        <v>2204</v>
      </c>
      <c r="I147" s="9" t="n">
        <v>376</v>
      </c>
      <c r="J147" s="9" t="n">
        <v>1410055</v>
      </c>
      <c r="K147" s="9" t="n">
        <f aca="false">I147*J147</f>
        <v>530180680</v>
      </c>
      <c r="L147" s="9" t="s">
        <v>1652</v>
      </c>
      <c r="M147" s="9" t="s">
        <v>1659</v>
      </c>
      <c r="N147" s="9"/>
      <c r="O147" s="9" t="s">
        <v>309</v>
      </c>
    </row>
    <row r="148" customFormat="false" ht="15" hidden="false" customHeight="false" outlineLevel="0" collapsed="false">
      <c r="A148" s="9" t="s">
        <v>2205</v>
      </c>
      <c r="B148" s="9" t="s">
        <v>1682</v>
      </c>
      <c r="C148" s="9" t="s">
        <v>1683</v>
      </c>
      <c r="D148" s="9" t="s">
        <v>2206</v>
      </c>
      <c r="E148" s="9" t="s">
        <v>1685</v>
      </c>
      <c r="F148" s="9" t="s">
        <v>1934</v>
      </c>
      <c r="G148" s="9" t="s">
        <v>1032</v>
      </c>
      <c r="H148" s="9" t="s">
        <v>1157</v>
      </c>
      <c r="I148" s="9" t="n">
        <v>51</v>
      </c>
      <c r="J148" s="9" t="n">
        <v>1102559</v>
      </c>
      <c r="K148" s="9" t="n">
        <f aca="false">I148*J148</f>
        <v>56230509</v>
      </c>
      <c r="L148" s="9" t="s">
        <v>1652</v>
      </c>
      <c r="M148" s="9" t="s">
        <v>1668</v>
      </c>
      <c r="N148" s="9" t="s">
        <v>1011</v>
      </c>
      <c r="O148" s="9" t="s">
        <v>581</v>
      </c>
    </row>
    <row r="149" customFormat="false" ht="15" hidden="false" customHeight="false" outlineLevel="0" collapsed="false">
      <c r="A149" s="9" t="s">
        <v>2207</v>
      </c>
      <c r="B149" s="9" t="s">
        <v>1693</v>
      </c>
      <c r="C149" s="9" t="s">
        <v>1694</v>
      </c>
      <c r="D149" s="9" t="s">
        <v>2208</v>
      </c>
      <c r="E149" s="9" t="s">
        <v>1650</v>
      </c>
      <c r="F149" s="9" t="s">
        <v>704</v>
      </c>
      <c r="G149" s="9" t="s">
        <v>2123</v>
      </c>
      <c r="H149" s="9" t="s">
        <v>2209</v>
      </c>
      <c r="I149" s="9" t="n">
        <v>48</v>
      </c>
      <c r="J149" s="9" t="n">
        <v>120290</v>
      </c>
      <c r="K149" s="9" t="n">
        <f aca="false">I149*J149</f>
        <v>5773920</v>
      </c>
      <c r="L149" s="9" t="s">
        <v>1652</v>
      </c>
      <c r="M149" s="9" t="s">
        <v>1668</v>
      </c>
      <c r="N149" s="9"/>
      <c r="O149" s="9" t="s">
        <v>57</v>
      </c>
    </row>
    <row r="150" customFormat="false" ht="15" hidden="false" customHeight="false" outlineLevel="0" collapsed="false">
      <c r="A150" s="9" t="s">
        <v>2210</v>
      </c>
      <c r="B150" s="9" t="s">
        <v>1704</v>
      </c>
      <c r="C150" s="9" t="s">
        <v>1705</v>
      </c>
      <c r="D150" s="9" t="s">
        <v>2211</v>
      </c>
      <c r="E150" s="9" t="s">
        <v>1677</v>
      </c>
      <c r="F150" s="9" t="s">
        <v>2212</v>
      </c>
      <c r="G150" s="9" t="s">
        <v>1850</v>
      </c>
      <c r="H150" s="9" t="s">
        <v>2213</v>
      </c>
      <c r="I150" s="9" t="n">
        <v>193</v>
      </c>
      <c r="J150" s="9" t="n">
        <v>1377559</v>
      </c>
      <c r="K150" s="9" t="n">
        <f aca="false">I150*J150</f>
        <v>265868887</v>
      </c>
      <c r="L150" s="9" t="s">
        <v>1652</v>
      </c>
      <c r="M150" s="9" t="s">
        <v>1659</v>
      </c>
      <c r="N150" s="9"/>
      <c r="O150" s="9" t="s">
        <v>309</v>
      </c>
    </row>
    <row r="151" customFormat="false" ht="15" hidden="false" customHeight="false" outlineLevel="0" collapsed="false">
      <c r="A151" s="9" t="s">
        <v>2214</v>
      </c>
      <c r="B151" s="9" t="s">
        <v>1661</v>
      </c>
      <c r="C151" s="9" t="s">
        <v>1662</v>
      </c>
      <c r="D151" s="9" t="s">
        <v>2215</v>
      </c>
      <c r="E151" s="9" t="s">
        <v>1650</v>
      </c>
      <c r="F151" s="9" t="s">
        <v>172</v>
      </c>
      <c r="G151" s="9" t="s">
        <v>2216</v>
      </c>
      <c r="H151" s="9" t="s">
        <v>2217</v>
      </c>
      <c r="I151" s="9" t="n">
        <v>473</v>
      </c>
      <c r="J151" s="9" t="n">
        <v>580618</v>
      </c>
      <c r="K151" s="9" t="n">
        <f aca="false">I151*J151</f>
        <v>274632314</v>
      </c>
      <c r="L151" s="9" t="s">
        <v>1652</v>
      </c>
      <c r="M151" s="9" t="s">
        <v>1653</v>
      </c>
      <c r="N151" s="9"/>
      <c r="O151" s="9" t="s">
        <v>558</v>
      </c>
    </row>
    <row r="152" customFormat="false" ht="15" hidden="false" customHeight="false" outlineLevel="0" collapsed="false">
      <c r="A152" s="9" t="s">
        <v>2218</v>
      </c>
      <c r="B152" s="9" t="s">
        <v>1661</v>
      </c>
      <c r="C152" s="9" t="s">
        <v>1662</v>
      </c>
      <c r="D152" s="9" t="s">
        <v>2219</v>
      </c>
      <c r="E152" s="9" t="s">
        <v>1664</v>
      </c>
      <c r="F152" s="9" t="s">
        <v>790</v>
      </c>
      <c r="G152" s="9" t="s">
        <v>1059</v>
      </c>
      <c r="H152" s="9" t="s">
        <v>2178</v>
      </c>
      <c r="I152" s="9" t="n">
        <v>199</v>
      </c>
      <c r="J152" s="9" t="n">
        <v>698627</v>
      </c>
      <c r="K152" s="9" t="n">
        <f aca="false">I152*J152</f>
        <v>139026773</v>
      </c>
      <c r="L152" s="9" t="s">
        <v>1652</v>
      </c>
      <c r="M152" s="9" t="s">
        <v>1653</v>
      </c>
      <c r="N152" s="9" t="s">
        <v>1190</v>
      </c>
      <c r="O152" s="9" t="s">
        <v>424</v>
      </c>
    </row>
    <row r="153" customFormat="false" ht="15" hidden="false" customHeight="false" outlineLevel="0" collapsed="false">
      <c r="A153" s="9" t="s">
        <v>2220</v>
      </c>
      <c r="B153" s="9" t="s">
        <v>1732</v>
      </c>
      <c r="C153" s="9" t="s">
        <v>1335</v>
      </c>
      <c r="D153" s="9" t="s">
        <v>2221</v>
      </c>
      <c r="E153" s="9" t="s">
        <v>1701</v>
      </c>
      <c r="F153" s="9" t="s">
        <v>2222</v>
      </c>
      <c r="G153" s="9" t="s">
        <v>2223</v>
      </c>
      <c r="H153" s="9" t="s">
        <v>2166</v>
      </c>
      <c r="I153" s="9" t="n">
        <v>313</v>
      </c>
      <c r="J153" s="9" t="n">
        <v>824414</v>
      </c>
      <c r="K153" s="9" t="n">
        <f aca="false">I153*J153</f>
        <v>258041582</v>
      </c>
      <c r="L153" s="9" t="s">
        <v>1652</v>
      </c>
      <c r="M153" s="9" t="s">
        <v>1659</v>
      </c>
      <c r="N153" s="9"/>
      <c r="O153" s="9" t="s">
        <v>230</v>
      </c>
    </row>
    <row r="154" customFormat="false" ht="15" hidden="false" customHeight="false" outlineLevel="0" collapsed="false">
      <c r="A154" s="9" t="s">
        <v>2224</v>
      </c>
      <c r="B154" s="9" t="s">
        <v>1732</v>
      </c>
      <c r="C154" s="9" t="s">
        <v>1335</v>
      </c>
      <c r="D154" s="9" t="s">
        <v>2225</v>
      </c>
      <c r="E154" s="9" t="s">
        <v>1725</v>
      </c>
      <c r="F154" s="9" t="s">
        <v>1512</v>
      </c>
      <c r="G154" s="9" t="s">
        <v>2226</v>
      </c>
      <c r="H154" s="9" t="s">
        <v>1691</v>
      </c>
      <c r="I154" s="9" t="n">
        <v>367</v>
      </c>
      <c r="J154" s="9" t="n">
        <v>544154</v>
      </c>
      <c r="K154" s="9" t="n">
        <f aca="false">I154*J154</f>
        <v>199704518</v>
      </c>
      <c r="L154" s="9" t="s">
        <v>1652</v>
      </c>
      <c r="M154" s="9" t="s">
        <v>1653</v>
      </c>
      <c r="N154" s="9" t="s">
        <v>797</v>
      </c>
      <c r="O154" s="9" t="s">
        <v>424</v>
      </c>
    </row>
    <row r="155" customFormat="false" ht="15" hidden="false" customHeight="false" outlineLevel="0" collapsed="false">
      <c r="A155" s="9" t="s">
        <v>2227</v>
      </c>
      <c r="B155" s="9" t="s">
        <v>1674</v>
      </c>
      <c r="C155" s="9" t="s">
        <v>1675</v>
      </c>
      <c r="D155" s="9" t="s">
        <v>2228</v>
      </c>
      <c r="E155" s="9" t="s">
        <v>1685</v>
      </c>
      <c r="F155" s="9" t="s">
        <v>1709</v>
      </c>
      <c r="G155" s="9" t="s">
        <v>2229</v>
      </c>
      <c r="H155" s="9" t="s">
        <v>2229</v>
      </c>
      <c r="I155" s="9" t="n">
        <v>478</v>
      </c>
      <c r="J155" s="9" t="n">
        <v>80347</v>
      </c>
      <c r="K155" s="9" t="n">
        <f aca="false">I155*J155</f>
        <v>38405866</v>
      </c>
      <c r="L155" s="9" t="s">
        <v>1652</v>
      </c>
      <c r="M155" s="9" t="s">
        <v>1653</v>
      </c>
      <c r="N155" s="9" t="s">
        <v>1137</v>
      </c>
      <c r="O155" s="9" t="s">
        <v>558</v>
      </c>
    </row>
    <row r="156" customFormat="false" ht="15" hidden="false" customHeight="false" outlineLevel="0" collapsed="false">
      <c r="A156" s="9" t="s">
        <v>2230</v>
      </c>
      <c r="B156" s="9" t="s">
        <v>1752</v>
      </c>
      <c r="C156" s="9" t="s">
        <v>1753</v>
      </c>
      <c r="D156" s="9" t="s">
        <v>2231</v>
      </c>
      <c r="E156" s="9" t="s">
        <v>1685</v>
      </c>
      <c r="F156" s="9" t="s">
        <v>1086</v>
      </c>
      <c r="G156" s="9" t="s">
        <v>2232</v>
      </c>
      <c r="H156" s="9" t="s">
        <v>2233</v>
      </c>
      <c r="I156" s="9" t="n">
        <v>245</v>
      </c>
      <c r="J156" s="9" t="n">
        <v>915479</v>
      </c>
      <c r="K156" s="9" t="n">
        <f aca="false">I156*J156</f>
        <v>224292355</v>
      </c>
      <c r="L156" s="9" t="s">
        <v>1652</v>
      </c>
      <c r="M156" s="9" t="s">
        <v>1653</v>
      </c>
      <c r="N156" s="9"/>
      <c r="O156" s="9" t="s">
        <v>193</v>
      </c>
    </row>
    <row r="157" customFormat="false" ht="15" hidden="false" customHeight="false" outlineLevel="0" collapsed="false">
      <c r="A157" s="9" t="s">
        <v>2234</v>
      </c>
      <c r="B157" s="9" t="s">
        <v>1764</v>
      </c>
      <c r="C157" s="9" t="s">
        <v>1765</v>
      </c>
      <c r="D157" s="9" t="s">
        <v>2235</v>
      </c>
      <c r="E157" s="9" t="s">
        <v>1696</v>
      </c>
      <c r="F157" s="9" t="s">
        <v>2236</v>
      </c>
      <c r="G157" s="9" t="s">
        <v>2237</v>
      </c>
      <c r="H157" s="9" t="s">
        <v>937</v>
      </c>
      <c r="I157" s="9" t="n">
        <v>63</v>
      </c>
      <c r="J157" s="9" t="n">
        <v>1190596</v>
      </c>
      <c r="K157" s="9" t="n">
        <f aca="false">I157*J157</f>
        <v>75007548</v>
      </c>
      <c r="L157" s="9" t="s">
        <v>1652</v>
      </c>
      <c r="M157" s="9" t="s">
        <v>1653</v>
      </c>
      <c r="N157" s="9" t="s">
        <v>936</v>
      </c>
      <c r="O157" s="9" t="s">
        <v>616</v>
      </c>
    </row>
    <row r="158" customFormat="false" ht="15" hidden="false" customHeight="false" outlineLevel="0" collapsed="false">
      <c r="A158" s="9" t="s">
        <v>2238</v>
      </c>
      <c r="B158" s="9" t="s">
        <v>1822</v>
      </c>
      <c r="C158" s="9" t="s">
        <v>1274</v>
      </c>
      <c r="D158" s="9" t="s">
        <v>2239</v>
      </c>
      <c r="E158" s="9" t="s">
        <v>1677</v>
      </c>
      <c r="F158" s="9" t="s">
        <v>851</v>
      </c>
      <c r="G158" s="9" t="s">
        <v>2240</v>
      </c>
      <c r="H158" s="9" t="s">
        <v>2241</v>
      </c>
      <c r="I158" s="9" t="n">
        <v>42</v>
      </c>
      <c r="J158" s="9" t="n">
        <v>1765085</v>
      </c>
      <c r="K158" s="9" t="n">
        <f aca="false">I158*J158</f>
        <v>74133570</v>
      </c>
      <c r="L158" s="9" t="s">
        <v>1652</v>
      </c>
      <c r="M158" s="9" t="s">
        <v>1653</v>
      </c>
      <c r="N158" s="9"/>
      <c r="O158" s="9" t="s">
        <v>462</v>
      </c>
    </row>
    <row r="159" customFormat="false" ht="15" hidden="false" customHeight="false" outlineLevel="0" collapsed="false">
      <c r="A159" s="9" t="s">
        <v>2242</v>
      </c>
      <c r="B159" s="9" t="s">
        <v>1713</v>
      </c>
      <c r="C159" s="9" t="s">
        <v>1714</v>
      </c>
      <c r="D159" s="9" t="s">
        <v>2243</v>
      </c>
      <c r="E159" s="9" t="s">
        <v>1696</v>
      </c>
      <c r="F159" s="9" t="s">
        <v>2244</v>
      </c>
      <c r="G159" s="9" t="s">
        <v>2245</v>
      </c>
      <c r="H159" s="9" t="s">
        <v>1600</v>
      </c>
      <c r="I159" s="9" t="n">
        <v>339</v>
      </c>
      <c r="J159" s="9" t="n">
        <v>401562</v>
      </c>
      <c r="K159" s="9" t="n">
        <f aca="false">I159*J159</f>
        <v>136129518</v>
      </c>
      <c r="L159" s="9" t="s">
        <v>1652</v>
      </c>
      <c r="M159" s="9" t="s">
        <v>1668</v>
      </c>
      <c r="N159" s="9" t="s">
        <v>981</v>
      </c>
      <c r="O159" s="9" t="s">
        <v>230</v>
      </c>
    </row>
    <row r="160" customFormat="false" ht="15" hidden="false" customHeight="false" outlineLevel="0" collapsed="false">
      <c r="A160" s="9" t="s">
        <v>2246</v>
      </c>
      <c r="B160" s="9" t="s">
        <v>1713</v>
      </c>
      <c r="C160" s="9" t="s">
        <v>1714</v>
      </c>
      <c r="D160" s="9" t="s">
        <v>2247</v>
      </c>
      <c r="E160" s="9" t="s">
        <v>1690</v>
      </c>
      <c r="F160" s="9" t="s">
        <v>1734</v>
      </c>
      <c r="G160" s="9" t="s">
        <v>1981</v>
      </c>
      <c r="H160" s="9" t="s">
        <v>2216</v>
      </c>
      <c r="I160" s="9" t="n">
        <v>377</v>
      </c>
      <c r="J160" s="9" t="n">
        <v>398335</v>
      </c>
      <c r="K160" s="9" t="n">
        <f aca="false">I160*J160</f>
        <v>150172295</v>
      </c>
      <c r="L160" s="9" t="s">
        <v>1652</v>
      </c>
      <c r="M160" s="9" t="s">
        <v>1659</v>
      </c>
      <c r="N160" s="9" t="s">
        <v>761</v>
      </c>
      <c r="O160" s="9" t="s">
        <v>385</v>
      </c>
    </row>
    <row r="161" customFormat="false" ht="15" hidden="false" customHeight="false" outlineLevel="0" collapsed="false">
      <c r="A161" s="9" t="s">
        <v>2248</v>
      </c>
      <c r="B161" s="9" t="s">
        <v>1674</v>
      </c>
      <c r="C161" s="9" t="s">
        <v>1675</v>
      </c>
      <c r="D161" s="9" t="s">
        <v>2249</v>
      </c>
      <c r="E161" s="9" t="s">
        <v>1725</v>
      </c>
      <c r="F161" s="9" t="s">
        <v>738</v>
      </c>
      <c r="G161" s="9" t="s">
        <v>2250</v>
      </c>
      <c r="H161" s="9" t="s">
        <v>2251</v>
      </c>
      <c r="I161" s="9" t="n">
        <v>256</v>
      </c>
      <c r="J161" s="9" t="n">
        <v>1120753</v>
      </c>
      <c r="K161" s="9" t="n">
        <f aca="false">I161*J161</f>
        <v>286912768</v>
      </c>
      <c r="L161" s="9" t="s">
        <v>1652</v>
      </c>
      <c r="M161" s="9" t="s">
        <v>1653</v>
      </c>
      <c r="N161" s="9"/>
      <c r="O161" s="9" t="s">
        <v>111</v>
      </c>
    </row>
    <row r="162" customFormat="false" ht="15" hidden="false" customHeight="false" outlineLevel="0" collapsed="false">
      <c r="A162" s="9" t="s">
        <v>2252</v>
      </c>
      <c r="B162" s="9" t="s">
        <v>1822</v>
      </c>
      <c r="C162" s="9" t="s">
        <v>1274</v>
      </c>
      <c r="D162" s="9" t="s">
        <v>2253</v>
      </c>
      <c r="E162" s="9" t="s">
        <v>1690</v>
      </c>
      <c r="F162" s="9" t="s">
        <v>1591</v>
      </c>
      <c r="G162" s="9" t="s">
        <v>1107</v>
      </c>
      <c r="H162" s="9" t="s">
        <v>1107</v>
      </c>
      <c r="I162" s="9" t="n">
        <v>208</v>
      </c>
      <c r="J162" s="9" t="n">
        <v>248856</v>
      </c>
      <c r="K162" s="9" t="n">
        <f aca="false">I162*J162</f>
        <v>51762048</v>
      </c>
      <c r="L162" s="9" t="s">
        <v>1652</v>
      </c>
      <c r="M162" s="9" t="s">
        <v>1659</v>
      </c>
      <c r="N162" s="9"/>
      <c r="O162" s="9" t="s">
        <v>716</v>
      </c>
    </row>
    <row r="163" customFormat="false" ht="15" hidden="false" customHeight="false" outlineLevel="0" collapsed="false">
      <c r="A163" s="9" t="s">
        <v>2254</v>
      </c>
      <c r="B163" s="9" t="s">
        <v>1674</v>
      </c>
      <c r="C163" s="9" t="s">
        <v>1675</v>
      </c>
      <c r="D163" s="9" t="s">
        <v>2255</v>
      </c>
      <c r="E163" s="9" t="s">
        <v>1664</v>
      </c>
      <c r="F163" s="9" t="s">
        <v>2256</v>
      </c>
      <c r="G163" s="9" t="s">
        <v>2257</v>
      </c>
      <c r="H163" s="9" t="s">
        <v>2257</v>
      </c>
      <c r="I163" s="9" t="n">
        <v>377</v>
      </c>
      <c r="J163" s="9" t="n">
        <v>297936</v>
      </c>
      <c r="K163" s="9" t="n">
        <f aca="false">I163*J163</f>
        <v>112321872</v>
      </c>
      <c r="L163" s="9" t="s">
        <v>1652</v>
      </c>
      <c r="M163" s="9" t="s">
        <v>1653</v>
      </c>
      <c r="N163" s="9"/>
      <c r="O163" s="9" t="s">
        <v>705</v>
      </c>
    </row>
    <row r="164" customFormat="false" ht="15" hidden="false" customHeight="false" outlineLevel="0" collapsed="false">
      <c r="A164" s="9" t="s">
        <v>2258</v>
      </c>
      <c r="B164" s="9" t="s">
        <v>1704</v>
      </c>
      <c r="C164" s="9" t="s">
        <v>1705</v>
      </c>
      <c r="D164" s="9" t="s">
        <v>2259</v>
      </c>
      <c r="E164" s="9" t="s">
        <v>1685</v>
      </c>
      <c r="F164" s="9" t="s">
        <v>1924</v>
      </c>
      <c r="G164" s="9" t="s">
        <v>2260</v>
      </c>
      <c r="H164" s="9" t="s">
        <v>2260</v>
      </c>
      <c r="I164" s="9" t="n">
        <v>89</v>
      </c>
      <c r="J164" s="9" t="n">
        <v>1327787</v>
      </c>
      <c r="K164" s="9" t="n">
        <f aca="false">I164*J164</f>
        <v>118173043</v>
      </c>
      <c r="L164" s="9" t="s">
        <v>1652</v>
      </c>
      <c r="M164" s="9" t="s">
        <v>1653</v>
      </c>
      <c r="N164" s="9"/>
      <c r="O164" s="9" t="s">
        <v>230</v>
      </c>
    </row>
    <row r="165" customFormat="false" ht="15" hidden="false" customHeight="false" outlineLevel="0" collapsed="false">
      <c r="A165" s="9" t="s">
        <v>2261</v>
      </c>
      <c r="B165" s="9" t="s">
        <v>1674</v>
      </c>
      <c r="C165" s="9" t="s">
        <v>1675</v>
      </c>
      <c r="D165" s="9" t="s">
        <v>2262</v>
      </c>
      <c r="E165" s="9" t="s">
        <v>1664</v>
      </c>
      <c r="F165" s="9" t="s">
        <v>2263</v>
      </c>
      <c r="G165" s="9" t="s">
        <v>1895</v>
      </c>
      <c r="H165" s="9" t="s">
        <v>1895</v>
      </c>
      <c r="I165" s="9" t="n">
        <v>59</v>
      </c>
      <c r="J165" s="9" t="n">
        <v>1043585</v>
      </c>
      <c r="K165" s="9" t="n">
        <f aca="false">I165*J165</f>
        <v>61571515</v>
      </c>
      <c r="L165" s="9" t="s">
        <v>1652</v>
      </c>
      <c r="M165" s="9" t="s">
        <v>1659</v>
      </c>
      <c r="N165" s="9" t="s">
        <v>883</v>
      </c>
      <c r="O165" s="9" t="s">
        <v>643</v>
      </c>
    </row>
    <row r="166" customFormat="false" ht="15" hidden="false" customHeight="false" outlineLevel="0" collapsed="false">
      <c r="A166" s="9" t="s">
        <v>2264</v>
      </c>
      <c r="B166" s="9" t="s">
        <v>1682</v>
      </c>
      <c r="C166" s="9" t="s">
        <v>1683</v>
      </c>
      <c r="D166" s="9" t="s">
        <v>2265</v>
      </c>
      <c r="E166" s="9" t="s">
        <v>1725</v>
      </c>
      <c r="F166" s="9" t="s">
        <v>1812</v>
      </c>
      <c r="G166" s="9" t="s">
        <v>2056</v>
      </c>
      <c r="H166" s="9" t="s">
        <v>2266</v>
      </c>
      <c r="I166" s="9" t="n">
        <v>165</v>
      </c>
      <c r="J166" s="9" t="n">
        <v>1755114</v>
      </c>
      <c r="K166" s="9" t="n">
        <f aca="false">I166*J166</f>
        <v>289593810</v>
      </c>
      <c r="L166" s="9" t="s">
        <v>1652</v>
      </c>
      <c r="M166" s="9" t="s">
        <v>1659</v>
      </c>
      <c r="N166" s="9"/>
      <c r="O166" s="9" t="s">
        <v>309</v>
      </c>
    </row>
    <row r="167" customFormat="false" ht="15" hidden="false" customHeight="false" outlineLevel="0" collapsed="false">
      <c r="A167" s="9" t="s">
        <v>2267</v>
      </c>
      <c r="B167" s="9" t="s">
        <v>1682</v>
      </c>
      <c r="C167" s="9" t="s">
        <v>1683</v>
      </c>
      <c r="D167" s="9" t="s">
        <v>2268</v>
      </c>
      <c r="E167" s="9" t="s">
        <v>1677</v>
      </c>
      <c r="F167" s="9" t="s">
        <v>2108</v>
      </c>
      <c r="G167" s="9" t="s">
        <v>634</v>
      </c>
      <c r="H167" s="9" t="s">
        <v>2269</v>
      </c>
      <c r="I167" s="9" t="n">
        <v>87</v>
      </c>
      <c r="J167" s="9" t="n">
        <v>1461238</v>
      </c>
      <c r="K167" s="9" t="n">
        <f aca="false">I167*J167</f>
        <v>127127706</v>
      </c>
      <c r="L167" s="9" t="s">
        <v>1652</v>
      </c>
      <c r="M167" s="9" t="s">
        <v>1668</v>
      </c>
      <c r="N167" s="9" t="s">
        <v>864</v>
      </c>
      <c r="O167" s="9" t="s">
        <v>669</v>
      </c>
    </row>
    <row r="168" customFormat="false" ht="15" hidden="false" customHeight="false" outlineLevel="0" collapsed="false">
      <c r="A168" s="9" t="s">
        <v>2270</v>
      </c>
      <c r="B168" s="9" t="s">
        <v>1693</v>
      </c>
      <c r="C168" s="9" t="s">
        <v>1694</v>
      </c>
      <c r="D168" s="9" t="s">
        <v>2271</v>
      </c>
      <c r="E168" s="9" t="s">
        <v>1685</v>
      </c>
      <c r="F168" s="9" t="s">
        <v>2272</v>
      </c>
      <c r="G168" s="9" t="s">
        <v>2147</v>
      </c>
      <c r="H168" s="9" t="s">
        <v>783</v>
      </c>
      <c r="I168" s="9" t="n">
        <v>399</v>
      </c>
      <c r="J168" s="9" t="n">
        <v>331833</v>
      </c>
      <c r="K168" s="9" t="n">
        <f aca="false">I168*J168</f>
        <v>132401367</v>
      </c>
      <c r="L168" s="9" t="s">
        <v>1652</v>
      </c>
      <c r="M168" s="9" t="s">
        <v>1653</v>
      </c>
      <c r="N168" s="9"/>
      <c r="O168" s="9" t="s">
        <v>193</v>
      </c>
    </row>
    <row r="169" customFormat="false" ht="15" hidden="false" customHeight="false" outlineLevel="0" collapsed="false">
      <c r="A169" s="9" t="s">
        <v>2273</v>
      </c>
      <c r="B169" s="9" t="s">
        <v>1822</v>
      </c>
      <c r="C169" s="9" t="s">
        <v>1274</v>
      </c>
      <c r="D169" s="9" t="s">
        <v>2274</v>
      </c>
      <c r="E169" s="9" t="s">
        <v>1685</v>
      </c>
      <c r="F169" s="9" t="s">
        <v>2275</v>
      </c>
      <c r="G169" s="9" t="s">
        <v>2276</v>
      </c>
      <c r="H169" s="9" t="s">
        <v>140</v>
      </c>
      <c r="I169" s="9" t="n">
        <v>214</v>
      </c>
      <c r="J169" s="9" t="n">
        <v>1455382</v>
      </c>
      <c r="K169" s="9" t="n">
        <f aca="false">I169*J169</f>
        <v>311451748</v>
      </c>
      <c r="L169" s="9" t="s">
        <v>1652</v>
      </c>
      <c r="M169" s="9" t="s">
        <v>1653</v>
      </c>
      <c r="N169" s="9"/>
      <c r="O169" s="9" t="s">
        <v>57</v>
      </c>
    </row>
    <row r="170" customFormat="false" ht="15" hidden="false" customHeight="false" outlineLevel="0" collapsed="false">
      <c r="A170" s="9" t="s">
        <v>2277</v>
      </c>
      <c r="B170" s="9" t="s">
        <v>1732</v>
      </c>
      <c r="C170" s="9" t="s">
        <v>1335</v>
      </c>
      <c r="D170" s="9" t="s">
        <v>2278</v>
      </c>
      <c r="E170" s="9" t="s">
        <v>1650</v>
      </c>
      <c r="F170" s="9" t="s">
        <v>2279</v>
      </c>
      <c r="G170" s="9" t="s">
        <v>2280</v>
      </c>
      <c r="H170" s="9" t="s">
        <v>1080</v>
      </c>
      <c r="I170" s="9" t="n">
        <v>313</v>
      </c>
      <c r="J170" s="9" t="n">
        <v>1451544</v>
      </c>
      <c r="K170" s="9" t="n">
        <f aca="false">I170*J170</f>
        <v>454333272</v>
      </c>
      <c r="L170" s="9" t="s">
        <v>1652</v>
      </c>
      <c r="M170" s="9" t="s">
        <v>1653</v>
      </c>
      <c r="N170" s="9"/>
      <c r="O170" s="9" t="s">
        <v>705</v>
      </c>
    </row>
    <row r="171" customFormat="false" ht="15" hidden="false" customHeight="false" outlineLevel="0" collapsed="false">
      <c r="A171" s="9" t="s">
        <v>2281</v>
      </c>
      <c r="B171" s="9" t="s">
        <v>1704</v>
      </c>
      <c r="C171" s="9" t="s">
        <v>1705</v>
      </c>
      <c r="D171" s="9" t="s">
        <v>2282</v>
      </c>
      <c r="E171" s="9" t="s">
        <v>1677</v>
      </c>
      <c r="F171" s="9" t="s">
        <v>2283</v>
      </c>
      <c r="G171" s="9" t="s">
        <v>2087</v>
      </c>
      <c r="H171" s="9" t="s">
        <v>2284</v>
      </c>
      <c r="I171" s="9" t="n">
        <v>99</v>
      </c>
      <c r="J171" s="9" t="n">
        <v>247431</v>
      </c>
      <c r="K171" s="9" t="n">
        <f aca="false">I171*J171</f>
        <v>24495669</v>
      </c>
      <c r="L171" s="9" t="s">
        <v>1652</v>
      </c>
      <c r="M171" s="9" t="s">
        <v>1653</v>
      </c>
      <c r="N171" s="9"/>
      <c r="O171" s="9" t="s">
        <v>716</v>
      </c>
    </row>
    <row r="172" customFormat="false" ht="15" hidden="false" customHeight="false" outlineLevel="0" collapsed="false">
      <c r="A172" s="9" t="s">
        <v>2285</v>
      </c>
      <c r="B172" s="9" t="s">
        <v>1693</v>
      </c>
      <c r="C172" s="9" t="s">
        <v>1694</v>
      </c>
      <c r="D172" s="9" t="s">
        <v>2286</v>
      </c>
      <c r="E172" s="9" t="s">
        <v>1701</v>
      </c>
      <c r="F172" s="9" t="s">
        <v>2287</v>
      </c>
      <c r="G172" s="9" t="s">
        <v>2288</v>
      </c>
      <c r="H172" s="9" t="s">
        <v>910</v>
      </c>
      <c r="I172" s="9" t="n">
        <v>408</v>
      </c>
      <c r="J172" s="9" t="n">
        <v>313931</v>
      </c>
      <c r="K172" s="9" t="n">
        <f aca="false">I172*J172</f>
        <v>128083848</v>
      </c>
      <c r="L172" s="9" t="s">
        <v>1652</v>
      </c>
      <c r="M172" s="9" t="s">
        <v>1668</v>
      </c>
      <c r="N172" s="9"/>
      <c r="O172" s="9" t="s">
        <v>705</v>
      </c>
    </row>
    <row r="173" customFormat="false" ht="15" hidden="false" customHeight="false" outlineLevel="0" collapsed="false">
      <c r="A173" s="9" t="s">
        <v>2289</v>
      </c>
      <c r="B173" s="9" t="s">
        <v>1674</v>
      </c>
      <c r="C173" s="9" t="s">
        <v>1675</v>
      </c>
      <c r="D173" s="9" t="s">
        <v>2290</v>
      </c>
      <c r="E173" s="9" t="s">
        <v>1664</v>
      </c>
      <c r="F173" s="9" t="s">
        <v>2157</v>
      </c>
      <c r="G173" s="9" t="s">
        <v>2291</v>
      </c>
      <c r="H173" s="9" t="s">
        <v>2291</v>
      </c>
      <c r="I173" s="9" t="n">
        <v>331</v>
      </c>
      <c r="J173" s="9" t="n">
        <v>764768</v>
      </c>
      <c r="K173" s="9" t="n">
        <f aca="false">I173*J173</f>
        <v>253138208</v>
      </c>
      <c r="L173" s="9" t="s">
        <v>1652</v>
      </c>
      <c r="M173" s="9" t="s">
        <v>1653</v>
      </c>
      <c r="N173" s="9" t="s">
        <v>909</v>
      </c>
      <c r="O173" s="9" t="s">
        <v>558</v>
      </c>
    </row>
    <row r="174" customFormat="false" ht="15" hidden="false" customHeight="false" outlineLevel="0" collapsed="false">
      <c r="A174" s="9" t="s">
        <v>2292</v>
      </c>
      <c r="B174" s="9" t="s">
        <v>1704</v>
      </c>
      <c r="C174" s="9" t="s">
        <v>1705</v>
      </c>
      <c r="D174" s="9" t="s">
        <v>2293</v>
      </c>
      <c r="E174" s="9" t="s">
        <v>1701</v>
      </c>
      <c r="F174" s="9" t="s">
        <v>2294</v>
      </c>
      <c r="G174" s="9" t="s">
        <v>841</v>
      </c>
      <c r="H174" s="9" t="s">
        <v>1227</v>
      </c>
      <c r="I174" s="9" t="n">
        <v>81</v>
      </c>
      <c r="J174" s="9" t="n">
        <v>1648296</v>
      </c>
      <c r="K174" s="9" t="n">
        <f aca="false">I174*J174</f>
        <v>133511976</v>
      </c>
      <c r="L174" s="9" t="s">
        <v>1652</v>
      </c>
      <c r="M174" s="9" t="s">
        <v>1653</v>
      </c>
      <c r="N174" s="9" t="s">
        <v>830</v>
      </c>
      <c r="O174" s="9" t="s">
        <v>193</v>
      </c>
    </row>
    <row r="175" customFormat="false" ht="15" hidden="false" customHeight="false" outlineLevel="0" collapsed="false">
      <c r="A175" s="9" t="s">
        <v>2295</v>
      </c>
      <c r="B175" s="9" t="s">
        <v>1693</v>
      </c>
      <c r="C175" s="9" t="s">
        <v>1694</v>
      </c>
      <c r="D175" s="9" t="s">
        <v>2296</v>
      </c>
      <c r="E175" s="9" t="s">
        <v>1701</v>
      </c>
      <c r="F175" s="9" t="s">
        <v>2297</v>
      </c>
      <c r="G175" s="9" t="s">
        <v>1437</v>
      </c>
      <c r="H175" s="9" t="s">
        <v>2298</v>
      </c>
      <c r="I175" s="9" t="n">
        <v>383</v>
      </c>
      <c r="J175" s="9" t="n">
        <v>1420462</v>
      </c>
      <c r="K175" s="9" t="n">
        <f aca="false">I175*J175</f>
        <v>544036946</v>
      </c>
      <c r="L175" s="9" t="s">
        <v>1652</v>
      </c>
      <c r="M175" s="9" t="s">
        <v>1653</v>
      </c>
      <c r="N175" s="9" t="s">
        <v>826</v>
      </c>
      <c r="O175" s="9" t="s">
        <v>558</v>
      </c>
    </row>
    <row r="176" customFormat="false" ht="15" hidden="false" customHeight="false" outlineLevel="0" collapsed="false">
      <c r="A176" s="9" t="s">
        <v>2299</v>
      </c>
      <c r="B176" s="9" t="s">
        <v>1693</v>
      </c>
      <c r="C176" s="9" t="s">
        <v>1694</v>
      </c>
      <c r="D176" s="9" t="s">
        <v>2300</v>
      </c>
      <c r="E176" s="9" t="s">
        <v>1677</v>
      </c>
      <c r="F176" s="9" t="s">
        <v>2301</v>
      </c>
      <c r="G176" s="9" t="s">
        <v>1679</v>
      </c>
      <c r="H176" s="9" t="s">
        <v>1680</v>
      </c>
      <c r="I176" s="9" t="n">
        <v>193</v>
      </c>
      <c r="J176" s="9" t="n">
        <v>1870328</v>
      </c>
      <c r="K176" s="9" t="n">
        <f aca="false">I176*J176</f>
        <v>360973304</v>
      </c>
      <c r="L176" s="9" t="s">
        <v>1652</v>
      </c>
      <c r="M176" s="9" t="s">
        <v>1659</v>
      </c>
      <c r="N176" s="9" t="s">
        <v>1079</v>
      </c>
      <c r="O176" s="9" t="s">
        <v>705</v>
      </c>
    </row>
    <row r="177" customFormat="false" ht="15" hidden="false" customHeight="false" outlineLevel="0" collapsed="false">
      <c r="A177" s="9" t="s">
        <v>2302</v>
      </c>
      <c r="B177" s="9" t="s">
        <v>1822</v>
      </c>
      <c r="C177" s="9" t="s">
        <v>1274</v>
      </c>
      <c r="D177" s="9" t="s">
        <v>2303</v>
      </c>
      <c r="E177" s="9" t="s">
        <v>1725</v>
      </c>
      <c r="F177" s="9" t="s">
        <v>2304</v>
      </c>
      <c r="G177" s="9" t="s">
        <v>2305</v>
      </c>
      <c r="H177" s="9" t="s">
        <v>1911</v>
      </c>
      <c r="I177" s="9" t="n">
        <v>92</v>
      </c>
      <c r="J177" s="9" t="n">
        <v>813290</v>
      </c>
      <c r="K177" s="9" t="n">
        <f aca="false">I177*J177</f>
        <v>74822680</v>
      </c>
      <c r="L177" s="9" t="s">
        <v>1652</v>
      </c>
      <c r="M177" s="9" t="s">
        <v>1653</v>
      </c>
      <c r="N177" s="9" t="s">
        <v>1147</v>
      </c>
      <c r="O177" s="9" t="s">
        <v>57</v>
      </c>
    </row>
    <row r="178" customFormat="false" ht="15" hidden="false" customHeight="false" outlineLevel="0" collapsed="false">
      <c r="A178" s="9" t="s">
        <v>2306</v>
      </c>
      <c r="B178" s="9" t="s">
        <v>1713</v>
      </c>
      <c r="C178" s="9" t="s">
        <v>1714</v>
      </c>
      <c r="D178" s="9" t="s">
        <v>2307</v>
      </c>
      <c r="E178" s="9" t="s">
        <v>1690</v>
      </c>
      <c r="F178" s="9" t="s">
        <v>2209</v>
      </c>
      <c r="G178" s="9" t="s">
        <v>2097</v>
      </c>
      <c r="H178" s="9" t="s">
        <v>2097</v>
      </c>
      <c r="I178" s="9" t="n">
        <v>355</v>
      </c>
      <c r="J178" s="9" t="n">
        <v>1193578</v>
      </c>
      <c r="K178" s="9" t="n">
        <f aca="false">I178*J178</f>
        <v>423720190</v>
      </c>
      <c r="L178" s="9" t="s">
        <v>1652</v>
      </c>
      <c r="M178" s="9" t="s">
        <v>1653</v>
      </c>
      <c r="N178" s="9" t="s">
        <v>826</v>
      </c>
      <c r="O178" s="9" t="s">
        <v>669</v>
      </c>
    </row>
    <row r="179" customFormat="false" ht="15" hidden="false" customHeight="false" outlineLevel="0" collapsed="false">
      <c r="A179" s="9" t="s">
        <v>2308</v>
      </c>
      <c r="B179" s="9" t="s">
        <v>1674</v>
      </c>
      <c r="C179" s="9" t="s">
        <v>1675</v>
      </c>
      <c r="D179" s="9" t="s">
        <v>2309</v>
      </c>
      <c r="E179" s="9" t="s">
        <v>1725</v>
      </c>
      <c r="F179" s="9" t="s">
        <v>986</v>
      </c>
      <c r="G179" s="9" t="s">
        <v>2310</v>
      </c>
      <c r="H179" s="9" t="s">
        <v>2245</v>
      </c>
      <c r="I179" s="9" t="n">
        <v>310</v>
      </c>
      <c r="J179" s="9" t="n">
        <v>329808</v>
      </c>
      <c r="K179" s="9" t="n">
        <f aca="false">I179*J179</f>
        <v>102240480</v>
      </c>
      <c r="L179" s="9" t="s">
        <v>1652</v>
      </c>
      <c r="M179" s="9" t="s">
        <v>1659</v>
      </c>
      <c r="N179" s="9"/>
      <c r="O179" s="9" t="s">
        <v>385</v>
      </c>
    </row>
    <row r="180" customFormat="false" ht="15" hidden="false" customHeight="false" outlineLevel="0" collapsed="false">
      <c r="A180" s="9" t="s">
        <v>2311</v>
      </c>
      <c r="B180" s="9" t="s">
        <v>1648</v>
      </c>
      <c r="C180" s="9" t="s">
        <v>1280</v>
      </c>
      <c r="D180" s="9" t="s">
        <v>2312</v>
      </c>
      <c r="E180" s="9" t="s">
        <v>1725</v>
      </c>
      <c r="F180" s="9" t="s">
        <v>1228</v>
      </c>
      <c r="G180" s="9" t="s">
        <v>2280</v>
      </c>
      <c r="H180" s="9" t="s">
        <v>1080</v>
      </c>
      <c r="I180" s="9" t="n">
        <v>303</v>
      </c>
      <c r="J180" s="9" t="n">
        <v>993978</v>
      </c>
      <c r="K180" s="9" t="n">
        <f aca="false">I180*J180</f>
        <v>301175334</v>
      </c>
      <c r="L180" s="9" t="s">
        <v>1652</v>
      </c>
      <c r="M180" s="9" t="s">
        <v>1653</v>
      </c>
      <c r="N180" s="9" t="s">
        <v>1150</v>
      </c>
      <c r="O180" s="9" t="s">
        <v>643</v>
      </c>
    </row>
    <row r="181" customFormat="false" ht="15" hidden="false" customHeight="false" outlineLevel="0" collapsed="false">
      <c r="A181" s="9" t="s">
        <v>2313</v>
      </c>
      <c r="B181" s="9" t="s">
        <v>1745</v>
      </c>
      <c r="C181" s="9" t="s">
        <v>1746</v>
      </c>
      <c r="D181" s="9" t="s">
        <v>2314</v>
      </c>
      <c r="E181" s="9" t="s">
        <v>1696</v>
      </c>
      <c r="F181" s="9" t="s">
        <v>2315</v>
      </c>
      <c r="G181" s="9" t="s">
        <v>2123</v>
      </c>
      <c r="H181" s="9" t="s">
        <v>2316</v>
      </c>
      <c r="I181" s="9" t="n">
        <v>457</v>
      </c>
      <c r="J181" s="9" t="n">
        <v>1946065</v>
      </c>
      <c r="K181" s="9" t="n">
        <f aca="false">I181*J181</f>
        <v>889351705</v>
      </c>
      <c r="L181" s="9" t="s">
        <v>1652</v>
      </c>
      <c r="M181" s="9" t="s">
        <v>1659</v>
      </c>
      <c r="N181" s="9"/>
      <c r="O181" s="9" t="s">
        <v>111</v>
      </c>
    </row>
    <row r="182" customFormat="false" ht="15" hidden="false" customHeight="false" outlineLevel="0" collapsed="false">
      <c r="A182" s="9" t="s">
        <v>2317</v>
      </c>
      <c r="B182" s="9" t="s">
        <v>1752</v>
      </c>
      <c r="C182" s="9" t="s">
        <v>1753</v>
      </c>
      <c r="D182" s="9" t="s">
        <v>2318</v>
      </c>
      <c r="E182" s="9" t="s">
        <v>1685</v>
      </c>
      <c r="F182" s="9" t="s">
        <v>2319</v>
      </c>
      <c r="G182" s="9" t="s">
        <v>1630</v>
      </c>
      <c r="H182" s="9" t="s">
        <v>1630</v>
      </c>
      <c r="I182" s="9" t="n">
        <v>218</v>
      </c>
      <c r="J182" s="9" t="n">
        <v>1114842</v>
      </c>
      <c r="K182" s="9" t="n">
        <f aca="false">I182*J182</f>
        <v>243035556</v>
      </c>
      <c r="L182" s="9" t="s">
        <v>1652</v>
      </c>
      <c r="M182" s="9" t="s">
        <v>1653</v>
      </c>
      <c r="N182" s="9" t="s">
        <v>1183</v>
      </c>
      <c r="O182" s="9" t="s">
        <v>230</v>
      </c>
    </row>
    <row r="183" customFormat="false" ht="15" hidden="false" customHeight="false" outlineLevel="0" collapsed="false">
      <c r="A183" s="9" t="s">
        <v>2320</v>
      </c>
      <c r="B183" s="9" t="s">
        <v>1674</v>
      </c>
      <c r="C183" s="9" t="s">
        <v>1675</v>
      </c>
      <c r="D183" s="9" t="s">
        <v>2321</v>
      </c>
      <c r="E183" s="9" t="s">
        <v>1701</v>
      </c>
      <c r="F183" s="9" t="s">
        <v>2322</v>
      </c>
      <c r="G183" s="9" t="s">
        <v>1151</v>
      </c>
      <c r="H183" s="9" t="s">
        <v>1151</v>
      </c>
      <c r="I183" s="9" t="n">
        <v>355</v>
      </c>
      <c r="J183" s="9" t="n">
        <v>1535667</v>
      </c>
      <c r="K183" s="9" t="n">
        <f aca="false">I183*J183</f>
        <v>545161785</v>
      </c>
      <c r="L183" s="9" t="s">
        <v>1652</v>
      </c>
      <c r="M183" s="9" t="s">
        <v>1653</v>
      </c>
      <c r="N183" s="9"/>
      <c r="O183" s="9" t="s">
        <v>270</v>
      </c>
    </row>
    <row r="184" customFormat="false" ht="15" hidden="false" customHeight="false" outlineLevel="0" collapsed="false">
      <c r="A184" s="9" t="s">
        <v>2323</v>
      </c>
      <c r="B184" s="9" t="s">
        <v>1682</v>
      </c>
      <c r="C184" s="9" t="s">
        <v>1683</v>
      </c>
      <c r="D184" s="9" t="s">
        <v>2324</v>
      </c>
      <c r="E184" s="9" t="s">
        <v>1650</v>
      </c>
      <c r="F184" s="9" t="s">
        <v>2325</v>
      </c>
      <c r="G184" s="9" t="s">
        <v>2326</v>
      </c>
      <c r="H184" s="9" t="s">
        <v>2326</v>
      </c>
      <c r="I184" s="9" t="n">
        <v>246</v>
      </c>
      <c r="J184" s="9" t="n">
        <v>1404069</v>
      </c>
      <c r="K184" s="9" t="n">
        <f aca="false">I184*J184</f>
        <v>345400974</v>
      </c>
      <c r="L184" s="9" t="s">
        <v>1652</v>
      </c>
      <c r="M184" s="9" t="s">
        <v>1653</v>
      </c>
      <c r="N184" s="9" t="s">
        <v>1016</v>
      </c>
      <c r="O184" s="9" t="s">
        <v>111</v>
      </c>
    </row>
    <row r="185" customFormat="false" ht="15" hidden="false" customHeight="false" outlineLevel="0" collapsed="false">
      <c r="A185" s="9" t="s">
        <v>2327</v>
      </c>
      <c r="B185" s="9" t="s">
        <v>1674</v>
      </c>
      <c r="C185" s="9" t="s">
        <v>1675</v>
      </c>
      <c r="D185" s="9" t="s">
        <v>2328</v>
      </c>
      <c r="E185" s="9" t="s">
        <v>1701</v>
      </c>
      <c r="F185" s="9" t="s">
        <v>2269</v>
      </c>
      <c r="G185" s="9" t="s">
        <v>1963</v>
      </c>
      <c r="H185" s="9" t="s">
        <v>1964</v>
      </c>
      <c r="I185" s="9" t="n">
        <v>405</v>
      </c>
      <c r="J185" s="9" t="n">
        <v>1828776</v>
      </c>
      <c r="K185" s="9" t="n">
        <f aca="false">I185*J185</f>
        <v>740654280</v>
      </c>
      <c r="L185" s="9" t="s">
        <v>1652</v>
      </c>
      <c r="M185" s="9" t="s">
        <v>1653</v>
      </c>
      <c r="N185" s="9"/>
      <c r="O185" s="9" t="s">
        <v>111</v>
      </c>
    </row>
    <row r="186" customFormat="false" ht="15" hidden="false" customHeight="false" outlineLevel="0" collapsed="false">
      <c r="A186" s="9" t="s">
        <v>2329</v>
      </c>
      <c r="B186" s="9" t="s">
        <v>1713</v>
      </c>
      <c r="C186" s="9" t="s">
        <v>1714</v>
      </c>
      <c r="D186" s="9" t="s">
        <v>2330</v>
      </c>
      <c r="E186" s="9" t="s">
        <v>1677</v>
      </c>
      <c r="F186" s="9" t="s">
        <v>707</v>
      </c>
      <c r="G186" s="9" t="s">
        <v>1066</v>
      </c>
      <c r="H186" s="9" t="s">
        <v>1066</v>
      </c>
      <c r="I186" s="9" t="n">
        <v>152</v>
      </c>
      <c r="J186" s="9" t="n">
        <v>894181</v>
      </c>
      <c r="K186" s="9" t="n">
        <f aca="false">I186*J186</f>
        <v>135915512</v>
      </c>
      <c r="L186" s="9" t="s">
        <v>1652</v>
      </c>
      <c r="M186" s="9" t="s">
        <v>1653</v>
      </c>
      <c r="N186" s="9"/>
      <c r="O186" s="9" t="s">
        <v>57</v>
      </c>
    </row>
    <row r="187" customFormat="false" ht="15" hidden="false" customHeight="false" outlineLevel="0" collapsed="false">
      <c r="A187" s="9" t="s">
        <v>2331</v>
      </c>
      <c r="B187" s="9" t="s">
        <v>1713</v>
      </c>
      <c r="C187" s="9" t="s">
        <v>1714</v>
      </c>
      <c r="D187" s="9" t="s">
        <v>2332</v>
      </c>
      <c r="E187" s="9" t="s">
        <v>1677</v>
      </c>
      <c r="F187" s="9" t="s">
        <v>1355</v>
      </c>
      <c r="G187" s="9" t="s">
        <v>2333</v>
      </c>
      <c r="H187" s="9" t="s">
        <v>2333</v>
      </c>
      <c r="I187" s="9" t="n">
        <v>264</v>
      </c>
      <c r="J187" s="9" t="n">
        <v>1983484</v>
      </c>
      <c r="K187" s="9" t="n">
        <f aca="false">I187*J187</f>
        <v>523639776</v>
      </c>
      <c r="L187" s="9" t="s">
        <v>1652</v>
      </c>
      <c r="M187" s="9" t="s">
        <v>1653</v>
      </c>
      <c r="N187" s="9"/>
      <c r="O187" s="9" t="s">
        <v>230</v>
      </c>
    </row>
    <row r="188" customFormat="false" ht="15" hidden="false" customHeight="false" outlineLevel="0" collapsed="false">
      <c r="A188" s="9" t="s">
        <v>2334</v>
      </c>
      <c r="B188" s="9" t="s">
        <v>1752</v>
      </c>
      <c r="C188" s="9" t="s">
        <v>1753</v>
      </c>
      <c r="D188" s="9" t="s">
        <v>2335</v>
      </c>
      <c r="E188" s="9" t="s">
        <v>1690</v>
      </c>
      <c r="F188" s="9" t="s">
        <v>2336</v>
      </c>
      <c r="G188" s="9" t="s">
        <v>2204</v>
      </c>
      <c r="H188" s="9" t="s">
        <v>1721</v>
      </c>
      <c r="I188" s="9" t="n">
        <v>90</v>
      </c>
      <c r="J188" s="9" t="n">
        <v>1360316</v>
      </c>
      <c r="K188" s="9" t="n">
        <f aca="false">I188*J188</f>
        <v>122428440</v>
      </c>
      <c r="L188" s="9" t="s">
        <v>1652</v>
      </c>
      <c r="M188" s="9" t="s">
        <v>1668</v>
      </c>
      <c r="N188" s="9"/>
      <c r="O188" s="9" t="s">
        <v>193</v>
      </c>
    </row>
    <row r="189" customFormat="false" ht="15" hidden="false" customHeight="false" outlineLevel="0" collapsed="false">
      <c r="A189" s="9" t="s">
        <v>2337</v>
      </c>
      <c r="B189" s="9" t="s">
        <v>1764</v>
      </c>
      <c r="C189" s="9" t="s">
        <v>1765</v>
      </c>
      <c r="D189" s="9" t="s">
        <v>2338</v>
      </c>
      <c r="E189" s="9" t="s">
        <v>1696</v>
      </c>
      <c r="F189" s="9" t="s">
        <v>2269</v>
      </c>
      <c r="G189" s="9" t="s">
        <v>2339</v>
      </c>
      <c r="H189" s="9" t="s">
        <v>2340</v>
      </c>
      <c r="I189" s="9" t="n">
        <v>333</v>
      </c>
      <c r="J189" s="9" t="n">
        <v>1004473</v>
      </c>
      <c r="K189" s="9" t="n">
        <f aca="false">I189*J189</f>
        <v>334489509</v>
      </c>
      <c r="L189" s="9" t="s">
        <v>1652</v>
      </c>
      <c r="M189" s="9" t="s">
        <v>1668</v>
      </c>
      <c r="N189" s="9"/>
      <c r="O189" s="9" t="s">
        <v>57</v>
      </c>
    </row>
    <row r="190" customFormat="false" ht="15" hidden="false" customHeight="false" outlineLevel="0" collapsed="false">
      <c r="A190" s="9" t="s">
        <v>2341</v>
      </c>
      <c r="B190" s="9" t="s">
        <v>1745</v>
      </c>
      <c r="C190" s="9" t="s">
        <v>1746</v>
      </c>
      <c r="D190" s="9" t="s">
        <v>2342</v>
      </c>
      <c r="E190" s="9" t="s">
        <v>1696</v>
      </c>
      <c r="F190" s="9" t="s">
        <v>1395</v>
      </c>
      <c r="G190" s="9" t="s">
        <v>1968</v>
      </c>
      <c r="H190" s="9" t="s">
        <v>2343</v>
      </c>
      <c r="I190" s="9" t="n">
        <v>142</v>
      </c>
      <c r="J190" s="9" t="n">
        <v>115210</v>
      </c>
      <c r="K190" s="9" t="n">
        <f aca="false">I190*J190</f>
        <v>16359820</v>
      </c>
      <c r="L190" s="9" t="s">
        <v>1652</v>
      </c>
      <c r="M190" s="9" t="s">
        <v>1653</v>
      </c>
      <c r="N190" s="9" t="s">
        <v>1013</v>
      </c>
      <c r="O190" s="9" t="s">
        <v>705</v>
      </c>
    </row>
    <row r="191" customFormat="false" ht="15" hidden="false" customHeight="false" outlineLevel="0" collapsed="false">
      <c r="A191" s="9" t="s">
        <v>2344</v>
      </c>
      <c r="B191" s="9" t="s">
        <v>1764</v>
      </c>
      <c r="C191" s="9" t="s">
        <v>1765</v>
      </c>
      <c r="D191" s="9" t="s">
        <v>2345</v>
      </c>
      <c r="E191" s="9" t="s">
        <v>1677</v>
      </c>
      <c r="F191" s="9" t="s">
        <v>2346</v>
      </c>
      <c r="G191" s="9" t="s">
        <v>2347</v>
      </c>
      <c r="H191" s="9" t="s">
        <v>2348</v>
      </c>
      <c r="I191" s="9" t="n">
        <v>232</v>
      </c>
      <c r="J191" s="9" t="n">
        <v>1303229</v>
      </c>
      <c r="K191" s="9" t="n">
        <f aca="false">I191*J191</f>
        <v>302349128</v>
      </c>
      <c r="L191" s="9" t="s">
        <v>1652</v>
      </c>
      <c r="M191" s="9" t="s">
        <v>1653</v>
      </c>
      <c r="N191" s="9"/>
      <c r="O191" s="9" t="s">
        <v>193</v>
      </c>
    </row>
    <row r="192" customFormat="false" ht="15" hidden="false" customHeight="false" outlineLevel="0" collapsed="false">
      <c r="A192" s="9" t="s">
        <v>2349</v>
      </c>
      <c r="B192" s="9" t="s">
        <v>1693</v>
      </c>
      <c r="C192" s="9" t="s">
        <v>1694</v>
      </c>
      <c r="D192" s="9" t="s">
        <v>2350</v>
      </c>
      <c r="E192" s="9" t="s">
        <v>1701</v>
      </c>
      <c r="F192" s="9" t="s">
        <v>2223</v>
      </c>
      <c r="G192" s="9" t="s">
        <v>2351</v>
      </c>
      <c r="H192" s="9" t="s">
        <v>2352</v>
      </c>
      <c r="I192" s="9" t="n">
        <v>148</v>
      </c>
      <c r="J192" s="9" t="n">
        <v>162370</v>
      </c>
      <c r="K192" s="9" t="n">
        <f aca="false">I192*J192</f>
        <v>24030760</v>
      </c>
      <c r="L192" s="9" t="s">
        <v>1652</v>
      </c>
      <c r="M192" s="9" t="s">
        <v>1653</v>
      </c>
      <c r="N192" s="9" t="s">
        <v>826</v>
      </c>
      <c r="O192" s="9" t="s">
        <v>270</v>
      </c>
    </row>
    <row r="193" customFormat="false" ht="15" hidden="false" customHeight="false" outlineLevel="0" collapsed="false">
      <c r="A193" s="9" t="s">
        <v>2353</v>
      </c>
      <c r="B193" s="9" t="s">
        <v>1674</v>
      </c>
      <c r="C193" s="9" t="s">
        <v>1675</v>
      </c>
      <c r="D193" s="9" t="s">
        <v>2354</v>
      </c>
      <c r="E193" s="9" t="s">
        <v>1664</v>
      </c>
      <c r="F193" s="9" t="s">
        <v>2355</v>
      </c>
      <c r="G193" s="9" t="s">
        <v>2356</v>
      </c>
      <c r="H193" s="9" t="s">
        <v>2356</v>
      </c>
      <c r="I193" s="9" t="n">
        <v>151</v>
      </c>
      <c r="J193" s="9" t="n">
        <v>874540</v>
      </c>
      <c r="K193" s="9" t="n">
        <f aca="false">I193*J193</f>
        <v>132055540</v>
      </c>
      <c r="L193" s="9" t="s">
        <v>1652</v>
      </c>
      <c r="M193" s="9" t="s">
        <v>1659</v>
      </c>
      <c r="N193" s="9" t="s">
        <v>997</v>
      </c>
      <c r="O193" s="9" t="s">
        <v>669</v>
      </c>
    </row>
    <row r="194" customFormat="false" ht="15" hidden="false" customHeight="false" outlineLevel="0" collapsed="false">
      <c r="A194" s="9" t="s">
        <v>2357</v>
      </c>
      <c r="B194" s="9" t="s">
        <v>1745</v>
      </c>
      <c r="C194" s="9" t="s">
        <v>1746</v>
      </c>
      <c r="D194" s="9" t="s">
        <v>2358</v>
      </c>
      <c r="E194" s="9" t="s">
        <v>1685</v>
      </c>
      <c r="F194" s="9" t="s">
        <v>1012</v>
      </c>
      <c r="G194" s="9" t="s">
        <v>1771</v>
      </c>
      <c r="H194" s="9" t="s">
        <v>2359</v>
      </c>
      <c r="I194" s="9" t="n">
        <v>428</v>
      </c>
      <c r="J194" s="9" t="n">
        <v>1987943</v>
      </c>
      <c r="K194" s="9" t="n">
        <f aca="false">I194*J194</f>
        <v>850839604</v>
      </c>
      <c r="L194" s="9" t="s">
        <v>1652</v>
      </c>
      <c r="M194" s="9" t="s">
        <v>1668</v>
      </c>
      <c r="N194" s="9"/>
      <c r="O194" s="9" t="s">
        <v>558</v>
      </c>
    </row>
    <row r="195" customFormat="false" ht="15" hidden="false" customHeight="false" outlineLevel="0" collapsed="false">
      <c r="A195" s="9" t="s">
        <v>2360</v>
      </c>
      <c r="B195" s="9" t="s">
        <v>1752</v>
      </c>
      <c r="C195" s="9" t="s">
        <v>1753</v>
      </c>
      <c r="D195" s="9" t="s">
        <v>2361</v>
      </c>
      <c r="E195" s="9" t="s">
        <v>1690</v>
      </c>
      <c r="F195" s="9" t="s">
        <v>2362</v>
      </c>
      <c r="G195" s="9" t="s">
        <v>1542</v>
      </c>
      <c r="H195" s="9" t="s">
        <v>1391</v>
      </c>
      <c r="I195" s="9" t="n">
        <v>235</v>
      </c>
      <c r="J195" s="9" t="n">
        <v>638706</v>
      </c>
      <c r="K195" s="9" t="n">
        <f aca="false">I195*J195</f>
        <v>150095910</v>
      </c>
      <c r="L195" s="9" t="s">
        <v>1652</v>
      </c>
      <c r="M195" s="9" t="s">
        <v>1659</v>
      </c>
      <c r="N195" s="9"/>
      <c r="O195" s="9" t="s">
        <v>462</v>
      </c>
    </row>
    <row r="196" customFormat="false" ht="15" hidden="false" customHeight="false" outlineLevel="0" collapsed="false">
      <c r="A196" s="9" t="s">
        <v>2363</v>
      </c>
      <c r="B196" s="9" t="s">
        <v>1732</v>
      </c>
      <c r="C196" s="9" t="s">
        <v>1335</v>
      </c>
      <c r="D196" s="9" t="s">
        <v>2364</v>
      </c>
      <c r="E196" s="9" t="s">
        <v>1650</v>
      </c>
      <c r="F196" s="9" t="s">
        <v>2090</v>
      </c>
      <c r="G196" s="9" t="s">
        <v>2365</v>
      </c>
      <c r="H196" s="9" t="s">
        <v>1924</v>
      </c>
      <c r="I196" s="9" t="n">
        <v>395</v>
      </c>
      <c r="J196" s="9" t="n">
        <v>1774170</v>
      </c>
      <c r="K196" s="9" t="n">
        <f aca="false">I196*J196</f>
        <v>700797150</v>
      </c>
      <c r="L196" s="9" t="s">
        <v>1652</v>
      </c>
      <c r="M196" s="9" t="s">
        <v>1653</v>
      </c>
      <c r="N196" s="9" t="s">
        <v>924</v>
      </c>
      <c r="O196" s="9" t="s">
        <v>669</v>
      </c>
    </row>
    <row r="197" customFormat="false" ht="15" hidden="false" customHeight="false" outlineLevel="0" collapsed="false">
      <c r="A197" s="9" t="s">
        <v>2366</v>
      </c>
      <c r="B197" s="9" t="s">
        <v>1732</v>
      </c>
      <c r="C197" s="9" t="s">
        <v>1335</v>
      </c>
      <c r="D197" s="9" t="s">
        <v>2367</v>
      </c>
      <c r="E197" s="9" t="s">
        <v>1664</v>
      </c>
      <c r="F197" s="9" t="s">
        <v>2368</v>
      </c>
      <c r="G197" s="9" t="s">
        <v>1927</v>
      </c>
      <c r="H197" s="9" t="s">
        <v>2060</v>
      </c>
      <c r="I197" s="9" t="n">
        <v>430</v>
      </c>
      <c r="J197" s="9" t="n">
        <v>1486016</v>
      </c>
      <c r="K197" s="9" t="n">
        <f aca="false">I197*J197</f>
        <v>638986880</v>
      </c>
      <c r="L197" s="9" t="s">
        <v>1652</v>
      </c>
      <c r="M197" s="9" t="s">
        <v>1668</v>
      </c>
      <c r="N197" s="9"/>
      <c r="O197" s="9" t="s">
        <v>270</v>
      </c>
    </row>
    <row r="198" customFormat="false" ht="15" hidden="false" customHeight="false" outlineLevel="0" collapsed="false">
      <c r="A198" s="9" t="s">
        <v>2369</v>
      </c>
      <c r="B198" s="9" t="s">
        <v>1732</v>
      </c>
      <c r="C198" s="9" t="s">
        <v>1335</v>
      </c>
      <c r="D198" s="9" t="s">
        <v>2370</v>
      </c>
      <c r="E198" s="9" t="s">
        <v>1696</v>
      </c>
      <c r="F198" s="9" t="s">
        <v>2371</v>
      </c>
      <c r="G198" s="9" t="s">
        <v>2372</v>
      </c>
      <c r="H198" s="9" t="s">
        <v>2212</v>
      </c>
      <c r="I198" s="9" t="n">
        <v>226</v>
      </c>
      <c r="J198" s="9" t="n">
        <v>547113</v>
      </c>
      <c r="K198" s="9" t="n">
        <f aca="false">I198*J198</f>
        <v>123647538</v>
      </c>
      <c r="L198" s="9" t="s">
        <v>1652</v>
      </c>
      <c r="M198" s="9" t="s">
        <v>1653</v>
      </c>
      <c r="N198" s="9" t="s">
        <v>1067</v>
      </c>
      <c r="O198" s="9" t="s">
        <v>152</v>
      </c>
    </row>
    <row r="199" customFormat="false" ht="15" hidden="false" customHeight="false" outlineLevel="0" collapsed="false">
      <c r="A199" s="9" t="s">
        <v>2373</v>
      </c>
      <c r="B199" s="9" t="s">
        <v>1713</v>
      </c>
      <c r="C199" s="9" t="s">
        <v>1714</v>
      </c>
      <c r="D199" s="9" t="s">
        <v>2374</v>
      </c>
      <c r="E199" s="9" t="s">
        <v>1690</v>
      </c>
      <c r="F199" s="9" t="s">
        <v>1542</v>
      </c>
      <c r="G199" s="9" t="s">
        <v>2375</v>
      </c>
      <c r="H199" s="9" t="s">
        <v>2376</v>
      </c>
      <c r="I199" s="9" t="n">
        <v>274</v>
      </c>
      <c r="J199" s="9" t="n">
        <v>633416</v>
      </c>
      <c r="K199" s="9" t="n">
        <f aca="false">I199*J199</f>
        <v>173555984</v>
      </c>
      <c r="L199" s="9" t="s">
        <v>1652</v>
      </c>
      <c r="M199" s="9" t="s">
        <v>1653</v>
      </c>
      <c r="N199" s="9"/>
      <c r="O199" s="9" t="s">
        <v>616</v>
      </c>
    </row>
    <row r="200" customFormat="false" ht="15" hidden="false" customHeight="false" outlineLevel="0" collapsed="false">
      <c r="A200" s="9" t="s">
        <v>2377</v>
      </c>
      <c r="B200" s="9" t="s">
        <v>1674</v>
      </c>
      <c r="C200" s="9" t="s">
        <v>1675</v>
      </c>
      <c r="D200" s="9" t="s">
        <v>2378</v>
      </c>
      <c r="E200" s="9" t="s">
        <v>1664</v>
      </c>
      <c r="F200" s="9" t="s">
        <v>2379</v>
      </c>
      <c r="G200" s="9" t="s">
        <v>1367</v>
      </c>
      <c r="H200" s="9" t="s">
        <v>2380</v>
      </c>
      <c r="I200" s="9" t="n">
        <v>500</v>
      </c>
      <c r="J200" s="9" t="n">
        <v>1065113</v>
      </c>
      <c r="K200" s="9" t="n">
        <f aca="false">I200*J200</f>
        <v>532556500</v>
      </c>
      <c r="L200" s="9" t="s">
        <v>1652</v>
      </c>
      <c r="M200" s="9" t="s">
        <v>1668</v>
      </c>
      <c r="N200" s="9" t="s">
        <v>1139</v>
      </c>
      <c r="O200" s="9" t="s">
        <v>462</v>
      </c>
    </row>
    <row r="201" customFormat="false" ht="15" hidden="false" customHeight="false" outlineLevel="0" collapsed="false">
      <c r="A201" s="9" t="s">
        <v>2381</v>
      </c>
      <c r="B201" s="9" t="s">
        <v>1674</v>
      </c>
      <c r="C201" s="9" t="s">
        <v>1675</v>
      </c>
      <c r="D201" s="9" t="s">
        <v>2382</v>
      </c>
      <c r="E201" s="9" t="s">
        <v>1650</v>
      </c>
      <c r="F201" s="9" t="s">
        <v>2383</v>
      </c>
      <c r="G201" s="9" t="s">
        <v>1743</v>
      </c>
      <c r="H201" s="9" t="s">
        <v>2384</v>
      </c>
      <c r="I201" s="9" t="n">
        <v>374</v>
      </c>
      <c r="J201" s="9" t="n">
        <v>1902866</v>
      </c>
      <c r="K201" s="9" t="n">
        <f aca="false">I201*J201</f>
        <v>711671884</v>
      </c>
      <c r="L201" s="9" t="s">
        <v>1652</v>
      </c>
      <c r="M201" s="9" t="s">
        <v>1668</v>
      </c>
      <c r="N201" s="9"/>
      <c r="O201" s="9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23.85" hidden="false" customHeight="false" outlineLevel="0" collapsed="false">
      <c r="A1" s="8" t="s">
        <v>2385</v>
      </c>
      <c r="B1" s="8" t="s">
        <v>2386</v>
      </c>
      <c r="C1" s="8" t="s">
        <v>2387</v>
      </c>
      <c r="D1" s="8" t="s">
        <v>45</v>
      </c>
      <c r="E1" s="8" t="s">
        <v>2388</v>
      </c>
      <c r="F1" s="8" t="s">
        <v>2389</v>
      </c>
      <c r="G1" s="8" t="s">
        <v>2390</v>
      </c>
      <c r="H1" s="8" t="s">
        <v>2391</v>
      </c>
      <c r="I1" s="8" t="s">
        <v>41</v>
      </c>
      <c r="J1" s="8" t="s">
        <v>96</v>
      </c>
    </row>
    <row r="2" customFormat="false" ht="15" hidden="false" customHeight="false" outlineLevel="0" collapsed="false">
      <c r="A2" s="9" t="s">
        <v>2392</v>
      </c>
      <c r="B2" s="9" t="s">
        <v>2393</v>
      </c>
      <c r="C2" s="9" t="s">
        <v>2394</v>
      </c>
      <c r="D2" s="9" t="s">
        <v>2395</v>
      </c>
      <c r="E2" s="9" t="s">
        <v>788</v>
      </c>
      <c r="F2" s="9" t="n">
        <v>64487772</v>
      </c>
      <c r="G2" s="9" t="n">
        <v>57078991</v>
      </c>
      <c r="H2" s="9" t="s">
        <v>197</v>
      </c>
      <c r="I2" s="9" t="s">
        <v>59</v>
      </c>
      <c r="J2" s="9" t="s">
        <v>2396</v>
      </c>
    </row>
    <row r="3" customFormat="false" ht="15" hidden="false" customHeight="false" outlineLevel="0" collapsed="false">
      <c r="A3" s="9" t="s">
        <v>2397</v>
      </c>
      <c r="B3" s="9" t="s">
        <v>2398</v>
      </c>
      <c r="C3" s="9" t="s">
        <v>2399</v>
      </c>
      <c r="D3" s="9" t="s">
        <v>2400</v>
      </c>
      <c r="E3" s="9" t="s">
        <v>2401</v>
      </c>
      <c r="F3" s="9" t="n">
        <v>54105855</v>
      </c>
      <c r="G3" s="9" t="n">
        <v>37949267</v>
      </c>
      <c r="H3" s="9" t="s">
        <v>234</v>
      </c>
      <c r="I3" s="9" t="s">
        <v>59</v>
      </c>
      <c r="J3" s="9" t="s">
        <v>2396</v>
      </c>
    </row>
    <row r="4" customFormat="false" ht="15" hidden="false" customHeight="false" outlineLevel="0" collapsed="false">
      <c r="A4" s="9" t="s">
        <v>2402</v>
      </c>
      <c r="B4" s="9" t="s">
        <v>2398</v>
      </c>
      <c r="C4" s="9" t="s">
        <v>2403</v>
      </c>
      <c r="D4" s="9" t="s">
        <v>2400</v>
      </c>
      <c r="E4" s="9" t="s">
        <v>2404</v>
      </c>
      <c r="F4" s="9" t="n">
        <v>26392555</v>
      </c>
      <c r="G4" s="9" t="n">
        <v>17926626</v>
      </c>
      <c r="H4" s="9" t="s">
        <v>234</v>
      </c>
      <c r="I4" s="9" t="s">
        <v>59</v>
      </c>
      <c r="J4" s="9" t="s">
        <v>2396</v>
      </c>
    </row>
    <row r="5" customFormat="false" ht="15" hidden="false" customHeight="false" outlineLevel="0" collapsed="false">
      <c r="A5" s="9" t="s">
        <v>2405</v>
      </c>
      <c r="B5" s="9" t="s">
        <v>2406</v>
      </c>
      <c r="C5" s="9" t="s">
        <v>2407</v>
      </c>
      <c r="D5" s="9" t="s">
        <v>2408</v>
      </c>
      <c r="E5" s="9" t="s">
        <v>2409</v>
      </c>
      <c r="F5" s="9" t="n">
        <v>11419199</v>
      </c>
      <c r="G5" s="9" t="n">
        <v>7422113</v>
      </c>
      <c r="H5" s="9" t="s">
        <v>389</v>
      </c>
      <c r="I5" s="9" t="s">
        <v>59</v>
      </c>
      <c r="J5" s="9" t="s">
        <v>2396</v>
      </c>
    </row>
    <row r="6" customFormat="false" ht="15" hidden="false" customHeight="false" outlineLevel="0" collapsed="false">
      <c r="A6" s="9" t="s">
        <v>2410</v>
      </c>
      <c r="B6" s="9" t="s">
        <v>2398</v>
      </c>
      <c r="C6" s="9" t="s">
        <v>2411</v>
      </c>
      <c r="D6" s="9" t="s">
        <v>2412</v>
      </c>
      <c r="E6" s="9" t="s">
        <v>2413</v>
      </c>
      <c r="F6" s="9" t="n">
        <v>26298642</v>
      </c>
      <c r="G6" s="9" t="n">
        <v>16273664</v>
      </c>
      <c r="H6" s="9" t="s">
        <v>466</v>
      </c>
      <c r="I6" s="9" t="s">
        <v>59</v>
      </c>
      <c r="J6" s="9" t="s">
        <v>2396</v>
      </c>
    </row>
    <row r="7" customFormat="false" ht="15" hidden="false" customHeight="false" outlineLevel="0" collapsed="false">
      <c r="A7" s="9" t="s">
        <v>2414</v>
      </c>
      <c r="B7" s="9" t="s">
        <v>2398</v>
      </c>
      <c r="C7" s="9" t="s">
        <v>2415</v>
      </c>
      <c r="D7" s="9" t="s">
        <v>2400</v>
      </c>
      <c r="E7" s="9" t="s">
        <v>2416</v>
      </c>
      <c r="F7" s="9" t="n">
        <v>20056967</v>
      </c>
      <c r="G7" s="9" t="n">
        <v>15351130</v>
      </c>
      <c r="H7" s="9" t="s">
        <v>351</v>
      </c>
      <c r="I7" s="9" t="s">
        <v>59</v>
      </c>
      <c r="J7" s="9" t="s">
        <v>2396</v>
      </c>
    </row>
    <row r="8" customFormat="false" ht="15" hidden="false" customHeight="false" outlineLevel="0" collapsed="false">
      <c r="A8" s="9" t="s">
        <v>2417</v>
      </c>
      <c r="B8" s="9" t="s">
        <v>2406</v>
      </c>
      <c r="C8" s="9" t="s">
        <v>2418</v>
      </c>
      <c r="D8" s="9" t="s">
        <v>2395</v>
      </c>
      <c r="E8" s="9" t="s">
        <v>2419</v>
      </c>
      <c r="F8" s="9" t="n">
        <v>46494407</v>
      </c>
      <c r="G8" s="9" t="n">
        <v>24566750</v>
      </c>
      <c r="H8" s="9" t="s">
        <v>389</v>
      </c>
      <c r="I8" s="9" t="s">
        <v>59</v>
      </c>
      <c r="J8" s="9" t="s">
        <v>2420</v>
      </c>
    </row>
    <row r="9" customFormat="false" ht="15" hidden="false" customHeight="false" outlineLevel="0" collapsed="false">
      <c r="A9" s="9" t="s">
        <v>2421</v>
      </c>
      <c r="B9" s="9" t="s">
        <v>2398</v>
      </c>
      <c r="C9" s="9" t="s">
        <v>2422</v>
      </c>
      <c r="D9" s="9" t="s">
        <v>2408</v>
      </c>
      <c r="E9" s="9" t="s">
        <v>2423</v>
      </c>
      <c r="F9" s="9" t="n">
        <v>59822247</v>
      </c>
      <c r="G9" s="9" t="n">
        <v>46780577</v>
      </c>
      <c r="H9" s="9" t="s">
        <v>351</v>
      </c>
      <c r="I9" s="9" t="s">
        <v>59</v>
      </c>
      <c r="J9" s="9" t="s">
        <v>2420</v>
      </c>
    </row>
    <row r="10" customFormat="false" ht="15" hidden="false" customHeight="false" outlineLevel="0" collapsed="false">
      <c r="A10" s="9" t="s">
        <v>2424</v>
      </c>
      <c r="B10" s="9" t="s">
        <v>2406</v>
      </c>
      <c r="C10" s="9" t="s">
        <v>2425</v>
      </c>
      <c r="D10" s="9" t="s">
        <v>2408</v>
      </c>
      <c r="E10" s="9" t="s">
        <v>2426</v>
      </c>
      <c r="F10" s="9" t="n">
        <v>57085794</v>
      </c>
      <c r="G10" s="9" t="n">
        <v>44161204</v>
      </c>
      <c r="H10" s="9" t="s">
        <v>351</v>
      </c>
      <c r="I10" s="9" t="s">
        <v>59</v>
      </c>
      <c r="J10" s="9" t="s">
        <v>2396</v>
      </c>
    </row>
    <row r="11" customFormat="false" ht="15" hidden="false" customHeight="false" outlineLevel="0" collapsed="false">
      <c r="A11" s="9" t="s">
        <v>2427</v>
      </c>
      <c r="B11" s="9" t="s">
        <v>2428</v>
      </c>
      <c r="C11" s="9" t="s">
        <v>2429</v>
      </c>
      <c r="D11" s="9" t="s">
        <v>2412</v>
      </c>
      <c r="E11" s="9" t="s">
        <v>2430</v>
      </c>
      <c r="F11" s="9" t="n">
        <v>19478938</v>
      </c>
      <c r="G11" s="9" t="n">
        <v>8474496</v>
      </c>
      <c r="H11" s="9" t="s">
        <v>389</v>
      </c>
      <c r="I11" s="9" t="s">
        <v>59</v>
      </c>
      <c r="J11" s="9" t="s">
        <v>2431</v>
      </c>
    </row>
    <row r="12" customFormat="false" ht="15" hidden="false" customHeight="false" outlineLevel="0" collapsed="false">
      <c r="A12" s="9" t="s">
        <v>2432</v>
      </c>
      <c r="B12" s="9" t="s">
        <v>2428</v>
      </c>
      <c r="C12" s="9" t="s">
        <v>2433</v>
      </c>
      <c r="D12" s="9" t="s">
        <v>2400</v>
      </c>
      <c r="E12" s="9" t="s">
        <v>2434</v>
      </c>
      <c r="F12" s="9" t="n">
        <v>79479578</v>
      </c>
      <c r="G12" s="9" t="n">
        <v>62906030</v>
      </c>
      <c r="H12" s="9" t="s">
        <v>156</v>
      </c>
      <c r="I12" s="9" t="s">
        <v>59</v>
      </c>
      <c r="J12" s="9" t="s">
        <v>2396</v>
      </c>
    </row>
    <row r="13" customFormat="false" ht="15" hidden="false" customHeight="false" outlineLevel="0" collapsed="false">
      <c r="A13" s="9" t="s">
        <v>2435</v>
      </c>
      <c r="B13" s="9" t="s">
        <v>2393</v>
      </c>
      <c r="C13" s="9" t="s">
        <v>2436</v>
      </c>
      <c r="D13" s="9" t="s">
        <v>2400</v>
      </c>
      <c r="E13" s="9" t="s">
        <v>2437</v>
      </c>
      <c r="F13" s="9" t="n">
        <v>23673742</v>
      </c>
      <c r="G13" s="9" t="n">
        <v>15654948</v>
      </c>
      <c r="H13" s="9" t="s">
        <v>673</v>
      </c>
      <c r="I13" s="9" t="s">
        <v>59</v>
      </c>
      <c r="J13" s="9" t="s">
        <v>2396</v>
      </c>
    </row>
    <row r="14" customFormat="false" ht="15" hidden="false" customHeight="false" outlineLevel="0" collapsed="false">
      <c r="A14" s="9" t="s">
        <v>2438</v>
      </c>
      <c r="B14" s="9" t="s">
        <v>2439</v>
      </c>
      <c r="C14" s="9" t="s">
        <v>2440</v>
      </c>
      <c r="D14" s="9" t="s">
        <v>2408</v>
      </c>
      <c r="E14" s="9" t="s">
        <v>2441</v>
      </c>
      <c r="F14" s="9" t="n">
        <v>51440239</v>
      </c>
      <c r="G14" s="9" t="n">
        <v>25110607</v>
      </c>
      <c r="H14" s="9" t="s">
        <v>389</v>
      </c>
      <c r="I14" s="9" t="s">
        <v>59</v>
      </c>
      <c r="J14" s="9" t="s">
        <v>2396</v>
      </c>
    </row>
    <row r="15" customFormat="false" ht="15" hidden="false" customHeight="false" outlineLevel="0" collapsed="false">
      <c r="A15" s="9" t="s">
        <v>2442</v>
      </c>
      <c r="B15" s="9" t="s">
        <v>2406</v>
      </c>
      <c r="C15" s="9" t="s">
        <v>2443</v>
      </c>
      <c r="D15" s="9" t="s">
        <v>2412</v>
      </c>
      <c r="E15" s="9" t="s">
        <v>2444</v>
      </c>
      <c r="F15" s="9" t="n">
        <v>66517044</v>
      </c>
      <c r="G15" s="9" t="n">
        <v>44136232</v>
      </c>
      <c r="H15" s="9" t="s">
        <v>389</v>
      </c>
      <c r="I15" s="9" t="s">
        <v>59</v>
      </c>
      <c r="J15" s="9" t="s">
        <v>2396</v>
      </c>
    </row>
    <row r="16" customFormat="false" ht="15" hidden="false" customHeight="false" outlineLevel="0" collapsed="false">
      <c r="A16" s="9" t="s">
        <v>2445</v>
      </c>
      <c r="B16" s="9" t="s">
        <v>2398</v>
      </c>
      <c r="C16" s="9" t="s">
        <v>2446</v>
      </c>
      <c r="D16" s="9" t="s">
        <v>2408</v>
      </c>
      <c r="E16" s="9" t="s">
        <v>2447</v>
      </c>
      <c r="F16" s="9" t="n">
        <v>40488055</v>
      </c>
      <c r="G16" s="9" t="n">
        <v>37306393</v>
      </c>
      <c r="H16" s="9" t="s">
        <v>701</v>
      </c>
      <c r="I16" s="9" t="s">
        <v>59</v>
      </c>
      <c r="J16" s="9" t="s">
        <v>2396</v>
      </c>
    </row>
    <row r="17" customFormat="false" ht="15" hidden="false" customHeight="false" outlineLevel="0" collapsed="false">
      <c r="A17" s="9" t="s">
        <v>2448</v>
      </c>
      <c r="B17" s="9" t="s">
        <v>2398</v>
      </c>
      <c r="C17" s="9" t="s">
        <v>2449</v>
      </c>
      <c r="D17" s="9" t="s">
        <v>2400</v>
      </c>
      <c r="E17" s="9" t="s">
        <v>2450</v>
      </c>
      <c r="F17" s="9" t="n">
        <v>24274943</v>
      </c>
      <c r="G17" s="9" t="n">
        <v>15043818</v>
      </c>
      <c r="H17" s="9" t="s">
        <v>673</v>
      </c>
      <c r="I17" s="9" t="s">
        <v>59</v>
      </c>
      <c r="J17" s="9" t="s">
        <v>2396</v>
      </c>
    </row>
    <row r="18" customFormat="false" ht="15" hidden="false" customHeight="false" outlineLevel="0" collapsed="false">
      <c r="A18" s="9" t="s">
        <v>2451</v>
      </c>
      <c r="B18" s="9" t="s">
        <v>2398</v>
      </c>
      <c r="C18" s="9" t="s">
        <v>2452</v>
      </c>
      <c r="D18" s="9" t="s">
        <v>2395</v>
      </c>
      <c r="E18" s="9" t="s">
        <v>2453</v>
      </c>
      <c r="F18" s="9" t="n">
        <v>37407440</v>
      </c>
      <c r="G18" s="9" t="n">
        <v>23210667</v>
      </c>
      <c r="H18" s="9" t="s">
        <v>156</v>
      </c>
      <c r="I18" s="9" t="s">
        <v>59</v>
      </c>
      <c r="J18" s="9" t="s">
        <v>2396</v>
      </c>
    </row>
    <row r="19" customFormat="false" ht="15" hidden="false" customHeight="false" outlineLevel="0" collapsed="false">
      <c r="A19" s="9" t="s">
        <v>2454</v>
      </c>
      <c r="B19" s="9" t="s">
        <v>2406</v>
      </c>
      <c r="C19" s="9" t="s">
        <v>2455</v>
      </c>
      <c r="D19" s="9" t="s">
        <v>2412</v>
      </c>
      <c r="E19" s="9" t="s">
        <v>2456</v>
      </c>
      <c r="F19" s="9" t="n">
        <v>76110136</v>
      </c>
      <c r="G19" s="9" t="n">
        <v>44406042</v>
      </c>
      <c r="H19" s="9" t="s">
        <v>274</v>
      </c>
      <c r="I19" s="9" t="s">
        <v>59</v>
      </c>
      <c r="J19" s="9" t="s">
        <v>2396</v>
      </c>
    </row>
    <row r="20" customFormat="false" ht="15" hidden="false" customHeight="false" outlineLevel="0" collapsed="false">
      <c r="A20" s="9" t="s">
        <v>2457</v>
      </c>
      <c r="B20" s="9" t="s">
        <v>2458</v>
      </c>
      <c r="C20" s="9" t="s">
        <v>2459</v>
      </c>
      <c r="D20" s="9" t="s">
        <v>2395</v>
      </c>
      <c r="E20" s="9" t="s">
        <v>2460</v>
      </c>
      <c r="F20" s="9" t="n">
        <v>68990057</v>
      </c>
      <c r="G20" s="9" t="n">
        <v>53565413</v>
      </c>
      <c r="H20" s="9" t="s">
        <v>60</v>
      </c>
      <c r="I20" s="9" t="s">
        <v>59</v>
      </c>
      <c r="J20" s="9" t="s">
        <v>2420</v>
      </c>
    </row>
    <row r="21" customFormat="false" ht="15" hidden="false" customHeight="false" outlineLevel="0" collapsed="false">
      <c r="A21" s="9" t="s">
        <v>2461</v>
      </c>
      <c r="B21" s="9" t="s">
        <v>2439</v>
      </c>
      <c r="C21" s="9" t="s">
        <v>2462</v>
      </c>
      <c r="D21" s="9" t="s">
        <v>2412</v>
      </c>
      <c r="E21" s="9" t="s">
        <v>2463</v>
      </c>
      <c r="F21" s="9" t="n">
        <v>19814192</v>
      </c>
      <c r="G21" s="9" t="n">
        <v>10061502</v>
      </c>
      <c r="H21" s="9" t="s">
        <v>673</v>
      </c>
      <c r="I21" s="9" t="s">
        <v>59</v>
      </c>
      <c r="J21" s="9" t="s">
        <v>2396</v>
      </c>
    </row>
    <row r="22" customFormat="false" ht="15" hidden="false" customHeight="false" outlineLevel="0" collapsed="false">
      <c r="A22" s="9" t="s">
        <v>2464</v>
      </c>
      <c r="B22" s="9" t="s">
        <v>2439</v>
      </c>
      <c r="C22" s="9" t="s">
        <v>2465</v>
      </c>
      <c r="D22" s="9" t="s">
        <v>2395</v>
      </c>
      <c r="E22" s="9" t="s">
        <v>2466</v>
      </c>
      <c r="F22" s="9" t="n">
        <v>48674537</v>
      </c>
      <c r="G22" s="9" t="n">
        <v>27875133</v>
      </c>
      <c r="H22" s="9" t="s">
        <v>313</v>
      </c>
      <c r="I22" s="9" t="s">
        <v>59</v>
      </c>
      <c r="J22" s="9" t="s">
        <v>2396</v>
      </c>
    </row>
    <row r="23" customFormat="false" ht="15" hidden="false" customHeight="false" outlineLevel="0" collapsed="false">
      <c r="A23" s="9" t="s">
        <v>2467</v>
      </c>
      <c r="B23" s="9" t="s">
        <v>2406</v>
      </c>
      <c r="C23" s="9" t="s">
        <v>2468</v>
      </c>
      <c r="D23" s="9" t="s">
        <v>2412</v>
      </c>
      <c r="E23" s="9" t="s">
        <v>192</v>
      </c>
      <c r="F23" s="9" t="n">
        <v>10511502</v>
      </c>
      <c r="G23" s="9" t="n">
        <v>6664431</v>
      </c>
      <c r="H23" s="9" t="s">
        <v>681</v>
      </c>
      <c r="I23" s="9" t="s">
        <v>59</v>
      </c>
      <c r="J23" s="9" t="s">
        <v>2396</v>
      </c>
    </row>
    <row r="24" customFormat="false" ht="15" hidden="false" customHeight="false" outlineLevel="0" collapsed="false">
      <c r="A24" s="9" t="s">
        <v>2469</v>
      </c>
      <c r="B24" s="9" t="s">
        <v>2398</v>
      </c>
      <c r="C24" s="9" t="s">
        <v>2470</v>
      </c>
      <c r="D24" s="9" t="s">
        <v>2412</v>
      </c>
      <c r="E24" s="9" t="s">
        <v>2471</v>
      </c>
      <c r="F24" s="9" t="n">
        <v>22632603</v>
      </c>
      <c r="G24" s="9" t="n">
        <v>14788437</v>
      </c>
      <c r="H24" s="9" t="s">
        <v>701</v>
      </c>
      <c r="I24" s="9" t="s">
        <v>59</v>
      </c>
      <c r="J24" s="9" t="s">
        <v>2396</v>
      </c>
    </row>
    <row r="25" customFormat="false" ht="15" hidden="false" customHeight="false" outlineLevel="0" collapsed="false">
      <c r="A25" s="9" t="s">
        <v>2472</v>
      </c>
      <c r="B25" s="9" t="s">
        <v>2393</v>
      </c>
      <c r="C25" s="9" t="s">
        <v>2473</v>
      </c>
      <c r="D25" s="9" t="s">
        <v>2400</v>
      </c>
      <c r="E25" s="9" t="s">
        <v>2474</v>
      </c>
      <c r="F25" s="9" t="n">
        <v>48856970</v>
      </c>
      <c r="G25" s="9" t="n">
        <v>17700475</v>
      </c>
      <c r="H25" s="9" t="s">
        <v>466</v>
      </c>
      <c r="I25" s="9" t="s">
        <v>59</v>
      </c>
      <c r="J25" s="9" t="s">
        <v>2396</v>
      </c>
    </row>
    <row r="26" customFormat="false" ht="15" hidden="false" customHeight="false" outlineLevel="0" collapsed="false">
      <c r="A26" s="9" t="s">
        <v>2475</v>
      </c>
      <c r="B26" s="9" t="s">
        <v>2439</v>
      </c>
      <c r="C26" s="9" t="s">
        <v>2476</v>
      </c>
      <c r="D26" s="9" t="s">
        <v>2395</v>
      </c>
      <c r="E26" s="9" t="s">
        <v>2477</v>
      </c>
      <c r="F26" s="9" t="n">
        <v>69747700</v>
      </c>
      <c r="G26" s="9" t="n">
        <v>33682666</v>
      </c>
      <c r="H26" s="9" t="s">
        <v>681</v>
      </c>
      <c r="I26" s="9" t="s">
        <v>59</v>
      </c>
      <c r="J26" s="9" t="s">
        <v>2396</v>
      </c>
    </row>
    <row r="27" customFormat="false" ht="15" hidden="false" customHeight="false" outlineLevel="0" collapsed="false">
      <c r="A27" s="9" t="s">
        <v>2478</v>
      </c>
      <c r="B27" s="9" t="s">
        <v>2406</v>
      </c>
      <c r="C27" s="9" t="s">
        <v>2479</v>
      </c>
      <c r="D27" s="9" t="s">
        <v>2408</v>
      </c>
      <c r="E27" s="9" t="s">
        <v>2480</v>
      </c>
      <c r="F27" s="9" t="n">
        <v>29442850</v>
      </c>
      <c r="G27" s="9" t="n">
        <v>11790704</v>
      </c>
      <c r="H27" s="9" t="s">
        <v>234</v>
      </c>
      <c r="I27" s="9" t="s">
        <v>59</v>
      </c>
      <c r="J27" s="9" t="s">
        <v>2420</v>
      </c>
    </row>
    <row r="28" customFormat="false" ht="15" hidden="false" customHeight="false" outlineLevel="0" collapsed="false">
      <c r="A28" s="9" t="s">
        <v>2481</v>
      </c>
      <c r="B28" s="9" t="s">
        <v>2428</v>
      </c>
      <c r="C28" s="9" t="s">
        <v>2482</v>
      </c>
      <c r="D28" s="9" t="s">
        <v>2412</v>
      </c>
      <c r="E28" s="9" t="s">
        <v>828</v>
      </c>
      <c r="F28" s="9" t="n">
        <v>70751927</v>
      </c>
      <c r="G28" s="9" t="n">
        <v>60135270</v>
      </c>
      <c r="H28" s="9" t="s">
        <v>673</v>
      </c>
      <c r="I28" s="9" t="s">
        <v>59</v>
      </c>
      <c r="J28" s="9" t="s">
        <v>2396</v>
      </c>
    </row>
    <row r="29" customFormat="false" ht="15" hidden="false" customHeight="false" outlineLevel="0" collapsed="false">
      <c r="A29" s="9" t="s">
        <v>2483</v>
      </c>
      <c r="B29" s="9" t="s">
        <v>2398</v>
      </c>
      <c r="C29" s="9" t="s">
        <v>2484</v>
      </c>
      <c r="D29" s="9" t="s">
        <v>2485</v>
      </c>
      <c r="E29" s="9" t="s">
        <v>2486</v>
      </c>
      <c r="F29" s="9" t="n">
        <v>10454278</v>
      </c>
      <c r="G29" s="9" t="n">
        <v>3928379</v>
      </c>
      <c r="H29" s="9" t="s">
        <v>197</v>
      </c>
      <c r="I29" s="9" t="s">
        <v>59</v>
      </c>
      <c r="J29" s="9" t="s">
        <v>2420</v>
      </c>
    </row>
    <row r="30" customFormat="false" ht="15" hidden="false" customHeight="false" outlineLevel="0" collapsed="false">
      <c r="A30" s="9" t="s">
        <v>2487</v>
      </c>
      <c r="B30" s="9" t="s">
        <v>2458</v>
      </c>
      <c r="C30" s="9" t="s">
        <v>2488</v>
      </c>
      <c r="D30" s="9" t="s">
        <v>2400</v>
      </c>
      <c r="E30" s="9" t="s">
        <v>400</v>
      </c>
      <c r="F30" s="9" t="n">
        <v>48863129</v>
      </c>
      <c r="G30" s="9" t="n">
        <v>19074166</v>
      </c>
      <c r="H30" s="9" t="s">
        <v>389</v>
      </c>
      <c r="I30" s="9" t="s">
        <v>59</v>
      </c>
      <c r="J30" s="9" t="s">
        <v>2420</v>
      </c>
    </row>
    <row r="31" customFormat="false" ht="15" hidden="false" customHeight="false" outlineLevel="0" collapsed="false">
      <c r="A31" s="9" t="s">
        <v>2489</v>
      </c>
      <c r="B31" s="9" t="s">
        <v>2428</v>
      </c>
      <c r="C31" s="9" t="s">
        <v>2490</v>
      </c>
      <c r="D31" s="9" t="s">
        <v>2412</v>
      </c>
      <c r="E31" s="9" t="s">
        <v>2491</v>
      </c>
      <c r="F31" s="9" t="n">
        <v>46108520</v>
      </c>
      <c r="G31" s="9" t="n">
        <v>18993697</v>
      </c>
      <c r="H31" s="9" t="s">
        <v>274</v>
      </c>
      <c r="I31" s="9" t="s">
        <v>59</v>
      </c>
      <c r="J31" s="9" t="s">
        <v>2396</v>
      </c>
    </row>
    <row r="32" customFormat="false" ht="15" hidden="false" customHeight="false" outlineLevel="0" collapsed="false">
      <c r="A32" s="9" t="s">
        <v>2492</v>
      </c>
      <c r="B32" s="9" t="s">
        <v>2398</v>
      </c>
      <c r="C32" s="9" t="s">
        <v>2493</v>
      </c>
      <c r="D32" s="9" t="s">
        <v>2408</v>
      </c>
      <c r="E32" s="9" t="s">
        <v>2494</v>
      </c>
      <c r="F32" s="9" t="n">
        <v>19307146</v>
      </c>
      <c r="G32" s="9" t="n">
        <v>14426891</v>
      </c>
      <c r="H32" s="9" t="s">
        <v>274</v>
      </c>
      <c r="I32" s="9" t="s">
        <v>59</v>
      </c>
      <c r="J32" s="9" t="s">
        <v>2396</v>
      </c>
    </row>
    <row r="33" customFormat="false" ht="15" hidden="false" customHeight="false" outlineLevel="0" collapsed="false">
      <c r="A33" s="9" t="s">
        <v>2495</v>
      </c>
      <c r="B33" s="9" t="s">
        <v>2439</v>
      </c>
      <c r="C33" s="9" t="s">
        <v>2496</v>
      </c>
      <c r="D33" s="9" t="s">
        <v>2395</v>
      </c>
      <c r="E33" s="9" t="s">
        <v>2497</v>
      </c>
      <c r="F33" s="9" t="n">
        <v>15195099</v>
      </c>
      <c r="G33" s="9" t="n">
        <v>5326306</v>
      </c>
      <c r="H33" s="9" t="s">
        <v>681</v>
      </c>
      <c r="I33" s="9" t="s">
        <v>59</v>
      </c>
      <c r="J33" s="9" t="s">
        <v>2396</v>
      </c>
    </row>
    <row r="34" customFormat="false" ht="15" hidden="false" customHeight="false" outlineLevel="0" collapsed="false">
      <c r="A34" s="9" t="s">
        <v>2498</v>
      </c>
      <c r="B34" s="9" t="s">
        <v>2458</v>
      </c>
      <c r="C34" s="9" t="s">
        <v>2499</v>
      </c>
      <c r="D34" s="9" t="s">
        <v>2395</v>
      </c>
      <c r="E34" s="9" t="s">
        <v>2500</v>
      </c>
      <c r="F34" s="9" t="n">
        <v>14671004</v>
      </c>
      <c r="G34" s="9" t="n">
        <v>4714017</v>
      </c>
      <c r="H34" s="9" t="s">
        <v>494</v>
      </c>
      <c r="I34" s="9" t="s">
        <v>59</v>
      </c>
      <c r="J34" s="9" t="s">
        <v>2396</v>
      </c>
    </row>
    <row r="35" customFormat="false" ht="15" hidden="false" customHeight="false" outlineLevel="0" collapsed="false">
      <c r="A35" s="9" t="s">
        <v>2501</v>
      </c>
      <c r="B35" s="9" t="s">
        <v>2398</v>
      </c>
      <c r="C35" s="9" t="s">
        <v>2502</v>
      </c>
      <c r="D35" s="9" t="s">
        <v>2485</v>
      </c>
      <c r="E35" s="9" t="s">
        <v>2503</v>
      </c>
      <c r="F35" s="9" t="n">
        <v>34158759</v>
      </c>
      <c r="G35" s="9" t="n">
        <v>11208615</v>
      </c>
      <c r="H35" s="9" t="s">
        <v>274</v>
      </c>
      <c r="I35" s="9" t="s">
        <v>59</v>
      </c>
      <c r="J35" s="9" t="s">
        <v>2396</v>
      </c>
    </row>
    <row r="36" customFormat="false" ht="15" hidden="false" customHeight="false" outlineLevel="0" collapsed="false">
      <c r="A36" s="9" t="s">
        <v>2504</v>
      </c>
      <c r="B36" s="9" t="s">
        <v>2398</v>
      </c>
      <c r="C36" s="9" t="s">
        <v>2505</v>
      </c>
      <c r="D36" s="9" t="s">
        <v>2395</v>
      </c>
      <c r="E36" s="9" t="s">
        <v>944</v>
      </c>
      <c r="F36" s="9" t="n">
        <v>27768480</v>
      </c>
      <c r="G36" s="9" t="n">
        <v>18936492</v>
      </c>
      <c r="H36" s="9" t="s">
        <v>234</v>
      </c>
      <c r="I36" s="9" t="s">
        <v>59</v>
      </c>
      <c r="J36" s="9" t="s">
        <v>2396</v>
      </c>
    </row>
    <row r="37" customFormat="false" ht="15" hidden="false" customHeight="false" outlineLevel="0" collapsed="false">
      <c r="A37" s="9" t="s">
        <v>2506</v>
      </c>
      <c r="B37" s="9" t="s">
        <v>2406</v>
      </c>
      <c r="C37" s="9" t="s">
        <v>2507</v>
      </c>
      <c r="D37" s="9" t="s">
        <v>2395</v>
      </c>
      <c r="E37" s="9" t="s">
        <v>2508</v>
      </c>
      <c r="F37" s="9" t="n">
        <v>19736326</v>
      </c>
      <c r="G37" s="9" t="n">
        <v>16772126</v>
      </c>
      <c r="H37" s="9" t="s">
        <v>274</v>
      </c>
      <c r="I37" s="9" t="s">
        <v>59</v>
      </c>
      <c r="J37" s="9" t="s">
        <v>2431</v>
      </c>
    </row>
    <row r="38" customFormat="false" ht="15" hidden="false" customHeight="false" outlineLevel="0" collapsed="false">
      <c r="A38" s="9" t="s">
        <v>2509</v>
      </c>
      <c r="B38" s="9" t="s">
        <v>2406</v>
      </c>
      <c r="C38" s="9" t="s">
        <v>2510</v>
      </c>
      <c r="D38" s="9" t="s">
        <v>2400</v>
      </c>
      <c r="E38" s="9" t="s">
        <v>2511</v>
      </c>
      <c r="F38" s="9" t="n">
        <v>67394013</v>
      </c>
      <c r="G38" s="9" t="n">
        <v>54422106</v>
      </c>
      <c r="H38" s="9" t="s">
        <v>466</v>
      </c>
      <c r="I38" s="9" t="s">
        <v>59</v>
      </c>
      <c r="J38" s="9" t="s">
        <v>2396</v>
      </c>
    </row>
    <row r="39" customFormat="false" ht="15" hidden="false" customHeight="false" outlineLevel="0" collapsed="false">
      <c r="A39" s="9" t="s">
        <v>2512</v>
      </c>
      <c r="B39" s="9" t="s">
        <v>2428</v>
      </c>
      <c r="C39" s="9" t="s">
        <v>2513</v>
      </c>
      <c r="D39" s="9" t="s">
        <v>2395</v>
      </c>
      <c r="E39" s="9" t="s">
        <v>2514</v>
      </c>
      <c r="F39" s="9" t="n">
        <v>77795788</v>
      </c>
      <c r="G39" s="9" t="n">
        <v>61933897</v>
      </c>
      <c r="H39" s="9" t="s">
        <v>428</v>
      </c>
      <c r="I39" s="9" t="s">
        <v>59</v>
      </c>
      <c r="J39" s="9" t="s">
        <v>2396</v>
      </c>
    </row>
    <row r="40" customFormat="false" ht="15" hidden="false" customHeight="false" outlineLevel="0" collapsed="false">
      <c r="A40" s="9" t="s">
        <v>2515</v>
      </c>
      <c r="B40" s="9" t="s">
        <v>2439</v>
      </c>
      <c r="C40" s="9" t="s">
        <v>2516</v>
      </c>
      <c r="D40" s="9" t="s">
        <v>2400</v>
      </c>
      <c r="E40" s="9" t="s">
        <v>2517</v>
      </c>
      <c r="F40" s="9" t="n">
        <v>72291897</v>
      </c>
      <c r="G40" s="9" t="n">
        <v>21890984</v>
      </c>
      <c r="H40" s="9" t="s">
        <v>673</v>
      </c>
      <c r="I40" s="9" t="s">
        <v>59</v>
      </c>
      <c r="J40" s="9" t="s">
        <v>2396</v>
      </c>
    </row>
    <row r="41" customFormat="false" ht="15" hidden="false" customHeight="false" outlineLevel="0" collapsed="false">
      <c r="A41" s="9" t="s">
        <v>2518</v>
      </c>
      <c r="B41" s="9" t="s">
        <v>2439</v>
      </c>
      <c r="C41" s="9" t="s">
        <v>2519</v>
      </c>
      <c r="D41" s="9" t="s">
        <v>2412</v>
      </c>
      <c r="E41" s="9" t="s">
        <v>2520</v>
      </c>
      <c r="F41" s="9" t="n">
        <v>63915236</v>
      </c>
      <c r="G41" s="9" t="n">
        <v>34399241</v>
      </c>
      <c r="H41" s="9" t="s">
        <v>466</v>
      </c>
      <c r="I41" s="9" t="s">
        <v>59</v>
      </c>
      <c r="J41" s="9" t="s">
        <v>2396</v>
      </c>
    </row>
    <row r="42" customFormat="false" ht="15" hidden="false" customHeight="false" outlineLevel="0" collapsed="false">
      <c r="A42" s="9" t="s">
        <v>2521</v>
      </c>
      <c r="B42" s="9" t="s">
        <v>2393</v>
      </c>
      <c r="C42" s="9" t="s">
        <v>2522</v>
      </c>
      <c r="D42" s="9" t="s">
        <v>2395</v>
      </c>
      <c r="E42" s="9" t="s">
        <v>135</v>
      </c>
      <c r="F42" s="9" t="n">
        <v>47823448</v>
      </c>
      <c r="G42" s="9" t="n">
        <v>44851016</v>
      </c>
      <c r="H42" s="9" t="s">
        <v>351</v>
      </c>
      <c r="I42" s="9" t="s">
        <v>59</v>
      </c>
      <c r="J42" s="9" t="s">
        <v>2396</v>
      </c>
    </row>
    <row r="43" customFormat="false" ht="15" hidden="false" customHeight="false" outlineLevel="0" collapsed="false">
      <c r="A43" s="9" t="s">
        <v>2523</v>
      </c>
      <c r="B43" s="9" t="s">
        <v>2439</v>
      </c>
      <c r="C43" s="9" t="s">
        <v>2524</v>
      </c>
      <c r="D43" s="9" t="s">
        <v>2485</v>
      </c>
      <c r="E43" s="9" t="s">
        <v>2525</v>
      </c>
      <c r="F43" s="9" t="n">
        <v>42381984</v>
      </c>
      <c r="G43" s="9" t="n">
        <v>16119988</v>
      </c>
      <c r="H43" s="9" t="s">
        <v>156</v>
      </c>
      <c r="I43" s="9" t="s">
        <v>59</v>
      </c>
      <c r="J43" s="9" t="s">
        <v>2396</v>
      </c>
    </row>
    <row r="44" customFormat="false" ht="15" hidden="false" customHeight="false" outlineLevel="0" collapsed="false">
      <c r="A44" s="9" t="s">
        <v>2526</v>
      </c>
      <c r="B44" s="9" t="s">
        <v>2458</v>
      </c>
      <c r="C44" s="9" t="s">
        <v>2527</v>
      </c>
      <c r="D44" s="9" t="s">
        <v>2400</v>
      </c>
      <c r="E44" s="9" t="s">
        <v>2528</v>
      </c>
      <c r="F44" s="9" t="n">
        <v>38891113</v>
      </c>
      <c r="G44" s="9" t="n">
        <v>25751201</v>
      </c>
      <c r="H44" s="9" t="s">
        <v>60</v>
      </c>
      <c r="I44" s="9" t="s">
        <v>59</v>
      </c>
      <c r="J44" s="9" t="s">
        <v>2396</v>
      </c>
    </row>
    <row r="45" customFormat="false" ht="15" hidden="false" customHeight="false" outlineLevel="0" collapsed="false">
      <c r="A45" s="9" t="s">
        <v>2529</v>
      </c>
      <c r="B45" s="9" t="s">
        <v>2458</v>
      </c>
      <c r="C45" s="9" t="s">
        <v>2530</v>
      </c>
      <c r="D45" s="9" t="s">
        <v>2395</v>
      </c>
      <c r="E45" s="9" t="s">
        <v>2531</v>
      </c>
      <c r="F45" s="9" t="n">
        <v>38265683</v>
      </c>
      <c r="G45" s="9" t="n">
        <v>22845177</v>
      </c>
      <c r="H45" s="9" t="s">
        <v>673</v>
      </c>
      <c r="I45" s="9" t="s">
        <v>59</v>
      </c>
      <c r="J45" s="9" t="s">
        <v>2396</v>
      </c>
    </row>
    <row r="46" customFormat="false" ht="15" hidden="false" customHeight="false" outlineLevel="0" collapsed="false">
      <c r="A46" s="9" t="s">
        <v>2532</v>
      </c>
      <c r="B46" s="9" t="s">
        <v>2458</v>
      </c>
      <c r="C46" s="9" t="s">
        <v>2533</v>
      </c>
      <c r="D46" s="9" t="s">
        <v>2408</v>
      </c>
      <c r="E46" s="9" t="s">
        <v>2534</v>
      </c>
      <c r="F46" s="9" t="n">
        <v>54864494</v>
      </c>
      <c r="G46" s="9" t="n">
        <v>26822321</v>
      </c>
      <c r="H46" s="9" t="s">
        <v>701</v>
      </c>
      <c r="I46" s="9" t="s">
        <v>59</v>
      </c>
      <c r="J46" s="9" t="s">
        <v>2396</v>
      </c>
    </row>
    <row r="47" customFormat="false" ht="15" hidden="false" customHeight="false" outlineLevel="0" collapsed="false">
      <c r="A47" s="9" t="s">
        <v>2535</v>
      </c>
      <c r="B47" s="9" t="s">
        <v>2398</v>
      </c>
      <c r="C47" s="9" t="s">
        <v>2536</v>
      </c>
      <c r="D47" s="9" t="s">
        <v>2485</v>
      </c>
      <c r="E47" s="9" t="s">
        <v>2146</v>
      </c>
      <c r="F47" s="9" t="n">
        <v>49517149</v>
      </c>
      <c r="G47" s="9" t="n">
        <v>20626033</v>
      </c>
      <c r="H47" s="9" t="s">
        <v>494</v>
      </c>
      <c r="I47" s="9" t="s">
        <v>59</v>
      </c>
      <c r="J47" s="9" t="s">
        <v>2396</v>
      </c>
    </row>
    <row r="48" customFormat="false" ht="15" hidden="false" customHeight="false" outlineLevel="0" collapsed="false">
      <c r="A48" s="9" t="s">
        <v>2537</v>
      </c>
      <c r="B48" s="9" t="s">
        <v>2398</v>
      </c>
      <c r="C48" s="9" t="s">
        <v>2538</v>
      </c>
      <c r="D48" s="9" t="s">
        <v>2485</v>
      </c>
      <c r="E48" s="9" t="s">
        <v>2539</v>
      </c>
      <c r="F48" s="9" t="n">
        <v>70350556</v>
      </c>
      <c r="G48" s="9" t="n">
        <v>51219170</v>
      </c>
      <c r="H48" s="9" t="s">
        <v>156</v>
      </c>
      <c r="I48" s="9" t="s">
        <v>59</v>
      </c>
      <c r="J48" s="9" t="s">
        <v>2396</v>
      </c>
    </row>
    <row r="49" customFormat="false" ht="15" hidden="false" customHeight="false" outlineLevel="0" collapsed="false">
      <c r="A49" s="9" t="s">
        <v>2540</v>
      </c>
      <c r="B49" s="9" t="s">
        <v>2458</v>
      </c>
      <c r="C49" s="9" t="s">
        <v>2541</v>
      </c>
      <c r="D49" s="9" t="s">
        <v>2485</v>
      </c>
      <c r="E49" s="9" t="s">
        <v>2542</v>
      </c>
      <c r="F49" s="9" t="n">
        <v>79463249</v>
      </c>
      <c r="G49" s="9" t="n">
        <v>74331596</v>
      </c>
      <c r="H49" s="9" t="s">
        <v>673</v>
      </c>
      <c r="I49" s="9" t="s">
        <v>59</v>
      </c>
      <c r="J49" s="9" t="s">
        <v>2420</v>
      </c>
    </row>
    <row r="50" customFormat="false" ht="15" hidden="false" customHeight="false" outlineLevel="0" collapsed="false">
      <c r="A50" s="9" t="s">
        <v>2543</v>
      </c>
      <c r="B50" s="9" t="s">
        <v>2439</v>
      </c>
      <c r="C50" s="9" t="s">
        <v>2544</v>
      </c>
      <c r="D50" s="9" t="s">
        <v>2395</v>
      </c>
      <c r="E50" s="9" t="s">
        <v>2545</v>
      </c>
      <c r="F50" s="9" t="n">
        <v>26920922</v>
      </c>
      <c r="G50" s="9" t="n">
        <v>14001856</v>
      </c>
      <c r="H50" s="9" t="s">
        <v>466</v>
      </c>
      <c r="I50" s="9" t="s">
        <v>59</v>
      </c>
      <c r="J50" s="9" t="s">
        <v>2420</v>
      </c>
    </row>
    <row r="51" customFormat="false" ht="15" hidden="false" customHeight="false" outlineLevel="0" collapsed="false">
      <c r="A51" s="9" t="s">
        <v>2546</v>
      </c>
      <c r="B51" s="9" t="s">
        <v>2458</v>
      </c>
      <c r="C51" s="9" t="s">
        <v>2547</v>
      </c>
      <c r="D51" s="9" t="s">
        <v>2395</v>
      </c>
      <c r="E51" s="9" t="s">
        <v>2548</v>
      </c>
      <c r="F51" s="9" t="n">
        <v>57202833</v>
      </c>
      <c r="G51" s="9" t="n">
        <v>44125139</v>
      </c>
      <c r="H51" s="9" t="s">
        <v>274</v>
      </c>
      <c r="I51" s="9" t="s">
        <v>59</v>
      </c>
      <c r="J51" s="9" t="s">
        <v>2396</v>
      </c>
    </row>
    <row r="52" customFormat="false" ht="15" hidden="false" customHeight="false" outlineLevel="0" collapsed="false">
      <c r="A52" s="9" t="s">
        <v>2549</v>
      </c>
      <c r="B52" s="9" t="s">
        <v>2428</v>
      </c>
      <c r="C52" s="9" t="s">
        <v>2550</v>
      </c>
      <c r="D52" s="9" t="s">
        <v>2412</v>
      </c>
      <c r="E52" s="9" t="s">
        <v>2551</v>
      </c>
      <c r="F52" s="9" t="n">
        <v>53918703</v>
      </c>
      <c r="G52" s="9" t="n">
        <v>28655809</v>
      </c>
      <c r="H52" s="9" t="s">
        <v>494</v>
      </c>
      <c r="I52" s="9" t="s">
        <v>59</v>
      </c>
      <c r="J52" s="9" t="s">
        <v>2396</v>
      </c>
    </row>
    <row r="53" customFormat="false" ht="15" hidden="false" customHeight="false" outlineLevel="0" collapsed="false">
      <c r="A53" s="9" t="s">
        <v>2552</v>
      </c>
      <c r="B53" s="9" t="s">
        <v>2458</v>
      </c>
      <c r="C53" s="9" t="s">
        <v>2553</v>
      </c>
      <c r="D53" s="9" t="s">
        <v>2485</v>
      </c>
      <c r="E53" s="9" t="s">
        <v>2554</v>
      </c>
      <c r="F53" s="9" t="n">
        <v>37632067</v>
      </c>
      <c r="G53" s="9" t="n">
        <v>14894514</v>
      </c>
      <c r="H53" s="9" t="s">
        <v>389</v>
      </c>
      <c r="I53" s="9" t="s">
        <v>59</v>
      </c>
      <c r="J53" s="9" t="s">
        <v>2396</v>
      </c>
    </row>
    <row r="54" customFormat="false" ht="15" hidden="false" customHeight="false" outlineLevel="0" collapsed="false">
      <c r="A54" s="9" t="s">
        <v>2555</v>
      </c>
      <c r="B54" s="9" t="s">
        <v>2406</v>
      </c>
      <c r="C54" s="9" t="s">
        <v>2556</v>
      </c>
      <c r="D54" s="9" t="s">
        <v>2485</v>
      </c>
      <c r="E54" s="9" t="s">
        <v>2557</v>
      </c>
      <c r="F54" s="9" t="n">
        <v>31180376</v>
      </c>
      <c r="G54" s="9" t="n">
        <v>22089462</v>
      </c>
      <c r="H54" s="9" t="s">
        <v>197</v>
      </c>
      <c r="I54" s="9" t="s">
        <v>59</v>
      </c>
      <c r="J54" s="9" t="s">
        <v>2396</v>
      </c>
    </row>
    <row r="55" customFormat="false" ht="15" hidden="false" customHeight="false" outlineLevel="0" collapsed="false">
      <c r="A55" s="9" t="s">
        <v>2558</v>
      </c>
      <c r="B55" s="9" t="s">
        <v>2393</v>
      </c>
      <c r="C55" s="9" t="s">
        <v>2559</v>
      </c>
      <c r="D55" s="9" t="s">
        <v>2395</v>
      </c>
      <c r="E55" s="9" t="s">
        <v>1182</v>
      </c>
      <c r="F55" s="9" t="n">
        <v>9357497</v>
      </c>
      <c r="G55" s="9" t="n">
        <v>5837091</v>
      </c>
      <c r="H55" s="9" t="s">
        <v>60</v>
      </c>
      <c r="I55" s="9" t="s">
        <v>59</v>
      </c>
      <c r="J55" s="9" t="s">
        <v>2431</v>
      </c>
    </row>
    <row r="56" customFormat="false" ht="15" hidden="false" customHeight="false" outlineLevel="0" collapsed="false">
      <c r="A56" s="9" t="s">
        <v>2560</v>
      </c>
      <c r="B56" s="9" t="s">
        <v>2458</v>
      </c>
      <c r="C56" s="9" t="s">
        <v>2561</v>
      </c>
      <c r="D56" s="9" t="s">
        <v>2412</v>
      </c>
      <c r="E56" s="9" t="s">
        <v>2562</v>
      </c>
      <c r="F56" s="9" t="n">
        <v>44083276</v>
      </c>
      <c r="G56" s="9" t="n">
        <v>17601518</v>
      </c>
      <c r="H56" s="9" t="s">
        <v>466</v>
      </c>
      <c r="I56" s="9" t="s">
        <v>59</v>
      </c>
      <c r="J56" s="9" t="s">
        <v>2396</v>
      </c>
    </row>
    <row r="57" customFormat="false" ht="15" hidden="false" customHeight="false" outlineLevel="0" collapsed="false">
      <c r="A57" s="9" t="s">
        <v>2563</v>
      </c>
      <c r="B57" s="9" t="s">
        <v>2398</v>
      </c>
      <c r="C57" s="9" t="s">
        <v>2564</v>
      </c>
      <c r="D57" s="9" t="s">
        <v>2412</v>
      </c>
      <c r="E57" s="9" t="s">
        <v>1123</v>
      </c>
      <c r="F57" s="9" t="n">
        <v>66260289</v>
      </c>
      <c r="G57" s="9" t="n">
        <v>54020384</v>
      </c>
      <c r="H57" s="9" t="s">
        <v>234</v>
      </c>
      <c r="I57" s="9" t="s">
        <v>59</v>
      </c>
      <c r="J57" s="9" t="s">
        <v>2396</v>
      </c>
    </row>
    <row r="58" customFormat="false" ht="15" hidden="false" customHeight="false" outlineLevel="0" collapsed="false">
      <c r="A58" s="9" t="s">
        <v>2565</v>
      </c>
      <c r="B58" s="9" t="s">
        <v>2458</v>
      </c>
      <c r="C58" s="9" t="s">
        <v>2566</v>
      </c>
      <c r="D58" s="9" t="s">
        <v>2485</v>
      </c>
      <c r="E58" s="9" t="s">
        <v>2567</v>
      </c>
      <c r="F58" s="9" t="n">
        <v>35320118</v>
      </c>
      <c r="G58" s="9" t="n">
        <v>23049371</v>
      </c>
      <c r="H58" s="9" t="s">
        <v>681</v>
      </c>
      <c r="I58" s="9" t="s">
        <v>59</v>
      </c>
      <c r="J58" s="9" t="s">
        <v>2420</v>
      </c>
    </row>
    <row r="59" customFormat="false" ht="15" hidden="false" customHeight="false" outlineLevel="0" collapsed="false">
      <c r="A59" s="9" t="s">
        <v>2568</v>
      </c>
      <c r="B59" s="9" t="s">
        <v>2428</v>
      </c>
      <c r="C59" s="9" t="s">
        <v>2569</v>
      </c>
      <c r="D59" s="9" t="s">
        <v>2395</v>
      </c>
      <c r="E59" s="9" t="s">
        <v>1726</v>
      </c>
      <c r="F59" s="9" t="n">
        <v>4441081</v>
      </c>
      <c r="G59" s="9" t="n">
        <v>4192214</v>
      </c>
      <c r="H59" s="9" t="s">
        <v>156</v>
      </c>
      <c r="I59" s="9" t="s">
        <v>59</v>
      </c>
      <c r="J59" s="9" t="s">
        <v>2396</v>
      </c>
    </row>
    <row r="60" customFormat="false" ht="15" hidden="false" customHeight="false" outlineLevel="0" collapsed="false">
      <c r="A60" s="9" t="s">
        <v>2570</v>
      </c>
      <c r="B60" s="9" t="s">
        <v>2406</v>
      </c>
      <c r="C60" s="9" t="s">
        <v>2571</v>
      </c>
      <c r="D60" s="9" t="s">
        <v>2485</v>
      </c>
      <c r="E60" s="9" t="s">
        <v>2572</v>
      </c>
      <c r="F60" s="9" t="n">
        <v>61894016</v>
      </c>
      <c r="G60" s="9" t="n">
        <v>20015765</v>
      </c>
      <c r="H60" s="9" t="s">
        <v>197</v>
      </c>
      <c r="I60" s="9" t="s">
        <v>59</v>
      </c>
      <c r="J60" s="9" t="s">
        <v>2396</v>
      </c>
    </row>
    <row r="61" customFormat="false" ht="15" hidden="false" customHeight="false" outlineLevel="0" collapsed="false">
      <c r="A61" s="9" t="s">
        <v>2573</v>
      </c>
      <c r="B61" s="9" t="s">
        <v>2406</v>
      </c>
      <c r="C61" s="9" t="s">
        <v>2574</v>
      </c>
      <c r="D61" s="9" t="s">
        <v>2408</v>
      </c>
      <c r="E61" s="9" t="s">
        <v>2575</v>
      </c>
      <c r="F61" s="9" t="n">
        <v>58005041</v>
      </c>
      <c r="G61" s="9" t="n">
        <v>22472159</v>
      </c>
      <c r="H61" s="9" t="s">
        <v>673</v>
      </c>
      <c r="I61" s="9" t="s">
        <v>59</v>
      </c>
      <c r="J61" s="9" t="s">
        <v>2396</v>
      </c>
    </row>
    <row r="62" customFormat="false" ht="15" hidden="false" customHeight="false" outlineLevel="0" collapsed="false">
      <c r="A62" s="9" t="s">
        <v>2576</v>
      </c>
      <c r="B62" s="9" t="s">
        <v>2398</v>
      </c>
      <c r="C62" s="9" t="s">
        <v>2577</v>
      </c>
      <c r="D62" s="9" t="s">
        <v>2412</v>
      </c>
      <c r="E62" s="9" t="s">
        <v>2170</v>
      </c>
      <c r="F62" s="9" t="n">
        <v>66041004</v>
      </c>
      <c r="G62" s="9" t="n">
        <v>48147265</v>
      </c>
      <c r="H62" s="9" t="s">
        <v>494</v>
      </c>
      <c r="I62" s="9" t="s">
        <v>59</v>
      </c>
      <c r="J62" s="9" t="s">
        <v>2396</v>
      </c>
    </row>
    <row r="63" customFormat="false" ht="15" hidden="false" customHeight="false" outlineLevel="0" collapsed="false">
      <c r="A63" s="9" t="s">
        <v>2578</v>
      </c>
      <c r="B63" s="9" t="s">
        <v>2458</v>
      </c>
      <c r="C63" s="9" t="s">
        <v>2579</v>
      </c>
      <c r="D63" s="9" t="s">
        <v>2485</v>
      </c>
      <c r="E63" s="9" t="s">
        <v>2580</v>
      </c>
      <c r="F63" s="9" t="n">
        <v>21179701</v>
      </c>
      <c r="G63" s="9" t="n">
        <v>13329344</v>
      </c>
      <c r="H63" s="9" t="s">
        <v>351</v>
      </c>
      <c r="I63" s="9" t="s">
        <v>59</v>
      </c>
      <c r="J63" s="9" t="s">
        <v>2396</v>
      </c>
    </row>
    <row r="64" customFormat="false" ht="15" hidden="false" customHeight="false" outlineLevel="0" collapsed="false">
      <c r="A64" s="9" t="s">
        <v>2581</v>
      </c>
      <c r="B64" s="9" t="s">
        <v>2428</v>
      </c>
      <c r="C64" s="9" t="s">
        <v>2582</v>
      </c>
      <c r="D64" s="9" t="s">
        <v>2485</v>
      </c>
      <c r="E64" s="9" t="s">
        <v>2583</v>
      </c>
      <c r="F64" s="9" t="n">
        <v>47547151</v>
      </c>
      <c r="G64" s="9" t="n">
        <v>37952421</v>
      </c>
      <c r="H64" s="9" t="s">
        <v>274</v>
      </c>
      <c r="I64" s="9" t="s">
        <v>59</v>
      </c>
      <c r="J64" s="9" t="s">
        <v>2396</v>
      </c>
    </row>
    <row r="65" customFormat="false" ht="15" hidden="false" customHeight="false" outlineLevel="0" collapsed="false">
      <c r="A65" s="9" t="s">
        <v>2584</v>
      </c>
      <c r="B65" s="9" t="s">
        <v>2398</v>
      </c>
      <c r="C65" s="9" t="s">
        <v>2585</v>
      </c>
      <c r="D65" s="9" t="s">
        <v>2412</v>
      </c>
      <c r="E65" s="9" t="s">
        <v>2586</v>
      </c>
      <c r="F65" s="9" t="n">
        <v>17406452</v>
      </c>
      <c r="G65" s="9" t="n">
        <v>14691170</v>
      </c>
      <c r="H65" s="9" t="s">
        <v>313</v>
      </c>
      <c r="I65" s="9" t="s">
        <v>59</v>
      </c>
      <c r="J65" s="9" t="s">
        <v>2420</v>
      </c>
    </row>
    <row r="66" customFormat="false" ht="15" hidden="false" customHeight="false" outlineLevel="0" collapsed="false">
      <c r="A66" s="9" t="s">
        <v>2587</v>
      </c>
      <c r="B66" s="9" t="s">
        <v>2428</v>
      </c>
      <c r="C66" s="9" t="s">
        <v>2588</v>
      </c>
      <c r="D66" s="9" t="s">
        <v>2395</v>
      </c>
      <c r="E66" s="9" t="s">
        <v>2589</v>
      </c>
      <c r="F66" s="9" t="n">
        <v>46002675</v>
      </c>
      <c r="G66" s="9" t="n">
        <v>25180608</v>
      </c>
      <c r="H66" s="9" t="s">
        <v>351</v>
      </c>
      <c r="I66" s="9" t="s">
        <v>59</v>
      </c>
      <c r="J66" s="9" t="s">
        <v>2396</v>
      </c>
    </row>
    <row r="67" customFormat="false" ht="15" hidden="false" customHeight="false" outlineLevel="0" collapsed="false">
      <c r="A67" s="9" t="s">
        <v>2590</v>
      </c>
      <c r="B67" s="9" t="s">
        <v>2406</v>
      </c>
      <c r="C67" s="9" t="s">
        <v>2591</v>
      </c>
      <c r="D67" s="9" t="s">
        <v>2485</v>
      </c>
      <c r="E67" s="9" t="s">
        <v>2592</v>
      </c>
      <c r="F67" s="9" t="n">
        <v>7776489</v>
      </c>
      <c r="G67" s="9" t="n">
        <v>5675328</v>
      </c>
      <c r="H67" s="9" t="s">
        <v>234</v>
      </c>
      <c r="I67" s="9" t="s">
        <v>59</v>
      </c>
      <c r="J67" s="9" t="s">
        <v>2396</v>
      </c>
    </row>
    <row r="68" customFormat="false" ht="15" hidden="false" customHeight="false" outlineLevel="0" collapsed="false">
      <c r="A68" s="9" t="s">
        <v>2593</v>
      </c>
      <c r="B68" s="9" t="s">
        <v>2406</v>
      </c>
      <c r="C68" s="9" t="s">
        <v>2594</v>
      </c>
      <c r="D68" s="9" t="s">
        <v>2412</v>
      </c>
      <c r="E68" s="9" t="s">
        <v>2595</v>
      </c>
      <c r="F68" s="9" t="n">
        <v>8991292</v>
      </c>
      <c r="G68" s="9" t="n">
        <v>7775767</v>
      </c>
      <c r="H68" s="9" t="s">
        <v>156</v>
      </c>
      <c r="I68" s="9" t="s">
        <v>59</v>
      </c>
      <c r="J68" s="9" t="s">
        <v>2396</v>
      </c>
    </row>
    <row r="69" customFormat="false" ht="15" hidden="false" customHeight="false" outlineLevel="0" collapsed="false">
      <c r="A69" s="9" t="s">
        <v>2596</v>
      </c>
      <c r="B69" s="9" t="s">
        <v>2398</v>
      </c>
      <c r="C69" s="9" t="s">
        <v>2597</v>
      </c>
      <c r="D69" s="9" t="s">
        <v>2412</v>
      </c>
      <c r="E69" s="9" t="s">
        <v>2598</v>
      </c>
      <c r="F69" s="9" t="n">
        <v>5216739</v>
      </c>
      <c r="G69" s="9" t="n">
        <v>3127910</v>
      </c>
      <c r="H69" s="9" t="s">
        <v>701</v>
      </c>
      <c r="I69" s="9" t="s">
        <v>59</v>
      </c>
      <c r="J69" s="9" t="s">
        <v>2396</v>
      </c>
    </row>
    <row r="70" customFormat="false" ht="15" hidden="false" customHeight="false" outlineLevel="0" collapsed="false">
      <c r="A70" s="9" t="s">
        <v>2599</v>
      </c>
      <c r="B70" s="9" t="s">
        <v>2428</v>
      </c>
      <c r="C70" s="9" t="s">
        <v>2600</v>
      </c>
      <c r="D70" s="9" t="s">
        <v>2485</v>
      </c>
      <c r="E70" s="9" t="s">
        <v>2601</v>
      </c>
      <c r="F70" s="9" t="n">
        <v>2938346</v>
      </c>
      <c r="G70" s="9" t="n">
        <v>2210732</v>
      </c>
      <c r="H70" s="9" t="s">
        <v>466</v>
      </c>
      <c r="I70" s="9" t="s">
        <v>59</v>
      </c>
      <c r="J70" s="9" t="s">
        <v>2396</v>
      </c>
    </row>
    <row r="71" customFormat="false" ht="15" hidden="false" customHeight="false" outlineLevel="0" collapsed="false">
      <c r="A71" s="9" t="s">
        <v>2602</v>
      </c>
      <c r="B71" s="9" t="s">
        <v>2406</v>
      </c>
      <c r="C71" s="9" t="s">
        <v>2603</v>
      </c>
      <c r="D71" s="9" t="s">
        <v>2485</v>
      </c>
      <c r="E71" s="9" t="s">
        <v>2604</v>
      </c>
      <c r="F71" s="9" t="n">
        <v>52585285</v>
      </c>
      <c r="G71" s="9" t="n">
        <v>26796088</v>
      </c>
      <c r="H71" s="9" t="s">
        <v>156</v>
      </c>
      <c r="I71" s="9" t="s">
        <v>59</v>
      </c>
      <c r="J71" s="9" t="s">
        <v>2420</v>
      </c>
    </row>
    <row r="72" customFormat="false" ht="15" hidden="false" customHeight="false" outlineLevel="0" collapsed="false">
      <c r="A72" s="9" t="s">
        <v>2605</v>
      </c>
      <c r="B72" s="9" t="s">
        <v>2398</v>
      </c>
      <c r="C72" s="9" t="s">
        <v>2606</v>
      </c>
      <c r="D72" s="9" t="s">
        <v>2408</v>
      </c>
      <c r="E72" s="9" t="s">
        <v>419</v>
      </c>
      <c r="F72" s="9" t="n">
        <v>66870159</v>
      </c>
      <c r="G72" s="9" t="n">
        <v>41914184</v>
      </c>
      <c r="H72" s="9" t="s">
        <v>681</v>
      </c>
      <c r="I72" s="9" t="s">
        <v>59</v>
      </c>
      <c r="J72" s="9" t="s">
        <v>2396</v>
      </c>
    </row>
    <row r="73" customFormat="false" ht="15" hidden="false" customHeight="false" outlineLevel="0" collapsed="false">
      <c r="A73" s="9" t="s">
        <v>2607</v>
      </c>
      <c r="B73" s="9" t="s">
        <v>2439</v>
      </c>
      <c r="C73" s="9" t="s">
        <v>2608</v>
      </c>
      <c r="D73" s="9" t="s">
        <v>2412</v>
      </c>
      <c r="E73" s="9" t="s">
        <v>2609</v>
      </c>
      <c r="F73" s="9" t="n">
        <v>48965904</v>
      </c>
      <c r="G73" s="9" t="n">
        <v>45544560</v>
      </c>
      <c r="H73" s="9" t="s">
        <v>234</v>
      </c>
      <c r="I73" s="9" t="s">
        <v>59</v>
      </c>
      <c r="J73" s="9" t="s">
        <v>2396</v>
      </c>
    </row>
    <row r="74" customFormat="false" ht="15" hidden="false" customHeight="false" outlineLevel="0" collapsed="false">
      <c r="A74" s="9" t="s">
        <v>2610</v>
      </c>
      <c r="B74" s="9" t="s">
        <v>2398</v>
      </c>
      <c r="C74" s="9" t="s">
        <v>2611</v>
      </c>
      <c r="D74" s="9" t="s">
        <v>2412</v>
      </c>
      <c r="E74" s="9" t="s">
        <v>2612</v>
      </c>
      <c r="F74" s="9" t="n">
        <v>38768210</v>
      </c>
      <c r="G74" s="9" t="n">
        <v>18312195</v>
      </c>
      <c r="H74" s="9" t="s">
        <v>274</v>
      </c>
      <c r="I74" s="9" t="s">
        <v>59</v>
      </c>
      <c r="J74" s="9" t="s">
        <v>2431</v>
      </c>
    </row>
    <row r="75" customFormat="false" ht="15" hidden="false" customHeight="false" outlineLevel="0" collapsed="false">
      <c r="A75" s="9" t="s">
        <v>2613</v>
      </c>
      <c r="B75" s="9" t="s">
        <v>2458</v>
      </c>
      <c r="C75" s="9" t="s">
        <v>2614</v>
      </c>
      <c r="D75" s="9" t="s">
        <v>2408</v>
      </c>
      <c r="E75" s="9" t="s">
        <v>1095</v>
      </c>
      <c r="F75" s="9" t="n">
        <v>12542371</v>
      </c>
      <c r="G75" s="9" t="n">
        <v>9613845</v>
      </c>
      <c r="H75" s="9" t="s">
        <v>466</v>
      </c>
      <c r="I75" s="9" t="s">
        <v>59</v>
      </c>
      <c r="J75" s="9" t="s">
        <v>2396</v>
      </c>
    </row>
    <row r="76" customFormat="false" ht="15" hidden="false" customHeight="false" outlineLevel="0" collapsed="false">
      <c r="A76" s="9" t="s">
        <v>2615</v>
      </c>
      <c r="B76" s="9" t="s">
        <v>2406</v>
      </c>
      <c r="C76" s="9" t="s">
        <v>2616</v>
      </c>
      <c r="D76" s="9" t="s">
        <v>2400</v>
      </c>
      <c r="E76" s="9" t="s">
        <v>2617</v>
      </c>
      <c r="F76" s="9" t="n">
        <v>76224718</v>
      </c>
      <c r="G76" s="9" t="n">
        <v>62563014</v>
      </c>
      <c r="H76" s="9" t="s">
        <v>389</v>
      </c>
      <c r="I76" s="9" t="s">
        <v>59</v>
      </c>
      <c r="J76" s="9" t="s">
        <v>2396</v>
      </c>
    </row>
    <row r="77" customFormat="false" ht="15" hidden="false" customHeight="false" outlineLevel="0" collapsed="false">
      <c r="A77" s="9" t="s">
        <v>2618</v>
      </c>
      <c r="B77" s="9" t="s">
        <v>2406</v>
      </c>
      <c r="C77" s="9" t="s">
        <v>2619</v>
      </c>
      <c r="D77" s="9" t="s">
        <v>2395</v>
      </c>
      <c r="E77" s="9" t="s">
        <v>1117</v>
      </c>
      <c r="F77" s="9" t="n">
        <v>40713220</v>
      </c>
      <c r="G77" s="9" t="n">
        <v>25568541</v>
      </c>
      <c r="H77" s="9" t="s">
        <v>274</v>
      </c>
      <c r="I77" s="9" t="s">
        <v>59</v>
      </c>
      <c r="J77" s="9" t="s">
        <v>2396</v>
      </c>
    </row>
    <row r="78" customFormat="false" ht="15" hidden="false" customHeight="false" outlineLevel="0" collapsed="false">
      <c r="A78" s="9" t="s">
        <v>2620</v>
      </c>
      <c r="B78" s="9" t="s">
        <v>2428</v>
      </c>
      <c r="C78" s="9" t="s">
        <v>2621</v>
      </c>
      <c r="D78" s="9" t="s">
        <v>2400</v>
      </c>
      <c r="E78" s="9" t="s">
        <v>2622</v>
      </c>
      <c r="F78" s="9" t="n">
        <v>55808317</v>
      </c>
      <c r="G78" s="9" t="n">
        <v>31336125</v>
      </c>
      <c r="H78" s="9" t="s">
        <v>466</v>
      </c>
      <c r="I78" s="9" t="s">
        <v>59</v>
      </c>
      <c r="J78" s="9" t="s">
        <v>2396</v>
      </c>
    </row>
    <row r="79" customFormat="false" ht="15" hidden="false" customHeight="false" outlineLevel="0" collapsed="false">
      <c r="A79" s="9" t="s">
        <v>2623</v>
      </c>
      <c r="B79" s="9" t="s">
        <v>2393</v>
      </c>
      <c r="C79" s="9" t="s">
        <v>2624</v>
      </c>
      <c r="D79" s="9" t="s">
        <v>2412</v>
      </c>
      <c r="E79" s="9" t="s">
        <v>2625</v>
      </c>
      <c r="F79" s="9" t="n">
        <v>2696895</v>
      </c>
      <c r="G79" s="9" t="n">
        <v>1909667</v>
      </c>
      <c r="H79" s="9" t="s">
        <v>428</v>
      </c>
      <c r="I79" s="9" t="s">
        <v>59</v>
      </c>
      <c r="J79" s="9" t="s">
        <v>2420</v>
      </c>
    </row>
    <row r="80" customFormat="false" ht="15" hidden="false" customHeight="false" outlineLevel="0" collapsed="false">
      <c r="A80" s="9" t="s">
        <v>2626</v>
      </c>
      <c r="B80" s="9" t="s">
        <v>2428</v>
      </c>
      <c r="C80" s="9" t="s">
        <v>2627</v>
      </c>
      <c r="D80" s="9" t="s">
        <v>2485</v>
      </c>
      <c r="E80" s="9" t="s">
        <v>2628</v>
      </c>
      <c r="F80" s="9" t="n">
        <v>62919315</v>
      </c>
      <c r="G80" s="9" t="n">
        <v>29833719</v>
      </c>
      <c r="H80" s="9" t="s">
        <v>494</v>
      </c>
      <c r="I80" s="9" t="s">
        <v>59</v>
      </c>
      <c r="J80" s="9" t="s">
        <v>2396</v>
      </c>
    </row>
    <row r="81" customFormat="false" ht="15" hidden="false" customHeight="false" outlineLevel="0" collapsed="false">
      <c r="A81" s="9" t="s">
        <v>2629</v>
      </c>
      <c r="B81" s="9" t="s">
        <v>2428</v>
      </c>
      <c r="C81" s="9" t="s">
        <v>2630</v>
      </c>
      <c r="D81" s="9" t="s">
        <v>2485</v>
      </c>
      <c r="E81" s="9" t="s">
        <v>2631</v>
      </c>
      <c r="F81" s="9" t="n">
        <v>76182862</v>
      </c>
      <c r="G81" s="9" t="n">
        <v>58836008</v>
      </c>
      <c r="H81" s="9" t="s">
        <v>60</v>
      </c>
      <c r="I81" s="9" t="s">
        <v>59</v>
      </c>
      <c r="J81" s="9" t="s">
        <v>2396</v>
      </c>
    </row>
    <row r="82" customFormat="false" ht="15" hidden="false" customHeight="false" outlineLevel="0" collapsed="false">
      <c r="A82" s="9" t="s">
        <v>2632</v>
      </c>
      <c r="B82" s="9" t="s">
        <v>2406</v>
      </c>
      <c r="C82" s="9" t="s">
        <v>2633</v>
      </c>
      <c r="D82" s="9" t="s">
        <v>2485</v>
      </c>
      <c r="E82" s="9" t="s">
        <v>2634</v>
      </c>
      <c r="F82" s="9" t="n">
        <v>32462445</v>
      </c>
      <c r="G82" s="9" t="n">
        <v>12913795</v>
      </c>
      <c r="H82" s="9" t="s">
        <v>494</v>
      </c>
      <c r="I82" s="9" t="s">
        <v>59</v>
      </c>
      <c r="J82" s="9" t="s">
        <v>2396</v>
      </c>
    </row>
    <row r="83" customFormat="false" ht="15" hidden="false" customHeight="false" outlineLevel="0" collapsed="false">
      <c r="A83" s="9" t="s">
        <v>2635</v>
      </c>
      <c r="B83" s="9" t="s">
        <v>2458</v>
      </c>
      <c r="C83" s="9" t="s">
        <v>2636</v>
      </c>
      <c r="D83" s="9" t="s">
        <v>2485</v>
      </c>
      <c r="E83" s="9" t="s">
        <v>2637</v>
      </c>
      <c r="F83" s="9" t="n">
        <v>8847316</v>
      </c>
      <c r="G83" s="9" t="n">
        <v>6299756</v>
      </c>
      <c r="H83" s="9" t="s">
        <v>701</v>
      </c>
      <c r="I83" s="9" t="s">
        <v>59</v>
      </c>
      <c r="J83" s="9" t="s">
        <v>2396</v>
      </c>
    </row>
    <row r="84" customFormat="false" ht="15" hidden="false" customHeight="false" outlineLevel="0" collapsed="false">
      <c r="A84" s="9" t="s">
        <v>2638</v>
      </c>
      <c r="B84" s="9" t="s">
        <v>2406</v>
      </c>
      <c r="C84" s="9" t="s">
        <v>2639</v>
      </c>
      <c r="D84" s="9" t="s">
        <v>2408</v>
      </c>
      <c r="E84" s="9" t="s">
        <v>2640</v>
      </c>
      <c r="F84" s="9" t="n">
        <v>31892809</v>
      </c>
      <c r="G84" s="9" t="n">
        <v>17981575</v>
      </c>
      <c r="H84" s="9" t="s">
        <v>156</v>
      </c>
      <c r="I84" s="9" t="s">
        <v>59</v>
      </c>
      <c r="J84" s="9" t="s">
        <v>2396</v>
      </c>
    </row>
    <row r="85" customFormat="false" ht="15" hidden="false" customHeight="false" outlineLevel="0" collapsed="false">
      <c r="A85" s="9" t="s">
        <v>2641</v>
      </c>
      <c r="B85" s="9" t="s">
        <v>2398</v>
      </c>
      <c r="C85" s="9" t="s">
        <v>2642</v>
      </c>
      <c r="D85" s="9" t="s">
        <v>2408</v>
      </c>
      <c r="E85" s="9" t="s">
        <v>2643</v>
      </c>
      <c r="F85" s="9" t="n">
        <v>41880049</v>
      </c>
      <c r="G85" s="9" t="n">
        <v>25199384</v>
      </c>
      <c r="H85" s="9" t="s">
        <v>428</v>
      </c>
      <c r="I85" s="9" t="s">
        <v>59</v>
      </c>
      <c r="J85" s="9" t="s">
        <v>2431</v>
      </c>
    </row>
    <row r="86" customFormat="false" ht="15" hidden="false" customHeight="false" outlineLevel="0" collapsed="false">
      <c r="A86" s="9" t="s">
        <v>2644</v>
      </c>
      <c r="B86" s="9" t="s">
        <v>2458</v>
      </c>
      <c r="C86" s="9" t="s">
        <v>2645</v>
      </c>
      <c r="D86" s="9" t="s">
        <v>2395</v>
      </c>
      <c r="E86" s="9" t="s">
        <v>415</v>
      </c>
      <c r="F86" s="9" t="n">
        <v>21588734</v>
      </c>
      <c r="G86" s="9" t="n">
        <v>10303499</v>
      </c>
      <c r="H86" s="9" t="s">
        <v>60</v>
      </c>
      <c r="I86" s="9" t="s">
        <v>59</v>
      </c>
      <c r="J86" s="9" t="s">
        <v>2396</v>
      </c>
    </row>
    <row r="87" customFormat="false" ht="15" hidden="false" customHeight="false" outlineLevel="0" collapsed="false">
      <c r="A87" s="9" t="s">
        <v>2646</v>
      </c>
      <c r="B87" s="9" t="s">
        <v>2406</v>
      </c>
      <c r="C87" s="9" t="s">
        <v>2647</v>
      </c>
      <c r="D87" s="9" t="s">
        <v>2412</v>
      </c>
      <c r="E87" s="9" t="s">
        <v>2648</v>
      </c>
      <c r="F87" s="9" t="n">
        <v>5868332</v>
      </c>
      <c r="G87" s="9" t="n">
        <v>5436783</v>
      </c>
      <c r="H87" s="9" t="s">
        <v>389</v>
      </c>
      <c r="I87" s="9" t="s">
        <v>59</v>
      </c>
      <c r="J87" s="9" t="s">
        <v>2396</v>
      </c>
    </row>
    <row r="88" customFormat="false" ht="15" hidden="false" customHeight="false" outlineLevel="0" collapsed="false">
      <c r="A88" s="9" t="s">
        <v>2649</v>
      </c>
      <c r="B88" s="9" t="s">
        <v>2398</v>
      </c>
      <c r="C88" s="9" t="s">
        <v>2650</v>
      </c>
      <c r="D88" s="9" t="s">
        <v>2395</v>
      </c>
      <c r="E88" s="9" t="s">
        <v>2651</v>
      </c>
      <c r="F88" s="9" t="n">
        <v>40194087</v>
      </c>
      <c r="G88" s="9" t="n">
        <v>34714091</v>
      </c>
      <c r="H88" s="9" t="s">
        <v>351</v>
      </c>
      <c r="I88" s="9" t="s">
        <v>59</v>
      </c>
      <c r="J88" s="9" t="s">
        <v>2420</v>
      </c>
    </row>
    <row r="89" customFormat="false" ht="15" hidden="false" customHeight="false" outlineLevel="0" collapsed="false">
      <c r="A89" s="9" t="s">
        <v>2652</v>
      </c>
      <c r="B89" s="9" t="s">
        <v>2393</v>
      </c>
      <c r="C89" s="9" t="s">
        <v>2653</v>
      </c>
      <c r="D89" s="9" t="s">
        <v>2395</v>
      </c>
      <c r="E89" s="9" t="s">
        <v>2654</v>
      </c>
      <c r="F89" s="9" t="n">
        <v>19065664</v>
      </c>
      <c r="G89" s="9" t="n">
        <v>8644882</v>
      </c>
      <c r="H89" s="9" t="s">
        <v>466</v>
      </c>
      <c r="I89" s="9" t="s">
        <v>59</v>
      </c>
      <c r="J89" s="9" t="s">
        <v>2396</v>
      </c>
    </row>
    <row r="90" customFormat="false" ht="15" hidden="false" customHeight="false" outlineLevel="0" collapsed="false">
      <c r="A90" s="9" t="s">
        <v>2655</v>
      </c>
      <c r="B90" s="9" t="s">
        <v>2398</v>
      </c>
      <c r="C90" s="9" t="s">
        <v>2656</v>
      </c>
      <c r="D90" s="9" t="s">
        <v>2412</v>
      </c>
      <c r="E90" s="9" t="s">
        <v>1627</v>
      </c>
      <c r="F90" s="9" t="n">
        <v>78102618</v>
      </c>
      <c r="G90" s="9" t="n">
        <v>71642627</v>
      </c>
      <c r="H90" s="9" t="s">
        <v>428</v>
      </c>
      <c r="I90" s="9" t="s">
        <v>59</v>
      </c>
      <c r="J90" s="9" t="s">
        <v>2396</v>
      </c>
    </row>
    <row r="91" customFormat="false" ht="15" hidden="false" customHeight="false" outlineLevel="0" collapsed="false">
      <c r="A91" s="9" t="s">
        <v>2657</v>
      </c>
      <c r="B91" s="9" t="s">
        <v>2398</v>
      </c>
      <c r="C91" s="9" t="s">
        <v>2658</v>
      </c>
      <c r="D91" s="9" t="s">
        <v>2408</v>
      </c>
      <c r="E91" s="9" t="s">
        <v>2659</v>
      </c>
      <c r="F91" s="9" t="n">
        <v>16611718</v>
      </c>
      <c r="G91" s="9" t="n">
        <v>13332134</v>
      </c>
      <c r="H91" s="9" t="s">
        <v>313</v>
      </c>
      <c r="I91" s="9" t="s">
        <v>59</v>
      </c>
      <c r="J91" s="9" t="s">
        <v>2396</v>
      </c>
    </row>
    <row r="92" customFormat="false" ht="15" hidden="false" customHeight="false" outlineLevel="0" collapsed="false">
      <c r="A92" s="9" t="s">
        <v>2660</v>
      </c>
      <c r="B92" s="9" t="s">
        <v>2428</v>
      </c>
      <c r="C92" s="9" t="s">
        <v>2661</v>
      </c>
      <c r="D92" s="9" t="s">
        <v>2485</v>
      </c>
      <c r="E92" s="9" t="s">
        <v>2426</v>
      </c>
      <c r="F92" s="9" t="n">
        <v>31867072</v>
      </c>
      <c r="G92" s="9" t="n">
        <v>28937693</v>
      </c>
      <c r="H92" s="9" t="s">
        <v>234</v>
      </c>
      <c r="I92" s="9" t="s">
        <v>59</v>
      </c>
      <c r="J92" s="9" t="s">
        <v>2396</v>
      </c>
    </row>
    <row r="93" customFormat="false" ht="15" hidden="false" customHeight="false" outlineLevel="0" collapsed="false">
      <c r="A93" s="9" t="s">
        <v>2662</v>
      </c>
      <c r="B93" s="9" t="s">
        <v>2439</v>
      </c>
      <c r="C93" s="9" t="s">
        <v>2663</v>
      </c>
      <c r="D93" s="9" t="s">
        <v>2408</v>
      </c>
      <c r="E93" s="9" t="s">
        <v>2664</v>
      </c>
      <c r="F93" s="9" t="n">
        <v>59185391</v>
      </c>
      <c r="G93" s="9" t="n">
        <v>33466030</v>
      </c>
      <c r="H93" s="9" t="s">
        <v>701</v>
      </c>
      <c r="I93" s="9" t="s">
        <v>59</v>
      </c>
      <c r="J93" s="9" t="s">
        <v>2396</v>
      </c>
    </row>
    <row r="94" customFormat="false" ht="15" hidden="false" customHeight="false" outlineLevel="0" collapsed="false">
      <c r="A94" s="9" t="s">
        <v>2665</v>
      </c>
      <c r="B94" s="9" t="s">
        <v>2458</v>
      </c>
      <c r="C94" s="9" t="s">
        <v>2666</v>
      </c>
      <c r="D94" s="9" t="s">
        <v>2412</v>
      </c>
      <c r="E94" s="9" t="s">
        <v>2667</v>
      </c>
      <c r="F94" s="9" t="n">
        <v>15361415</v>
      </c>
      <c r="G94" s="9" t="n">
        <v>7768551</v>
      </c>
      <c r="H94" s="9" t="s">
        <v>351</v>
      </c>
      <c r="I94" s="9" t="s">
        <v>59</v>
      </c>
      <c r="J94" s="9" t="s">
        <v>2396</v>
      </c>
    </row>
    <row r="95" customFormat="false" ht="15" hidden="false" customHeight="false" outlineLevel="0" collapsed="false">
      <c r="A95" s="9" t="s">
        <v>2668</v>
      </c>
      <c r="B95" s="9" t="s">
        <v>2439</v>
      </c>
      <c r="C95" s="9" t="s">
        <v>2669</v>
      </c>
      <c r="D95" s="9" t="s">
        <v>2400</v>
      </c>
      <c r="E95" s="9" t="s">
        <v>2670</v>
      </c>
      <c r="F95" s="9" t="n">
        <v>19649696</v>
      </c>
      <c r="G95" s="9" t="n">
        <v>10531229</v>
      </c>
      <c r="H95" s="9" t="s">
        <v>673</v>
      </c>
      <c r="I95" s="9" t="s">
        <v>59</v>
      </c>
      <c r="J95" s="9" t="s">
        <v>2396</v>
      </c>
    </row>
    <row r="96" customFormat="false" ht="15" hidden="false" customHeight="false" outlineLevel="0" collapsed="false">
      <c r="A96" s="9" t="s">
        <v>2671</v>
      </c>
      <c r="B96" s="9" t="s">
        <v>2406</v>
      </c>
      <c r="C96" s="9" t="s">
        <v>2672</v>
      </c>
      <c r="D96" s="9" t="s">
        <v>2395</v>
      </c>
      <c r="E96" s="9" t="s">
        <v>2673</v>
      </c>
      <c r="F96" s="9" t="n">
        <v>4872042</v>
      </c>
      <c r="G96" s="9" t="n">
        <v>4126412</v>
      </c>
      <c r="H96" s="9" t="s">
        <v>494</v>
      </c>
      <c r="I96" s="9" t="s">
        <v>59</v>
      </c>
      <c r="J96" s="9" t="s">
        <v>2396</v>
      </c>
    </row>
    <row r="97" customFormat="false" ht="15" hidden="false" customHeight="false" outlineLevel="0" collapsed="false">
      <c r="A97" s="9" t="s">
        <v>2674</v>
      </c>
      <c r="B97" s="9" t="s">
        <v>2398</v>
      </c>
      <c r="C97" s="9" t="s">
        <v>2675</v>
      </c>
      <c r="D97" s="9" t="s">
        <v>2408</v>
      </c>
      <c r="E97" s="9" t="s">
        <v>2676</v>
      </c>
      <c r="F97" s="9" t="n">
        <v>74385883</v>
      </c>
      <c r="G97" s="9" t="n">
        <v>40915853</v>
      </c>
      <c r="H97" s="9" t="s">
        <v>494</v>
      </c>
      <c r="I97" s="9" t="s">
        <v>59</v>
      </c>
      <c r="J97" s="9" t="s">
        <v>2431</v>
      </c>
    </row>
    <row r="98" customFormat="false" ht="15" hidden="false" customHeight="false" outlineLevel="0" collapsed="false">
      <c r="A98" s="9" t="s">
        <v>2677</v>
      </c>
      <c r="B98" s="9" t="s">
        <v>2406</v>
      </c>
      <c r="C98" s="9" t="s">
        <v>2678</v>
      </c>
      <c r="D98" s="9" t="s">
        <v>2395</v>
      </c>
      <c r="E98" s="9" t="s">
        <v>2679</v>
      </c>
      <c r="F98" s="9" t="n">
        <v>31926640</v>
      </c>
      <c r="G98" s="9" t="n">
        <v>27376156</v>
      </c>
      <c r="H98" s="9" t="s">
        <v>351</v>
      </c>
      <c r="I98" s="9" t="s">
        <v>59</v>
      </c>
      <c r="J98" s="9" t="s">
        <v>2396</v>
      </c>
    </row>
    <row r="99" customFormat="false" ht="15" hidden="false" customHeight="false" outlineLevel="0" collapsed="false">
      <c r="A99" s="9" t="s">
        <v>2680</v>
      </c>
      <c r="B99" s="9" t="s">
        <v>2458</v>
      </c>
      <c r="C99" s="9" t="s">
        <v>2681</v>
      </c>
      <c r="D99" s="9" t="s">
        <v>2400</v>
      </c>
      <c r="E99" s="9" t="s">
        <v>2682</v>
      </c>
      <c r="F99" s="9" t="n">
        <v>12313193</v>
      </c>
      <c r="G99" s="9" t="n">
        <v>11187884</v>
      </c>
      <c r="H99" s="9" t="s">
        <v>681</v>
      </c>
      <c r="I99" s="9" t="s">
        <v>59</v>
      </c>
      <c r="J99" s="9" t="s">
        <v>2396</v>
      </c>
    </row>
    <row r="100" customFormat="false" ht="15" hidden="false" customHeight="false" outlineLevel="0" collapsed="false">
      <c r="A100" s="9" t="s">
        <v>2683</v>
      </c>
      <c r="B100" s="9" t="s">
        <v>2439</v>
      </c>
      <c r="C100" s="9" t="s">
        <v>2684</v>
      </c>
      <c r="D100" s="9" t="s">
        <v>2408</v>
      </c>
      <c r="E100" s="9" t="s">
        <v>2685</v>
      </c>
      <c r="F100" s="9" t="n">
        <v>59100892</v>
      </c>
      <c r="G100" s="9" t="n">
        <v>41984047</v>
      </c>
      <c r="H100" s="9" t="s">
        <v>681</v>
      </c>
      <c r="I100" s="9" t="s">
        <v>59</v>
      </c>
      <c r="J100" s="9" t="s">
        <v>2396</v>
      </c>
    </row>
    <row r="101" customFormat="false" ht="15" hidden="false" customHeight="false" outlineLevel="0" collapsed="false">
      <c r="A101" s="9" t="s">
        <v>2686</v>
      </c>
      <c r="B101" s="9" t="s">
        <v>2458</v>
      </c>
      <c r="C101" s="9" t="s">
        <v>2687</v>
      </c>
      <c r="D101" s="9" t="s">
        <v>2395</v>
      </c>
      <c r="E101" s="9" t="s">
        <v>2688</v>
      </c>
      <c r="F101" s="9" t="n">
        <v>10950109</v>
      </c>
      <c r="G101" s="9" t="n">
        <v>9144201</v>
      </c>
      <c r="H101" s="9" t="s">
        <v>389</v>
      </c>
      <c r="I101" s="9" t="s">
        <v>59</v>
      </c>
      <c r="J101" s="9" t="s">
        <v>2396</v>
      </c>
    </row>
    <row r="102" customFormat="false" ht="15" hidden="false" customHeight="false" outlineLevel="0" collapsed="false">
      <c r="A102" s="9" t="s">
        <v>2689</v>
      </c>
      <c r="B102" s="9" t="s">
        <v>2458</v>
      </c>
      <c r="C102" s="9" t="s">
        <v>2690</v>
      </c>
      <c r="D102" s="9" t="s">
        <v>2400</v>
      </c>
      <c r="E102" s="9" t="s">
        <v>786</v>
      </c>
      <c r="F102" s="9" t="n">
        <v>56889004</v>
      </c>
      <c r="G102" s="9" t="n">
        <v>49487448</v>
      </c>
      <c r="H102" s="9" t="s">
        <v>701</v>
      </c>
      <c r="I102" s="9" t="s">
        <v>59</v>
      </c>
      <c r="J102" s="9" t="s">
        <v>2396</v>
      </c>
    </row>
    <row r="103" customFormat="false" ht="15" hidden="false" customHeight="false" outlineLevel="0" collapsed="false">
      <c r="A103" s="9" t="s">
        <v>2691</v>
      </c>
      <c r="B103" s="9" t="s">
        <v>2439</v>
      </c>
      <c r="C103" s="9" t="s">
        <v>2692</v>
      </c>
      <c r="D103" s="9" t="s">
        <v>2400</v>
      </c>
      <c r="E103" s="9" t="s">
        <v>2693</v>
      </c>
      <c r="F103" s="9" t="n">
        <v>9107659</v>
      </c>
      <c r="G103" s="9" t="n">
        <v>4815279</v>
      </c>
      <c r="H103" s="9" t="s">
        <v>466</v>
      </c>
      <c r="I103" s="9" t="s">
        <v>59</v>
      </c>
      <c r="J103" s="9" t="s">
        <v>2396</v>
      </c>
    </row>
    <row r="104" customFormat="false" ht="15" hidden="false" customHeight="false" outlineLevel="0" collapsed="false">
      <c r="A104" s="9" t="s">
        <v>2694</v>
      </c>
      <c r="B104" s="9" t="s">
        <v>2428</v>
      </c>
      <c r="C104" s="9" t="s">
        <v>2695</v>
      </c>
      <c r="D104" s="9" t="s">
        <v>2400</v>
      </c>
      <c r="E104" s="9" t="s">
        <v>2696</v>
      </c>
      <c r="F104" s="9" t="n">
        <v>3870974</v>
      </c>
      <c r="G104" s="9" t="n">
        <v>3078523</v>
      </c>
      <c r="H104" s="9" t="s">
        <v>494</v>
      </c>
      <c r="I104" s="9" t="s">
        <v>59</v>
      </c>
      <c r="J104" s="9" t="s">
        <v>2396</v>
      </c>
    </row>
    <row r="105" customFormat="false" ht="15" hidden="false" customHeight="false" outlineLevel="0" collapsed="false">
      <c r="A105" s="9" t="s">
        <v>2697</v>
      </c>
      <c r="B105" s="9" t="s">
        <v>2393</v>
      </c>
      <c r="C105" s="9" t="s">
        <v>2698</v>
      </c>
      <c r="D105" s="9" t="s">
        <v>2485</v>
      </c>
      <c r="E105" s="9" t="s">
        <v>1968</v>
      </c>
      <c r="F105" s="9" t="n">
        <v>18465989</v>
      </c>
      <c r="G105" s="9" t="n">
        <v>5576715</v>
      </c>
      <c r="H105" s="9" t="s">
        <v>234</v>
      </c>
      <c r="I105" s="9" t="s">
        <v>59</v>
      </c>
      <c r="J105" s="9" t="s">
        <v>2396</v>
      </c>
    </row>
    <row r="106" customFormat="false" ht="15" hidden="false" customHeight="false" outlineLevel="0" collapsed="false">
      <c r="A106" s="9" t="s">
        <v>2699</v>
      </c>
      <c r="B106" s="9" t="s">
        <v>2406</v>
      </c>
      <c r="C106" s="9" t="s">
        <v>2700</v>
      </c>
      <c r="D106" s="9" t="s">
        <v>2412</v>
      </c>
      <c r="E106" s="9" t="s">
        <v>2701</v>
      </c>
      <c r="F106" s="9" t="n">
        <v>15075109</v>
      </c>
      <c r="G106" s="9" t="n">
        <v>6069006</v>
      </c>
      <c r="H106" s="9" t="s">
        <v>428</v>
      </c>
      <c r="I106" s="9" t="s">
        <v>59</v>
      </c>
      <c r="J106" s="9" t="s">
        <v>2396</v>
      </c>
    </row>
    <row r="107" customFormat="false" ht="15" hidden="false" customHeight="false" outlineLevel="0" collapsed="false">
      <c r="A107" s="9" t="s">
        <v>2702</v>
      </c>
      <c r="B107" s="9" t="s">
        <v>2393</v>
      </c>
      <c r="C107" s="9" t="s">
        <v>2703</v>
      </c>
      <c r="D107" s="9" t="s">
        <v>2408</v>
      </c>
      <c r="E107" s="9" t="s">
        <v>1038</v>
      </c>
      <c r="F107" s="9" t="n">
        <v>79927494</v>
      </c>
      <c r="G107" s="9" t="n">
        <v>59605105</v>
      </c>
      <c r="H107" s="9" t="s">
        <v>681</v>
      </c>
      <c r="I107" s="9" t="s">
        <v>59</v>
      </c>
      <c r="J107" s="9" t="s">
        <v>2420</v>
      </c>
    </row>
    <row r="108" customFormat="false" ht="15" hidden="false" customHeight="false" outlineLevel="0" collapsed="false">
      <c r="A108" s="9" t="s">
        <v>2704</v>
      </c>
      <c r="B108" s="9" t="s">
        <v>2458</v>
      </c>
      <c r="C108" s="9" t="s">
        <v>2705</v>
      </c>
      <c r="D108" s="9" t="s">
        <v>2485</v>
      </c>
      <c r="E108" s="9" t="s">
        <v>1735</v>
      </c>
      <c r="F108" s="9" t="n">
        <v>18119382</v>
      </c>
      <c r="G108" s="9" t="n">
        <v>8505997</v>
      </c>
      <c r="H108" s="9" t="s">
        <v>494</v>
      </c>
      <c r="I108" s="9" t="s">
        <v>59</v>
      </c>
      <c r="J108" s="9" t="s">
        <v>2396</v>
      </c>
    </row>
    <row r="109" customFormat="false" ht="15" hidden="false" customHeight="false" outlineLevel="0" collapsed="false">
      <c r="A109" s="9" t="s">
        <v>2706</v>
      </c>
      <c r="B109" s="9" t="s">
        <v>2406</v>
      </c>
      <c r="C109" s="9" t="s">
        <v>2707</v>
      </c>
      <c r="D109" s="9" t="s">
        <v>2400</v>
      </c>
      <c r="E109" s="9" t="s">
        <v>2708</v>
      </c>
      <c r="F109" s="9" t="n">
        <v>11527835</v>
      </c>
      <c r="G109" s="9" t="n">
        <v>6564210</v>
      </c>
      <c r="H109" s="9" t="s">
        <v>197</v>
      </c>
      <c r="I109" s="9" t="s">
        <v>59</v>
      </c>
      <c r="J109" s="9" t="s">
        <v>2396</v>
      </c>
    </row>
    <row r="110" customFormat="false" ht="15" hidden="false" customHeight="false" outlineLevel="0" collapsed="false">
      <c r="A110" s="9" t="s">
        <v>2709</v>
      </c>
      <c r="B110" s="9" t="s">
        <v>2458</v>
      </c>
      <c r="C110" s="9" t="s">
        <v>2710</v>
      </c>
      <c r="D110" s="9" t="s">
        <v>2412</v>
      </c>
      <c r="E110" s="9" t="s">
        <v>2711</v>
      </c>
      <c r="F110" s="9" t="n">
        <v>2982955</v>
      </c>
      <c r="G110" s="9" t="n">
        <v>2733195</v>
      </c>
      <c r="H110" s="9" t="s">
        <v>428</v>
      </c>
      <c r="I110" s="9" t="s">
        <v>59</v>
      </c>
      <c r="J110" s="9" t="s">
        <v>2396</v>
      </c>
    </row>
    <row r="111" customFormat="false" ht="15" hidden="false" customHeight="false" outlineLevel="0" collapsed="false">
      <c r="A111" s="9" t="s">
        <v>2712</v>
      </c>
      <c r="B111" s="9" t="s">
        <v>2393</v>
      </c>
      <c r="C111" s="9" t="s">
        <v>2713</v>
      </c>
      <c r="D111" s="9" t="s">
        <v>2408</v>
      </c>
      <c r="E111" s="9" t="s">
        <v>1068</v>
      </c>
      <c r="F111" s="9" t="n">
        <v>12142232</v>
      </c>
      <c r="G111" s="9" t="n">
        <v>11330923</v>
      </c>
      <c r="H111" s="9" t="s">
        <v>234</v>
      </c>
      <c r="I111" s="9" t="s">
        <v>59</v>
      </c>
      <c r="J111" s="9" t="s">
        <v>2396</v>
      </c>
    </row>
    <row r="112" customFormat="false" ht="15" hidden="false" customHeight="false" outlineLevel="0" collapsed="false">
      <c r="A112" s="9" t="s">
        <v>2714</v>
      </c>
      <c r="B112" s="9" t="s">
        <v>2439</v>
      </c>
      <c r="C112" s="9" t="s">
        <v>2715</v>
      </c>
      <c r="D112" s="9" t="s">
        <v>2395</v>
      </c>
      <c r="E112" s="9" t="s">
        <v>2716</v>
      </c>
      <c r="F112" s="9" t="n">
        <v>57766435</v>
      </c>
      <c r="G112" s="9" t="n">
        <v>39873586</v>
      </c>
      <c r="H112" s="9" t="s">
        <v>197</v>
      </c>
      <c r="I112" s="9" t="s">
        <v>59</v>
      </c>
      <c r="J112" s="9" t="s">
        <v>2396</v>
      </c>
    </row>
    <row r="113" customFormat="false" ht="15" hidden="false" customHeight="false" outlineLevel="0" collapsed="false">
      <c r="A113" s="9" t="s">
        <v>2717</v>
      </c>
      <c r="B113" s="9" t="s">
        <v>2406</v>
      </c>
      <c r="C113" s="9" t="s">
        <v>2718</v>
      </c>
      <c r="D113" s="9" t="s">
        <v>2408</v>
      </c>
      <c r="E113" s="9" t="s">
        <v>2719</v>
      </c>
      <c r="F113" s="9" t="n">
        <v>15950520</v>
      </c>
      <c r="G113" s="9" t="n">
        <v>4931497</v>
      </c>
      <c r="H113" s="9" t="s">
        <v>428</v>
      </c>
      <c r="I113" s="9" t="s">
        <v>59</v>
      </c>
      <c r="J113" s="9" t="s">
        <v>2396</v>
      </c>
    </row>
    <row r="114" customFormat="false" ht="15" hidden="false" customHeight="false" outlineLevel="0" collapsed="false">
      <c r="A114" s="9" t="s">
        <v>2720</v>
      </c>
      <c r="B114" s="9" t="s">
        <v>2458</v>
      </c>
      <c r="C114" s="9" t="s">
        <v>2721</v>
      </c>
      <c r="D114" s="9" t="s">
        <v>2485</v>
      </c>
      <c r="E114" s="9" t="s">
        <v>2722</v>
      </c>
      <c r="F114" s="9" t="n">
        <v>30329725</v>
      </c>
      <c r="G114" s="9" t="n">
        <v>23166341</v>
      </c>
      <c r="H114" s="9" t="s">
        <v>234</v>
      </c>
      <c r="I114" s="9" t="s">
        <v>59</v>
      </c>
      <c r="J114" s="9" t="s">
        <v>2431</v>
      </c>
    </row>
    <row r="115" customFormat="false" ht="15" hidden="false" customHeight="false" outlineLevel="0" collapsed="false">
      <c r="A115" s="9" t="s">
        <v>2723</v>
      </c>
      <c r="B115" s="9" t="s">
        <v>2406</v>
      </c>
      <c r="C115" s="9" t="s">
        <v>2724</v>
      </c>
      <c r="D115" s="9" t="s">
        <v>2400</v>
      </c>
      <c r="E115" s="9" t="s">
        <v>2725</v>
      </c>
      <c r="F115" s="9" t="n">
        <v>66526127</v>
      </c>
      <c r="G115" s="9" t="n">
        <v>36479454</v>
      </c>
      <c r="H115" s="9" t="s">
        <v>351</v>
      </c>
      <c r="I115" s="9" t="s">
        <v>59</v>
      </c>
      <c r="J115" s="9" t="s">
        <v>2420</v>
      </c>
    </row>
    <row r="116" customFormat="false" ht="15" hidden="false" customHeight="false" outlineLevel="0" collapsed="false">
      <c r="A116" s="9" t="s">
        <v>2726</v>
      </c>
      <c r="B116" s="9" t="s">
        <v>2428</v>
      </c>
      <c r="C116" s="9" t="s">
        <v>2727</v>
      </c>
      <c r="D116" s="9" t="s">
        <v>2408</v>
      </c>
      <c r="E116" s="9" t="s">
        <v>1651</v>
      </c>
      <c r="F116" s="9" t="n">
        <v>38179220</v>
      </c>
      <c r="G116" s="9" t="n">
        <v>29488111</v>
      </c>
      <c r="H116" s="9" t="s">
        <v>234</v>
      </c>
      <c r="I116" s="9" t="s">
        <v>59</v>
      </c>
      <c r="J116" s="9" t="s">
        <v>2396</v>
      </c>
    </row>
    <row r="117" customFormat="false" ht="15" hidden="false" customHeight="false" outlineLevel="0" collapsed="false">
      <c r="A117" s="9" t="s">
        <v>2728</v>
      </c>
      <c r="B117" s="9" t="s">
        <v>2458</v>
      </c>
      <c r="C117" s="9" t="s">
        <v>2729</v>
      </c>
      <c r="D117" s="9" t="s">
        <v>2408</v>
      </c>
      <c r="E117" s="9" t="s">
        <v>2730</v>
      </c>
      <c r="F117" s="9" t="n">
        <v>39149039</v>
      </c>
      <c r="G117" s="9" t="n">
        <v>36584123</v>
      </c>
      <c r="H117" s="9" t="s">
        <v>234</v>
      </c>
      <c r="I117" s="9" t="s">
        <v>59</v>
      </c>
      <c r="J117" s="9" t="s">
        <v>2396</v>
      </c>
    </row>
    <row r="118" customFormat="false" ht="15" hidden="false" customHeight="false" outlineLevel="0" collapsed="false">
      <c r="A118" s="9" t="s">
        <v>2731</v>
      </c>
      <c r="B118" s="9" t="s">
        <v>2439</v>
      </c>
      <c r="C118" s="9" t="s">
        <v>2732</v>
      </c>
      <c r="D118" s="9" t="s">
        <v>2400</v>
      </c>
      <c r="E118" s="9" t="s">
        <v>2733</v>
      </c>
      <c r="F118" s="9" t="n">
        <v>61693746</v>
      </c>
      <c r="G118" s="9" t="n">
        <v>21946324</v>
      </c>
      <c r="H118" s="9" t="s">
        <v>389</v>
      </c>
      <c r="I118" s="9" t="s">
        <v>59</v>
      </c>
      <c r="J118" s="9" t="s">
        <v>2396</v>
      </c>
    </row>
    <row r="119" customFormat="false" ht="15" hidden="false" customHeight="false" outlineLevel="0" collapsed="false">
      <c r="A119" s="9" t="s">
        <v>2734</v>
      </c>
      <c r="B119" s="9" t="s">
        <v>2406</v>
      </c>
      <c r="C119" s="9" t="s">
        <v>2735</v>
      </c>
      <c r="D119" s="9" t="s">
        <v>2485</v>
      </c>
      <c r="E119" s="9" t="s">
        <v>2736</v>
      </c>
      <c r="F119" s="9" t="n">
        <v>28683372</v>
      </c>
      <c r="G119" s="9" t="n">
        <v>21904583</v>
      </c>
      <c r="H119" s="9" t="s">
        <v>673</v>
      </c>
      <c r="I119" s="9" t="s">
        <v>59</v>
      </c>
      <c r="J119" s="9" t="s">
        <v>2396</v>
      </c>
    </row>
    <row r="120" customFormat="false" ht="15" hidden="false" customHeight="false" outlineLevel="0" collapsed="false">
      <c r="A120" s="9" t="s">
        <v>2737</v>
      </c>
      <c r="B120" s="9" t="s">
        <v>2428</v>
      </c>
      <c r="C120" s="9" t="s">
        <v>2738</v>
      </c>
      <c r="D120" s="9" t="s">
        <v>2400</v>
      </c>
      <c r="E120" s="9" t="s">
        <v>2739</v>
      </c>
      <c r="F120" s="9" t="n">
        <v>12988187</v>
      </c>
      <c r="G120" s="9" t="n">
        <v>8598828</v>
      </c>
      <c r="H120" s="9" t="s">
        <v>60</v>
      </c>
      <c r="I120" s="9" t="s">
        <v>59</v>
      </c>
      <c r="J120" s="9" t="s">
        <v>2396</v>
      </c>
    </row>
    <row r="121" customFormat="false" ht="15" hidden="false" customHeight="false" outlineLevel="0" collapsed="false">
      <c r="A121" s="9" t="s">
        <v>2740</v>
      </c>
      <c r="B121" s="9" t="s">
        <v>2439</v>
      </c>
      <c r="C121" s="9" t="s">
        <v>2741</v>
      </c>
      <c r="D121" s="9" t="s">
        <v>2485</v>
      </c>
      <c r="E121" s="9" t="s">
        <v>2742</v>
      </c>
      <c r="F121" s="9" t="n">
        <v>47753566</v>
      </c>
      <c r="G121" s="9" t="n">
        <v>45264680</v>
      </c>
      <c r="H121" s="9" t="s">
        <v>494</v>
      </c>
      <c r="I121" s="9" t="s">
        <v>59</v>
      </c>
      <c r="J121" s="9" t="s">
        <v>2431</v>
      </c>
    </row>
    <row r="122" customFormat="false" ht="15" hidden="false" customHeight="false" outlineLevel="0" collapsed="false">
      <c r="A122" s="9" t="s">
        <v>2743</v>
      </c>
      <c r="B122" s="9" t="s">
        <v>2428</v>
      </c>
      <c r="C122" s="9" t="s">
        <v>2744</v>
      </c>
      <c r="D122" s="9" t="s">
        <v>2395</v>
      </c>
      <c r="E122" s="9" t="s">
        <v>2745</v>
      </c>
      <c r="F122" s="9" t="n">
        <v>34245250</v>
      </c>
      <c r="G122" s="9" t="n">
        <v>21504383</v>
      </c>
      <c r="H122" s="9" t="s">
        <v>351</v>
      </c>
      <c r="I122" s="9" t="s">
        <v>59</v>
      </c>
      <c r="J122" s="9" t="s">
        <v>2396</v>
      </c>
    </row>
    <row r="123" customFormat="false" ht="15" hidden="false" customHeight="false" outlineLevel="0" collapsed="false">
      <c r="A123" s="9" t="s">
        <v>2746</v>
      </c>
      <c r="B123" s="9" t="s">
        <v>2458</v>
      </c>
      <c r="C123" s="9" t="s">
        <v>2747</v>
      </c>
      <c r="D123" s="9" t="s">
        <v>2400</v>
      </c>
      <c r="E123" s="9" t="s">
        <v>2748</v>
      </c>
      <c r="F123" s="9" t="n">
        <v>75302924</v>
      </c>
      <c r="G123" s="9" t="n">
        <v>24603817</v>
      </c>
      <c r="H123" s="9" t="s">
        <v>197</v>
      </c>
      <c r="I123" s="9" t="s">
        <v>59</v>
      </c>
      <c r="J123" s="9" t="s">
        <v>2396</v>
      </c>
    </row>
    <row r="124" customFormat="false" ht="15" hidden="false" customHeight="false" outlineLevel="0" collapsed="false">
      <c r="A124" s="9" t="s">
        <v>2749</v>
      </c>
      <c r="B124" s="9" t="s">
        <v>2428</v>
      </c>
      <c r="C124" s="9" t="s">
        <v>2750</v>
      </c>
      <c r="D124" s="9" t="s">
        <v>2485</v>
      </c>
      <c r="E124" s="9" t="s">
        <v>1305</v>
      </c>
      <c r="F124" s="9" t="n">
        <v>45723530</v>
      </c>
      <c r="G124" s="9" t="n">
        <v>39808409</v>
      </c>
      <c r="H124" s="9" t="s">
        <v>197</v>
      </c>
      <c r="I124" s="9" t="s">
        <v>59</v>
      </c>
      <c r="J124" s="9" t="s">
        <v>2396</v>
      </c>
    </row>
    <row r="125" customFormat="false" ht="15" hidden="false" customHeight="false" outlineLevel="0" collapsed="false">
      <c r="A125" s="9" t="s">
        <v>2751</v>
      </c>
      <c r="B125" s="9" t="s">
        <v>2393</v>
      </c>
      <c r="C125" s="9" t="s">
        <v>2752</v>
      </c>
      <c r="D125" s="9" t="s">
        <v>2412</v>
      </c>
      <c r="E125" s="9" t="s">
        <v>2753</v>
      </c>
      <c r="F125" s="9" t="n">
        <v>19231501</v>
      </c>
      <c r="G125" s="9" t="n">
        <v>9024649</v>
      </c>
      <c r="H125" s="9" t="s">
        <v>313</v>
      </c>
      <c r="I125" s="9" t="s">
        <v>59</v>
      </c>
      <c r="J125" s="9" t="s">
        <v>2396</v>
      </c>
    </row>
    <row r="126" customFormat="false" ht="15" hidden="false" customHeight="false" outlineLevel="0" collapsed="false">
      <c r="A126" s="9" t="s">
        <v>2754</v>
      </c>
      <c r="B126" s="9" t="s">
        <v>2439</v>
      </c>
      <c r="C126" s="9" t="s">
        <v>2755</v>
      </c>
      <c r="D126" s="9" t="s">
        <v>2485</v>
      </c>
      <c r="E126" s="9" t="s">
        <v>2756</v>
      </c>
      <c r="F126" s="9" t="n">
        <v>37915268</v>
      </c>
      <c r="G126" s="9" t="n">
        <v>29804630</v>
      </c>
      <c r="H126" s="9" t="s">
        <v>351</v>
      </c>
      <c r="I126" s="9" t="s">
        <v>59</v>
      </c>
      <c r="J126" s="9" t="s">
        <v>2396</v>
      </c>
    </row>
    <row r="127" customFormat="false" ht="15" hidden="false" customHeight="false" outlineLevel="0" collapsed="false">
      <c r="A127" s="9" t="s">
        <v>2757</v>
      </c>
      <c r="B127" s="9" t="s">
        <v>2406</v>
      </c>
      <c r="C127" s="9" t="s">
        <v>2758</v>
      </c>
      <c r="D127" s="9" t="s">
        <v>2412</v>
      </c>
      <c r="E127" s="9" t="s">
        <v>2759</v>
      </c>
      <c r="F127" s="9" t="n">
        <v>35600991</v>
      </c>
      <c r="G127" s="9" t="n">
        <v>22643378</v>
      </c>
      <c r="H127" s="9" t="s">
        <v>351</v>
      </c>
      <c r="I127" s="9" t="s">
        <v>59</v>
      </c>
      <c r="J127" s="9" t="s">
        <v>2420</v>
      </c>
    </row>
    <row r="128" customFormat="false" ht="15" hidden="false" customHeight="false" outlineLevel="0" collapsed="false">
      <c r="A128" s="9" t="s">
        <v>2760</v>
      </c>
      <c r="B128" s="9" t="s">
        <v>2406</v>
      </c>
      <c r="C128" s="9" t="s">
        <v>2761</v>
      </c>
      <c r="D128" s="9" t="s">
        <v>2485</v>
      </c>
      <c r="E128" s="9" t="s">
        <v>2762</v>
      </c>
      <c r="F128" s="9" t="n">
        <v>20502410</v>
      </c>
      <c r="G128" s="9" t="n">
        <v>13555958</v>
      </c>
      <c r="H128" s="9" t="s">
        <v>494</v>
      </c>
      <c r="I128" s="9" t="s">
        <v>59</v>
      </c>
      <c r="J128" s="9" t="s">
        <v>2396</v>
      </c>
    </row>
    <row r="129" customFormat="false" ht="15" hidden="false" customHeight="false" outlineLevel="0" collapsed="false">
      <c r="A129" s="9" t="s">
        <v>2763</v>
      </c>
      <c r="B129" s="9" t="s">
        <v>2458</v>
      </c>
      <c r="C129" s="9" t="s">
        <v>2764</v>
      </c>
      <c r="D129" s="9" t="s">
        <v>2395</v>
      </c>
      <c r="E129" s="9" t="s">
        <v>2765</v>
      </c>
      <c r="F129" s="9" t="n">
        <v>20147547</v>
      </c>
      <c r="G129" s="9" t="n">
        <v>6758870</v>
      </c>
      <c r="H129" s="9" t="s">
        <v>197</v>
      </c>
      <c r="I129" s="9" t="s">
        <v>59</v>
      </c>
      <c r="J129" s="9" t="s">
        <v>2396</v>
      </c>
    </row>
    <row r="130" customFormat="false" ht="15" hidden="false" customHeight="false" outlineLevel="0" collapsed="false">
      <c r="A130" s="9" t="s">
        <v>2766</v>
      </c>
      <c r="B130" s="9" t="s">
        <v>2406</v>
      </c>
      <c r="C130" s="9" t="s">
        <v>2767</v>
      </c>
      <c r="D130" s="9" t="s">
        <v>2408</v>
      </c>
      <c r="E130" s="9" t="s">
        <v>2768</v>
      </c>
      <c r="F130" s="9" t="n">
        <v>62897508</v>
      </c>
      <c r="G130" s="9" t="n">
        <v>36711980</v>
      </c>
      <c r="H130" s="9" t="s">
        <v>389</v>
      </c>
      <c r="I130" s="9" t="s">
        <v>59</v>
      </c>
      <c r="J130" s="9" t="s">
        <v>2396</v>
      </c>
    </row>
    <row r="131" customFormat="false" ht="15" hidden="false" customHeight="false" outlineLevel="0" collapsed="false">
      <c r="A131" s="9" t="s">
        <v>2769</v>
      </c>
      <c r="B131" s="9" t="s">
        <v>2406</v>
      </c>
      <c r="C131" s="9" t="s">
        <v>2770</v>
      </c>
      <c r="D131" s="9" t="s">
        <v>2412</v>
      </c>
      <c r="E131" s="9" t="s">
        <v>2771</v>
      </c>
      <c r="F131" s="9" t="n">
        <v>61639467</v>
      </c>
      <c r="G131" s="9" t="n">
        <v>38243748</v>
      </c>
      <c r="H131" s="9" t="s">
        <v>701</v>
      </c>
      <c r="I131" s="9" t="s">
        <v>59</v>
      </c>
      <c r="J131" s="9" t="s">
        <v>2396</v>
      </c>
    </row>
    <row r="132" customFormat="false" ht="15" hidden="false" customHeight="false" outlineLevel="0" collapsed="false">
      <c r="A132" s="9" t="s">
        <v>2772</v>
      </c>
      <c r="B132" s="9" t="s">
        <v>2439</v>
      </c>
      <c r="C132" s="9" t="s">
        <v>2773</v>
      </c>
      <c r="D132" s="9" t="s">
        <v>2395</v>
      </c>
      <c r="E132" s="9" t="s">
        <v>2774</v>
      </c>
      <c r="F132" s="9" t="n">
        <v>12759810</v>
      </c>
      <c r="G132" s="9" t="n">
        <v>5517685</v>
      </c>
      <c r="H132" s="9" t="s">
        <v>274</v>
      </c>
      <c r="I132" s="9" t="s">
        <v>59</v>
      </c>
      <c r="J132" s="9" t="s">
        <v>2396</v>
      </c>
    </row>
    <row r="133" customFormat="false" ht="15" hidden="false" customHeight="false" outlineLevel="0" collapsed="false">
      <c r="A133" s="9" t="s">
        <v>2775</v>
      </c>
      <c r="B133" s="9" t="s">
        <v>2439</v>
      </c>
      <c r="C133" s="9" t="s">
        <v>2776</v>
      </c>
      <c r="D133" s="9" t="s">
        <v>2412</v>
      </c>
      <c r="E133" s="9" t="s">
        <v>982</v>
      </c>
      <c r="F133" s="9" t="n">
        <v>36813462</v>
      </c>
      <c r="G133" s="9" t="n">
        <v>24521844</v>
      </c>
      <c r="H133" s="9" t="s">
        <v>494</v>
      </c>
      <c r="I133" s="9" t="s">
        <v>59</v>
      </c>
      <c r="J133" s="9" t="s">
        <v>2396</v>
      </c>
    </row>
    <row r="134" customFormat="false" ht="15" hidden="false" customHeight="false" outlineLevel="0" collapsed="false">
      <c r="A134" s="9" t="s">
        <v>2777</v>
      </c>
      <c r="B134" s="9" t="s">
        <v>2428</v>
      </c>
      <c r="C134" s="9" t="s">
        <v>2778</v>
      </c>
      <c r="D134" s="9" t="s">
        <v>2395</v>
      </c>
      <c r="E134" s="9" t="s">
        <v>2779</v>
      </c>
      <c r="F134" s="9" t="n">
        <v>76809843</v>
      </c>
      <c r="G134" s="9" t="n">
        <v>32058105</v>
      </c>
      <c r="H134" s="9" t="s">
        <v>156</v>
      </c>
      <c r="I134" s="9" t="s">
        <v>59</v>
      </c>
      <c r="J134" s="9" t="s">
        <v>2396</v>
      </c>
    </row>
    <row r="135" customFormat="false" ht="15" hidden="false" customHeight="false" outlineLevel="0" collapsed="false">
      <c r="A135" s="9" t="s">
        <v>2780</v>
      </c>
      <c r="B135" s="9" t="s">
        <v>2458</v>
      </c>
      <c r="C135" s="9" t="s">
        <v>2781</v>
      </c>
      <c r="D135" s="9" t="s">
        <v>2395</v>
      </c>
      <c r="E135" s="9" t="s">
        <v>1865</v>
      </c>
      <c r="F135" s="9" t="n">
        <v>44311700</v>
      </c>
      <c r="G135" s="9" t="n">
        <v>14041288</v>
      </c>
      <c r="H135" s="9" t="s">
        <v>494</v>
      </c>
      <c r="I135" s="9" t="s">
        <v>59</v>
      </c>
      <c r="J135" s="9" t="s">
        <v>2431</v>
      </c>
    </row>
    <row r="136" customFormat="false" ht="15" hidden="false" customHeight="false" outlineLevel="0" collapsed="false">
      <c r="A136" s="9" t="s">
        <v>2782</v>
      </c>
      <c r="B136" s="9" t="s">
        <v>2398</v>
      </c>
      <c r="C136" s="9" t="s">
        <v>2783</v>
      </c>
      <c r="D136" s="9" t="s">
        <v>2485</v>
      </c>
      <c r="E136" s="9" t="s">
        <v>2784</v>
      </c>
      <c r="F136" s="9" t="n">
        <v>79433891</v>
      </c>
      <c r="G136" s="9" t="n">
        <v>71803986</v>
      </c>
      <c r="H136" s="9" t="s">
        <v>156</v>
      </c>
      <c r="I136" s="9" t="s">
        <v>59</v>
      </c>
      <c r="J136" s="9" t="s">
        <v>2420</v>
      </c>
    </row>
    <row r="137" customFormat="false" ht="15" hidden="false" customHeight="false" outlineLevel="0" collapsed="false">
      <c r="A137" s="9" t="s">
        <v>2785</v>
      </c>
      <c r="B137" s="9" t="s">
        <v>2439</v>
      </c>
      <c r="C137" s="9" t="s">
        <v>2786</v>
      </c>
      <c r="D137" s="9" t="s">
        <v>2395</v>
      </c>
      <c r="E137" s="9" t="s">
        <v>2787</v>
      </c>
      <c r="F137" s="9" t="n">
        <v>61971451</v>
      </c>
      <c r="G137" s="9" t="n">
        <v>52053198</v>
      </c>
      <c r="H137" s="9" t="s">
        <v>494</v>
      </c>
      <c r="I137" s="9" t="s">
        <v>59</v>
      </c>
      <c r="J137" s="9" t="s">
        <v>2396</v>
      </c>
    </row>
    <row r="138" customFormat="false" ht="15" hidden="false" customHeight="false" outlineLevel="0" collapsed="false">
      <c r="A138" s="9" t="s">
        <v>2788</v>
      </c>
      <c r="B138" s="9" t="s">
        <v>2393</v>
      </c>
      <c r="C138" s="9" t="s">
        <v>2789</v>
      </c>
      <c r="D138" s="9" t="s">
        <v>2400</v>
      </c>
      <c r="E138" s="9" t="s">
        <v>2790</v>
      </c>
      <c r="F138" s="9" t="n">
        <v>979182</v>
      </c>
      <c r="G138" s="9" t="n">
        <v>503424</v>
      </c>
      <c r="H138" s="9" t="s">
        <v>60</v>
      </c>
      <c r="I138" s="9" t="s">
        <v>59</v>
      </c>
      <c r="J138" s="9" t="s">
        <v>2396</v>
      </c>
    </row>
    <row r="139" customFormat="false" ht="15" hidden="false" customHeight="false" outlineLevel="0" collapsed="false">
      <c r="A139" s="9" t="s">
        <v>2791</v>
      </c>
      <c r="B139" s="9" t="s">
        <v>2458</v>
      </c>
      <c r="C139" s="9" t="s">
        <v>2792</v>
      </c>
      <c r="D139" s="9" t="s">
        <v>2400</v>
      </c>
      <c r="E139" s="9" t="s">
        <v>788</v>
      </c>
      <c r="F139" s="9" t="n">
        <v>76591152</v>
      </c>
      <c r="G139" s="9" t="n">
        <v>29415454</v>
      </c>
      <c r="H139" s="9" t="s">
        <v>701</v>
      </c>
      <c r="I139" s="9" t="s">
        <v>59</v>
      </c>
      <c r="J139" s="9" t="s">
        <v>2396</v>
      </c>
    </row>
    <row r="140" customFormat="false" ht="15" hidden="false" customHeight="false" outlineLevel="0" collapsed="false">
      <c r="A140" s="9" t="s">
        <v>2793</v>
      </c>
      <c r="B140" s="9" t="s">
        <v>2393</v>
      </c>
      <c r="C140" s="9" t="s">
        <v>2794</v>
      </c>
      <c r="D140" s="9" t="s">
        <v>2400</v>
      </c>
      <c r="E140" s="9" t="s">
        <v>2795</v>
      </c>
      <c r="F140" s="9" t="n">
        <v>7653784</v>
      </c>
      <c r="G140" s="9" t="n">
        <v>5996510</v>
      </c>
      <c r="H140" s="9" t="s">
        <v>428</v>
      </c>
      <c r="I140" s="9" t="s">
        <v>59</v>
      </c>
      <c r="J140" s="9" t="s">
        <v>2431</v>
      </c>
    </row>
    <row r="141" customFormat="false" ht="15" hidden="false" customHeight="false" outlineLevel="0" collapsed="false">
      <c r="A141" s="9" t="s">
        <v>2796</v>
      </c>
      <c r="B141" s="9" t="s">
        <v>2458</v>
      </c>
      <c r="C141" s="9" t="s">
        <v>2797</v>
      </c>
      <c r="D141" s="9" t="s">
        <v>2395</v>
      </c>
      <c r="E141" s="9" t="s">
        <v>2798</v>
      </c>
      <c r="F141" s="9" t="n">
        <v>34447519</v>
      </c>
      <c r="G141" s="9" t="n">
        <v>14320075</v>
      </c>
      <c r="H141" s="9" t="s">
        <v>681</v>
      </c>
      <c r="I141" s="9" t="s">
        <v>59</v>
      </c>
      <c r="J141" s="9" t="s">
        <v>2420</v>
      </c>
    </row>
    <row r="142" customFormat="false" ht="15" hidden="false" customHeight="false" outlineLevel="0" collapsed="false">
      <c r="A142" s="9" t="s">
        <v>2799</v>
      </c>
      <c r="B142" s="9" t="s">
        <v>2398</v>
      </c>
      <c r="C142" s="9" t="s">
        <v>2800</v>
      </c>
      <c r="D142" s="9" t="s">
        <v>2395</v>
      </c>
      <c r="E142" s="9" t="s">
        <v>1672</v>
      </c>
      <c r="F142" s="9" t="n">
        <v>28147183</v>
      </c>
      <c r="G142" s="9" t="n">
        <v>11425263</v>
      </c>
      <c r="H142" s="9" t="s">
        <v>681</v>
      </c>
      <c r="I142" s="9" t="s">
        <v>59</v>
      </c>
      <c r="J142" s="9" t="s">
        <v>2396</v>
      </c>
    </row>
    <row r="143" customFormat="false" ht="15" hidden="false" customHeight="false" outlineLevel="0" collapsed="false">
      <c r="A143" s="9" t="s">
        <v>2801</v>
      </c>
      <c r="B143" s="9" t="s">
        <v>2393</v>
      </c>
      <c r="C143" s="9" t="s">
        <v>2802</v>
      </c>
      <c r="D143" s="9" t="s">
        <v>2408</v>
      </c>
      <c r="E143" s="9" t="s">
        <v>132</v>
      </c>
      <c r="F143" s="9" t="n">
        <v>40270254</v>
      </c>
      <c r="G143" s="9" t="n">
        <v>24929273</v>
      </c>
      <c r="H143" s="9" t="s">
        <v>351</v>
      </c>
      <c r="I143" s="9" t="s">
        <v>59</v>
      </c>
      <c r="J143" s="9" t="s">
        <v>2396</v>
      </c>
    </row>
    <row r="144" customFormat="false" ht="15" hidden="false" customHeight="false" outlineLevel="0" collapsed="false">
      <c r="A144" s="9" t="s">
        <v>2803</v>
      </c>
      <c r="B144" s="9" t="s">
        <v>2406</v>
      </c>
      <c r="C144" s="9" t="s">
        <v>2804</v>
      </c>
      <c r="D144" s="9" t="s">
        <v>2412</v>
      </c>
      <c r="E144" s="9" t="s">
        <v>2805</v>
      </c>
      <c r="F144" s="9" t="n">
        <v>48390104</v>
      </c>
      <c r="G144" s="9" t="n">
        <v>35450018</v>
      </c>
      <c r="H144" s="9" t="s">
        <v>701</v>
      </c>
      <c r="I144" s="9" t="s">
        <v>59</v>
      </c>
      <c r="J144" s="9" t="s">
        <v>2396</v>
      </c>
    </row>
    <row r="145" customFormat="false" ht="15" hidden="false" customHeight="false" outlineLevel="0" collapsed="false">
      <c r="A145" s="9" t="s">
        <v>2806</v>
      </c>
      <c r="B145" s="9" t="s">
        <v>2439</v>
      </c>
      <c r="C145" s="9" t="s">
        <v>2807</v>
      </c>
      <c r="D145" s="9" t="s">
        <v>2485</v>
      </c>
      <c r="E145" s="9" t="s">
        <v>2808</v>
      </c>
      <c r="F145" s="9" t="n">
        <v>52288494</v>
      </c>
      <c r="G145" s="9" t="n">
        <v>31879552</v>
      </c>
      <c r="H145" s="9" t="s">
        <v>466</v>
      </c>
      <c r="I145" s="9" t="s">
        <v>59</v>
      </c>
      <c r="J145" s="9" t="s">
        <v>2396</v>
      </c>
    </row>
    <row r="146" customFormat="false" ht="15" hidden="false" customHeight="false" outlineLevel="0" collapsed="false">
      <c r="A146" s="9" t="s">
        <v>2809</v>
      </c>
      <c r="B146" s="9" t="s">
        <v>2398</v>
      </c>
      <c r="C146" s="9" t="s">
        <v>2810</v>
      </c>
      <c r="D146" s="9" t="s">
        <v>2485</v>
      </c>
      <c r="E146" s="9" t="s">
        <v>2811</v>
      </c>
      <c r="F146" s="9" t="n">
        <v>49623803</v>
      </c>
      <c r="G146" s="9" t="n">
        <v>34687735</v>
      </c>
      <c r="H146" s="9" t="s">
        <v>351</v>
      </c>
      <c r="I146" s="9" t="s">
        <v>59</v>
      </c>
      <c r="J146" s="9" t="s">
        <v>2396</v>
      </c>
    </row>
    <row r="147" customFormat="false" ht="15" hidden="false" customHeight="false" outlineLevel="0" collapsed="false">
      <c r="A147" s="9" t="s">
        <v>2812</v>
      </c>
      <c r="B147" s="9" t="s">
        <v>2398</v>
      </c>
      <c r="C147" s="9" t="s">
        <v>2813</v>
      </c>
      <c r="D147" s="9" t="s">
        <v>2395</v>
      </c>
      <c r="E147" s="9" t="s">
        <v>2814</v>
      </c>
      <c r="F147" s="9" t="n">
        <v>46068216</v>
      </c>
      <c r="G147" s="9" t="n">
        <v>42964446</v>
      </c>
      <c r="H147" s="9" t="s">
        <v>494</v>
      </c>
      <c r="I147" s="9" t="s">
        <v>59</v>
      </c>
      <c r="J147" s="9" t="s">
        <v>2396</v>
      </c>
    </row>
    <row r="148" customFormat="false" ht="15" hidden="false" customHeight="false" outlineLevel="0" collapsed="false">
      <c r="A148" s="9" t="s">
        <v>2815</v>
      </c>
      <c r="B148" s="9" t="s">
        <v>2393</v>
      </c>
      <c r="C148" s="9" t="s">
        <v>2816</v>
      </c>
      <c r="D148" s="9" t="s">
        <v>2408</v>
      </c>
      <c r="E148" s="9" t="s">
        <v>1437</v>
      </c>
      <c r="F148" s="9" t="n">
        <v>66681027</v>
      </c>
      <c r="G148" s="9" t="n">
        <v>42857973</v>
      </c>
      <c r="H148" s="9" t="s">
        <v>494</v>
      </c>
      <c r="I148" s="9" t="s">
        <v>59</v>
      </c>
      <c r="J148" s="9" t="s">
        <v>2396</v>
      </c>
    </row>
    <row r="149" customFormat="false" ht="15" hidden="false" customHeight="false" outlineLevel="0" collapsed="false">
      <c r="A149" s="9" t="s">
        <v>2817</v>
      </c>
      <c r="B149" s="9" t="s">
        <v>2406</v>
      </c>
      <c r="C149" s="9" t="s">
        <v>2818</v>
      </c>
      <c r="D149" s="9" t="s">
        <v>2485</v>
      </c>
      <c r="E149" s="9" t="s">
        <v>2819</v>
      </c>
      <c r="F149" s="9" t="n">
        <v>10827779</v>
      </c>
      <c r="G149" s="9" t="n">
        <v>9633312</v>
      </c>
      <c r="H149" s="9" t="s">
        <v>389</v>
      </c>
      <c r="I149" s="9" t="s">
        <v>59</v>
      </c>
      <c r="J149" s="9" t="s">
        <v>2396</v>
      </c>
    </row>
    <row r="150" customFormat="false" ht="15" hidden="false" customHeight="false" outlineLevel="0" collapsed="false">
      <c r="A150" s="9" t="s">
        <v>2820</v>
      </c>
      <c r="B150" s="9" t="s">
        <v>2439</v>
      </c>
      <c r="C150" s="9" t="s">
        <v>2821</v>
      </c>
      <c r="D150" s="9" t="s">
        <v>2400</v>
      </c>
      <c r="E150" s="9" t="s">
        <v>2822</v>
      </c>
      <c r="F150" s="9" t="n">
        <v>33573708</v>
      </c>
      <c r="G150" s="9" t="n">
        <v>21487503</v>
      </c>
      <c r="H150" s="9" t="s">
        <v>274</v>
      </c>
      <c r="I150" s="9" t="s">
        <v>59</v>
      </c>
      <c r="J150" s="9" t="s">
        <v>2396</v>
      </c>
    </row>
    <row r="151" customFormat="false" ht="15" hidden="false" customHeight="false" outlineLevel="0" collapsed="false">
      <c r="A151" s="9" t="s">
        <v>2823</v>
      </c>
      <c r="B151" s="9" t="s">
        <v>2428</v>
      </c>
      <c r="C151" s="9" t="s">
        <v>2824</v>
      </c>
      <c r="D151" s="9" t="s">
        <v>2395</v>
      </c>
      <c r="E151" s="9" t="s">
        <v>2825</v>
      </c>
      <c r="F151" s="9" t="n">
        <v>6252535</v>
      </c>
      <c r="G151" s="9" t="n">
        <v>3962352</v>
      </c>
      <c r="H151" s="9" t="s">
        <v>428</v>
      </c>
      <c r="I151" s="9" t="s">
        <v>59</v>
      </c>
      <c r="J151" s="9" t="s">
        <v>2396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0"/>
  </cols>
  <sheetData>
    <row r="1" customFormat="false" ht="23.85" hidden="false" customHeight="false" outlineLevel="0" collapsed="false">
      <c r="A1" s="8" t="s">
        <v>2826</v>
      </c>
      <c r="B1" s="8" t="s">
        <v>2827</v>
      </c>
      <c r="C1" s="8" t="s">
        <v>2828</v>
      </c>
      <c r="D1" s="8" t="s">
        <v>2829</v>
      </c>
      <c r="E1" s="8" t="s">
        <v>2830</v>
      </c>
      <c r="F1" s="8" t="s">
        <v>2831</v>
      </c>
      <c r="G1" s="8" t="s">
        <v>2832</v>
      </c>
      <c r="H1" s="8" t="s">
        <v>2833</v>
      </c>
      <c r="I1" s="8" t="s">
        <v>2834</v>
      </c>
      <c r="J1" s="8" t="s">
        <v>2835</v>
      </c>
      <c r="K1" s="8" t="s">
        <v>96</v>
      </c>
    </row>
    <row r="2" customFormat="false" ht="15" hidden="false" customHeight="false" outlineLevel="0" collapsed="false">
      <c r="A2" s="9" t="s">
        <v>2836</v>
      </c>
      <c r="B2" s="9" t="s">
        <v>2837</v>
      </c>
      <c r="C2" s="9" t="s">
        <v>2838</v>
      </c>
      <c r="D2" s="9" t="s">
        <v>2839</v>
      </c>
      <c r="E2" s="9" t="s">
        <v>2840</v>
      </c>
      <c r="F2" s="9" t="s">
        <v>2841</v>
      </c>
      <c r="G2" s="9" t="s">
        <v>2842</v>
      </c>
      <c r="H2" s="9" t="n">
        <f aca="false">IF(G2="","",G2-F2)</f>
        <v>2</v>
      </c>
      <c r="I2" s="9" t="n">
        <v>5</v>
      </c>
      <c r="J2" s="9" t="s">
        <v>64</v>
      </c>
      <c r="K2" s="9" t="s">
        <v>2843</v>
      </c>
    </row>
    <row r="3" customFormat="false" ht="15" hidden="false" customHeight="false" outlineLevel="0" collapsed="false">
      <c r="A3" s="9" t="s">
        <v>2844</v>
      </c>
      <c r="B3" s="9" t="s">
        <v>2845</v>
      </c>
      <c r="C3" s="9" t="s">
        <v>2838</v>
      </c>
      <c r="D3" s="9" t="s">
        <v>2846</v>
      </c>
      <c r="E3" s="9" t="s">
        <v>2847</v>
      </c>
      <c r="F3" s="9" t="s">
        <v>1084</v>
      </c>
      <c r="G3" s="9" t="s">
        <v>2848</v>
      </c>
      <c r="H3" s="9" t="n">
        <f aca="false">IF(G3="","",G3-F3)</f>
        <v>13</v>
      </c>
      <c r="I3" s="9" t="n">
        <v>3</v>
      </c>
      <c r="J3" s="9" t="s">
        <v>506</v>
      </c>
      <c r="K3" s="9" t="s">
        <v>2843</v>
      </c>
    </row>
    <row r="4" customFormat="false" ht="15" hidden="false" customHeight="false" outlineLevel="0" collapsed="false">
      <c r="A4" s="9" t="s">
        <v>2849</v>
      </c>
      <c r="B4" s="9" t="s">
        <v>2850</v>
      </c>
      <c r="C4" s="9" t="s">
        <v>2838</v>
      </c>
      <c r="D4" s="9" t="s">
        <v>2839</v>
      </c>
      <c r="E4" s="9" t="s">
        <v>2840</v>
      </c>
      <c r="F4" s="9" t="s">
        <v>2851</v>
      </c>
      <c r="G4" s="9"/>
      <c r="H4" s="9" t="str">
        <f aca="false">IF(G4="","",G4-F4)</f>
        <v/>
      </c>
      <c r="I4" s="9"/>
      <c r="J4" s="9" t="s">
        <v>317</v>
      </c>
      <c r="K4" s="9" t="s">
        <v>2852</v>
      </c>
    </row>
    <row r="5" customFormat="false" ht="15" hidden="false" customHeight="false" outlineLevel="0" collapsed="false">
      <c r="A5" s="9" t="s">
        <v>2853</v>
      </c>
      <c r="B5" s="9" t="s">
        <v>2854</v>
      </c>
      <c r="C5" s="9" t="s">
        <v>2855</v>
      </c>
      <c r="D5" s="9" t="s">
        <v>2856</v>
      </c>
      <c r="E5" s="9" t="s">
        <v>2840</v>
      </c>
      <c r="F5" s="9" t="s">
        <v>1406</v>
      </c>
      <c r="G5" s="9" t="s">
        <v>1406</v>
      </c>
      <c r="H5" s="9" t="n">
        <f aca="false">IF(G5="","",G5-F5)</f>
        <v>0</v>
      </c>
      <c r="I5" s="9" t="n">
        <v>1</v>
      </c>
      <c r="J5" s="9" t="s">
        <v>534</v>
      </c>
      <c r="K5" s="9" t="s">
        <v>2843</v>
      </c>
    </row>
    <row r="6" customFormat="false" ht="15" hidden="false" customHeight="false" outlineLevel="0" collapsed="false">
      <c r="A6" s="9" t="s">
        <v>2857</v>
      </c>
      <c r="B6" s="9" t="s">
        <v>2858</v>
      </c>
      <c r="C6" s="9" t="s">
        <v>1275</v>
      </c>
      <c r="D6" s="9" t="s">
        <v>2846</v>
      </c>
      <c r="E6" s="9" t="s">
        <v>2859</v>
      </c>
      <c r="F6" s="9" t="s">
        <v>2860</v>
      </c>
      <c r="G6" s="9" t="s">
        <v>2861</v>
      </c>
      <c r="H6" s="9" t="n">
        <f aca="false">IF(G6="","",G6-F6)</f>
        <v>27</v>
      </c>
      <c r="I6" s="9" t="n">
        <v>5</v>
      </c>
      <c r="J6" s="9" t="s">
        <v>647</v>
      </c>
      <c r="K6" s="9" t="s">
        <v>2843</v>
      </c>
    </row>
    <row r="7" customFormat="false" ht="15" hidden="false" customHeight="false" outlineLevel="0" collapsed="false">
      <c r="A7" s="9" t="s">
        <v>2862</v>
      </c>
      <c r="B7" s="9" t="s">
        <v>2863</v>
      </c>
      <c r="C7" s="9" t="s">
        <v>2864</v>
      </c>
      <c r="D7" s="9" t="s">
        <v>2865</v>
      </c>
      <c r="E7" s="9" t="s">
        <v>2840</v>
      </c>
      <c r="F7" s="9" t="s">
        <v>2182</v>
      </c>
      <c r="G7" s="9" t="s">
        <v>2182</v>
      </c>
      <c r="H7" s="9" t="n">
        <f aca="false">IF(G7="","",G7-F7)</f>
        <v>0</v>
      </c>
      <c r="I7" s="9" t="n">
        <v>2</v>
      </c>
      <c r="J7" s="9" t="s">
        <v>238</v>
      </c>
      <c r="K7" s="9" t="s">
        <v>2843</v>
      </c>
    </row>
    <row r="8" customFormat="false" ht="15" hidden="false" customHeight="false" outlineLevel="0" collapsed="false">
      <c r="A8" s="9" t="s">
        <v>2866</v>
      </c>
      <c r="B8" s="9" t="s">
        <v>2867</v>
      </c>
      <c r="C8" s="9" t="s">
        <v>2855</v>
      </c>
      <c r="D8" s="9" t="s">
        <v>2856</v>
      </c>
      <c r="E8" s="9" t="s">
        <v>2868</v>
      </c>
      <c r="F8" s="9" t="s">
        <v>2869</v>
      </c>
      <c r="G8" s="9" t="s">
        <v>1707</v>
      </c>
      <c r="H8" s="9" t="n">
        <f aca="false">IF(G8="","",G8-F8)</f>
        <v>20</v>
      </c>
      <c r="I8" s="9" t="n">
        <v>2</v>
      </c>
      <c r="J8" s="9" t="s">
        <v>589</v>
      </c>
      <c r="K8" s="9" t="s">
        <v>2843</v>
      </c>
    </row>
    <row r="9" customFormat="false" ht="15" hidden="false" customHeight="false" outlineLevel="0" collapsed="false">
      <c r="A9" s="9" t="s">
        <v>2870</v>
      </c>
      <c r="B9" s="9" t="s">
        <v>2871</v>
      </c>
      <c r="C9" s="9" t="s">
        <v>1275</v>
      </c>
      <c r="D9" s="9" t="s">
        <v>2872</v>
      </c>
      <c r="E9" s="9" t="s">
        <v>2859</v>
      </c>
      <c r="F9" s="9" t="s">
        <v>2873</v>
      </c>
      <c r="G9" s="9" t="s">
        <v>2873</v>
      </c>
      <c r="H9" s="9" t="n">
        <f aca="false">IF(G9="","",G9-F9)</f>
        <v>0</v>
      </c>
      <c r="I9" s="9" t="n">
        <v>1</v>
      </c>
      <c r="J9" s="9" t="s">
        <v>317</v>
      </c>
      <c r="K9" s="9" t="s">
        <v>2843</v>
      </c>
    </row>
    <row r="10" customFormat="false" ht="15" hidden="false" customHeight="false" outlineLevel="0" collapsed="false">
      <c r="A10" s="9" t="s">
        <v>2874</v>
      </c>
      <c r="B10" s="9" t="s">
        <v>2875</v>
      </c>
      <c r="C10" s="9" t="s">
        <v>2838</v>
      </c>
      <c r="D10" s="9" t="s">
        <v>2865</v>
      </c>
      <c r="E10" s="9" t="s">
        <v>2859</v>
      </c>
      <c r="F10" s="9" t="s">
        <v>2876</v>
      </c>
      <c r="G10" s="9"/>
      <c r="H10" s="9" t="str">
        <f aca="false">IF(G10="","",G10-F10)</f>
        <v/>
      </c>
      <c r="I10" s="9"/>
      <c r="J10" s="9" t="s">
        <v>393</v>
      </c>
      <c r="K10" s="9" t="s">
        <v>2852</v>
      </c>
    </row>
    <row r="11" customFormat="false" ht="15" hidden="false" customHeight="false" outlineLevel="0" collapsed="false">
      <c r="A11" s="9" t="s">
        <v>2877</v>
      </c>
      <c r="B11" s="9" t="s">
        <v>2878</v>
      </c>
      <c r="C11" s="9" t="s">
        <v>2864</v>
      </c>
      <c r="D11" s="9" t="s">
        <v>2839</v>
      </c>
      <c r="E11" s="9" t="s">
        <v>2879</v>
      </c>
      <c r="F11" s="9" t="s">
        <v>1973</v>
      </c>
      <c r="G11" s="9" t="s">
        <v>1768</v>
      </c>
      <c r="H11" s="9" t="n">
        <f aca="false">IF(G11="","",G11-F11)</f>
        <v>3</v>
      </c>
      <c r="I11" s="9" t="n">
        <v>4</v>
      </c>
      <c r="J11" s="9" t="s">
        <v>589</v>
      </c>
      <c r="K11" s="9" t="s">
        <v>2843</v>
      </c>
    </row>
    <row r="12" customFormat="false" ht="15" hidden="false" customHeight="false" outlineLevel="0" collapsed="false">
      <c r="A12" s="9" t="s">
        <v>2880</v>
      </c>
      <c r="B12" s="9" t="s">
        <v>2881</v>
      </c>
      <c r="C12" s="9" t="s">
        <v>2864</v>
      </c>
      <c r="D12" s="9" t="s">
        <v>2856</v>
      </c>
      <c r="E12" s="9" t="s">
        <v>2859</v>
      </c>
      <c r="F12" s="9" t="s">
        <v>1651</v>
      </c>
      <c r="G12" s="9" t="s">
        <v>2882</v>
      </c>
      <c r="H12" s="9" t="n">
        <f aca="false">IF(G12="","",G12-F12)</f>
        <v>18</v>
      </c>
      <c r="I12" s="9" t="n">
        <v>5</v>
      </c>
      <c r="J12" s="9" t="s">
        <v>647</v>
      </c>
      <c r="K12" s="9" t="s">
        <v>2843</v>
      </c>
    </row>
    <row r="13" customFormat="false" ht="15" hidden="false" customHeight="false" outlineLevel="0" collapsed="false">
      <c r="A13" s="9" t="s">
        <v>2883</v>
      </c>
      <c r="B13" s="9" t="s">
        <v>2884</v>
      </c>
      <c r="C13" s="9" t="s">
        <v>1275</v>
      </c>
      <c r="D13" s="9" t="s">
        <v>2839</v>
      </c>
      <c r="E13" s="9" t="s">
        <v>2885</v>
      </c>
      <c r="F13" s="9" t="s">
        <v>2886</v>
      </c>
      <c r="G13" s="9" t="s">
        <v>1036</v>
      </c>
      <c r="H13" s="9" t="n">
        <f aca="false">IF(G13="","",G13-F13)</f>
        <v>17</v>
      </c>
      <c r="I13" s="9" t="n">
        <v>1</v>
      </c>
      <c r="J13" s="9" t="s">
        <v>431</v>
      </c>
      <c r="K13" s="9" t="s">
        <v>2843</v>
      </c>
    </row>
    <row r="14" customFormat="false" ht="15" hidden="false" customHeight="false" outlineLevel="0" collapsed="false">
      <c r="A14" s="9" t="s">
        <v>2887</v>
      </c>
      <c r="B14" s="9" t="s">
        <v>2888</v>
      </c>
      <c r="C14" s="9" t="s">
        <v>2838</v>
      </c>
      <c r="D14" s="9" t="s">
        <v>2856</v>
      </c>
      <c r="E14" s="9" t="s">
        <v>2859</v>
      </c>
      <c r="F14" s="9" t="s">
        <v>2133</v>
      </c>
      <c r="G14" s="9"/>
      <c r="H14" s="9" t="str">
        <f aca="false">IF(G14="","",G14-F14)</f>
        <v/>
      </c>
      <c r="I14" s="9"/>
      <c r="J14" s="9" t="s">
        <v>514</v>
      </c>
      <c r="K14" s="9" t="s">
        <v>2852</v>
      </c>
    </row>
    <row r="15" customFormat="false" ht="15" hidden="false" customHeight="false" outlineLevel="0" collapsed="false">
      <c r="A15" s="9" t="s">
        <v>2889</v>
      </c>
      <c r="B15" s="9" t="s">
        <v>2890</v>
      </c>
      <c r="C15" s="9" t="s">
        <v>2838</v>
      </c>
      <c r="D15" s="9" t="s">
        <v>2856</v>
      </c>
      <c r="E15" s="9" t="s">
        <v>2847</v>
      </c>
      <c r="F15" s="9" t="s">
        <v>2891</v>
      </c>
      <c r="G15" s="9" t="s">
        <v>1409</v>
      </c>
      <c r="H15" s="9" t="n">
        <f aca="false">IF(G15="","",G15-F15)</f>
        <v>15</v>
      </c>
      <c r="I15" s="9" t="n">
        <v>3</v>
      </c>
      <c r="J15" s="9" t="s">
        <v>632</v>
      </c>
      <c r="K15" s="9" t="s">
        <v>2843</v>
      </c>
    </row>
    <row r="16" customFormat="false" ht="15" hidden="false" customHeight="false" outlineLevel="0" collapsed="false">
      <c r="A16" s="9" t="s">
        <v>2892</v>
      </c>
      <c r="B16" s="9" t="s">
        <v>2893</v>
      </c>
      <c r="C16" s="9" t="s">
        <v>2855</v>
      </c>
      <c r="D16" s="9" t="s">
        <v>2839</v>
      </c>
      <c r="E16" s="9" t="s">
        <v>2894</v>
      </c>
      <c r="F16" s="9" t="s">
        <v>2895</v>
      </c>
      <c r="G16" s="9"/>
      <c r="H16" s="9" t="str">
        <f aca="false">IF(G16="","",G16-F16)</f>
        <v/>
      </c>
      <c r="I16" s="9"/>
      <c r="J16" s="9" t="s">
        <v>632</v>
      </c>
      <c r="K16" s="9" t="s">
        <v>2852</v>
      </c>
    </row>
    <row r="17" customFormat="false" ht="15" hidden="false" customHeight="false" outlineLevel="0" collapsed="false">
      <c r="A17" s="9" t="s">
        <v>2896</v>
      </c>
      <c r="B17" s="9" t="s">
        <v>2897</v>
      </c>
      <c r="C17" s="9" t="s">
        <v>2864</v>
      </c>
      <c r="D17" s="9" t="s">
        <v>2865</v>
      </c>
      <c r="E17" s="9" t="s">
        <v>2879</v>
      </c>
      <c r="F17" s="9" t="s">
        <v>2898</v>
      </c>
      <c r="G17" s="9" t="s">
        <v>1172</v>
      </c>
      <c r="H17" s="9" t="n">
        <f aca="false">IF(G17="","",G17-F17)</f>
        <v>25</v>
      </c>
      <c r="I17" s="9" t="n">
        <v>2</v>
      </c>
      <c r="J17" s="9" t="s">
        <v>355</v>
      </c>
      <c r="K17" s="9" t="s">
        <v>2843</v>
      </c>
    </row>
    <row r="18" customFormat="false" ht="15" hidden="false" customHeight="false" outlineLevel="0" collapsed="false">
      <c r="A18" s="9" t="s">
        <v>2899</v>
      </c>
      <c r="B18" s="9" t="s">
        <v>2900</v>
      </c>
      <c r="C18" s="9" t="s">
        <v>1275</v>
      </c>
      <c r="D18" s="9" t="s">
        <v>2865</v>
      </c>
      <c r="E18" s="9" t="s">
        <v>2847</v>
      </c>
      <c r="F18" s="9" t="s">
        <v>874</v>
      </c>
      <c r="G18" s="9" t="s">
        <v>2901</v>
      </c>
      <c r="H18" s="9" t="n">
        <f aca="false">IF(G18="","",G18-F18)</f>
        <v>19</v>
      </c>
      <c r="I18" s="9" t="n">
        <v>4</v>
      </c>
      <c r="J18" s="9" t="s">
        <v>238</v>
      </c>
      <c r="K18" s="9" t="s">
        <v>2843</v>
      </c>
    </row>
    <row r="19" customFormat="false" ht="15" hidden="false" customHeight="false" outlineLevel="0" collapsed="false">
      <c r="A19" s="9" t="s">
        <v>2902</v>
      </c>
      <c r="B19" s="9" t="s">
        <v>2903</v>
      </c>
      <c r="C19" s="9" t="s">
        <v>2838</v>
      </c>
      <c r="D19" s="9" t="s">
        <v>2872</v>
      </c>
      <c r="E19" s="9" t="s">
        <v>2868</v>
      </c>
      <c r="F19" s="9" t="s">
        <v>2904</v>
      </c>
      <c r="G19" s="9" t="s">
        <v>2904</v>
      </c>
      <c r="H19" s="9" t="n">
        <f aca="false">IF(G19="","",G19-F19)</f>
        <v>0</v>
      </c>
      <c r="I19" s="9" t="n">
        <v>3</v>
      </c>
      <c r="J19" s="9" t="s">
        <v>431</v>
      </c>
      <c r="K19" s="9" t="s">
        <v>2843</v>
      </c>
    </row>
    <row r="20" customFormat="false" ht="15" hidden="false" customHeight="false" outlineLevel="0" collapsed="false">
      <c r="A20" s="9" t="s">
        <v>2905</v>
      </c>
      <c r="B20" s="9" t="s">
        <v>2906</v>
      </c>
      <c r="C20" s="9" t="s">
        <v>2855</v>
      </c>
      <c r="D20" s="9" t="s">
        <v>2846</v>
      </c>
      <c r="E20" s="9" t="s">
        <v>2885</v>
      </c>
      <c r="F20" s="9" t="s">
        <v>2907</v>
      </c>
      <c r="G20" s="9" t="s">
        <v>2908</v>
      </c>
      <c r="H20" s="9" t="n">
        <f aca="false">IF(G20="","",G20-F20)</f>
        <v>3</v>
      </c>
      <c r="I20" s="9" t="n">
        <v>5</v>
      </c>
      <c r="J20" s="9" t="s">
        <v>393</v>
      </c>
      <c r="K20" s="9" t="s">
        <v>2843</v>
      </c>
    </row>
    <row r="21" customFormat="false" ht="15" hidden="false" customHeight="false" outlineLevel="0" collapsed="false">
      <c r="A21" s="9" t="s">
        <v>2909</v>
      </c>
      <c r="B21" s="9" t="s">
        <v>2910</v>
      </c>
      <c r="C21" s="9" t="s">
        <v>2855</v>
      </c>
      <c r="D21" s="9" t="s">
        <v>2865</v>
      </c>
      <c r="E21" s="9" t="s">
        <v>2840</v>
      </c>
      <c r="F21" s="9" t="s">
        <v>608</v>
      </c>
      <c r="G21" s="9" t="s">
        <v>1945</v>
      </c>
      <c r="H21" s="9" t="n">
        <f aca="false">IF(G21="","",G21-F21)</f>
        <v>24</v>
      </c>
      <c r="I21" s="9" t="n">
        <v>1</v>
      </c>
      <c r="J21" s="9" t="s">
        <v>431</v>
      </c>
      <c r="K21" s="9" t="s">
        <v>2843</v>
      </c>
    </row>
    <row r="22" customFormat="false" ht="15" hidden="false" customHeight="false" outlineLevel="0" collapsed="false">
      <c r="A22" s="9" t="s">
        <v>2911</v>
      </c>
      <c r="B22" s="9" t="s">
        <v>2912</v>
      </c>
      <c r="C22" s="9" t="s">
        <v>1275</v>
      </c>
      <c r="D22" s="9" t="s">
        <v>2856</v>
      </c>
      <c r="E22" s="9" t="s">
        <v>2859</v>
      </c>
      <c r="F22" s="9" t="s">
        <v>1527</v>
      </c>
      <c r="G22" s="9"/>
      <c r="H22" s="9" t="str">
        <f aca="false">IF(G22="","",G22-F22)</f>
        <v/>
      </c>
      <c r="I22" s="9"/>
      <c r="J22" s="9" t="s">
        <v>238</v>
      </c>
      <c r="K22" s="9" t="s">
        <v>2852</v>
      </c>
    </row>
    <row r="23" customFormat="false" ht="15" hidden="false" customHeight="false" outlineLevel="0" collapsed="false">
      <c r="A23" s="9" t="s">
        <v>2913</v>
      </c>
      <c r="B23" s="9" t="s">
        <v>2914</v>
      </c>
      <c r="C23" s="9" t="s">
        <v>1275</v>
      </c>
      <c r="D23" s="9" t="s">
        <v>2839</v>
      </c>
      <c r="E23" s="9" t="s">
        <v>2885</v>
      </c>
      <c r="F23" s="9" t="s">
        <v>2915</v>
      </c>
      <c r="G23" s="9" t="s">
        <v>2916</v>
      </c>
      <c r="H23" s="9" t="n">
        <f aca="false">IF(G23="","",G23-F23)</f>
        <v>20</v>
      </c>
      <c r="I23" s="9" t="n">
        <v>1</v>
      </c>
      <c r="J23" s="9" t="s">
        <v>355</v>
      </c>
      <c r="K23" s="9" t="s">
        <v>2843</v>
      </c>
    </row>
    <row r="24" customFormat="false" ht="15" hidden="false" customHeight="false" outlineLevel="0" collapsed="false">
      <c r="A24" s="9" t="s">
        <v>2917</v>
      </c>
      <c r="B24" s="9" t="s">
        <v>2918</v>
      </c>
      <c r="C24" s="9" t="s">
        <v>2855</v>
      </c>
      <c r="D24" s="9" t="s">
        <v>2872</v>
      </c>
      <c r="E24" s="9" t="s">
        <v>2859</v>
      </c>
      <c r="F24" s="9" t="s">
        <v>2078</v>
      </c>
      <c r="G24" s="9" t="s">
        <v>1433</v>
      </c>
      <c r="H24" s="9" t="n">
        <f aca="false">IF(G24="","",G24-F24)</f>
        <v>27</v>
      </c>
      <c r="I24" s="9" t="n">
        <v>1</v>
      </c>
      <c r="J24" s="9" t="s">
        <v>278</v>
      </c>
      <c r="K24" s="9" t="s">
        <v>2843</v>
      </c>
    </row>
    <row r="25" customFormat="false" ht="15" hidden="false" customHeight="false" outlineLevel="0" collapsed="false">
      <c r="A25" s="9" t="s">
        <v>2919</v>
      </c>
      <c r="B25" s="9" t="s">
        <v>2920</v>
      </c>
      <c r="C25" s="9" t="s">
        <v>2864</v>
      </c>
      <c r="D25" s="9" t="s">
        <v>2846</v>
      </c>
      <c r="E25" s="9" t="s">
        <v>2921</v>
      </c>
      <c r="F25" s="9" t="s">
        <v>884</v>
      </c>
      <c r="G25" s="9" t="s">
        <v>2287</v>
      </c>
      <c r="H25" s="9" t="n">
        <f aca="false">IF(G25="","",G25-F25)</f>
        <v>13</v>
      </c>
      <c r="I25" s="9" t="n">
        <v>1</v>
      </c>
      <c r="J25" s="9" t="s">
        <v>393</v>
      </c>
      <c r="K25" s="9" t="s">
        <v>2843</v>
      </c>
    </row>
    <row r="26" customFormat="false" ht="15" hidden="false" customHeight="false" outlineLevel="0" collapsed="false">
      <c r="A26" s="9" t="s">
        <v>2922</v>
      </c>
      <c r="B26" s="9" t="s">
        <v>2923</v>
      </c>
      <c r="C26" s="9" t="s">
        <v>2864</v>
      </c>
      <c r="D26" s="9" t="s">
        <v>2872</v>
      </c>
      <c r="E26" s="9" t="s">
        <v>2847</v>
      </c>
      <c r="F26" s="9" t="s">
        <v>2009</v>
      </c>
      <c r="G26" s="9" t="s">
        <v>2924</v>
      </c>
      <c r="H26" s="9" t="n">
        <f aca="false">IF(G26="","",G26-F26)</f>
        <v>22</v>
      </c>
      <c r="I26" s="9" t="n">
        <v>4</v>
      </c>
      <c r="J26" s="9" t="s">
        <v>514</v>
      </c>
      <c r="K26" s="9" t="s">
        <v>2843</v>
      </c>
    </row>
    <row r="27" customFormat="false" ht="15" hidden="false" customHeight="false" outlineLevel="0" collapsed="false">
      <c r="A27" s="9" t="s">
        <v>2925</v>
      </c>
      <c r="B27" s="9" t="s">
        <v>2926</v>
      </c>
      <c r="C27" s="9" t="s">
        <v>2855</v>
      </c>
      <c r="D27" s="9" t="s">
        <v>2839</v>
      </c>
      <c r="E27" s="9" t="s">
        <v>2879</v>
      </c>
      <c r="F27" s="9" t="s">
        <v>2927</v>
      </c>
      <c r="G27" s="9" t="s">
        <v>304</v>
      </c>
      <c r="H27" s="9" t="n">
        <f aca="false">IF(G27="","",G27-F27)</f>
        <v>13</v>
      </c>
      <c r="I27" s="9" t="n">
        <v>4</v>
      </c>
      <c r="J27" s="9" t="s">
        <v>589</v>
      </c>
      <c r="K27" s="9" t="s">
        <v>2843</v>
      </c>
    </row>
    <row r="28" customFormat="false" ht="15" hidden="false" customHeight="false" outlineLevel="0" collapsed="false">
      <c r="A28" s="9" t="s">
        <v>2928</v>
      </c>
      <c r="B28" s="9" t="s">
        <v>2929</v>
      </c>
      <c r="C28" s="9" t="s">
        <v>2864</v>
      </c>
      <c r="D28" s="9" t="s">
        <v>2856</v>
      </c>
      <c r="E28" s="9" t="s">
        <v>2859</v>
      </c>
      <c r="F28" s="9" t="s">
        <v>2930</v>
      </c>
      <c r="G28" s="9" t="s">
        <v>2931</v>
      </c>
      <c r="H28" s="9" t="n">
        <f aca="false">IF(G28="","",G28-F28)</f>
        <v>22</v>
      </c>
      <c r="I28" s="9" t="n">
        <v>5</v>
      </c>
      <c r="J28" s="9" t="s">
        <v>201</v>
      </c>
      <c r="K28" s="9" t="s">
        <v>2843</v>
      </c>
    </row>
    <row r="29" customFormat="false" ht="15" hidden="false" customHeight="false" outlineLevel="0" collapsed="false">
      <c r="A29" s="9" t="s">
        <v>2932</v>
      </c>
      <c r="B29" s="9" t="s">
        <v>2933</v>
      </c>
      <c r="C29" s="9" t="s">
        <v>2864</v>
      </c>
      <c r="D29" s="9" t="s">
        <v>2872</v>
      </c>
      <c r="E29" s="9" t="s">
        <v>2879</v>
      </c>
      <c r="F29" s="9" t="s">
        <v>1046</v>
      </c>
      <c r="G29" s="9" t="s">
        <v>2934</v>
      </c>
      <c r="H29" s="9" t="n">
        <f aca="false">IF(G29="","",G29-F29)</f>
        <v>12</v>
      </c>
      <c r="I29" s="9" t="n">
        <v>1</v>
      </c>
      <c r="J29" s="9" t="s">
        <v>278</v>
      </c>
      <c r="K29" s="9" t="s">
        <v>2843</v>
      </c>
    </row>
    <row r="30" customFormat="false" ht="15" hidden="false" customHeight="false" outlineLevel="0" collapsed="false">
      <c r="A30" s="9" t="s">
        <v>2935</v>
      </c>
      <c r="B30" s="9" t="s">
        <v>2936</v>
      </c>
      <c r="C30" s="9" t="s">
        <v>2864</v>
      </c>
      <c r="D30" s="9" t="s">
        <v>2865</v>
      </c>
      <c r="E30" s="9" t="s">
        <v>2879</v>
      </c>
      <c r="F30" s="9" t="s">
        <v>966</v>
      </c>
      <c r="G30" s="9"/>
      <c r="H30" s="9" t="str">
        <f aca="false">IF(G30="","",G30-F30)</f>
        <v/>
      </c>
      <c r="I30" s="9"/>
      <c r="J30" s="9" t="s">
        <v>506</v>
      </c>
      <c r="K30" s="9" t="s">
        <v>2852</v>
      </c>
    </row>
    <row r="31" customFormat="false" ht="15" hidden="false" customHeight="false" outlineLevel="0" collapsed="false">
      <c r="A31" s="9" t="s">
        <v>2937</v>
      </c>
      <c r="B31" s="9" t="s">
        <v>2938</v>
      </c>
      <c r="C31" s="9" t="s">
        <v>1275</v>
      </c>
      <c r="D31" s="9" t="s">
        <v>2872</v>
      </c>
      <c r="E31" s="9" t="s">
        <v>2847</v>
      </c>
      <c r="F31" s="9" t="s">
        <v>2939</v>
      </c>
      <c r="G31" s="9" t="s">
        <v>1665</v>
      </c>
      <c r="H31" s="9" t="n">
        <f aca="false">IF(G31="","",G31-F31)</f>
        <v>6</v>
      </c>
      <c r="I31" s="9" t="n">
        <v>5</v>
      </c>
      <c r="J31" s="9" t="s">
        <v>632</v>
      </c>
      <c r="K31" s="9" t="s">
        <v>2843</v>
      </c>
    </row>
    <row r="32" customFormat="false" ht="15" hidden="false" customHeight="false" outlineLevel="0" collapsed="false">
      <c r="A32" s="9" t="s">
        <v>2940</v>
      </c>
      <c r="B32" s="9" t="s">
        <v>2941</v>
      </c>
      <c r="C32" s="9" t="s">
        <v>2838</v>
      </c>
      <c r="D32" s="9" t="s">
        <v>2846</v>
      </c>
      <c r="E32" s="9" t="s">
        <v>2840</v>
      </c>
      <c r="F32" s="9" t="s">
        <v>2942</v>
      </c>
      <c r="G32" s="9" t="s">
        <v>2251</v>
      </c>
      <c r="H32" s="9" t="n">
        <f aca="false">IF(G32="","",G32-F32)</f>
        <v>10</v>
      </c>
      <c r="I32" s="9" t="n">
        <v>4</v>
      </c>
      <c r="J32" s="9" t="s">
        <v>278</v>
      </c>
      <c r="K32" s="9" t="s">
        <v>2843</v>
      </c>
    </row>
    <row r="33" customFormat="false" ht="15" hidden="false" customHeight="false" outlineLevel="0" collapsed="false">
      <c r="A33" s="9" t="s">
        <v>2943</v>
      </c>
      <c r="B33" s="9" t="s">
        <v>2944</v>
      </c>
      <c r="C33" s="9" t="s">
        <v>2855</v>
      </c>
      <c r="D33" s="9" t="s">
        <v>2856</v>
      </c>
      <c r="E33" s="9" t="s">
        <v>2840</v>
      </c>
      <c r="F33" s="9" t="s">
        <v>1014</v>
      </c>
      <c r="G33" s="9" t="s">
        <v>2945</v>
      </c>
      <c r="H33" s="9" t="n">
        <f aca="false">IF(G33="","",G33-F33)</f>
        <v>20</v>
      </c>
      <c r="I33" s="9" t="n">
        <v>2</v>
      </c>
      <c r="J33" s="9" t="s">
        <v>64</v>
      </c>
      <c r="K33" s="9" t="s">
        <v>2843</v>
      </c>
    </row>
    <row r="34" customFormat="false" ht="15" hidden="false" customHeight="false" outlineLevel="0" collapsed="false">
      <c r="A34" s="9" t="s">
        <v>2946</v>
      </c>
      <c r="B34" s="9" t="s">
        <v>2947</v>
      </c>
      <c r="C34" s="9" t="s">
        <v>2864</v>
      </c>
      <c r="D34" s="9" t="s">
        <v>2846</v>
      </c>
      <c r="E34" s="9" t="s">
        <v>2840</v>
      </c>
      <c r="F34" s="9" t="s">
        <v>1998</v>
      </c>
      <c r="G34" s="9"/>
      <c r="H34" s="9" t="str">
        <f aca="false">IF(G34="","",G34-F34)</f>
        <v/>
      </c>
      <c r="I34" s="9"/>
      <c r="J34" s="9" t="s">
        <v>238</v>
      </c>
      <c r="K34" s="9" t="s">
        <v>2852</v>
      </c>
    </row>
    <row r="35" customFormat="false" ht="15" hidden="false" customHeight="false" outlineLevel="0" collapsed="false">
      <c r="A35" s="9" t="s">
        <v>2948</v>
      </c>
      <c r="B35" s="9" t="s">
        <v>2949</v>
      </c>
      <c r="C35" s="9" t="s">
        <v>2864</v>
      </c>
      <c r="D35" s="9" t="s">
        <v>2872</v>
      </c>
      <c r="E35" s="9" t="s">
        <v>2894</v>
      </c>
      <c r="F35" s="9" t="s">
        <v>1323</v>
      </c>
      <c r="G35" s="9" t="s">
        <v>2272</v>
      </c>
      <c r="H35" s="9" t="n">
        <f aca="false">IF(G35="","",G35-F35)</f>
        <v>20</v>
      </c>
      <c r="I35" s="9" t="n">
        <v>1</v>
      </c>
      <c r="J35" s="9" t="s">
        <v>632</v>
      </c>
      <c r="K35" s="9" t="s">
        <v>2843</v>
      </c>
    </row>
    <row r="36" customFormat="false" ht="15" hidden="false" customHeight="false" outlineLevel="0" collapsed="false">
      <c r="A36" s="9" t="s">
        <v>2950</v>
      </c>
      <c r="B36" s="9" t="s">
        <v>2951</v>
      </c>
      <c r="C36" s="9" t="s">
        <v>1275</v>
      </c>
      <c r="D36" s="9" t="s">
        <v>2865</v>
      </c>
      <c r="E36" s="9" t="s">
        <v>2894</v>
      </c>
      <c r="F36" s="9" t="s">
        <v>2952</v>
      </c>
      <c r="G36" s="9" t="s">
        <v>822</v>
      </c>
      <c r="H36" s="9" t="n">
        <f aca="false">IF(G36="","",G36-F36)</f>
        <v>18</v>
      </c>
      <c r="I36" s="9" t="n">
        <v>5</v>
      </c>
      <c r="J36" s="9" t="s">
        <v>393</v>
      </c>
      <c r="K36" s="9" t="s">
        <v>2843</v>
      </c>
    </row>
    <row r="37" customFormat="false" ht="15" hidden="false" customHeight="false" outlineLevel="0" collapsed="false">
      <c r="A37" s="9" t="s">
        <v>2953</v>
      </c>
      <c r="B37" s="9" t="s">
        <v>2954</v>
      </c>
      <c r="C37" s="9" t="s">
        <v>2864</v>
      </c>
      <c r="D37" s="9" t="s">
        <v>2872</v>
      </c>
      <c r="E37" s="9" t="s">
        <v>2847</v>
      </c>
      <c r="F37" s="9" t="s">
        <v>2955</v>
      </c>
      <c r="G37" s="9" t="s">
        <v>946</v>
      </c>
      <c r="H37" s="9" t="n">
        <f aca="false">IF(G37="","",G37-F37)</f>
        <v>7</v>
      </c>
      <c r="I37" s="9" t="n">
        <v>1</v>
      </c>
      <c r="J37" s="9" t="s">
        <v>506</v>
      </c>
      <c r="K37" s="9" t="s">
        <v>2843</v>
      </c>
    </row>
    <row r="38" customFormat="false" ht="15" hidden="false" customHeight="false" outlineLevel="0" collapsed="false">
      <c r="A38" s="9" t="s">
        <v>2956</v>
      </c>
      <c r="B38" s="9" t="s">
        <v>2957</v>
      </c>
      <c r="C38" s="9" t="s">
        <v>2864</v>
      </c>
      <c r="D38" s="9" t="s">
        <v>2865</v>
      </c>
      <c r="E38" s="9" t="s">
        <v>2921</v>
      </c>
      <c r="F38" s="9" t="s">
        <v>2137</v>
      </c>
      <c r="G38" s="9" t="s">
        <v>2958</v>
      </c>
      <c r="H38" s="9" t="n">
        <f aca="false">IF(G38="","",G38-F38)</f>
        <v>26</v>
      </c>
      <c r="I38" s="9" t="n">
        <v>4</v>
      </c>
      <c r="J38" s="9" t="s">
        <v>201</v>
      </c>
      <c r="K38" s="9" t="s">
        <v>2843</v>
      </c>
    </row>
    <row r="39" customFormat="false" ht="15" hidden="false" customHeight="false" outlineLevel="0" collapsed="false">
      <c r="A39" s="9" t="s">
        <v>2959</v>
      </c>
      <c r="B39" s="9" t="s">
        <v>2960</v>
      </c>
      <c r="C39" s="9" t="s">
        <v>1275</v>
      </c>
      <c r="D39" s="9" t="s">
        <v>2865</v>
      </c>
      <c r="E39" s="9" t="s">
        <v>2847</v>
      </c>
      <c r="F39" s="9" t="s">
        <v>1281</v>
      </c>
      <c r="G39" s="9" t="s">
        <v>1783</v>
      </c>
      <c r="H39" s="9" t="n">
        <f aca="false">IF(G39="","",G39-F39)</f>
        <v>2</v>
      </c>
      <c r="I39" s="9" t="n">
        <v>3</v>
      </c>
      <c r="J39" s="9" t="s">
        <v>693</v>
      </c>
      <c r="K39" s="9" t="s">
        <v>2843</v>
      </c>
    </row>
    <row r="40" customFormat="false" ht="15" hidden="false" customHeight="false" outlineLevel="0" collapsed="false">
      <c r="A40" s="9" t="s">
        <v>2961</v>
      </c>
      <c r="B40" s="9" t="s">
        <v>2962</v>
      </c>
      <c r="C40" s="9" t="s">
        <v>2838</v>
      </c>
      <c r="D40" s="9" t="s">
        <v>2872</v>
      </c>
      <c r="E40" s="9" t="s">
        <v>2859</v>
      </c>
      <c r="F40" s="9" t="s">
        <v>1616</v>
      </c>
      <c r="G40" s="9"/>
      <c r="H40" s="9" t="str">
        <f aca="false">IF(G40="","",G40-F40)</f>
        <v/>
      </c>
      <c r="I40" s="9"/>
      <c r="J40" s="9" t="s">
        <v>647</v>
      </c>
      <c r="K40" s="9" t="s">
        <v>2852</v>
      </c>
    </row>
    <row r="41" customFormat="false" ht="15" hidden="false" customHeight="false" outlineLevel="0" collapsed="false">
      <c r="A41" s="9" t="s">
        <v>2963</v>
      </c>
      <c r="B41" s="9" t="s">
        <v>2964</v>
      </c>
      <c r="C41" s="9" t="s">
        <v>2855</v>
      </c>
      <c r="D41" s="9" t="s">
        <v>2846</v>
      </c>
      <c r="E41" s="9" t="s">
        <v>2847</v>
      </c>
      <c r="F41" s="9" t="s">
        <v>2965</v>
      </c>
      <c r="G41" s="9" t="s">
        <v>1734</v>
      </c>
      <c r="H41" s="9" t="n">
        <f aca="false">IF(G41="","",G41-F41)</f>
        <v>4</v>
      </c>
      <c r="I41" s="9" t="n">
        <v>5</v>
      </c>
      <c r="J41" s="9" t="s">
        <v>693</v>
      </c>
      <c r="K41" s="9" t="s">
        <v>2843</v>
      </c>
    </row>
    <row r="42" customFormat="false" ht="15" hidden="false" customHeight="false" outlineLevel="0" collapsed="false">
      <c r="A42" s="9" t="s">
        <v>2966</v>
      </c>
      <c r="B42" s="9" t="s">
        <v>2967</v>
      </c>
      <c r="C42" s="9" t="s">
        <v>2855</v>
      </c>
      <c r="D42" s="9" t="s">
        <v>2865</v>
      </c>
      <c r="E42" s="9" t="s">
        <v>2859</v>
      </c>
      <c r="F42" s="9" t="s">
        <v>1074</v>
      </c>
      <c r="G42" s="9" t="s">
        <v>2968</v>
      </c>
      <c r="H42" s="9" t="n">
        <f aca="false">IF(G42="","",G42-F42)</f>
        <v>30</v>
      </c>
      <c r="I42" s="9" t="n">
        <v>5</v>
      </c>
      <c r="J42" s="9" t="s">
        <v>514</v>
      </c>
      <c r="K42" s="9" t="s">
        <v>2843</v>
      </c>
    </row>
    <row r="43" customFormat="false" ht="15" hidden="false" customHeight="false" outlineLevel="0" collapsed="false">
      <c r="A43" s="9" t="s">
        <v>2969</v>
      </c>
      <c r="B43" s="9" t="s">
        <v>2970</v>
      </c>
      <c r="C43" s="9" t="s">
        <v>2838</v>
      </c>
      <c r="D43" s="9" t="s">
        <v>2856</v>
      </c>
      <c r="E43" s="9" t="s">
        <v>2921</v>
      </c>
      <c r="F43" s="9" t="s">
        <v>2971</v>
      </c>
      <c r="G43" s="9" t="s">
        <v>2972</v>
      </c>
      <c r="H43" s="9" t="n">
        <f aca="false">IF(G43="","",G43-F43)</f>
        <v>1</v>
      </c>
      <c r="I43" s="9" t="n">
        <v>5</v>
      </c>
      <c r="J43" s="9" t="s">
        <v>278</v>
      </c>
      <c r="K43" s="9" t="s">
        <v>2843</v>
      </c>
    </row>
    <row r="44" customFormat="false" ht="15" hidden="false" customHeight="false" outlineLevel="0" collapsed="false">
      <c r="A44" s="9" t="s">
        <v>2973</v>
      </c>
      <c r="B44" s="9" t="s">
        <v>2974</v>
      </c>
      <c r="C44" s="9" t="s">
        <v>2864</v>
      </c>
      <c r="D44" s="9" t="s">
        <v>2872</v>
      </c>
      <c r="E44" s="9" t="s">
        <v>2894</v>
      </c>
      <c r="F44" s="9" t="s">
        <v>2975</v>
      </c>
      <c r="G44" s="9" t="s">
        <v>2975</v>
      </c>
      <c r="H44" s="9" t="n">
        <f aca="false">IF(G44="","",G44-F44)</f>
        <v>0</v>
      </c>
      <c r="I44" s="9" t="n">
        <v>2</v>
      </c>
      <c r="J44" s="9" t="s">
        <v>278</v>
      </c>
      <c r="K44" s="9" t="s">
        <v>2843</v>
      </c>
    </row>
    <row r="45" customFormat="false" ht="15" hidden="false" customHeight="false" outlineLevel="0" collapsed="false">
      <c r="A45" s="9" t="s">
        <v>2976</v>
      </c>
      <c r="B45" s="9" t="s">
        <v>2977</v>
      </c>
      <c r="C45" s="9" t="s">
        <v>1275</v>
      </c>
      <c r="D45" s="9" t="s">
        <v>2872</v>
      </c>
      <c r="E45" s="9" t="s">
        <v>2840</v>
      </c>
      <c r="F45" s="9" t="s">
        <v>1834</v>
      </c>
      <c r="G45" s="9" t="s">
        <v>2090</v>
      </c>
      <c r="H45" s="9" t="n">
        <f aca="false">IF(G45="","",G45-F45)</f>
        <v>23</v>
      </c>
      <c r="I45" s="9" t="n">
        <v>4</v>
      </c>
      <c r="J45" s="9" t="s">
        <v>64</v>
      </c>
      <c r="K45" s="9" t="s">
        <v>2843</v>
      </c>
    </row>
    <row r="46" customFormat="false" ht="15" hidden="false" customHeight="false" outlineLevel="0" collapsed="false">
      <c r="A46" s="9" t="s">
        <v>2978</v>
      </c>
      <c r="B46" s="9" t="s">
        <v>2979</v>
      </c>
      <c r="C46" s="9" t="s">
        <v>2864</v>
      </c>
      <c r="D46" s="9" t="s">
        <v>2856</v>
      </c>
      <c r="E46" s="9" t="s">
        <v>2885</v>
      </c>
      <c r="F46" s="9" t="s">
        <v>895</v>
      </c>
      <c r="G46" s="9" t="s">
        <v>2886</v>
      </c>
      <c r="H46" s="9" t="n">
        <f aca="false">IF(G46="","",G46-F46)</f>
        <v>9</v>
      </c>
      <c r="I46" s="9" t="n">
        <v>5</v>
      </c>
      <c r="J46" s="9" t="s">
        <v>632</v>
      </c>
      <c r="K46" s="9" t="s">
        <v>2843</v>
      </c>
    </row>
    <row r="47" customFormat="false" ht="15" hidden="false" customHeight="false" outlineLevel="0" collapsed="false">
      <c r="A47" s="9" t="s">
        <v>2980</v>
      </c>
      <c r="B47" s="9" t="s">
        <v>2981</v>
      </c>
      <c r="C47" s="9" t="s">
        <v>2838</v>
      </c>
      <c r="D47" s="9" t="s">
        <v>2865</v>
      </c>
      <c r="E47" s="9" t="s">
        <v>2847</v>
      </c>
      <c r="F47" s="9" t="s">
        <v>2269</v>
      </c>
      <c r="G47" s="9" t="s">
        <v>1962</v>
      </c>
      <c r="H47" s="9" t="n">
        <f aca="false">IF(G47="","",G47-F47)</f>
        <v>14</v>
      </c>
      <c r="I47" s="9" t="n">
        <v>4</v>
      </c>
      <c r="J47" s="9" t="s">
        <v>632</v>
      </c>
      <c r="K47" s="9" t="s">
        <v>2843</v>
      </c>
    </row>
    <row r="48" customFormat="false" ht="15" hidden="false" customHeight="false" outlineLevel="0" collapsed="false">
      <c r="A48" s="9" t="s">
        <v>2982</v>
      </c>
      <c r="B48" s="9" t="s">
        <v>2983</v>
      </c>
      <c r="C48" s="9" t="s">
        <v>2864</v>
      </c>
      <c r="D48" s="9" t="s">
        <v>2856</v>
      </c>
      <c r="E48" s="9" t="s">
        <v>2879</v>
      </c>
      <c r="F48" s="9" t="s">
        <v>1267</v>
      </c>
      <c r="G48" s="9" t="s">
        <v>2984</v>
      </c>
      <c r="H48" s="9" t="n">
        <f aca="false">IF(G48="","",G48-F48)</f>
        <v>12</v>
      </c>
      <c r="I48" s="9" t="n">
        <v>3</v>
      </c>
      <c r="J48" s="9" t="s">
        <v>160</v>
      </c>
      <c r="K48" s="9" t="s">
        <v>2843</v>
      </c>
    </row>
    <row r="49" customFormat="false" ht="15" hidden="false" customHeight="false" outlineLevel="0" collapsed="false">
      <c r="A49" s="9" t="s">
        <v>2985</v>
      </c>
      <c r="B49" s="9" t="s">
        <v>2986</v>
      </c>
      <c r="C49" s="9" t="s">
        <v>2864</v>
      </c>
      <c r="D49" s="9" t="s">
        <v>2856</v>
      </c>
      <c r="E49" s="9" t="s">
        <v>2847</v>
      </c>
      <c r="F49" s="9" t="s">
        <v>2987</v>
      </c>
      <c r="G49" s="9" t="s">
        <v>1032</v>
      </c>
      <c r="H49" s="9" t="n">
        <f aca="false">IF(G49="","",G49-F49)</f>
        <v>25</v>
      </c>
      <c r="I49" s="9" t="n">
        <v>3</v>
      </c>
      <c r="J49" s="9" t="s">
        <v>238</v>
      </c>
      <c r="K49" s="9" t="s">
        <v>2843</v>
      </c>
    </row>
    <row r="50" customFormat="false" ht="15" hidden="false" customHeight="false" outlineLevel="0" collapsed="false">
      <c r="A50" s="9" t="s">
        <v>2988</v>
      </c>
      <c r="B50" s="9" t="s">
        <v>2989</v>
      </c>
      <c r="C50" s="9" t="s">
        <v>2855</v>
      </c>
      <c r="D50" s="9" t="s">
        <v>2839</v>
      </c>
      <c r="E50" s="9" t="s">
        <v>2885</v>
      </c>
      <c r="F50" s="9" t="s">
        <v>1576</v>
      </c>
      <c r="G50" s="9" t="s">
        <v>1088</v>
      </c>
      <c r="H50" s="9" t="n">
        <f aca="false">IF(G50="","",G50-F50)</f>
        <v>24</v>
      </c>
      <c r="I50" s="9" t="n">
        <v>4</v>
      </c>
      <c r="J50" s="9" t="s">
        <v>693</v>
      </c>
      <c r="K50" s="9" t="s">
        <v>2843</v>
      </c>
    </row>
    <row r="51" customFormat="false" ht="15" hidden="false" customHeight="false" outlineLevel="0" collapsed="false">
      <c r="A51" s="9" t="s">
        <v>2990</v>
      </c>
      <c r="B51" s="9" t="s">
        <v>2991</v>
      </c>
      <c r="C51" s="9" t="s">
        <v>1275</v>
      </c>
      <c r="D51" s="9" t="s">
        <v>2839</v>
      </c>
      <c r="E51" s="9" t="s">
        <v>2847</v>
      </c>
      <c r="F51" s="9" t="s">
        <v>2992</v>
      </c>
      <c r="G51" s="9" t="s">
        <v>2993</v>
      </c>
      <c r="H51" s="9" t="n">
        <f aca="false">IF(G51="","",G51-F51)</f>
        <v>6</v>
      </c>
      <c r="I51" s="9" t="n">
        <v>2</v>
      </c>
      <c r="J51" s="9" t="s">
        <v>632</v>
      </c>
      <c r="K51" s="9" t="s">
        <v>2843</v>
      </c>
    </row>
    <row r="52" customFormat="false" ht="15" hidden="false" customHeight="false" outlineLevel="0" collapsed="false">
      <c r="A52" s="9" t="s">
        <v>2994</v>
      </c>
      <c r="B52" s="9" t="s">
        <v>2995</v>
      </c>
      <c r="C52" s="9" t="s">
        <v>2864</v>
      </c>
      <c r="D52" s="9" t="s">
        <v>2865</v>
      </c>
      <c r="E52" s="9" t="s">
        <v>2885</v>
      </c>
      <c r="F52" s="9" t="s">
        <v>1981</v>
      </c>
      <c r="G52" s="9"/>
      <c r="H52" s="9" t="str">
        <f aca="false">IF(G52="","",G52-F52)</f>
        <v/>
      </c>
      <c r="I52" s="9"/>
      <c r="J52" s="9" t="s">
        <v>64</v>
      </c>
      <c r="K52" s="9" t="s">
        <v>2852</v>
      </c>
    </row>
    <row r="53" customFormat="false" ht="15" hidden="false" customHeight="false" outlineLevel="0" collapsed="false">
      <c r="A53" s="9" t="s">
        <v>2996</v>
      </c>
      <c r="B53" s="9" t="s">
        <v>2997</v>
      </c>
      <c r="C53" s="9" t="s">
        <v>2838</v>
      </c>
      <c r="D53" s="9" t="s">
        <v>2846</v>
      </c>
      <c r="E53" s="9" t="s">
        <v>2879</v>
      </c>
      <c r="F53" s="9" t="s">
        <v>2049</v>
      </c>
      <c r="G53" s="9"/>
      <c r="H53" s="9" t="str">
        <f aca="false">IF(G53="","",G53-F53)</f>
        <v/>
      </c>
      <c r="I53" s="9"/>
      <c r="J53" s="9" t="s">
        <v>506</v>
      </c>
      <c r="K53" s="9" t="s">
        <v>2852</v>
      </c>
    </row>
    <row r="54" customFormat="false" ht="15" hidden="false" customHeight="false" outlineLevel="0" collapsed="false">
      <c r="A54" s="9" t="s">
        <v>2998</v>
      </c>
      <c r="B54" s="9" t="s">
        <v>2999</v>
      </c>
      <c r="C54" s="9" t="s">
        <v>2864</v>
      </c>
      <c r="D54" s="9" t="s">
        <v>2856</v>
      </c>
      <c r="E54" s="9" t="s">
        <v>2921</v>
      </c>
      <c r="F54" s="9" t="s">
        <v>1093</v>
      </c>
      <c r="G54" s="9" t="s">
        <v>2010</v>
      </c>
      <c r="H54" s="9" t="n">
        <f aca="false">IF(G54="","",G54-F54)</f>
        <v>9</v>
      </c>
      <c r="I54" s="9" t="n">
        <v>2</v>
      </c>
      <c r="J54" s="9" t="s">
        <v>317</v>
      </c>
      <c r="K54" s="9" t="s">
        <v>2843</v>
      </c>
    </row>
    <row r="55" customFormat="false" ht="15" hidden="false" customHeight="false" outlineLevel="0" collapsed="false">
      <c r="A55" s="9" t="s">
        <v>3000</v>
      </c>
      <c r="B55" s="9" t="s">
        <v>3001</v>
      </c>
      <c r="C55" s="9" t="s">
        <v>1275</v>
      </c>
      <c r="D55" s="9" t="s">
        <v>2846</v>
      </c>
      <c r="E55" s="9" t="s">
        <v>2840</v>
      </c>
      <c r="F55" s="9" t="s">
        <v>3002</v>
      </c>
      <c r="G55" s="9" t="s">
        <v>3003</v>
      </c>
      <c r="H55" s="9" t="n">
        <f aca="false">IF(G55="","",G55-F55)</f>
        <v>1</v>
      </c>
      <c r="I55" s="9" t="n">
        <v>5</v>
      </c>
      <c r="J55" s="9" t="s">
        <v>506</v>
      </c>
      <c r="K55" s="9" t="s">
        <v>2843</v>
      </c>
    </row>
    <row r="56" customFormat="false" ht="15" hidden="false" customHeight="false" outlineLevel="0" collapsed="false">
      <c r="A56" s="9" t="s">
        <v>3004</v>
      </c>
      <c r="B56" s="9" t="s">
        <v>3005</v>
      </c>
      <c r="C56" s="9" t="s">
        <v>1275</v>
      </c>
      <c r="D56" s="9" t="s">
        <v>2856</v>
      </c>
      <c r="E56" s="9" t="s">
        <v>2840</v>
      </c>
      <c r="F56" s="9" t="s">
        <v>3006</v>
      </c>
      <c r="G56" s="9" t="s">
        <v>1730</v>
      </c>
      <c r="H56" s="9" t="n">
        <f aca="false">IF(G56="","",G56-F56)</f>
        <v>4</v>
      </c>
      <c r="I56" s="9" t="n">
        <v>4</v>
      </c>
      <c r="J56" s="9" t="s">
        <v>506</v>
      </c>
      <c r="K56" s="9" t="s">
        <v>2843</v>
      </c>
    </row>
    <row r="57" customFormat="false" ht="15" hidden="false" customHeight="false" outlineLevel="0" collapsed="false">
      <c r="A57" s="9" t="s">
        <v>3007</v>
      </c>
      <c r="B57" s="9" t="s">
        <v>3008</v>
      </c>
      <c r="C57" s="9" t="s">
        <v>2838</v>
      </c>
      <c r="D57" s="9" t="s">
        <v>2856</v>
      </c>
      <c r="E57" s="9" t="s">
        <v>2885</v>
      </c>
      <c r="F57" s="9" t="s">
        <v>1600</v>
      </c>
      <c r="G57" s="9" t="s">
        <v>3009</v>
      </c>
      <c r="H57" s="9" t="n">
        <f aca="false">IF(G57="","",G57-F57)</f>
        <v>19</v>
      </c>
      <c r="I57" s="9" t="n">
        <v>5</v>
      </c>
      <c r="J57" s="9" t="s">
        <v>393</v>
      </c>
      <c r="K57" s="9" t="s">
        <v>2843</v>
      </c>
    </row>
    <row r="58" customFormat="false" ht="15" hidden="false" customHeight="false" outlineLevel="0" collapsed="false">
      <c r="A58" s="9" t="s">
        <v>3010</v>
      </c>
      <c r="B58" s="9" t="s">
        <v>3011</v>
      </c>
      <c r="C58" s="9" t="s">
        <v>2838</v>
      </c>
      <c r="D58" s="9" t="s">
        <v>2856</v>
      </c>
      <c r="E58" s="9" t="s">
        <v>2840</v>
      </c>
      <c r="F58" s="9" t="s">
        <v>1857</v>
      </c>
      <c r="G58" s="9" t="s">
        <v>3012</v>
      </c>
      <c r="H58" s="9" t="n">
        <f aca="false">IF(G58="","",G58-F58)</f>
        <v>17</v>
      </c>
      <c r="I58" s="9" t="n">
        <v>4</v>
      </c>
      <c r="J58" s="9" t="s">
        <v>201</v>
      </c>
      <c r="K58" s="9" t="s">
        <v>2843</v>
      </c>
    </row>
    <row r="59" customFormat="false" ht="15" hidden="false" customHeight="false" outlineLevel="0" collapsed="false">
      <c r="A59" s="9" t="s">
        <v>3013</v>
      </c>
      <c r="B59" s="9" t="s">
        <v>3014</v>
      </c>
      <c r="C59" s="9" t="s">
        <v>1275</v>
      </c>
      <c r="D59" s="9" t="s">
        <v>2865</v>
      </c>
      <c r="E59" s="9" t="s">
        <v>2868</v>
      </c>
      <c r="F59" s="9" t="s">
        <v>2992</v>
      </c>
      <c r="G59" s="9" t="s">
        <v>3015</v>
      </c>
      <c r="H59" s="9" t="n">
        <f aca="false">IF(G59="","",G59-F59)</f>
        <v>30</v>
      </c>
      <c r="I59" s="9" t="n">
        <v>5</v>
      </c>
      <c r="J59" s="9" t="s">
        <v>238</v>
      </c>
      <c r="K59" s="9" t="s">
        <v>2843</v>
      </c>
    </row>
    <row r="60" customFormat="false" ht="15" hidden="false" customHeight="false" outlineLevel="0" collapsed="false">
      <c r="A60" s="9" t="s">
        <v>3016</v>
      </c>
      <c r="B60" s="9" t="s">
        <v>3017</v>
      </c>
      <c r="C60" s="9" t="s">
        <v>2855</v>
      </c>
      <c r="D60" s="9" t="s">
        <v>2872</v>
      </c>
      <c r="E60" s="9" t="s">
        <v>2879</v>
      </c>
      <c r="F60" s="9" t="s">
        <v>1566</v>
      </c>
      <c r="G60" s="9" t="s">
        <v>3018</v>
      </c>
      <c r="H60" s="9" t="n">
        <f aca="false">IF(G60="","",G60-F60)</f>
        <v>20</v>
      </c>
      <c r="I60" s="9" t="n">
        <v>5</v>
      </c>
      <c r="J60" s="9" t="s">
        <v>355</v>
      </c>
      <c r="K60" s="9" t="s">
        <v>2843</v>
      </c>
    </row>
    <row r="61" customFormat="false" ht="15" hidden="false" customHeight="false" outlineLevel="0" collapsed="false">
      <c r="A61" s="9" t="s">
        <v>3019</v>
      </c>
      <c r="B61" s="9" t="s">
        <v>3020</v>
      </c>
      <c r="C61" s="9" t="s">
        <v>2864</v>
      </c>
      <c r="D61" s="9" t="s">
        <v>2839</v>
      </c>
      <c r="E61" s="9" t="s">
        <v>2847</v>
      </c>
      <c r="F61" s="9" t="s">
        <v>1151</v>
      </c>
      <c r="G61" s="9" t="s">
        <v>704</v>
      </c>
      <c r="H61" s="9" t="n">
        <f aca="false">IF(G61="","",G61-F61)</f>
        <v>13</v>
      </c>
      <c r="I61" s="9" t="n">
        <v>5</v>
      </c>
      <c r="J61" s="9" t="s">
        <v>632</v>
      </c>
      <c r="K61" s="9" t="s">
        <v>2843</v>
      </c>
    </row>
    <row r="62" customFormat="false" ht="15" hidden="false" customHeight="false" outlineLevel="0" collapsed="false">
      <c r="A62" s="9" t="s">
        <v>3021</v>
      </c>
      <c r="B62" s="9" t="s">
        <v>3022</v>
      </c>
      <c r="C62" s="9" t="s">
        <v>1275</v>
      </c>
      <c r="D62" s="9" t="s">
        <v>2865</v>
      </c>
      <c r="E62" s="9" t="s">
        <v>2840</v>
      </c>
      <c r="F62" s="9" t="s">
        <v>1964</v>
      </c>
      <c r="G62" s="9" t="s">
        <v>1804</v>
      </c>
      <c r="H62" s="9" t="n">
        <f aca="false">IF(G62="","",G62-F62)</f>
        <v>29</v>
      </c>
      <c r="I62" s="9" t="n">
        <v>4</v>
      </c>
      <c r="J62" s="9" t="s">
        <v>431</v>
      </c>
      <c r="K62" s="9" t="s">
        <v>2843</v>
      </c>
    </row>
    <row r="63" customFormat="false" ht="15" hidden="false" customHeight="false" outlineLevel="0" collapsed="false">
      <c r="A63" s="9" t="s">
        <v>3023</v>
      </c>
      <c r="B63" s="9" t="s">
        <v>3024</v>
      </c>
      <c r="C63" s="9" t="s">
        <v>2838</v>
      </c>
      <c r="D63" s="9" t="s">
        <v>2872</v>
      </c>
      <c r="E63" s="9" t="s">
        <v>2868</v>
      </c>
      <c r="F63" s="9" t="s">
        <v>3025</v>
      </c>
      <c r="G63" s="9" t="s">
        <v>1276</v>
      </c>
      <c r="H63" s="9" t="n">
        <f aca="false">IF(G63="","",G63-F63)</f>
        <v>9</v>
      </c>
      <c r="I63" s="9" t="n">
        <v>1</v>
      </c>
      <c r="J63" s="9" t="s">
        <v>317</v>
      </c>
      <c r="K63" s="9" t="s">
        <v>2843</v>
      </c>
    </row>
    <row r="64" customFormat="false" ht="15" hidden="false" customHeight="false" outlineLevel="0" collapsed="false">
      <c r="A64" s="9" t="s">
        <v>3026</v>
      </c>
      <c r="B64" s="9" t="s">
        <v>3027</v>
      </c>
      <c r="C64" s="9" t="s">
        <v>2864</v>
      </c>
      <c r="D64" s="9" t="s">
        <v>2856</v>
      </c>
      <c r="E64" s="9" t="s">
        <v>2879</v>
      </c>
      <c r="F64" s="9" t="s">
        <v>3028</v>
      </c>
      <c r="G64" s="9" t="s">
        <v>1563</v>
      </c>
      <c r="H64" s="9" t="n">
        <f aca="false">IF(G64="","",G64-F64)</f>
        <v>23</v>
      </c>
      <c r="I64" s="9" t="n">
        <v>5</v>
      </c>
      <c r="J64" s="9" t="s">
        <v>431</v>
      </c>
      <c r="K64" s="9" t="s">
        <v>2843</v>
      </c>
    </row>
    <row r="65" customFormat="false" ht="15" hidden="false" customHeight="false" outlineLevel="0" collapsed="false">
      <c r="A65" s="9" t="s">
        <v>3029</v>
      </c>
      <c r="B65" s="9" t="s">
        <v>3030</v>
      </c>
      <c r="C65" s="9" t="s">
        <v>2855</v>
      </c>
      <c r="D65" s="9" t="s">
        <v>2839</v>
      </c>
      <c r="E65" s="9" t="s">
        <v>2894</v>
      </c>
      <c r="F65" s="9" t="s">
        <v>1391</v>
      </c>
      <c r="G65" s="9" t="s">
        <v>3031</v>
      </c>
      <c r="H65" s="9" t="n">
        <f aca="false">IF(G65="","",G65-F65)</f>
        <v>24</v>
      </c>
      <c r="I65" s="9" t="n">
        <v>4</v>
      </c>
      <c r="J65" s="9" t="s">
        <v>431</v>
      </c>
      <c r="K65" s="9" t="s">
        <v>2843</v>
      </c>
    </row>
    <row r="66" customFormat="false" ht="15" hidden="false" customHeight="false" outlineLevel="0" collapsed="false">
      <c r="A66" s="9" t="s">
        <v>3032</v>
      </c>
      <c r="B66" s="9" t="s">
        <v>3033</v>
      </c>
      <c r="C66" s="9" t="s">
        <v>2864</v>
      </c>
      <c r="D66" s="9" t="s">
        <v>2872</v>
      </c>
      <c r="E66" s="9" t="s">
        <v>2868</v>
      </c>
      <c r="F66" s="9" t="s">
        <v>1839</v>
      </c>
      <c r="G66" s="9"/>
      <c r="H66" s="9" t="str">
        <f aca="false">IF(G66="","",G66-F66)</f>
        <v/>
      </c>
      <c r="I66" s="9"/>
      <c r="J66" s="9" t="s">
        <v>506</v>
      </c>
      <c r="K66" s="9" t="s">
        <v>2852</v>
      </c>
    </row>
    <row r="67" customFormat="false" ht="15" hidden="false" customHeight="false" outlineLevel="0" collapsed="false">
      <c r="A67" s="9" t="s">
        <v>3034</v>
      </c>
      <c r="B67" s="9" t="s">
        <v>3035</v>
      </c>
      <c r="C67" s="9" t="s">
        <v>2855</v>
      </c>
      <c r="D67" s="9" t="s">
        <v>2856</v>
      </c>
      <c r="E67" s="9" t="s">
        <v>2859</v>
      </c>
      <c r="F67" s="9" t="s">
        <v>3036</v>
      </c>
      <c r="G67" s="9"/>
      <c r="H67" s="9" t="str">
        <f aca="false">IF(G67="","",G67-F67)</f>
        <v/>
      </c>
      <c r="I67" s="9"/>
      <c r="J67" s="9" t="s">
        <v>317</v>
      </c>
      <c r="K67" s="9" t="s">
        <v>2852</v>
      </c>
    </row>
    <row r="68" customFormat="false" ht="15" hidden="false" customHeight="false" outlineLevel="0" collapsed="false">
      <c r="A68" s="9" t="s">
        <v>3037</v>
      </c>
      <c r="B68" s="9" t="s">
        <v>3038</v>
      </c>
      <c r="C68" s="9" t="s">
        <v>2838</v>
      </c>
      <c r="D68" s="9" t="s">
        <v>2865</v>
      </c>
      <c r="E68" s="9" t="s">
        <v>2921</v>
      </c>
      <c r="F68" s="9" t="s">
        <v>3039</v>
      </c>
      <c r="G68" s="9" t="s">
        <v>1750</v>
      </c>
      <c r="H68" s="9" t="n">
        <f aca="false">IF(G68="","",G68-F68)</f>
        <v>28</v>
      </c>
      <c r="I68" s="9" t="n">
        <v>4</v>
      </c>
      <c r="J68" s="9" t="s">
        <v>238</v>
      </c>
      <c r="K68" s="9" t="s">
        <v>2843</v>
      </c>
    </row>
    <row r="69" customFormat="false" ht="15" hidden="false" customHeight="false" outlineLevel="0" collapsed="false">
      <c r="A69" s="9" t="s">
        <v>3040</v>
      </c>
      <c r="B69" s="9" t="s">
        <v>3041</v>
      </c>
      <c r="C69" s="9" t="s">
        <v>2838</v>
      </c>
      <c r="D69" s="9" t="s">
        <v>2839</v>
      </c>
      <c r="E69" s="9" t="s">
        <v>2894</v>
      </c>
      <c r="F69" s="9" t="s">
        <v>328</v>
      </c>
      <c r="G69" s="9" t="s">
        <v>3042</v>
      </c>
      <c r="H69" s="9" t="n">
        <f aca="false">IF(G69="","",G69-F69)</f>
        <v>24</v>
      </c>
      <c r="I69" s="9" t="n">
        <v>1</v>
      </c>
      <c r="J69" s="9" t="s">
        <v>238</v>
      </c>
      <c r="K69" s="9" t="s">
        <v>2843</v>
      </c>
    </row>
    <row r="70" customFormat="false" ht="15" hidden="false" customHeight="false" outlineLevel="0" collapsed="false">
      <c r="A70" s="9" t="s">
        <v>3043</v>
      </c>
      <c r="B70" s="9" t="s">
        <v>3044</v>
      </c>
      <c r="C70" s="9" t="s">
        <v>2864</v>
      </c>
      <c r="D70" s="9" t="s">
        <v>2846</v>
      </c>
      <c r="E70" s="9" t="s">
        <v>2859</v>
      </c>
      <c r="F70" s="9" t="s">
        <v>1064</v>
      </c>
      <c r="G70" s="9" t="s">
        <v>1064</v>
      </c>
      <c r="H70" s="9" t="n">
        <f aca="false">IF(G70="","",G70-F70)</f>
        <v>0</v>
      </c>
      <c r="I70" s="9" t="n">
        <v>3</v>
      </c>
      <c r="J70" s="9" t="s">
        <v>514</v>
      </c>
      <c r="K70" s="9" t="s">
        <v>2843</v>
      </c>
    </row>
    <row r="71" customFormat="false" ht="15" hidden="false" customHeight="false" outlineLevel="0" collapsed="false">
      <c r="A71" s="9" t="s">
        <v>3045</v>
      </c>
      <c r="B71" s="9" t="s">
        <v>3046</v>
      </c>
      <c r="C71" s="9" t="s">
        <v>1275</v>
      </c>
      <c r="D71" s="9" t="s">
        <v>2839</v>
      </c>
      <c r="E71" s="9" t="s">
        <v>2840</v>
      </c>
      <c r="F71" s="9" t="s">
        <v>910</v>
      </c>
      <c r="G71" s="9" t="s">
        <v>2927</v>
      </c>
      <c r="H71" s="9" t="n">
        <f aca="false">IF(G71="","",G71-F71)</f>
        <v>15</v>
      </c>
      <c r="I71" s="9" t="n">
        <v>3</v>
      </c>
      <c r="J71" s="9" t="s">
        <v>160</v>
      </c>
      <c r="K71" s="9" t="s">
        <v>2843</v>
      </c>
    </row>
    <row r="72" customFormat="false" ht="15" hidden="false" customHeight="false" outlineLevel="0" collapsed="false">
      <c r="A72" s="9" t="s">
        <v>3047</v>
      </c>
      <c r="B72" s="9" t="s">
        <v>3048</v>
      </c>
      <c r="C72" s="9" t="s">
        <v>2838</v>
      </c>
      <c r="D72" s="9" t="s">
        <v>2839</v>
      </c>
      <c r="E72" s="9" t="s">
        <v>2868</v>
      </c>
      <c r="F72" s="9" t="s">
        <v>3049</v>
      </c>
      <c r="G72" s="9" t="s">
        <v>2876</v>
      </c>
      <c r="H72" s="9" t="n">
        <f aca="false">IF(G72="","",G72-F72)</f>
        <v>26</v>
      </c>
      <c r="I72" s="9" t="n">
        <v>4</v>
      </c>
      <c r="J72" s="9" t="s">
        <v>238</v>
      </c>
      <c r="K72" s="9" t="s">
        <v>2843</v>
      </c>
    </row>
    <row r="73" customFormat="false" ht="15" hidden="false" customHeight="false" outlineLevel="0" collapsed="false">
      <c r="A73" s="9" t="s">
        <v>3050</v>
      </c>
      <c r="B73" s="9" t="s">
        <v>3051</v>
      </c>
      <c r="C73" s="9" t="s">
        <v>2838</v>
      </c>
      <c r="D73" s="9" t="s">
        <v>2846</v>
      </c>
      <c r="E73" s="9" t="s">
        <v>2868</v>
      </c>
      <c r="F73" s="9" t="s">
        <v>1070</v>
      </c>
      <c r="G73" s="9" t="s">
        <v>3052</v>
      </c>
      <c r="H73" s="9" t="n">
        <f aca="false">IF(G73="","",G73-F73)</f>
        <v>19</v>
      </c>
      <c r="I73" s="9" t="n">
        <v>5</v>
      </c>
      <c r="J73" s="9" t="s">
        <v>317</v>
      </c>
      <c r="K73" s="9" t="s">
        <v>2843</v>
      </c>
    </row>
    <row r="74" customFormat="false" ht="15" hidden="false" customHeight="false" outlineLevel="0" collapsed="false">
      <c r="A74" s="9" t="s">
        <v>3053</v>
      </c>
      <c r="B74" s="9" t="s">
        <v>3054</v>
      </c>
      <c r="C74" s="9" t="s">
        <v>2855</v>
      </c>
      <c r="D74" s="9" t="s">
        <v>2856</v>
      </c>
      <c r="E74" s="9" t="s">
        <v>2847</v>
      </c>
      <c r="F74" s="9" t="s">
        <v>2316</v>
      </c>
      <c r="G74" s="9"/>
      <c r="H74" s="9" t="str">
        <f aca="false">IF(G74="","",G74-F74)</f>
        <v/>
      </c>
      <c r="I74" s="9"/>
      <c r="J74" s="9" t="s">
        <v>393</v>
      </c>
      <c r="K74" s="9" t="s">
        <v>2852</v>
      </c>
    </row>
    <row r="75" customFormat="false" ht="15" hidden="false" customHeight="false" outlineLevel="0" collapsed="false">
      <c r="A75" s="9" t="s">
        <v>3055</v>
      </c>
      <c r="B75" s="9" t="s">
        <v>3056</v>
      </c>
      <c r="C75" s="9" t="s">
        <v>2855</v>
      </c>
      <c r="D75" s="9" t="s">
        <v>2856</v>
      </c>
      <c r="E75" s="9" t="s">
        <v>2840</v>
      </c>
      <c r="F75" s="9" t="s">
        <v>3057</v>
      </c>
      <c r="G75" s="9"/>
      <c r="H75" s="9" t="str">
        <f aca="false">IF(G75="","",G75-F75)</f>
        <v/>
      </c>
      <c r="I75" s="9"/>
      <c r="J75" s="9" t="s">
        <v>64</v>
      </c>
      <c r="K75" s="9" t="s">
        <v>2852</v>
      </c>
    </row>
    <row r="76" customFormat="false" ht="15" hidden="false" customHeight="false" outlineLevel="0" collapsed="false">
      <c r="A76" s="9" t="s">
        <v>3058</v>
      </c>
      <c r="B76" s="9" t="s">
        <v>3059</v>
      </c>
      <c r="C76" s="9" t="s">
        <v>1275</v>
      </c>
      <c r="D76" s="9" t="s">
        <v>2872</v>
      </c>
      <c r="E76" s="9" t="s">
        <v>2879</v>
      </c>
      <c r="F76" s="9" t="s">
        <v>1665</v>
      </c>
      <c r="G76" s="9" t="s">
        <v>1953</v>
      </c>
      <c r="H76" s="9" t="n">
        <f aca="false">IF(G76="","",G76-F76)</f>
        <v>21</v>
      </c>
      <c r="I76" s="9" t="n">
        <v>5</v>
      </c>
      <c r="J76" s="9" t="s">
        <v>632</v>
      </c>
      <c r="K76" s="9" t="s">
        <v>2843</v>
      </c>
    </row>
    <row r="77" customFormat="false" ht="15" hidden="false" customHeight="false" outlineLevel="0" collapsed="false">
      <c r="A77" s="9" t="s">
        <v>3060</v>
      </c>
      <c r="B77" s="9" t="s">
        <v>3061</v>
      </c>
      <c r="C77" s="9" t="s">
        <v>2864</v>
      </c>
      <c r="D77" s="9" t="s">
        <v>2839</v>
      </c>
      <c r="E77" s="9" t="s">
        <v>2885</v>
      </c>
      <c r="F77" s="9" t="s">
        <v>3062</v>
      </c>
      <c r="G77" s="9" t="s">
        <v>1691</v>
      </c>
      <c r="H77" s="9" t="n">
        <f aca="false">IF(G77="","",G77-F77)</f>
        <v>29</v>
      </c>
      <c r="I77" s="9" t="n">
        <v>4</v>
      </c>
      <c r="J77" s="9" t="s">
        <v>632</v>
      </c>
      <c r="K77" s="9" t="s">
        <v>2843</v>
      </c>
    </row>
    <row r="78" customFormat="false" ht="15" hidden="false" customHeight="false" outlineLevel="0" collapsed="false">
      <c r="A78" s="9" t="s">
        <v>3063</v>
      </c>
      <c r="B78" s="9" t="s">
        <v>3064</v>
      </c>
      <c r="C78" s="9" t="s">
        <v>1275</v>
      </c>
      <c r="D78" s="9" t="s">
        <v>2865</v>
      </c>
      <c r="E78" s="9" t="s">
        <v>2868</v>
      </c>
      <c r="F78" s="9" t="s">
        <v>3065</v>
      </c>
      <c r="G78" s="9" t="s">
        <v>3066</v>
      </c>
      <c r="H78" s="9" t="n">
        <f aca="false">IF(G78="","",G78-F78)</f>
        <v>18</v>
      </c>
      <c r="I78" s="9" t="n">
        <v>1</v>
      </c>
      <c r="J78" s="9" t="s">
        <v>393</v>
      </c>
      <c r="K78" s="9" t="s">
        <v>2843</v>
      </c>
    </row>
    <row r="79" customFormat="false" ht="15" hidden="false" customHeight="false" outlineLevel="0" collapsed="false">
      <c r="A79" s="9" t="s">
        <v>3067</v>
      </c>
      <c r="B79" s="9" t="s">
        <v>3068</v>
      </c>
      <c r="C79" s="9" t="s">
        <v>1275</v>
      </c>
      <c r="D79" s="9" t="s">
        <v>2846</v>
      </c>
      <c r="E79" s="9" t="s">
        <v>2868</v>
      </c>
      <c r="F79" s="9" t="s">
        <v>1046</v>
      </c>
      <c r="G79" s="9" t="s">
        <v>3069</v>
      </c>
      <c r="H79" s="9" t="n">
        <f aca="false">IF(G79="","",G79-F79)</f>
        <v>2</v>
      </c>
      <c r="I79" s="9" t="n">
        <v>1</v>
      </c>
      <c r="J79" s="9" t="s">
        <v>64</v>
      </c>
      <c r="K79" s="9" t="s">
        <v>2843</v>
      </c>
    </row>
    <row r="80" customFormat="false" ht="15" hidden="false" customHeight="false" outlineLevel="0" collapsed="false">
      <c r="A80" s="9" t="s">
        <v>3070</v>
      </c>
      <c r="B80" s="9" t="s">
        <v>3071</v>
      </c>
      <c r="C80" s="9" t="s">
        <v>2838</v>
      </c>
      <c r="D80" s="9" t="s">
        <v>2856</v>
      </c>
      <c r="E80" s="9" t="s">
        <v>2894</v>
      </c>
      <c r="F80" s="9" t="s">
        <v>3072</v>
      </c>
      <c r="G80" s="9" t="s">
        <v>3073</v>
      </c>
      <c r="H80" s="9" t="n">
        <f aca="false">IF(G80="","",G80-F80)</f>
        <v>15</v>
      </c>
      <c r="I80" s="9" t="n">
        <v>2</v>
      </c>
      <c r="J80" s="9" t="s">
        <v>506</v>
      </c>
      <c r="K80" s="9" t="s">
        <v>2843</v>
      </c>
    </row>
    <row r="81" customFormat="false" ht="15" hidden="false" customHeight="false" outlineLevel="0" collapsed="false">
      <c r="A81" s="9" t="s">
        <v>3074</v>
      </c>
      <c r="B81" s="9" t="s">
        <v>3075</v>
      </c>
      <c r="C81" s="9" t="s">
        <v>2864</v>
      </c>
      <c r="D81" s="9" t="s">
        <v>2839</v>
      </c>
      <c r="E81" s="9" t="s">
        <v>2868</v>
      </c>
      <c r="F81" s="9" t="s">
        <v>923</v>
      </c>
      <c r="G81" s="9" t="s">
        <v>1915</v>
      </c>
      <c r="H81" s="9" t="n">
        <f aca="false">IF(G81="","",G81-F81)</f>
        <v>19</v>
      </c>
      <c r="I81" s="9" t="n">
        <v>4</v>
      </c>
      <c r="J81" s="9" t="s">
        <v>238</v>
      </c>
      <c r="K81" s="9" t="s">
        <v>2843</v>
      </c>
    </row>
    <row r="82" customFormat="false" ht="15" hidden="false" customHeight="false" outlineLevel="0" collapsed="false">
      <c r="A82" s="9" t="s">
        <v>3076</v>
      </c>
      <c r="B82" s="9" t="s">
        <v>3077</v>
      </c>
      <c r="C82" s="9" t="s">
        <v>1275</v>
      </c>
      <c r="D82" s="9" t="s">
        <v>2856</v>
      </c>
      <c r="E82" s="9" t="s">
        <v>2885</v>
      </c>
      <c r="F82" s="9" t="s">
        <v>3015</v>
      </c>
      <c r="G82" s="9" t="s">
        <v>2968</v>
      </c>
      <c r="H82" s="9" t="n">
        <f aca="false">IF(G82="","",G82-F82)</f>
        <v>28</v>
      </c>
      <c r="I82" s="9" t="n">
        <v>1</v>
      </c>
      <c r="J82" s="9" t="s">
        <v>278</v>
      </c>
      <c r="K82" s="9" t="s">
        <v>2843</v>
      </c>
    </row>
    <row r="83" customFormat="false" ht="15" hidden="false" customHeight="false" outlineLevel="0" collapsed="false">
      <c r="A83" s="9" t="s">
        <v>3078</v>
      </c>
      <c r="B83" s="9" t="s">
        <v>3079</v>
      </c>
      <c r="C83" s="9" t="s">
        <v>2838</v>
      </c>
      <c r="D83" s="9" t="s">
        <v>2856</v>
      </c>
      <c r="E83" s="9" t="s">
        <v>2840</v>
      </c>
      <c r="F83" s="9" t="s">
        <v>3080</v>
      </c>
      <c r="G83" s="9" t="s">
        <v>1368</v>
      </c>
      <c r="H83" s="9" t="n">
        <f aca="false">IF(G83="","",G83-F83)</f>
        <v>2</v>
      </c>
      <c r="I83" s="9" t="n">
        <v>1</v>
      </c>
      <c r="J83" s="9" t="s">
        <v>160</v>
      </c>
      <c r="K83" s="9" t="s">
        <v>2843</v>
      </c>
    </row>
    <row r="84" customFormat="false" ht="15" hidden="false" customHeight="false" outlineLevel="0" collapsed="false">
      <c r="A84" s="9" t="s">
        <v>3081</v>
      </c>
      <c r="B84" s="9" t="s">
        <v>3082</v>
      </c>
      <c r="C84" s="9" t="s">
        <v>2864</v>
      </c>
      <c r="D84" s="9" t="s">
        <v>2865</v>
      </c>
      <c r="E84" s="9" t="s">
        <v>2879</v>
      </c>
      <c r="F84" s="9" t="s">
        <v>2924</v>
      </c>
      <c r="G84" s="9" t="s">
        <v>1486</v>
      </c>
      <c r="H84" s="9" t="n">
        <f aca="false">IF(G84="","",G84-F84)</f>
        <v>13</v>
      </c>
      <c r="I84" s="9" t="n">
        <v>2</v>
      </c>
      <c r="J84" s="9" t="s">
        <v>64</v>
      </c>
      <c r="K84" s="9" t="s">
        <v>2843</v>
      </c>
    </row>
    <row r="85" customFormat="false" ht="15" hidden="false" customHeight="false" outlineLevel="0" collapsed="false">
      <c r="A85" s="9" t="s">
        <v>3083</v>
      </c>
      <c r="B85" s="9" t="s">
        <v>3084</v>
      </c>
      <c r="C85" s="9" t="s">
        <v>2838</v>
      </c>
      <c r="D85" s="9" t="s">
        <v>2865</v>
      </c>
      <c r="E85" s="9" t="s">
        <v>2879</v>
      </c>
      <c r="F85" s="9" t="s">
        <v>1355</v>
      </c>
      <c r="G85" s="9" t="s">
        <v>3085</v>
      </c>
      <c r="H85" s="9" t="n">
        <f aca="false">IF(G85="","",G85-F85)</f>
        <v>10</v>
      </c>
      <c r="I85" s="9" t="n">
        <v>1</v>
      </c>
      <c r="J85" s="9" t="s">
        <v>632</v>
      </c>
      <c r="K85" s="9" t="s">
        <v>2843</v>
      </c>
    </row>
    <row r="86" customFormat="false" ht="15" hidden="false" customHeight="false" outlineLevel="0" collapsed="false">
      <c r="A86" s="9" t="s">
        <v>3086</v>
      </c>
      <c r="B86" s="9" t="s">
        <v>3087</v>
      </c>
      <c r="C86" s="9" t="s">
        <v>2855</v>
      </c>
      <c r="D86" s="9" t="s">
        <v>2856</v>
      </c>
      <c r="E86" s="9" t="s">
        <v>2921</v>
      </c>
      <c r="F86" s="9" t="s">
        <v>1293</v>
      </c>
      <c r="G86" s="9" t="s">
        <v>3088</v>
      </c>
      <c r="H86" s="9" t="n">
        <f aca="false">IF(G86="","",G86-F86)</f>
        <v>2</v>
      </c>
      <c r="I86" s="9" t="n">
        <v>5</v>
      </c>
      <c r="J86" s="9" t="s">
        <v>355</v>
      </c>
      <c r="K86" s="9" t="s">
        <v>2843</v>
      </c>
    </row>
    <row r="87" customFormat="false" ht="15" hidden="false" customHeight="false" outlineLevel="0" collapsed="false">
      <c r="A87" s="9" t="s">
        <v>3089</v>
      </c>
      <c r="B87" s="9" t="s">
        <v>3090</v>
      </c>
      <c r="C87" s="9" t="s">
        <v>2864</v>
      </c>
      <c r="D87" s="9" t="s">
        <v>2872</v>
      </c>
      <c r="E87" s="9" t="s">
        <v>2879</v>
      </c>
      <c r="F87" s="9" t="s">
        <v>2869</v>
      </c>
      <c r="G87" s="9" t="s">
        <v>3091</v>
      </c>
      <c r="H87" s="9" t="n">
        <f aca="false">IF(G87="","",G87-F87)</f>
        <v>14</v>
      </c>
      <c r="I87" s="9" t="n">
        <v>2</v>
      </c>
      <c r="J87" s="9" t="s">
        <v>393</v>
      </c>
      <c r="K87" s="9" t="s">
        <v>2843</v>
      </c>
    </row>
    <row r="88" customFormat="false" ht="15" hidden="false" customHeight="false" outlineLevel="0" collapsed="false">
      <c r="A88" s="9" t="s">
        <v>3092</v>
      </c>
      <c r="B88" s="9" t="s">
        <v>3093</v>
      </c>
      <c r="C88" s="9" t="s">
        <v>1275</v>
      </c>
      <c r="D88" s="9" t="s">
        <v>2856</v>
      </c>
      <c r="E88" s="9" t="s">
        <v>2847</v>
      </c>
      <c r="F88" s="9" t="s">
        <v>3094</v>
      </c>
      <c r="G88" s="9" t="s">
        <v>3095</v>
      </c>
      <c r="H88" s="9" t="n">
        <f aca="false">IF(G88="","",G88-F88)</f>
        <v>16</v>
      </c>
      <c r="I88" s="9" t="n">
        <v>3</v>
      </c>
      <c r="J88" s="9" t="s">
        <v>469</v>
      </c>
      <c r="K88" s="9" t="s">
        <v>2843</v>
      </c>
    </row>
    <row r="89" customFormat="false" ht="15" hidden="false" customHeight="false" outlineLevel="0" collapsed="false">
      <c r="A89" s="9" t="s">
        <v>3096</v>
      </c>
      <c r="B89" s="9" t="s">
        <v>3097</v>
      </c>
      <c r="C89" s="9" t="s">
        <v>2855</v>
      </c>
      <c r="D89" s="9" t="s">
        <v>2865</v>
      </c>
      <c r="E89" s="9" t="s">
        <v>2840</v>
      </c>
      <c r="F89" s="9" t="s">
        <v>1824</v>
      </c>
      <c r="G89" s="9" t="s">
        <v>3098</v>
      </c>
      <c r="H89" s="9" t="n">
        <f aca="false">IF(G89="","",G89-F89)</f>
        <v>11</v>
      </c>
      <c r="I89" s="9" t="n">
        <v>1</v>
      </c>
      <c r="J89" s="9" t="s">
        <v>693</v>
      </c>
      <c r="K89" s="9" t="s">
        <v>2843</v>
      </c>
    </row>
    <row r="90" customFormat="false" ht="15" hidden="false" customHeight="false" outlineLevel="0" collapsed="false">
      <c r="A90" s="9" t="s">
        <v>3099</v>
      </c>
      <c r="B90" s="9" t="s">
        <v>3100</v>
      </c>
      <c r="C90" s="9" t="s">
        <v>1275</v>
      </c>
      <c r="D90" s="9" t="s">
        <v>2846</v>
      </c>
      <c r="E90" s="9" t="s">
        <v>2885</v>
      </c>
      <c r="F90" s="9" t="s">
        <v>2886</v>
      </c>
      <c r="G90" s="9" t="s">
        <v>1666</v>
      </c>
      <c r="H90" s="9" t="n">
        <f aca="false">IF(G90="","",G90-F90)</f>
        <v>6</v>
      </c>
      <c r="I90" s="9" t="n">
        <v>2</v>
      </c>
      <c r="J90" s="9" t="s">
        <v>201</v>
      </c>
      <c r="K90" s="9" t="s">
        <v>2843</v>
      </c>
    </row>
    <row r="91" customFormat="false" ht="15" hidden="false" customHeight="false" outlineLevel="0" collapsed="false">
      <c r="A91" s="9" t="s">
        <v>3101</v>
      </c>
      <c r="B91" s="9" t="s">
        <v>3102</v>
      </c>
      <c r="C91" s="9" t="s">
        <v>2855</v>
      </c>
      <c r="D91" s="9" t="s">
        <v>2865</v>
      </c>
      <c r="E91" s="9" t="s">
        <v>2859</v>
      </c>
      <c r="F91" s="9" t="s">
        <v>1452</v>
      </c>
      <c r="G91" s="9" t="s">
        <v>1437</v>
      </c>
      <c r="H91" s="9" t="n">
        <f aca="false">IF(G91="","",G91-F91)</f>
        <v>27</v>
      </c>
      <c r="I91" s="9" t="n">
        <v>5</v>
      </c>
      <c r="J91" s="9" t="s">
        <v>506</v>
      </c>
      <c r="K91" s="9" t="s">
        <v>2843</v>
      </c>
    </row>
    <row r="92" customFormat="false" ht="15" hidden="false" customHeight="false" outlineLevel="0" collapsed="false">
      <c r="A92" s="9" t="s">
        <v>3103</v>
      </c>
      <c r="B92" s="9" t="s">
        <v>3104</v>
      </c>
      <c r="C92" s="9" t="s">
        <v>2838</v>
      </c>
      <c r="D92" s="9" t="s">
        <v>2872</v>
      </c>
      <c r="E92" s="9" t="s">
        <v>2847</v>
      </c>
      <c r="F92" s="9" t="s">
        <v>3105</v>
      </c>
      <c r="G92" s="9" t="s">
        <v>2371</v>
      </c>
      <c r="H92" s="9" t="n">
        <f aca="false">IF(G92="","",G92-F92)</f>
        <v>25</v>
      </c>
      <c r="I92" s="9" t="n">
        <v>1</v>
      </c>
      <c r="J92" s="9" t="s">
        <v>647</v>
      </c>
      <c r="K92" s="9" t="s">
        <v>2843</v>
      </c>
    </row>
    <row r="93" customFormat="false" ht="15" hidden="false" customHeight="false" outlineLevel="0" collapsed="false">
      <c r="A93" s="9" t="s">
        <v>3106</v>
      </c>
      <c r="B93" s="9" t="s">
        <v>3107</v>
      </c>
      <c r="C93" s="9" t="s">
        <v>1275</v>
      </c>
      <c r="D93" s="9" t="s">
        <v>2846</v>
      </c>
      <c r="E93" s="9" t="s">
        <v>2868</v>
      </c>
      <c r="F93" s="9" t="s">
        <v>3108</v>
      </c>
      <c r="G93" s="9" t="s">
        <v>2346</v>
      </c>
      <c r="H93" s="9" t="n">
        <f aca="false">IF(G93="","",G93-F93)</f>
        <v>7</v>
      </c>
      <c r="I93" s="9" t="n">
        <v>4</v>
      </c>
      <c r="J93" s="9" t="s">
        <v>506</v>
      </c>
      <c r="K93" s="9" t="s">
        <v>2843</v>
      </c>
    </row>
    <row r="94" customFormat="false" ht="15" hidden="false" customHeight="false" outlineLevel="0" collapsed="false">
      <c r="A94" s="9" t="s">
        <v>3109</v>
      </c>
      <c r="B94" s="9" t="s">
        <v>3110</v>
      </c>
      <c r="C94" s="9" t="s">
        <v>2855</v>
      </c>
      <c r="D94" s="9" t="s">
        <v>2865</v>
      </c>
      <c r="E94" s="9" t="s">
        <v>2847</v>
      </c>
      <c r="F94" s="9" t="s">
        <v>3111</v>
      </c>
      <c r="G94" s="9" t="s">
        <v>1343</v>
      </c>
      <c r="H94" s="9" t="n">
        <f aca="false">IF(G94="","",G94-F94)</f>
        <v>2</v>
      </c>
      <c r="I94" s="9" t="n">
        <v>3</v>
      </c>
      <c r="J94" s="9" t="s">
        <v>64</v>
      </c>
      <c r="K94" s="9" t="s">
        <v>2843</v>
      </c>
    </row>
    <row r="95" customFormat="false" ht="15" hidden="false" customHeight="false" outlineLevel="0" collapsed="false">
      <c r="A95" s="9" t="s">
        <v>3112</v>
      </c>
      <c r="B95" s="9" t="s">
        <v>3113</v>
      </c>
      <c r="C95" s="9" t="s">
        <v>2855</v>
      </c>
      <c r="D95" s="9" t="s">
        <v>2872</v>
      </c>
      <c r="E95" s="9" t="s">
        <v>2859</v>
      </c>
      <c r="F95" s="9" t="s">
        <v>3114</v>
      </c>
      <c r="G95" s="9" t="s">
        <v>3115</v>
      </c>
      <c r="H95" s="9" t="n">
        <f aca="false">IF(G95="","",G95-F95)</f>
        <v>29</v>
      </c>
      <c r="I95" s="9" t="n">
        <v>3</v>
      </c>
      <c r="J95" s="9" t="s">
        <v>160</v>
      </c>
      <c r="K95" s="9" t="s">
        <v>2843</v>
      </c>
    </row>
    <row r="96" customFormat="false" ht="15" hidden="false" customHeight="false" outlineLevel="0" collapsed="false">
      <c r="A96" s="9" t="s">
        <v>3116</v>
      </c>
      <c r="B96" s="9" t="s">
        <v>3117</v>
      </c>
      <c r="C96" s="9" t="s">
        <v>2855</v>
      </c>
      <c r="D96" s="9" t="s">
        <v>2846</v>
      </c>
      <c r="E96" s="9" t="s">
        <v>2840</v>
      </c>
      <c r="F96" s="9" t="s">
        <v>1169</v>
      </c>
      <c r="G96" s="9" t="s">
        <v>2094</v>
      </c>
      <c r="H96" s="9" t="n">
        <f aca="false">IF(G96="","",G96-F96)</f>
        <v>8</v>
      </c>
      <c r="I96" s="9" t="n">
        <v>2</v>
      </c>
      <c r="J96" s="9" t="s">
        <v>506</v>
      </c>
      <c r="K96" s="9" t="s">
        <v>2843</v>
      </c>
    </row>
    <row r="97" customFormat="false" ht="15" hidden="false" customHeight="false" outlineLevel="0" collapsed="false">
      <c r="A97" s="9" t="s">
        <v>3118</v>
      </c>
      <c r="B97" s="9" t="s">
        <v>3119</v>
      </c>
      <c r="C97" s="9" t="s">
        <v>2855</v>
      </c>
      <c r="D97" s="9" t="s">
        <v>2846</v>
      </c>
      <c r="E97" s="9" t="s">
        <v>2885</v>
      </c>
      <c r="F97" s="9" t="s">
        <v>300</v>
      </c>
      <c r="G97" s="9" t="s">
        <v>3120</v>
      </c>
      <c r="H97" s="9" t="n">
        <f aca="false">IF(G97="","",G97-F97)</f>
        <v>29</v>
      </c>
      <c r="I97" s="9" t="n">
        <v>1</v>
      </c>
      <c r="J97" s="9" t="s">
        <v>64</v>
      </c>
      <c r="K97" s="9" t="s">
        <v>2843</v>
      </c>
    </row>
    <row r="98" customFormat="false" ht="15" hidden="false" customHeight="false" outlineLevel="0" collapsed="false">
      <c r="A98" s="9" t="s">
        <v>3121</v>
      </c>
      <c r="B98" s="9" t="s">
        <v>3122</v>
      </c>
      <c r="C98" s="9" t="s">
        <v>2838</v>
      </c>
      <c r="D98" s="9" t="s">
        <v>2856</v>
      </c>
      <c r="E98" s="9" t="s">
        <v>2894</v>
      </c>
      <c r="F98" s="9" t="s">
        <v>3123</v>
      </c>
      <c r="G98" s="9" t="s">
        <v>3124</v>
      </c>
      <c r="H98" s="9" t="n">
        <f aca="false">IF(G98="","",G98-F98)</f>
        <v>7</v>
      </c>
      <c r="I98" s="9" t="n">
        <v>3</v>
      </c>
      <c r="J98" s="9" t="s">
        <v>514</v>
      </c>
      <c r="K98" s="9" t="s">
        <v>2843</v>
      </c>
    </row>
    <row r="99" customFormat="false" ht="15" hidden="false" customHeight="false" outlineLevel="0" collapsed="false">
      <c r="A99" s="9" t="s">
        <v>3125</v>
      </c>
      <c r="B99" s="9" t="s">
        <v>3126</v>
      </c>
      <c r="C99" s="9" t="s">
        <v>2838</v>
      </c>
      <c r="D99" s="9" t="s">
        <v>2856</v>
      </c>
      <c r="E99" s="9" t="s">
        <v>2921</v>
      </c>
      <c r="F99" s="9" t="s">
        <v>3127</v>
      </c>
      <c r="G99" s="9"/>
      <c r="H99" s="9" t="str">
        <f aca="false">IF(G99="","",G99-F99)</f>
        <v/>
      </c>
      <c r="I99" s="9"/>
      <c r="J99" s="9" t="s">
        <v>278</v>
      </c>
      <c r="K99" s="9" t="s">
        <v>2852</v>
      </c>
    </row>
    <row r="100" customFormat="false" ht="15" hidden="false" customHeight="false" outlineLevel="0" collapsed="false">
      <c r="A100" s="9" t="s">
        <v>3128</v>
      </c>
      <c r="B100" s="9" t="s">
        <v>3129</v>
      </c>
      <c r="C100" s="9" t="s">
        <v>2855</v>
      </c>
      <c r="D100" s="9" t="s">
        <v>2839</v>
      </c>
      <c r="E100" s="9" t="s">
        <v>2879</v>
      </c>
      <c r="F100" s="9" t="s">
        <v>3130</v>
      </c>
      <c r="G100" s="9" t="s">
        <v>3131</v>
      </c>
      <c r="H100" s="9" t="n">
        <f aca="false">IF(G100="","",G100-F100)</f>
        <v>13</v>
      </c>
      <c r="I100" s="9" t="n">
        <v>2</v>
      </c>
      <c r="J100" s="9" t="s">
        <v>160</v>
      </c>
      <c r="K100" s="9" t="s">
        <v>2843</v>
      </c>
    </row>
    <row r="101" customFormat="false" ht="15" hidden="false" customHeight="false" outlineLevel="0" collapsed="false">
      <c r="A101" s="9" t="s">
        <v>3132</v>
      </c>
      <c r="B101" s="9" t="s">
        <v>3133</v>
      </c>
      <c r="C101" s="9" t="s">
        <v>2864</v>
      </c>
      <c r="D101" s="9" t="s">
        <v>2846</v>
      </c>
      <c r="E101" s="9" t="s">
        <v>2894</v>
      </c>
      <c r="F101" s="9" t="s">
        <v>935</v>
      </c>
      <c r="G101" s="9" t="s">
        <v>2316</v>
      </c>
      <c r="H101" s="9" t="n">
        <f aca="false">IF(G101="","",G101-F101)</f>
        <v>25</v>
      </c>
      <c r="I101" s="9" t="n">
        <v>3</v>
      </c>
      <c r="J101" s="9" t="s">
        <v>278</v>
      </c>
      <c r="K101" s="9" t="s">
        <v>2843</v>
      </c>
    </row>
    <row r="102" customFormat="false" ht="15" hidden="false" customHeight="false" outlineLevel="0" collapsed="false">
      <c r="A102" s="9" t="s">
        <v>3134</v>
      </c>
      <c r="B102" s="9" t="s">
        <v>3135</v>
      </c>
      <c r="C102" s="9" t="s">
        <v>2855</v>
      </c>
      <c r="D102" s="9" t="s">
        <v>2856</v>
      </c>
      <c r="E102" s="9" t="s">
        <v>2859</v>
      </c>
      <c r="F102" s="9" t="s">
        <v>3136</v>
      </c>
      <c r="G102" s="9" t="s">
        <v>2133</v>
      </c>
      <c r="H102" s="9" t="n">
        <f aca="false">IF(G102="","",G102-F102)</f>
        <v>16</v>
      </c>
      <c r="I102" s="9" t="n">
        <v>4</v>
      </c>
      <c r="J102" s="9" t="s">
        <v>693</v>
      </c>
      <c r="K102" s="9" t="s">
        <v>2843</v>
      </c>
    </row>
    <row r="103" customFormat="false" ht="15" hidden="false" customHeight="false" outlineLevel="0" collapsed="false">
      <c r="A103" s="9" t="s">
        <v>3137</v>
      </c>
      <c r="B103" s="9" t="s">
        <v>3138</v>
      </c>
      <c r="C103" s="9" t="s">
        <v>2838</v>
      </c>
      <c r="D103" s="9" t="s">
        <v>2839</v>
      </c>
      <c r="E103" s="9" t="s">
        <v>2859</v>
      </c>
      <c r="F103" s="9" t="s">
        <v>3139</v>
      </c>
      <c r="G103" s="9" t="s">
        <v>2276</v>
      </c>
      <c r="H103" s="9" t="n">
        <f aca="false">IF(G103="","",G103-F103)</f>
        <v>11</v>
      </c>
      <c r="I103" s="9" t="n">
        <v>5</v>
      </c>
      <c r="J103" s="9" t="s">
        <v>647</v>
      </c>
      <c r="K103" s="9" t="s">
        <v>2843</v>
      </c>
    </row>
    <row r="104" customFormat="false" ht="15" hidden="false" customHeight="false" outlineLevel="0" collapsed="false">
      <c r="A104" s="9" t="s">
        <v>3140</v>
      </c>
      <c r="B104" s="9" t="s">
        <v>3141</v>
      </c>
      <c r="C104" s="9" t="s">
        <v>2838</v>
      </c>
      <c r="D104" s="9" t="s">
        <v>2872</v>
      </c>
      <c r="E104" s="9" t="s">
        <v>2879</v>
      </c>
      <c r="F104" s="9" t="s">
        <v>866</v>
      </c>
      <c r="G104" s="9" t="s">
        <v>886</v>
      </c>
      <c r="H104" s="9" t="n">
        <f aca="false">IF(G104="","",G104-F104)</f>
        <v>6</v>
      </c>
      <c r="I104" s="9" t="n">
        <v>2</v>
      </c>
      <c r="J104" s="9" t="s">
        <v>355</v>
      </c>
      <c r="K104" s="9" t="s">
        <v>2843</v>
      </c>
    </row>
    <row r="105" customFormat="false" ht="15" hidden="false" customHeight="false" outlineLevel="0" collapsed="false">
      <c r="A105" s="9" t="s">
        <v>3142</v>
      </c>
      <c r="B105" s="9" t="s">
        <v>3143</v>
      </c>
      <c r="C105" s="9" t="s">
        <v>2855</v>
      </c>
      <c r="D105" s="9" t="s">
        <v>2865</v>
      </c>
      <c r="E105" s="9" t="s">
        <v>2868</v>
      </c>
      <c r="F105" s="9" t="s">
        <v>1387</v>
      </c>
      <c r="G105" s="9" t="s">
        <v>3094</v>
      </c>
      <c r="H105" s="9" t="n">
        <f aca="false">IF(G105="","",G105-F105)</f>
        <v>12</v>
      </c>
      <c r="I105" s="9" t="n">
        <v>5</v>
      </c>
      <c r="J105" s="9" t="s">
        <v>317</v>
      </c>
      <c r="K105" s="9" t="s">
        <v>2843</v>
      </c>
    </row>
    <row r="106" customFormat="false" ht="15" hidden="false" customHeight="false" outlineLevel="0" collapsed="false">
      <c r="A106" s="9" t="s">
        <v>3144</v>
      </c>
      <c r="B106" s="9" t="s">
        <v>3145</v>
      </c>
      <c r="C106" s="9" t="s">
        <v>2864</v>
      </c>
      <c r="D106" s="9" t="s">
        <v>2839</v>
      </c>
      <c r="E106" s="9" t="s">
        <v>2921</v>
      </c>
      <c r="F106" s="9" t="s">
        <v>3146</v>
      </c>
      <c r="G106" s="9" t="s">
        <v>2147</v>
      </c>
      <c r="H106" s="9" t="n">
        <f aca="false">IF(G106="","",G106-F106)</f>
        <v>9</v>
      </c>
      <c r="I106" s="9" t="n">
        <v>4</v>
      </c>
      <c r="J106" s="9" t="s">
        <v>693</v>
      </c>
      <c r="K106" s="9" t="s">
        <v>2843</v>
      </c>
    </row>
    <row r="107" customFormat="false" ht="15" hidden="false" customHeight="false" outlineLevel="0" collapsed="false">
      <c r="A107" s="9" t="s">
        <v>3147</v>
      </c>
      <c r="B107" s="9" t="s">
        <v>3148</v>
      </c>
      <c r="C107" s="9" t="s">
        <v>2855</v>
      </c>
      <c r="D107" s="9" t="s">
        <v>2839</v>
      </c>
      <c r="E107" s="9" t="s">
        <v>2885</v>
      </c>
      <c r="F107" s="9" t="s">
        <v>3149</v>
      </c>
      <c r="G107" s="9" t="s">
        <v>2346</v>
      </c>
      <c r="H107" s="9" t="n">
        <f aca="false">IF(G107="","",G107-F107)</f>
        <v>10</v>
      </c>
      <c r="I107" s="9" t="n">
        <v>4</v>
      </c>
      <c r="J107" s="9" t="s">
        <v>632</v>
      </c>
      <c r="K107" s="9" t="s">
        <v>2843</v>
      </c>
    </row>
    <row r="108" customFormat="false" ht="15" hidden="false" customHeight="false" outlineLevel="0" collapsed="false">
      <c r="A108" s="9" t="s">
        <v>3150</v>
      </c>
      <c r="B108" s="9" t="s">
        <v>3151</v>
      </c>
      <c r="C108" s="9" t="s">
        <v>2838</v>
      </c>
      <c r="D108" s="9" t="s">
        <v>2865</v>
      </c>
      <c r="E108" s="9" t="s">
        <v>2894</v>
      </c>
      <c r="F108" s="9" t="s">
        <v>3152</v>
      </c>
      <c r="G108" s="9" t="s">
        <v>3153</v>
      </c>
      <c r="H108" s="9" t="n">
        <f aca="false">IF(G108="","",G108-F108)</f>
        <v>12</v>
      </c>
      <c r="I108" s="9" t="n">
        <v>1</v>
      </c>
      <c r="J108" s="9" t="s">
        <v>317</v>
      </c>
      <c r="K108" s="9" t="s">
        <v>2843</v>
      </c>
    </row>
    <row r="109" customFormat="false" ht="15" hidden="false" customHeight="false" outlineLevel="0" collapsed="false">
      <c r="A109" s="9" t="s">
        <v>3154</v>
      </c>
      <c r="B109" s="9" t="s">
        <v>3155</v>
      </c>
      <c r="C109" s="9" t="s">
        <v>2855</v>
      </c>
      <c r="D109" s="9" t="s">
        <v>2872</v>
      </c>
      <c r="E109" s="9" t="s">
        <v>2921</v>
      </c>
      <c r="F109" s="9" t="s">
        <v>1976</v>
      </c>
      <c r="G109" s="9"/>
      <c r="H109" s="9" t="str">
        <f aca="false">IF(G109="","",G109-F109)</f>
        <v/>
      </c>
      <c r="I109" s="9"/>
      <c r="J109" s="9" t="s">
        <v>469</v>
      </c>
      <c r="K109" s="9" t="s">
        <v>2852</v>
      </c>
    </row>
    <row r="110" customFormat="false" ht="15" hidden="false" customHeight="false" outlineLevel="0" collapsed="false">
      <c r="A110" s="9" t="s">
        <v>3156</v>
      </c>
      <c r="B110" s="9" t="s">
        <v>3157</v>
      </c>
      <c r="C110" s="9" t="s">
        <v>2864</v>
      </c>
      <c r="D110" s="9" t="s">
        <v>2846</v>
      </c>
      <c r="E110" s="9" t="s">
        <v>2921</v>
      </c>
      <c r="F110" s="9" t="s">
        <v>3158</v>
      </c>
      <c r="G110" s="9" t="s">
        <v>1622</v>
      </c>
      <c r="H110" s="9" t="n">
        <f aca="false">IF(G110="","",G110-F110)</f>
        <v>1</v>
      </c>
      <c r="I110" s="9" t="n">
        <v>5</v>
      </c>
      <c r="J110" s="9" t="s">
        <v>355</v>
      </c>
      <c r="K110" s="9" t="s">
        <v>2843</v>
      </c>
    </row>
    <row r="111" customFormat="false" ht="15" hidden="false" customHeight="false" outlineLevel="0" collapsed="false">
      <c r="A111" s="9" t="s">
        <v>3159</v>
      </c>
      <c r="B111" s="9" t="s">
        <v>3160</v>
      </c>
      <c r="C111" s="9" t="s">
        <v>2855</v>
      </c>
      <c r="D111" s="9" t="s">
        <v>2872</v>
      </c>
      <c r="E111" s="9" t="s">
        <v>2840</v>
      </c>
      <c r="F111" s="9" t="s">
        <v>3161</v>
      </c>
      <c r="G111" s="9" t="s">
        <v>2087</v>
      </c>
      <c r="H111" s="9" t="n">
        <f aca="false">IF(G111="","",G111-F111)</f>
        <v>24</v>
      </c>
      <c r="I111" s="9" t="n">
        <v>3</v>
      </c>
      <c r="J111" s="9" t="s">
        <v>355</v>
      </c>
      <c r="K111" s="9" t="s">
        <v>2843</v>
      </c>
    </row>
    <row r="112" customFormat="false" ht="15" hidden="false" customHeight="false" outlineLevel="0" collapsed="false">
      <c r="A112" s="9" t="s">
        <v>3162</v>
      </c>
      <c r="B112" s="9" t="s">
        <v>3163</v>
      </c>
      <c r="C112" s="9" t="s">
        <v>2864</v>
      </c>
      <c r="D112" s="9" t="s">
        <v>2856</v>
      </c>
      <c r="E112" s="9" t="s">
        <v>2840</v>
      </c>
      <c r="F112" s="9" t="s">
        <v>2589</v>
      </c>
      <c r="G112" s="9" t="s">
        <v>3164</v>
      </c>
      <c r="H112" s="9" t="n">
        <f aca="false">IF(G112="","",G112-F112)</f>
        <v>25</v>
      </c>
      <c r="I112" s="9" t="n">
        <v>4</v>
      </c>
      <c r="J112" s="9" t="s">
        <v>534</v>
      </c>
      <c r="K112" s="9" t="s">
        <v>2843</v>
      </c>
    </row>
    <row r="113" customFormat="false" ht="15" hidden="false" customHeight="false" outlineLevel="0" collapsed="false">
      <c r="A113" s="9" t="s">
        <v>3165</v>
      </c>
      <c r="B113" s="9" t="s">
        <v>3166</v>
      </c>
      <c r="C113" s="9" t="s">
        <v>2838</v>
      </c>
      <c r="D113" s="9" t="s">
        <v>2839</v>
      </c>
      <c r="E113" s="9" t="s">
        <v>2847</v>
      </c>
      <c r="F113" s="9" t="s">
        <v>3167</v>
      </c>
      <c r="G113" s="9" t="s">
        <v>1066</v>
      </c>
      <c r="H113" s="9" t="n">
        <f aca="false">IF(G113="","",G113-F113)</f>
        <v>23</v>
      </c>
      <c r="I113" s="9" t="n">
        <v>2</v>
      </c>
      <c r="J113" s="9" t="s">
        <v>647</v>
      </c>
      <c r="K113" s="9" t="s">
        <v>2843</v>
      </c>
    </row>
    <row r="114" customFormat="false" ht="15" hidden="false" customHeight="false" outlineLevel="0" collapsed="false">
      <c r="A114" s="9" t="s">
        <v>3168</v>
      </c>
      <c r="B114" s="9" t="s">
        <v>3169</v>
      </c>
      <c r="C114" s="9" t="s">
        <v>2838</v>
      </c>
      <c r="D114" s="9" t="s">
        <v>2865</v>
      </c>
      <c r="E114" s="9" t="s">
        <v>2894</v>
      </c>
      <c r="F114" s="9" t="s">
        <v>2167</v>
      </c>
      <c r="G114" s="9" t="s">
        <v>2181</v>
      </c>
      <c r="H114" s="9" t="n">
        <f aca="false">IF(G114="","",G114-F114)</f>
        <v>6</v>
      </c>
      <c r="I114" s="9" t="n">
        <v>4</v>
      </c>
      <c r="J114" s="9" t="s">
        <v>589</v>
      </c>
      <c r="K114" s="9" t="s">
        <v>2843</v>
      </c>
    </row>
    <row r="115" customFormat="false" ht="15" hidden="false" customHeight="false" outlineLevel="0" collapsed="false">
      <c r="A115" s="9" t="s">
        <v>3170</v>
      </c>
      <c r="B115" s="9" t="s">
        <v>3171</v>
      </c>
      <c r="C115" s="9" t="s">
        <v>2838</v>
      </c>
      <c r="D115" s="9" t="s">
        <v>2865</v>
      </c>
      <c r="E115" s="9" t="s">
        <v>2885</v>
      </c>
      <c r="F115" s="9" t="s">
        <v>3172</v>
      </c>
      <c r="G115" s="9" t="s">
        <v>1529</v>
      </c>
      <c r="H115" s="9" t="n">
        <f aca="false">IF(G115="","",G115-F115)</f>
        <v>27</v>
      </c>
      <c r="I115" s="9" t="n">
        <v>2</v>
      </c>
      <c r="J115" s="9" t="s">
        <v>469</v>
      </c>
      <c r="K115" s="9" t="s">
        <v>2843</v>
      </c>
    </row>
    <row r="116" customFormat="false" ht="15" hidden="false" customHeight="false" outlineLevel="0" collapsed="false">
      <c r="A116" s="9" t="s">
        <v>3173</v>
      </c>
      <c r="B116" s="9" t="s">
        <v>3174</v>
      </c>
      <c r="C116" s="9" t="s">
        <v>2838</v>
      </c>
      <c r="D116" s="9" t="s">
        <v>2872</v>
      </c>
      <c r="E116" s="9" t="s">
        <v>2894</v>
      </c>
      <c r="F116" s="9" t="s">
        <v>1950</v>
      </c>
      <c r="G116" s="9" t="s">
        <v>3175</v>
      </c>
      <c r="H116" s="9" t="n">
        <f aca="false">IF(G116="","",G116-F116)</f>
        <v>21</v>
      </c>
      <c r="I116" s="9" t="n">
        <v>4</v>
      </c>
      <c r="J116" s="9" t="s">
        <v>469</v>
      </c>
      <c r="K116" s="9" t="s">
        <v>2843</v>
      </c>
    </row>
    <row r="117" customFormat="false" ht="15" hidden="false" customHeight="false" outlineLevel="0" collapsed="false">
      <c r="A117" s="9" t="s">
        <v>3176</v>
      </c>
      <c r="B117" s="9" t="s">
        <v>3177</v>
      </c>
      <c r="C117" s="9" t="s">
        <v>1275</v>
      </c>
      <c r="D117" s="9" t="s">
        <v>2839</v>
      </c>
      <c r="E117" s="9" t="s">
        <v>2885</v>
      </c>
      <c r="F117" s="9" t="s">
        <v>2147</v>
      </c>
      <c r="G117" s="9" t="s">
        <v>2305</v>
      </c>
      <c r="H117" s="9" t="n">
        <f aca="false">IF(G117="","",G117-F117)</f>
        <v>30</v>
      </c>
      <c r="I117" s="9" t="n">
        <v>3</v>
      </c>
      <c r="J117" s="9" t="s">
        <v>534</v>
      </c>
      <c r="K117" s="9" t="s">
        <v>2843</v>
      </c>
    </row>
    <row r="118" customFormat="false" ht="15" hidden="false" customHeight="false" outlineLevel="0" collapsed="false">
      <c r="A118" s="9" t="s">
        <v>3178</v>
      </c>
      <c r="B118" s="9" t="s">
        <v>3179</v>
      </c>
      <c r="C118" s="9" t="s">
        <v>2855</v>
      </c>
      <c r="D118" s="9" t="s">
        <v>2865</v>
      </c>
      <c r="E118" s="9" t="s">
        <v>2921</v>
      </c>
      <c r="F118" s="9" t="s">
        <v>388</v>
      </c>
      <c r="G118" s="9" t="s">
        <v>3180</v>
      </c>
      <c r="H118" s="9" t="n">
        <f aca="false">IF(G118="","",G118-F118)</f>
        <v>15</v>
      </c>
      <c r="I118" s="9" t="n">
        <v>1</v>
      </c>
      <c r="J118" s="9" t="s">
        <v>506</v>
      </c>
      <c r="K118" s="9" t="s">
        <v>2843</v>
      </c>
    </row>
    <row r="119" customFormat="false" ht="15" hidden="false" customHeight="false" outlineLevel="0" collapsed="false">
      <c r="A119" s="9" t="s">
        <v>3181</v>
      </c>
      <c r="B119" s="9" t="s">
        <v>3182</v>
      </c>
      <c r="C119" s="9" t="s">
        <v>2864</v>
      </c>
      <c r="D119" s="9" t="s">
        <v>2856</v>
      </c>
      <c r="E119" s="9" t="s">
        <v>2847</v>
      </c>
      <c r="F119" s="9" t="s">
        <v>3183</v>
      </c>
      <c r="G119" s="9" t="s">
        <v>3184</v>
      </c>
      <c r="H119" s="9" t="n">
        <f aca="false">IF(G119="","",G119-F119)</f>
        <v>5</v>
      </c>
      <c r="I119" s="9" t="n">
        <v>1</v>
      </c>
      <c r="J119" s="9" t="s">
        <v>647</v>
      </c>
      <c r="K119" s="9" t="s">
        <v>2843</v>
      </c>
    </row>
    <row r="120" customFormat="false" ht="15" hidden="false" customHeight="false" outlineLevel="0" collapsed="false">
      <c r="A120" s="9" t="s">
        <v>3185</v>
      </c>
      <c r="B120" s="9" t="s">
        <v>3186</v>
      </c>
      <c r="C120" s="9" t="s">
        <v>2855</v>
      </c>
      <c r="D120" s="9" t="s">
        <v>2846</v>
      </c>
      <c r="E120" s="9" t="s">
        <v>2921</v>
      </c>
      <c r="F120" s="9" t="s">
        <v>3187</v>
      </c>
      <c r="G120" s="9" t="s">
        <v>1470</v>
      </c>
      <c r="H120" s="9" t="n">
        <f aca="false">IF(G120="","",G120-F120)</f>
        <v>7</v>
      </c>
      <c r="I120" s="9" t="n">
        <v>3</v>
      </c>
      <c r="J120" s="9" t="s">
        <v>693</v>
      </c>
      <c r="K120" s="9" t="s">
        <v>2843</v>
      </c>
    </row>
    <row r="121" customFormat="false" ht="15" hidden="false" customHeight="false" outlineLevel="0" collapsed="false">
      <c r="A121" s="9" t="s">
        <v>3188</v>
      </c>
      <c r="B121" s="9" t="s">
        <v>3189</v>
      </c>
      <c r="C121" s="9" t="s">
        <v>2838</v>
      </c>
      <c r="D121" s="9" t="s">
        <v>2856</v>
      </c>
      <c r="E121" s="9" t="s">
        <v>2894</v>
      </c>
      <c r="F121" s="9" t="s">
        <v>3190</v>
      </c>
      <c r="G121" s="9" t="s">
        <v>2279</v>
      </c>
      <c r="H121" s="9" t="n">
        <f aca="false">IF(G121="","",G121-F121)</f>
        <v>10</v>
      </c>
      <c r="I121" s="9" t="n">
        <v>4</v>
      </c>
      <c r="J121" s="9" t="s">
        <v>534</v>
      </c>
      <c r="K121" s="9" t="s">
        <v>2843</v>
      </c>
    </row>
    <row r="122" customFormat="false" ht="15" hidden="false" customHeight="false" outlineLevel="0" collapsed="false">
      <c r="A122" s="9" t="s">
        <v>3191</v>
      </c>
      <c r="B122" s="9" t="s">
        <v>3192</v>
      </c>
      <c r="C122" s="9" t="s">
        <v>1275</v>
      </c>
      <c r="D122" s="9" t="s">
        <v>2846</v>
      </c>
      <c r="E122" s="9" t="s">
        <v>2879</v>
      </c>
      <c r="F122" s="9" t="s">
        <v>3193</v>
      </c>
      <c r="G122" s="9" t="s">
        <v>876</v>
      </c>
      <c r="H122" s="9" t="n">
        <f aca="false">IF(G122="","",G122-F122)</f>
        <v>12</v>
      </c>
      <c r="I122" s="9" t="n">
        <v>2</v>
      </c>
      <c r="J122" s="9" t="s">
        <v>278</v>
      </c>
      <c r="K122" s="9" t="s">
        <v>2843</v>
      </c>
    </row>
    <row r="123" customFormat="false" ht="15" hidden="false" customHeight="false" outlineLevel="0" collapsed="false">
      <c r="A123" s="9" t="s">
        <v>3194</v>
      </c>
      <c r="B123" s="9" t="s">
        <v>3195</v>
      </c>
      <c r="C123" s="9" t="s">
        <v>2864</v>
      </c>
      <c r="D123" s="9" t="s">
        <v>2865</v>
      </c>
      <c r="E123" s="9" t="s">
        <v>2859</v>
      </c>
      <c r="F123" s="9" t="s">
        <v>3196</v>
      </c>
      <c r="G123" s="9" t="s">
        <v>1469</v>
      </c>
      <c r="H123" s="9" t="n">
        <f aca="false">IF(G123="","",G123-F123)</f>
        <v>30</v>
      </c>
      <c r="I123" s="9" t="n">
        <v>3</v>
      </c>
      <c r="J123" s="9" t="s">
        <v>355</v>
      </c>
      <c r="K123" s="9" t="s">
        <v>2843</v>
      </c>
    </row>
    <row r="124" customFormat="false" ht="15" hidden="false" customHeight="false" outlineLevel="0" collapsed="false">
      <c r="A124" s="9" t="s">
        <v>3197</v>
      </c>
      <c r="B124" s="9" t="s">
        <v>3198</v>
      </c>
      <c r="C124" s="9" t="s">
        <v>2864</v>
      </c>
      <c r="D124" s="9" t="s">
        <v>2846</v>
      </c>
      <c r="E124" s="9" t="s">
        <v>2885</v>
      </c>
      <c r="F124" s="9" t="s">
        <v>3199</v>
      </c>
      <c r="G124" s="9" t="s">
        <v>1164</v>
      </c>
      <c r="H124" s="9" t="n">
        <f aca="false">IF(G124="","",G124-F124)</f>
        <v>26</v>
      </c>
      <c r="I124" s="9" t="n">
        <v>4</v>
      </c>
      <c r="J124" s="9" t="s">
        <v>393</v>
      </c>
      <c r="K124" s="9" t="s">
        <v>2843</v>
      </c>
    </row>
    <row r="125" customFormat="false" ht="15" hidden="false" customHeight="false" outlineLevel="0" collapsed="false">
      <c r="A125" s="9" t="s">
        <v>3200</v>
      </c>
      <c r="B125" s="9" t="s">
        <v>3201</v>
      </c>
      <c r="C125" s="9" t="s">
        <v>2838</v>
      </c>
      <c r="D125" s="9" t="s">
        <v>2865</v>
      </c>
      <c r="E125" s="9" t="s">
        <v>2859</v>
      </c>
      <c r="F125" s="9" t="s">
        <v>1022</v>
      </c>
      <c r="G125" s="9" t="s">
        <v>1741</v>
      </c>
      <c r="H125" s="9" t="n">
        <f aca="false">IF(G125="","",G125-F125)</f>
        <v>2</v>
      </c>
      <c r="I125" s="9" t="n">
        <v>3</v>
      </c>
      <c r="J125" s="9" t="s">
        <v>632</v>
      </c>
      <c r="K125" s="9" t="s">
        <v>2843</v>
      </c>
    </row>
    <row r="126" customFormat="false" ht="15" hidden="false" customHeight="false" outlineLevel="0" collapsed="false">
      <c r="A126" s="9" t="s">
        <v>3202</v>
      </c>
      <c r="B126" s="9" t="s">
        <v>3203</v>
      </c>
      <c r="C126" s="9" t="s">
        <v>2864</v>
      </c>
      <c r="D126" s="9" t="s">
        <v>2865</v>
      </c>
      <c r="E126" s="9" t="s">
        <v>2847</v>
      </c>
      <c r="F126" s="9" t="s">
        <v>3204</v>
      </c>
      <c r="G126" s="9" t="s">
        <v>3205</v>
      </c>
      <c r="H126" s="9" t="n">
        <f aca="false">IF(G126="","",G126-F126)</f>
        <v>28</v>
      </c>
      <c r="I126" s="9" t="n">
        <v>5</v>
      </c>
      <c r="J126" s="9" t="s">
        <v>589</v>
      </c>
      <c r="K126" s="9" t="s">
        <v>2843</v>
      </c>
    </row>
    <row r="127" customFormat="false" ht="15" hidden="false" customHeight="false" outlineLevel="0" collapsed="false">
      <c r="A127" s="9" t="s">
        <v>3206</v>
      </c>
      <c r="B127" s="9" t="s">
        <v>3207</v>
      </c>
      <c r="C127" s="9" t="s">
        <v>2838</v>
      </c>
      <c r="D127" s="9" t="s">
        <v>2846</v>
      </c>
      <c r="E127" s="9" t="s">
        <v>2921</v>
      </c>
      <c r="F127" s="9" t="s">
        <v>2984</v>
      </c>
      <c r="G127" s="9" t="s">
        <v>3208</v>
      </c>
      <c r="H127" s="9" t="n">
        <f aca="false">IF(G127="","",G127-F127)</f>
        <v>1</v>
      </c>
      <c r="I127" s="9" t="n">
        <v>2</v>
      </c>
      <c r="J127" s="9" t="s">
        <v>317</v>
      </c>
      <c r="K127" s="9" t="s">
        <v>2843</v>
      </c>
    </row>
    <row r="128" customFormat="false" ht="15" hidden="false" customHeight="false" outlineLevel="0" collapsed="false">
      <c r="A128" s="9" t="s">
        <v>3209</v>
      </c>
      <c r="B128" s="9" t="s">
        <v>3210</v>
      </c>
      <c r="C128" s="9" t="s">
        <v>2864</v>
      </c>
      <c r="D128" s="9" t="s">
        <v>2856</v>
      </c>
      <c r="E128" s="9" t="s">
        <v>2868</v>
      </c>
      <c r="F128" s="9" t="s">
        <v>2348</v>
      </c>
      <c r="G128" s="9" t="s">
        <v>1508</v>
      </c>
      <c r="H128" s="9" t="n">
        <f aca="false">IF(G128="","",G128-F128)</f>
        <v>24</v>
      </c>
      <c r="I128" s="9" t="n">
        <v>5</v>
      </c>
      <c r="J128" s="9" t="s">
        <v>238</v>
      </c>
      <c r="K128" s="9" t="s">
        <v>2843</v>
      </c>
    </row>
    <row r="129" customFormat="false" ht="15" hidden="false" customHeight="false" outlineLevel="0" collapsed="false">
      <c r="A129" s="9" t="s">
        <v>3211</v>
      </c>
      <c r="B129" s="9" t="s">
        <v>3212</v>
      </c>
      <c r="C129" s="9" t="s">
        <v>1275</v>
      </c>
      <c r="D129" s="9" t="s">
        <v>2856</v>
      </c>
      <c r="E129" s="9" t="s">
        <v>2894</v>
      </c>
      <c r="F129" s="9" t="s">
        <v>3213</v>
      </c>
      <c r="G129" s="9" t="s">
        <v>3214</v>
      </c>
      <c r="H129" s="9" t="n">
        <f aca="false">IF(G129="","",G129-F129)</f>
        <v>8</v>
      </c>
      <c r="I129" s="9" t="n">
        <v>2</v>
      </c>
      <c r="J129" s="9" t="s">
        <v>693</v>
      </c>
      <c r="K129" s="9" t="s">
        <v>2843</v>
      </c>
    </row>
    <row r="130" customFormat="false" ht="15" hidden="false" customHeight="false" outlineLevel="0" collapsed="false">
      <c r="A130" s="9" t="s">
        <v>3215</v>
      </c>
      <c r="B130" s="9" t="s">
        <v>3216</v>
      </c>
      <c r="C130" s="9" t="s">
        <v>2838</v>
      </c>
      <c r="D130" s="9" t="s">
        <v>2856</v>
      </c>
      <c r="E130" s="9" t="s">
        <v>2921</v>
      </c>
      <c r="F130" s="9" t="s">
        <v>3217</v>
      </c>
      <c r="G130" s="9" t="s">
        <v>1300</v>
      </c>
      <c r="H130" s="9" t="n">
        <f aca="false">IF(G130="","",G130-F130)</f>
        <v>23</v>
      </c>
      <c r="I130" s="9" t="n">
        <v>4</v>
      </c>
      <c r="J130" s="9" t="s">
        <v>355</v>
      </c>
      <c r="K130" s="9" t="s">
        <v>2843</v>
      </c>
    </row>
    <row r="131" customFormat="false" ht="15" hidden="false" customHeight="false" outlineLevel="0" collapsed="false">
      <c r="A131" s="9" t="s">
        <v>3218</v>
      </c>
      <c r="B131" s="9" t="s">
        <v>3219</v>
      </c>
      <c r="C131" s="9" t="s">
        <v>1275</v>
      </c>
      <c r="D131" s="9" t="s">
        <v>2856</v>
      </c>
      <c r="E131" s="9" t="s">
        <v>2840</v>
      </c>
      <c r="F131" s="9" t="s">
        <v>3220</v>
      </c>
      <c r="G131" s="9" t="s">
        <v>2200</v>
      </c>
      <c r="H131" s="9" t="n">
        <f aca="false">IF(G131="","",G131-F131)</f>
        <v>4</v>
      </c>
      <c r="I131" s="9" t="n">
        <v>3</v>
      </c>
      <c r="J131" s="9" t="s">
        <v>632</v>
      </c>
      <c r="K131" s="9" t="s">
        <v>2843</v>
      </c>
    </row>
    <row r="132" customFormat="false" ht="15" hidden="false" customHeight="false" outlineLevel="0" collapsed="false">
      <c r="A132" s="9" t="s">
        <v>3221</v>
      </c>
      <c r="B132" s="9" t="s">
        <v>3222</v>
      </c>
      <c r="C132" s="9" t="s">
        <v>2838</v>
      </c>
      <c r="D132" s="9" t="s">
        <v>2856</v>
      </c>
      <c r="E132" s="9" t="s">
        <v>2921</v>
      </c>
      <c r="F132" s="9" t="s">
        <v>3223</v>
      </c>
      <c r="G132" s="9" t="s">
        <v>1656</v>
      </c>
      <c r="H132" s="9" t="n">
        <f aca="false">IF(G132="","",G132-F132)</f>
        <v>22</v>
      </c>
      <c r="I132" s="9" t="n">
        <v>4</v>
      </c>
      <c r="J132" s="9" t="s">
        <v>278</v>
      </c>
      <c r="K132" s="9" t="s">
        <v>2843</v>
      </c>
    </row>
    <row r="133" customFormat="false" ht="15" hidden="false" customHeight="false" outlineLevel="0" collapsed="false">
      <c r="A133" s="9" t="s">
        <v>3224</v>
      </c>
      <c r="B133" s="9" t="s">
        <v>3225</v>
      </c>
      <c r="C133" s="9" t="s">
        <v>2864</v>
      </c>
      <c r="D133" s="9" t="s">
        <v>2846</v>
      </c>
      <c r="E133" s="9" t="s">
        <v>2847</v>
      </c>
      <c r="F133" s="9" t="s">
        <v>3226</v>
      </c>
      <c r="G133" s="9" t="s">
        <v>3227</v>
      </c>
      <c r="H133" s="9" t="n">
        <f aca="false">IF(G133="","",G133-F133)</f>
        <v>5</v>
      </c>
      <c r="I133" s="9" t="n">
        <v>3</v>
      </c>
      <c r="J133" s="9" t="s">
        <v>238</v>
      </c>
      <c r="K133" s="9" t="s">
        <v>2843</v>
      </c>
    </row>
    <row r="134" customFormat="false" ht="15" hidden="false" customHeight="false" outlineLevel="0" collapsed="false">
      <c r="A134" s="9" t="s">
        <v>3228</v>
      </c>
      <c r="B134" s="9" t="s">
        <v>3229</v>
      </c>
      <c r="C134" s="9" t="s">
        <v>2855</v>
      </c>
      <c r="D134" s="9" t="s">
        <v>2856</v>
      </c>
      <c r="E134" s="9" t="s">
        <v>2885</v>
      </c>
      <c r="F134" s="9" t="s">
        <v>1686</v>
      </c>
      <c r="G134" s="9" t="s">
        <v>2491</v>
      </c>
      <c r="H134" s="9" t="n">
        <f aca="false">IF(G134="","",G134-F134)</f>
        <v>11</v>
      </c>
      <c r="I134" s="9" t="n">
        <v>2</v>
      </c>
      <c r="J134" s="9" t="s">
        <v>355</v>
      </c>
      <c r="K134" s="9" t="s">
        <v>2843</v>
      </c>
    </row>
    <row r="135" customFormat="false" ht="15" hidden="false" customHeight="false" outlineLevel="0" collapsed="false">
      <c r="A135" s="9" t="s">
        <v>3230</v>
      </c>
      <c r="B135" s="9" t="s">
        <v>3231</v>
      </c>
      <c r="C135" s="9" t="s">
        <v>2855</v>
      </c>
      <c r="D135" s="9" t="s">
        <v>2865</v>
      </c>
      <c r="E135" s="9" t="s">
        <v>2885</v>
      </c>
      <c r="F135" s="9" t="s">
        <v>3232</v>
      </c>
      <c r="G135" s="9" t="s">
        <v>3233</v>
      </c>
      <c r="H135" s="9" t="n">
        <f aca="false">IF(G135="","",G135-F135)</f>
        <v>22</v>
      </c>
      <c r="I135" s="9" t="n">
        <v>1</v>
      </c>
      <c r="J135" s="9" t="s">
        <v>534</v>
      </c>
      <c r="K135" s="9" t="s">
        <v>2843</v>
      </c>
    </row>
    <row r="136" customFormat="false" ht="15" hidden="false" customHeight="false" outlineLevel="0" collapsed="false">
      <c r="A136" s="9" t="s">
        <v>3234</v>
      </c>
      <c r="B136" s="9" t="s">
        <v>3235</v>
      </c>
      <c r="C136" s="9" t="s">
        <v>2838</v>
      </c>
      <c r="D136" s="9" t="s">
        <v>2856</v>
      </c>
      <c r="E136" s="9" t="s">
        <v>2885</v>
      </c>
      <c r="F136" s="9" t="s">
        <v>841</v>
      </c>
      <c r="G136" s="9" t="s">
        <v>3236</v>
      </c>
      <c r="H136" s="9" t="n">
        <f aca="false">IF(G136="","",G136-F136)</f>
        <v>24</v>
      </c>
      <c r="I136" s="9" t="n">
        <v>2</v>
      </c>
      <c r="J136" s="9" t="s">
        <v>393</v>
      </c>
      <c r="K136" s="9" t="s">
        <v>2843</v>
      </c>
    </row>
    <row r="137" customFormat="false" ht="15" hidden="false" customHeight="false" outlineLevel="0" collapsed="false">
      <c r="A137" s="9" t="s">
        <v>3237</v>
      </c>
      <c r="B137" s="9" t="s">
        <v>3238</v>
      </c>
      <c r="C137" s="9" t="s">
        <v>2855</v>
      </c>
      <c r="D137" s="9" t="s">
        <v>2846</v>
      </c>
      <c r="E137" s="9" t="s">
        <v>2921</v>
      </c>
      <c r="F137" s="9" t="s">
        <v>937</v>
      </c>
      <c r="G137" s="9" t="s">
        <v>937</v>
      </c>
      <c r="H137" s="9" t="n">
        <f aca="false">IF(G137="","",G137-F137)</f>
        <v>0</v>
      </c>
      <c r="I137" s="9" t="n">
        <v>3</v>
      </c>
      <c r="J137" s="9" t="s">
        <v>355</v>
      </c>
      <c r="K137" s="9" t="s">
        <v>2843</v>
      </c>
    </row>
    <row r="138" customFormat="false" ht="15" hidden="false" customHeight="false" outlineLevel="0" collapsed="false">
      <c r="A138" s="9" t="s">
        <v>3239</v>
      </c>
      <c r="B138" s="9" t="s">
        <v>3240</v>
      </c>
      <c r="C138" s="9" t="s">
        <v>2855</v>
      </c>
      <c r="D138" s="9" t="s">
        <v>2856</v>
      </c>
      <c r="E138" s="9" t="s">
        <v>2847</v>
      </c>
      <c r="F138" s="9" t="s">
        <v>1964</v>
      </c>
      <c r="G138" s="9" t="s">
        <v>3241</v>
      </c>
      <c r="H138" s="9" t="n">
        <f aca="false">IF(G138="","",G138-F138)</f>
        <v>16</v>
      </c>
      <c r="I138" s="9" t="n">
        <v>1</v>
      </c>
      <c r="J138" s="9" t="s">
        <v>506</v>
      </c>
      <c r="K138" s="9" t="s">
        <v>2843</v>
      </c>
    </row>
    <row r="139" customFormat="false" ht="15" hidden="false" customHeight="false" outlineLevel="0" collapsed="false">
      <c r="A139" s="9" t="s">
        <v>3242</v>
      </c>
      <c r="B139" s="9" t="s">
        <v>3243</v>
      </c>
      <c r="C139" s="9" t="s">
        <v>2855</v>
      </c>
      <c r="D139" s="9" t="s">
        <v>2839</v>
      </c>
      <c r="E139" s="9" t="s">
        <v>2868</v>
      </c>
      <c r="F139" s="9" t="s">
        <v>3180</v>
      </c>
      <c r="G139" s="9" t="s">
        <v>2061</v>
      </c>
      <c r="H139" s="9" t="n">
        <f aca="false">IF(G139="","",G139-F139)</f>
        <v>13</v>
      </c>
      <c r="I139" s="9" t="n">
        <v>1</v>
      </c>
      <c r="J139" s="9" t="s">
        <v>393</v>
      </c>
      <c r="K139" s="9" t="s">
        <v>2843</v>
      </c>
    </row>
    <row r="140" customFormat="false" ht="15" hidden="false" customHeight="false" outlineLevel="0" collapsed="false">
      <c r="A140" s="9" t="s">
        <v>3244</v>
      </c>
      <c r="B140" s="9" t="s">
        <v>3245</v>
      </c>
      <c r="C140" s="9" t="s">
        <v>1275</v>
      </c>
      <c r="D140" s="9" t="s">
        <v>2872</v>
      </c>
      <c r="E140" s="9" t="s">
        <v>2894</v>
      </c>
      <c r="F140" s="9" t="s">
        <v>1469</v>
      </c>
      <c r="G140" s="9" t="s">
        <v>140</v>
      </c>
      <c r="H140" s="9" t="n">
        <f aca="false">IF(G140="","",G140-F140)</f>
        <v>20</v>
      </c>
      <c r="I140" s="9" t="n">
        <v>3</v>
      </c>
      <c r="J140" s="9" t="s">
        <v>64</v>
      </c>
      <c r="K140" s="9" t="s">
        <v>2843</v>
      </c>
    </row>
    <row r="141" customFormat="false" ht="15" hidden="false" customHeight="false" outlineLevel="0" collapsed="false">
      <c r="A141" s="9" t="s">
        <v>3246</v>
      </c>
      <c r="B141" s="9" t="s">
        <v>3247</v>
      </c>
      <c r="C141" s="9" t="s">
        <v>2855</v>
      </c>
      <c r="D141" s="9" t="s">
        <v>2865</v>
      </c>
      <c r="E141" s="9" t="s">
        <v>2868</v>
      </c>
      <c r="F141" s="9" t="s">
        <v>3248</v>
      </c>
      <c r="G141" s="9" t="s">
        <v>3249</v>
      </c>
      <c r="H141" s="9" t="n">
        <f aca="false">IF(G141="","",G141-F141)</f>
        <v>8</v>
      </c>
      <c r="I141" s="9" t="n">
        <v>5</v>
      </c>
      <c r="J141" s="9" t="s">
        <v>514</v>
      </c>
      <c r="K141" s="9" t="s">
        <v>2843</v>
      </c>
    </row>
    <row r="142" customFormat="false" ht="15" hidden="false" customHeight="false" outlineLevel="0" collapsed="false">
      <c r="A142" s="9" t="s">
        <v>3250</v>
      </c>
      <c r="B142" s="9" t="s">
        <v>3251</v>
      </c>
      <c r="C142" s="9" t="s">
        <v>1275</v>
      </c>
      <c r="D142" s="9" t="s">
        <v>2846</v>
      </c>
      <c r="E142" s="9" t="s">
        <v>2879</v>
      </c>
      <c r="F142" s="9" t="s">
        <v>461</v>
      </c>
      <c r="G142" s="9" t="s">
        <v>2069</v>
      </c>
      <c r="H142" s="9" t="n">
        <f aca="false">IF(G142="","",G142-F142)</f>
        <v>15</v>
      </c>
      <c r="I142" s="9" t="n">
        <v>1</v>
      </c>
      <c r="J142" s="9" t="s">
        <v>317</v>
      </c>
      <c r="K142" s="9" t="s">
        <v>2843</v>
      </c>
    </row>
    <row r="143" customFormat="false" ht="15" hidden="false" customHeight="false" outlineLevel="0" collapsed="false">
      <c r="A143" s="9" t="s">
        <v>3252</v>
      </c>
      <c r="B143" s="9" t="s">
        <v>3253</v>
      </c>
      <c r="C143" s="9" t="s">
        <v>1275</v>
      </c>
      <c r="D143" s="9" t="s">
        <v>2839</v>
      </c>
      <c r="E143" s="9" t="s">
        <v>2894</v>
      </c>
      <c r="F143" s="9" t="s">
        <v>1061</v>
      </c>
      <c r="G143" s="9" t="s">
        <v>1717</v>
      </c>
      <c r="H143" s="9" t="n">
        <f aca="false">IF(G143="","",G143-F143)</f>
        <v>24</v>
      </c>
      <c r="I143" s="9" t="n">
        <v>2</v>
      </c>
      <c r="J143" s="9" t="s">
        <v>506</v>
      </c>
      <c r="K143" s="9" t="s">
        <v>2843</v>
      </c>
    </row>
    <row r="144" customFormat="false" ht="15" hidden="false" customHeight="false" outlineLevel="0" collapsed="false">
      <c r="A144" s="9" t="s">
        <v>3254</v>
      </c>
      <c r="B144" s="9" t="s">
        <v>3255</v>
      </c>
      <c r="C144" s="9" t="s">
        <v>2864</v>
      </c>
      <c r="D144" s="9" t="s">
        <v>2865</v>
      </c>
      <c r="E144" s="9" t="s">
        <v>2921</v>
      </c>
      <c r="F144" s="9" t="s">
        <v>3256</v>
      </c>
      <c r="G144" s="9" t="s">
        <v>3257</v>
      </c>
      <c r="H144" s="9" t="n">
        <f aca="false">IF(G144="","",G144-F144)</f>
        <v>29</v>
      </c>
      <c r="I144" s="9" t="n">
        <v>5</v>
      </c>
      <c r="J144" s="9" t="s">
        <v>632</v>
      </c>
      <c r="K144" s="9" t="s">
        <v>2843</v>
      </c>
    </row>
    <row r="145" customFormat="false" ht="15" hidden="false" customHeight="false" outlineLevel="0" collapsed="false">
      <c r="A145" s="9" t="s">
        <v>3258</v>
      </c>
      <c r="B145" s="9" t="s">
        <v>3259</v>
      </c>
      <c r="C145" s="9" t="s">
        <v>2855</v>
      </c>
      <c r="D145" s="9" t="s">
        <v>2839</v>
      </c>
      <c r="E145" s="9" t="s">
        <v>2885</v>
      </c>
      <c r="F145" s="9" t="s">
        <v>3260</v>
      </c>
      <c r="G145" s="9" t="s">
        <v>2725</v>
      </c>
      <c r="H145" s="9" t="n">
        <f aca="false">IF(G145="","",G145-F145)</f>
        <v>24</v>
      </c>
      <c r="I145" s="9" t="n">
        <v>1</v>
      </c>
      <c r="J145" s="9" t="s">
        <v>469</v>
      </c>
      <c r="K145" s="9" t="s">
        <v>2843</v>
      </c>
    </row>
    <row r="146" customFormat="false" ht="15" hidden="false" customHeight="false" outlineLevel="0" collapsed="false">
      <c r="A146" s="9" t="s">
        <v>3261</v>
      </c>
      <c r="B146" s="9" t="s">
        <v>3262</v>
      </c>
      <c r="C146" s="9" t="s">
        <v>2838</v>
      </c>
      <c r="D146" s="9" t="s">
        <v>2846</v>
      </c>
      <c r="E146" s="9" t="s">
        <v>2921</v>
      </c>
      <c r="F146" s="9" t="s">
        <v>1827</v>
      </c>
      <c r="G146" s="9" t="s">
        <v>3263</v>
      </c>
      <c r="H146" s="9" t="n">
        <f aca="false">IF(G146="","",G146-F146)</f>
        <v>15</v>
      </c>
      <c r="I146" s="9" t="n">
        <v>3</v>
      </c>
      <c r="J146" s="9" t="s">
        <v>355</v>
      </c>
      <c r="K146" s="9" t="s">
        <v>2843</v>
      </c>
    </row>
    <row r="147" customFormat="false" ht="15" hidden="false" customHeight="false" outlineLevel="0" collapsed="false">
      <c r="A147" s="9" t="s">
        <v>3264</v>
      </c>
      <c r="B147" s="9" t="s">
        <v>3265</v>
      </c>
      <c r="C147" s="9" t="s">
        <v>2838</v>
      </c>
      <c r="D147" s="9" t="s">
        <v>2846</v>
      </c>
      <c r="E147" s="9" t="s">
        <v>2885</v>
      </c>
      <c r="F147" s="9" t="s">
        <v>1155</v>
      </c>
      <c r="G147" s="9"/>
      <c r="H147" s="9" t="str">
        <f aca="false">IF(G147="","",G147-F147)</f>
        <v/>
      </c>
      <c r="I147" s="9"/>
      <c r="J147" s="9" t="s">
        <v>632</v>
      </c>
      <c r="K147" s="9" t="s">
        <v>2852</v>
      </c>
    </row>
    <row r="148" customFormat="false" ht="15" hidden="false" customHeight="false" outlineLevel="0" collapsed="false">
      <c r="A148" s="9" t="s">
        <v>3266</v>
      </c>
      <c r="B148" s="9" t="s">
        <v>3267</v>
      </c>
      <c r="C148" s="9" t="s">
        <v>2855</v>
      </c>
      <c r="D148" s="9" t="s">
        <v>2872</v>
      </c>
      <c r="E148" s="9" t="s">
        <v>2894</v>
      </c>
      <c r="F148" s="9" t="s">
        <v>3268</v>
      </c>
      <c r="G148" s="9" t="s">
        <v>1146</v>
      </c>
      <c r="H148" s="9" t="n">
        <f aca="false">IF(G148="","",G148-F148)</f>
        <v>13</v>
      </c>
      <c r="I148" s="9" t="n">
        <v>3</v>
      </c>
      <c r="J148" s="9" t="s">
        <v>64</v>
      </c>
      <c r="K148" s="9" t="s">
        <v>2843</v>
      </c>
    </row>
    <row r="149" customFormat="false" ht="15" hidden="false" customHeight="false" outlineLevel="0" collapsed="false">
      <c r="A149" s="9" t="s">
        <v>3269</v>
      </c>
      <c r="B149" s="9" t="s">
        <v>3270</v>
      </c>
      <c r="C149" s="9" t="s">
        <v>2864</v>
      </c>
      <c r="D149" s="9" t="s">
        <v>2872</v>
      </c>
      <c r="E149" s="9" t="s">
        <v>2868</v>
      </c>
      <c r="F149" s="9" t="s">
        <v>1534</v>
      </c>
      <c r="G149" s="9" t="s">
        <v>3271</v>
      </c>
      <c r="H149" s="9" t="n">
        <f aca="false">IF(G149="","",G149-F149)</f>
        <v>29</v>
      </c>
      <c r="I149" s="9" t="n">
        <v>2</v>
      </c>
      <c r="J149" s="9" t="s">
        <v>393</v>
      </c>
      <c r="K149" s="9" t="s">
        <v>2843</v>
      </c>
    </row>
    <row r="150" customFormat="false" ht="15" hidden="false" customHeight="false" outlineLevel="0" collapsed="false">
      <c r="A150" s="9" t="s">
        <v>3272</v>
      </c>
      <c r="B150" s="9" t="s">
        <v>3273</v>
      </c>
      <c r="C150" s="9" t="s">
        <v>2864</v>
      </c>
      <c r="D150" s="9" t="s">
        <v>2846</v>
      </c>
      <c r="E150" s="9" t="s">
        <v>2859</v>
      </c>
      <c r="F150" s="9" t="s">
        <v>3274</v>
      </c>
      <c r="G150" s="9" t="s">
        <v>3088</v>
      </c>
      <c r="H150" s="9" t="n">
        <f aca="false">IF(G150="","",G150-F150)</f>
        <v>15</v>
      </c>
      <c r="I150" s="9" t="n">
        <v>1</v>
      </c>
      <c r="J150" s="9" t="s">
        <v>355</v>
      </c>
      <c r="K150" s="9" t="s">
        <v>2843</v>
      </c>
    </row>
    <row r="151" customFormat="false" ht="15" hidden="false" customHeight="false" outlineLevel="0" collapsed="false">
      <c r="A151" s="9" t="s">
        <v>3275</v>
      </c>
      <c r="B151" s="9" t="s">
        <v>3276</v>
      </c>
      <c r="C151" s="9" t="s">
        <v>2855</v>
      </c>
      <c r="D151" s="9" t="s">
        <v>2846</v>
      </c>
      <c r="E151" s="9" t="s">
        <v>2847</v>
      </c>
      <c r="F151" s="9" t="s">
        <v>2352</v>
      </c>
      <c r="G151" s="9" t="s">
        <v>1907</v>
      </c>
      <c r="H151" s="9" t="n">
        <f aca="false">IF(G151="","",G151-F151)</f>
        <v>17</v>
      </c>
      <c r="I151" s="9" t="n">
        <v>2</v>
      </c>
      <c r="J151" s="9" t="s">
        <v>393</v>
      </c>
      <c r="K151" s="9" t="s">
        <v>2843</v>
      </c>
    </row>
    <row r="152" customFormat="false" ht="15" hidden="false" customHeight="false" outlineLevel="0" collapsed="false">
      <c r="A152" s="9" t="s">
        <v>3277</v>
      </c>
      <c r="B152" s="9" t="s">
        <v>3278</v>
      </c>
      <c r="C152" s="9" t="s">
        <v>2838</v>
      </c>
      <c r="D152" s="9" t="s">
        <v>2865</v>
      </c>
      <c r="E152" s="9" t="s">
        <v>2840</v>
      </c>
      <c r="F152" s="9" t="s">
        <v>1046</v>
      </c>
      <c r="G152" s="9" t="s">
        <v>1963</v>
      </c>
      <c r="H152" s="9" t="n">
        <f aca="false">IF(G152="","",G152-F152)</f>
        <v>7</v>
      </c>
      <c r="I152" s="9" t="n">
        <v>4</v>
      </c>
      <c r="J152" s="9" t="s">
        <v>317</v>
      </c>
      <c r="K152" s="9" t="s">
        <v>2843</v>
      </c>
    </row>
    <row r="153" customFormat="false" ht="15" hidden="false" customHeight="false" outlineLevel="0" collapsed="false">
      <c r="A153" s="9" t="s">
        <v>3279</v>
      </c>
      <c r="B153" s="9" t="s">
        <v>3280</v>
      </c>
      <c r="C153" s="9" t="s">
        <v>2864</v>
      </c>
      <c r="D153" s="9" t="s">
        <v>2872</v>
      </c>
      <c r="E153" s="9" t="s">
        <v>2859</v>
      </c>
      <c r="F153" s="9" t="s">
        <v>3281</v>
      </c>
      <c r="G153" s="9" t="s">
        <v>3124</v>
      </c>
      <c r="H153" s="9" t="n">
        <f aca="false">IF(G153="","",G153-F153)</f>
        <v>25</v>
      </c>
      <c r="I153" s="9" t="n">
        <v>4</v>
      </c>
      <c r="J153" s="9" t="s">
        <v>201</v>
      </c>
      <c r="K153" s="9" t="s">
        <v>2843</v>
      </c>
    </row>
    <row r="154" customFormat="false" ht="15" hidden="false" customHeight="false" outlineLevel="0" collapsed="false">
      <c r="A154" s="9" t="s">
        <v>3282</v>
      </c>
      <c r="B154" s="9" t="s">
        <v>3283</v>
      </c>
      <c r="C154" s="9" t="s">
        <v>2838</v>
      </c>
      <c r="D154" s="9" t="s">
        <v>2865</v>
      </c>
      <c r="E154" s="9" t="s">
        <v>2847</v>
      </c>
      <c r="F154" s="9" t="s">
        <v>1121</v>
      </c>
      <c r="G154" s="9" t="s">
        <v>959</v>
      </c>
      <c r="H154" s="9" t="n">
        <f aca="false">IF(G154="","",G154-F154)</f>
        <v>16</v>
      </c>
      <c r="I154" s="9" t="n">
        <v>5</v>
      </c>
      <c r="J154" s="9" t="s">
        <v>589</v>
      </c>
      <c r="K154" s="9" t="s">
        <v>2843</v>
      </c>
    </row>
    <row r="155" customFormat="false" ht="15" hidden="false" customHeight="false" outlineLevel="0" collapsed="false">
      <c r="A155" s="9" t="s">
        <v>3284</v>
      </c>
      <c r="B155" s="9" t="s">
        <v>3285</v>
      </c>
      <c r="C155" s="9" t="s">
        <v>2838</v>
      </c>
      <c r="D155" s="9" t="s">
        <v>2856</v>
      </c>
      <c r="E155" s="9" t="s">
        <v>2879</v>
      </c>
      <c r="F155" s="9" t="s">
        <v>902</v>
      </c>
      <c r="G155" s="9"/>
      <c r="H155" s="9" t="str">
        <f aca="false">IF(G155="","",G155-F155)</f>
        <v/>
      </c>
      <c r="I155" s="9"/>
      <c r="J155" s="9" t="s">
        <v>469</v>
      </c>
      <c r="K155" s="9" t="s">
        <v>2852</v>
      </c>
    </row>
    <row r="156" customFormat="false" ht="15" hidden="false" customHeight="false" outlineLevel="0" collapsed="false">
      <c r="A156" s="9" t="s">
        <v>3286</v>
      </c>
      <c r="B156" s="9" t="s">
        <v>3287</v>
      </c>
      <c r="C156" s="9" t="s">
        <v>2855</v>
      </c>
      <c r="D156" s="9" t="s">
        <v>2872</v>
      </c>
      <c r="E156" s="9" t="s">
        <v>2879</v>
      </c>
      <c r="F156" s="9" t="s">
        <v>3288</v>
      </c>
      <c r="G156" s="9" t="s">
        <v>3289</v>
      </c>
      <c r="H156" s="9" t="n">
        <f aca="false">IF(G156="","",G156-F156)</f>
        <v>9</v>
      </c>
      <c r="I156" s="9" t="n">
        <v>4</v>
      </c>
      <c r="J156" s="9" t="s">
        <v>647</v>
      </c>
      <c r="K156" s="9" t="s">
        <v>2843</v>
      </c>
    </row>
    <row r="157" customFormat="false" ht="15" hidden="false" customHeight="false" outlineLevel="0" collapsed="false">
      <c r="A157" s="9" t="s">
        <v>3290</v>
      </c>
      <c r="B157" s="9" t="s">
        <v>3291</v>
      </c>
      <c r="C157" s="9" t="s">
        <v>2864</v>
      </c>
      <c r="D157" s="9" t="s">
        <v>2846</v>
      </c>
      <c r="E157" s="9" t="s">
        <v>2859</v>
      </c>
      <c r="F157" s="9" t="s">
        <v>3292</v>
      </c>
      <c r="G157" s="9" t="s">
        <v>3293</v>
      </c>
      <c r="H157" s="9" t="n">
        <f aca="false">IF(G157="","",G157-F157)</f>
        <v>6</v>
      </c>
      <c r="I157" s="9" t="n">
        <v>1</v>
      </c>
      <c r="J157" s="9" t="s">
        <v>64</v>
      </c>
      <c r="K157" s="9" t="s">
        <v>2843</v>
      </c>
    </row>
    <row r="158" customFormat="false" ht="15" hidden="false" customHeight="false" outlineLevel="0" collapsed="false">
      <c r="A158" s="9" t="s">
        <v>3294</v>
      </c>
      <c r="B158" s="9" t="s">
        <v>3295</v>
      </c>
      <c r="C158" s="9" t="s">
        <v>2838</v>
      </c>
      <c r="D158" s="9" t="s">
        <v>2865</v>
      </c>
      <c r="E158" s="9" t="s">
        <v>2879</v>
      </c>
      <c r="F158" s="9" t="s">
        <v>1583</v>
      </c>
      <c r="G158" s="9"/>
      <c r="H158" s="9" t="str">
        <f aca="false">IF(G158="","",G158-F158)</f>
        <v/>
      </c>
      <c r="I158" s="9"/>
      <c r="J158" s="9" t="s">
        <v>514</v>
      </c>
      <c r="K158" s="9" t="s">
        <v>2852</v>
      </c>
    </row>
    <row r="159" customFormat="false" ht="15" hidden="false" customHeight="false" outlineLevel="0" collapsed="false">
      <c r="A159" s="9" t="s">
        <v>3296</v>
      </c>
      <c r="B159" s="9" t="s">
        <v>3297</v>
      </c>
      <c r="C159" s="9" t="s">
        <v>2838</v>
      </c>
      <c r="D159" s="9" t="s">
        <v>2872</v>
      </c>
      <c r="E159" s="9" t="s">
        <v>2921</v>
      </c>
      <c r="F159" s="9" t="s">
        <v>1066</v>
      </c>
      <c r="G159" s="9"/>
      <c r="H159" s="9" t="str">
        <f aca="false">IF(G159="","",G159-F159)</f>
        <v/>
      </c>
      <c r="I159" s="9"/>
      <c r="J159" s="9" t="s">
        <v>238</v>
      </c>
      <c r="K159" s="9" t="s">
        <v>2852</v>
      </c>
    </row>
    <row r="160" customFormat="false" ht="15" hidden="false" customHeight="false" outlineLevel="0" collapsed="false">
      <c r="A160" s="9" t="s">
        <v>3298</v>
      </c>
      <c r="B160" s="9" t="s">
        <v>3299</v>
      </c>
      <c r="C160" s="9" t="s">
        <v>2855</v>
      </c>
      <c r="D160" s="9" t="s">
        <v>2846</v>
      </c>
      <c r="E160" s="9" t="s">
        <v>2879</v>
      </c>
      <c r="F160" s="9" t="s">
        <v>1501</v>
      </c>
      <c r="G160" s="9" t="s">
        <v>2260</v>
      </c>
      <c r="H160" s="9" t="n">
        <f aca="false">IF(G160="","",G160-F160)</f>
        <v>24</v>
      </c>
      <c r="I160" s="9" t="n">
        <v>3</v>
      </c>
      <c r="J160" s="9" t="s">
        <v>693</v>
      </c>
      <c r="K160" s="9" t="s">
        <v>2843</v>
      </c>
    </row>
    <row r="161" customFormat="false" ht="15" hidden="false" customHeight="false" outlineLevel="0" collapsed="false">
      <c r="A161" s="9" t="s">
        <v>3300</v>
      </c>
      <c r="B161" s="9" t="s">
        <v>3301</v>
      </c>
      <c r="C161" s="9" t="s">
        <v>2864</v>
      </c>
      <c r="D161" s="9" t="s">
        <v>2856</v>
      </c>
      <c r="E161" s="9" t="s">
        <v>2879</v>
      </c>
      <c r="F161" s="9" t="s">
        <v>1523</v>
      </c>
      <c r="G161" s="9" t="s">
        <v>902</v>
      </c>
      <c r="H161" s="9" t="n">
        <f aca="false">IF(G161="","",G161-F161)</f>
        <v>7</v>
      </c>
      <c r="I161" s="9" t="n">
        <v>4</v>
      </c>
      <c r="J161" s="9" t="s">
        <v>160</v>
      </c>
      <c r="K161" s="9" t="s">
        <v>2843</v>
      </c>
    </row>
    <row r="162" customFormat="false" ht="15" hidden="false" customHeight="false" outlineLevel="0" collapsed="false">
      <c r="A162" s="9" t="s">
        <v>3302</v>
      </c>
      <c r="B162" s="9" t="s">
        <v>3303</v>
      </c>
      <c r="C162" s="9" t="s">
        <v>1275</v>
      </c>
      <c r="D162" s="9" t="s">
        <v>2846</v>
      </c>
      <c r="E162" s="9" t="s">
        <v>2840</v>
      </c>
      <c r="F162" s="9" t="s">
        <v>779</v>
      </c>
      <c r="G162" s="9" t="s">
        <v>1504</v>
      </c>
      <c r="H162" s="9" t="n">
        <f aca="false">IF(G162="","",G162-F162)</f>
        <v>21</v>
      </c>
      <c r="I162" s="9" t="n">
        <v>2</v>
      </c>
      <c r="J162" s="9" t="s">
        <v>431</v>
      </c>
      <c r="K162" s="9" t="s">
        <v>2843</v>
      </c>
    </row>
    <row r="163" customFormat="false" ht="15" hidden="false" customHeight="false" outlineLevel="0" collapsed="false">
      <c r="A163" s="9" t="s">
        <v>3304</v>
      </c>
      <c r="B163" s="9" t="s">
        <v>3305</v>
      </c>
      <c r="C163" s="9" t="s">
        <v>2855</v>
      </c>
      <c r="D163" s="9" t="s">
        <v>2856</v>
      </c>
      <c r="E163" s="9" t="s">
        <v>2921</v>
      </c>
      <c r="F163" s="9" t="s">
        <v>1749</v>
      </c>
      <c r="G163" s="9" t="s">
        <v>3184</v>
      </c>
      <c r="H163" s="9" t="n">
        <f aca="false">IF(G163="","",G163-F163)</f>
        <v>29</v>
      </c>
      <c r="I163" s="9" t="n">
        <v>4</v>
      </c>
      <c r="J163" s="9" t="s">
        <v>534</v>
      </c>
      <c r="K163" s="9" t="s">
        <v>2843</v>
      </c>
    </row>
    <row r="164" customFormat="false" ht="15" hidden="false" customHeight="false" outlineLevel="0" collapsed="false">
      <c r="A164" s="9" t="s">
        <v>3306</v>
      </c>
      <c r="B164" s="9" t="s">
        <v>3307</v>
      </c>
      <c r="C164" s="9" t="s">
        <v>2855</v>
      </c>
      <c r="D164" s="9" t="s">
        <v>2865</v>
      </c>
      <c r="E164" s="9" t="s">
        <v>2847</v>
      </c>
      <c r="F164" s="9" t="s">
        <v>1954</v>
      </c>
      <c r="G164" s="9" t="s">
        <v>1247</v>
      </c>
      <c r="H164" s="9" t="n">
        <f aca="false">IF(G164="","",G164-F164)</f>
        <v>9</v>
      </c>
      <c r="I164" s="9" t="n">
        <v>5</v>
      </c>
      <c r="J164" s="9" t="s">
        <v>534</v>
      </c>
      <c r="K164" s="9" t="s">
        <v>2843</v>
      </c>
    </row>
    <row r="165" customFormat="false" ht="15" hidden="false" customHeight="false" outlineLevel="0" collapsed="false">
      <c r="A165" s="9" t="s">
        <v>3308</v>
      </c>
      <c r="B165" s="9" t="s">
        <v>3309</v>
      </c>
      <c r="C165" s="9" t="s">
        <v>2838</v>
      </c>
      <c r="D165" s="9" t="s">
        <v>2856</v>
      </c>
      <c r="E165" s="9" t="s">
        <v>2921</v>
      </c>
      <c r="F165" s="9" t="s">
        <v>3310</v>
      </c>
      <c r="G165" s="9" t="s">
        <v>2028</v>
      </c>
      <c r="H165" s="9" t="n">
        <f aca="false">IF(G165="","",G165-F165)</f>
        <v>11</v>
      </c>
      <c r="I165" s="9" t="n">
        <v>2</v>
      </c>
      <c r="J165" s="9" t="s">
        <v>431</v>
      </c>
      <c r="K165" s="9" t="s">
        <v>2843</v>
      </c>
    </row>
    <row r="166" customFormat="false" ht="15" hidden="false" customHeight="false" outlineLevel="0" collapsed="false">
      <c r="A166" s="9" t="s">
        <v>3311</v>
      </c>
      <c r="B166" s="9" t="s">
        <v>3312</v>
      </c>
      <c r="C166" s="9" t="s">
        <v>2838</v>
      </c>
      <c r="D166" s="9" t="s">
        <v>2872</v>
      </c>
      <c r="E166" s="9" t="s">
        <v>2885</v>
      </c>
      <c r="F166" s="9" t="s">
        <v>970</v>
      </c>
      <c r="G166" s="9" t="s">
        <v>970</v>
      </c>
      <c r="H166" s="9" t="n">
        <f aca="false">IF(G166="","",G166-F166)</f>
        <v>0</v>
      </c>
      <c r="I166" s="9" t="n">
        <v>1</v>
      </c>
      <c r="J166" s="9" t="s">
        <v>201</v>
      </c>
      <c r="K166" s="9" t="s">
        <v>2843</v>
      </c>
    </row>
    <row r="167" customFormat="false" ht="15" hidden="false" customHeight="false" outlineLevel="0" collapsed="false">
      <c r="A167" s="9" t="s">
        <v>3313</v>
      </c>
      <c r="B167" s="9" t="s">
        <v>3314</v>
      </c>
      <c r="C167" s="9" t="s">
        <v>2838</v>
      </c>
      <c r="D167" s="9" t="s">
        <v>2872</v>
      </c>
      <c r="E167" s="9" t="s">
        <v>2879</v>
      </c>
      <c r="F167" s="9" t="s">
        <v>3315</v>
      </c>
      <c r="G167" s="9" t="s">
        <v>874</v>
      </c>
      <c r="H167" s="9" t="n">
        <f aca="false">IF(G167="","",G167-F167)</f>
        <v>5</v>
      </c>
      <c r="I167" s="9" t="n">
        <v>2</v>
      </c>
      <c r="J167" s="9" t="s">
        <v>355</v>
      </c>
      <c r="K167" s="9" t="s">
        <v>2843</v>
      </c>
    </row>
    <row r="168" customFormat="false" ht="15" hidden="false" customHeight="false" outlineLevel="0" collapsed="false">
      <c r="A168" s="9" t="s">
        <v>3316</v>
      </c>
      <c r="B168" s="9" t="s">
        <v>3317</v>
      </c>
      <c r="C168" s="9" t="s">
        <v>2855</v>
      </c>
      <c r="D168" s="9" t="s">
        <v>2839</v>
      </c>
      <c r="E168" s="9" t="s">
        <v>2921</v>
      </c>
      <c r="F168" s="9" t="s">
        <v>1548</v>
      </c>
      <c r="G168" s="9" t="s">
        <v>3318</v>
      </c>
      <c r="H168" s="9" t="n">
        <f aca="false">IF(G168="","",G168-F168)</f>
        <v>6</v>
      </c>
      <c r="I168" s="9" t="n">
        <v>2</v>
      </c>
      <c r="J168" s="9" t="s">
        <v>355</v>
      </c>
      <c r="K168" s="9" t="s">
        <v>2843</v>
      </c>
    </row>
    <row r="169" customFormat="false" ht="15" hidden="false" customHeight="false" outlineLevel="0" collapsed="false">
      <c r="A169" s="9" t="s">
        <v>3319</v>
      </c>
      <c r="B169" s="9" t="s">
        <v>3320</v>
      </c>
      <c r="C169" s="9" t="s">
        <v>2855</v>
      </c>
      <c r="D169" s="9" t="s">
        <v>2846</v>
      </c>
      <c r="E169" s="9" t="s">
        <v>2840</v>
      </c>
      <c r="F169" s="9" t="s">
        <v>1066</v>
      </c>
      <c r="G169" s="9" t="s">
        <v>3321</v>
      </c>
      <c r="H169" s="9" t="n">
        <f aca="false">IF(G169="","",G169-F169)</f>
        <v>29</v>
      </c>
      <c r="I169" s="9" t="n">
        <v>5</v>
      </c>
      <c r="J169" s="9" t="s">
        <v>238</v>
      </c>
      <c r="K169" s="9" t="s">
        <v>2843</v>
      </c>
    </row>
    <row r="170" customFormat="false" ht="15" hidden="false" customHeight="false" outlineLevel="0" collapsed="false">
      <c r="A170" s="9" t="s">
        <v>3322</v>
      </c>
      <c r="B170" s="9" t="s">
        <v>3323</v>
      </c>
      <c r="C170" s="9" t="s">
        <v>1275</v>
      </c>
      <c r="D170" s="9" t="s">
        <v>2872</v>
      </c>
      <c r="E170" s="9" t="s">
        <v>2921</v>
      </c>
      <c r="F170" s="9" t="s">
        <v>2955</v>
      </c>
      <c r="G170" s="9" t="s">
        <v>3324</v>
      </c>
      <c r="H170" s="9" t="n">
        <f aca="false">IF(G170="","",G170-F170)</f>
        <v>2</v>
      </c>
      <c r="I170" s="9" t="n">
        <v>3</v>
      </c>
      <c r="J170" s="9" t="s">
        <v>64</v>
      </c>
      <c r="K170" s="9" t="s">
        <v>2843</v>
      </c>
    </row>
    <row r="171" customFormat="false" ht="15" hidden="false" customHeight="false" outlineLevel="0" collapsed="false">
      <c r="A171" s="9" t="s">
        <v>3325</v>
      </c>
      <c r="B171" s="9" t="s">
        <v>3326</v>
      </c>
      <c r="C171" s="9" t="s">
        <v>2838</v>
      </c>
      <c r="D171" s="9" t="s">
        <v>2865</v>
      </c>
      <c r="E171" s="9" t="s">
        <v>2921</v>
      </c>
      <c r="F171" s="9" t="s">
        <v>1064</v>
      </c>
      <c r="G171" s="9" t="s">
        <v>1830</v>
      </c>
      <c r="H171" s="9" t="n">
        <f aca="false">IF(G171="","",G171-F171)</f>
        <v>24</v>
      </c>
      <c r="I171" s="9" t="n">
        <v>1</v>
      </c>
      <c r="J171" s="9" t="s">
        <v>160</v>
      </c>
      <c r="K171" s="9" t="s">
        <v>2843</v>
      </c>
    </row>
    <row r="172" customFormat="false" ht="15" hidden="false" customHeight="false" outlineLevel="0" collapsed="false">
      <c r="A172" s="9" t="s">
        <v>3327</v>
      </c>
      <c r="B172" s="9" t="s">
        <v>3328</v>
      </c>
      <c r="C172" s="9" t="s">
        <v>2855</v>
      </c>
      <c r="D172" s="9" t="s">
        <v>2839</v>
      </c>
      <c r="E172" s="9" t="s">
        <v>2885</v>
      </c>
      <c r="F172" s="9" t="s">
        <v>3329</v>
      </c>
      <c r="G172" s="9" t="s">
        <v>3330</v>
      </c>
      <c r="H172" s="9" t="n">
        <f aca="false">IF(G172="","",G172-F172)</f>
        <v>30</v>
      </c>
      <c r="I172" s="9" t="n">
        <v>3</v>
      </c>
      <c r="J172" s="9" t="s">
        <v>647</v>
      </c>
      <c r="K172" s="9" t="s">
        <v>2843</v>
      </c>
    </row>
    <row r="173" customFormat="false" ht="15" hidden="false" customHeight="false" outlineLevel="0" collapsed="false">
      <c r="A173" s="9" t="s">
        <v>3331</v>
      </c>
      <c r="B173" s="9" t="s">
        <v>3332</v>
      </c>
      <c r="C173" s="9" t="s">
        <v>2864</v>
      </c>
      <c r="D173" s="9" t="s">
        <v>2839</v>
      </c>
      <c r="E173" s="9" t="s">
        <v>2879</v>
      </c>
      <c r="F173" s="9" t="s">
        <v>3333</v>
      </c>
      <c r="G173" s="9" t="s">
        <v>2376</v>
      </c>
      <c r="H173" s="9" t="n">
        <f aca="false">IF(G173="","",G173-F173)</f>
        <v>28</v>
      </c>
      <c r="I173" s="9" t="n">
        <v>3</v>
      </c>
      <c r="J173" s="9" t="s">
        <v>506</v>
      </c>
      <c r="K173" s="9" t="s">
        <v>2843</v>
      </c>
    </row>
    <row r="174" customFormat="false" ht="15" hidden="false" customHeight="false" outlineLevel="0" collapsed="false">
      <c r="A174" s="9" t="s">
        <v>3334</v>
      </c>
      <c r="B174" s="9" t="s">
        <v>3335</v>
      </c>
      <c r="C174" s="9" t="s">
        <v>2864</v>
      </c>
      <c r="D174" s="9" t="s">
        <v>2865</v>
      </c>
      <c r="E174" s="9" t="s">
        <v>2879</v>
      </c>
      <c r="F174" s="9" t="s">
        <v>3080</v>
      </c>
      <c r="G174" s="9" t="s">
        <v>1078</v>
      </c>
      <c r="H174" s="9" t="n">
        <f aca="false">IF(G174="","",G174-F174)</f>
        <v>11</v>
      </c>
      <c r="I174" s="9" t="n">
        <v>3</v>
      </c>
      <c r="J174" s="9" t="s">
        <v>238</v>
      </c>
      <c r="K174" s="9" t="s">
        <v>2843</v>
      </c>
    </row>
    <row r="175" customFormat="false" ht="15" hidden="false" customHeight="false" outlineLevel="0" collapsed="false">
      <c r="A175" s="9" t="s">
        <v>3336</v>
      </c>
      <c r="B175" s="9" t="s">
        <v>3337</v>
      </c>
      <c r="C175" s="9" t="s">
        <v>2838</v>
      </c>
      <c r="D175" s="9" t="s">
        <v>2865</v>
      </c>
      <c r="E175" s="9" t="s">
        <v>2847</v>
      </c>
      <c r="F175" s="9" t="s">
        <v>3338</v>
      </c>
      <c r="G175" s="9" t="s">
        <v>3339</v>
      </c>
      <c r="H175" s="9" t="n">
        <f aca="false">IF(G175="","",G175-F175)</f>
        <v>27</v>
      </c>
      <c r="I175" s="9" t="n">
        <v>5</v>
      </c>
      <c r="J175" s="9" t="s">
        <v>431</v>
      </c>
      <c r="K175" s="9" t="s">
        <v>2843</v>
      </c>
    </row>
    <row r="176" customFormat="false" ht="15" hidden="false" customHeight="false" outlineLevel="0" collapsed="false">
      <c r="A176" s="9" t="s">
        <v>3340</v>
      </c>
      <c r="B176" s="9" t="s">
        <v>3341</v>
      </c>
      <c r="C176" s="9" t="s">
        <v>2864</v>
      </c>
      <c r="D176" s="9" t="s">
        <v>2865</v>
      </c>
      <c r="E176" s="9" t="s">
        <v>2859</v>
      </c>
      <c r="F176" s="9" t="s">
        <v>3342</v>
      </c>
      <c r="G176" s="9" t="s">
        <v>3343</v>
      </c>
      <c r="H176" s="9" t="n">
        <f aca="false">IF(G176="","",G176-F176)</f>
        <v>6</v>
      </c>
      <c r="I176" s="9" t="n">
        <v>1</v>
      </c>
      <c r="J176" s="9" t="s">
        <v>506</v>
      </c>
      <c r="K176" s="9" t="s">
        <v>2843</v>
      </c>
    </row>
    <row r="177" customFormat="false" ht="15" hidden="false" customHeight="false" outlineLevel="0" collapsed="false">
      <c r="A177" s="9" t="s">
        <v>3344</v>
      </c>
      <c r="B177" s="9" t="s">
        <v>3345</v>
      </c>
      <c r="C177" s="9" t="s">
        <v>2864</v>
      </c>
      <c r="D177" s="9" t="s">
        <v>2856</v>
      </c>
      <c r="E177" s="9" t="s">
        <v>2894</v>
      </c>
      <c r="F177" s="9" t="s">
        <v>1444</v>
      </c>
      <c r="G177" s="9" t="s">
        <v>3346</v>
      </c>
      <c r="H177" s="9" t="n">
        <f aca="false">IF(G177="","",G177-F177)</f>
        <v>15</v>
      </c>
      <c r="I177" s="9" t="n">
        <v>4</v>
      </c>
      <c r="J177" s="9" t="s">
        <v>201</v>
      </c>
      <c r="K177" s="9" t="s">
        <v>2843</v>
      </c>
    </row>
    <row r="178" customFormat="false" ht="15" hidden="false" customHeight="false" outlineLevel="0" collapsed="false">
      <c r="A178" s="9" t="s">
        <v>3347</v>
      </c>
      <c r="B178" s="9" t="s">
        <v>3348</v>
      </c>
      <c r="C178" s="9" t="s">
        <v>2838</v>
      </c>
      <c r="D178" s="9" t="s">
        <v>2865</v>
      </c>
      <c r="E178" s="9" t="s">
        <v>2921</v>
      </c>
      <c r="F178" s="9" t="s">
        <v>707</v>
      </c>
      <c r="G178" s="9" t="s">
        <v>1529</v>
      </c>
      <c r="H178" s="9" t="n">
        <f aca="false">IF(G178="","",G178-F178)</f>
        <v>6</v>
      </c>
      <c r="I178" s="9" t="n">
        <v>2</v>
      </c>
      <c r="J178" s="9" t="s">
        <v>693</v>
      </c>
      <c r="K178" s="9" t="s">
        <v>2843</v>
      </c>
    </row>
    <row r="179" customFormat="false" ht="15" hidden="false" customHeight="false" outlineLevel="0" collapsed="false">
      <c r="A179" s="9" t="s">
        <v>3349</v>
      </c>
      <c r="B179" s="9" t="s">
        <v>3350</v>
      </c>
      <c r="C179" s="9" t="s">
        <v>2855</v>
      </c>
      <c r="D179" s="9" t="s">
        <v>2865</v>
      </c>
      <c r="E179" s="9" t="s">
        <v>2921</v>
      </c>
      <c r="F179" s="9" t="s">
        <v>461</v>
      </c>
      <c r="G179" s="9" t="s">
        <v>1592</v>
      </c>
      <c r="H179" s="9" t="n">
        <f aca="false">IF(G179="","",G179-F179)</f>
        <v>17</v>
      </c>
      <c r="I179" s="9" t="n">
        <v>4</v>
      </c>
      <c r="J179" s="9" t="s">
        <v>317</v>
      </c>
      <c r="K179" s="9" t="s">
        <v>2843</v>
      </c>
    </row>
    <row r="180" customFormat="false" ht="15" hidden="false" customHeight="false" outlineLevel="0" collapsed="false">
      <c r="A180" s="9" t="s">
        <v>3351</v>
      </c>
      <c r="B180" s="9" t="s">
        <v>3352</v>
      </c>
      <c r="C180" s="9" t="s">
        <v>1275</v>
      </c>
      <c r="D180" s="9" t="s">
        <v>2865</v>
      </c>
      <c r="E180" s="9" t="s">
        <v>2868</v>
      </c>
      <c r="F180" s="9" t="s">
        <v>3353</v>
      </c>
      <c r="G180" s="9" t="s">
        <v>1501</v>
      </c>
      <c r="H180" s="9" t="n">
        <f aca="false">IF(G180="","",G180-F180)</f>
        <v>24</v>
      </c>
      <c r="I180" s="9" t="n">
        <v>1</v>
      </c>
      <c r="J180" s="9" t="s">
        <v>238</v>
      </c>
      <c r="K180" s="9" t="s">
        <v>2843</v>
      </c>
    </row>
    <row r="181" customFormat="false" ht="15" hidden="false" customHeight="false" outlineLevel="0" collapsed="false">
      <c r="A181" s="9" t="s">
        <v>3354</v>
      </c>
      <c r="B181" s="9" t="s">
        <v>3355</v>
      </c>
      <c r="C181" s="9" t="s">
        <v>1275</v>
      </c>
      <c r="D181" s="9" t="s">
        <v>2846</v>
      </c>
      <c r="E181" s="9" t="s">
        <v>2894</v>
      </c>
      <c r="F181" s="9" t="s">
        <v>2241</v>
      </c>
      <c r="G181" s="9" t="s">
        <v>328</v>
      </c>
      <c r="H181" s="9" t="n">
        <f aca="false">IF(G181="","",G181-F181)</f>
        <v>7</v>
      </c>
      <c r="I181" s="9" t="n">
        <v>3</v>
      </c>
      <c r="J181" s="9" t="s">
        <v>647</v>
      </c>
      <c r="K181" s="9" t="s">
        <v>2843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5" min="5" style="0" width="10"/>
    <col collapsed="false" customWidth="true" hidden="false" outlineLevel="0" max="8" min="6" style="0" width="16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8" t="s">
        <v>3356</v>
      </c>
      <c r="B1" s="8" t="s">
        <v>3357</v>
      </c>
      <c r="C1" s="8" t="s">
        <v>3358</v>
      </c>
      <c r="D1" s="8" t="s">
        <v>3359</v>
      </c>
      <c r="E1" s="8" t="s">
        <v>3360</v>
      </c>
      <c r="F1" s="8" t="s">
        <v>3361</v>
      </c>
      <c r="G1" s="8" t="s">
        <v>3362</v>
      </c>
      <c r="H1" s="8" t="s">
        <v>3363</v>
      </c>
      <c r="I1" s="8" t="s">
        <v>3364</v>
      </c>
      <c r="J1" s="8" t="s">
        <v>96</v>
      </c>
    </row>
    <row r="2" customFormat="false" ht="15" hidden="false" customHeight="false" outlineLevel="0" collapsed="false">
      <c r="A2" s="9" t="s">
        <v>3365</v>
      </c>
      <c r="B2" s="9" t="s">
        <v>266</v>
      </c>
      <c r="C2" s="9" t="s">
        <v>3366</v>
      </c>
      <c r="D2" s="9" t="s">
        <v>3367</v>
      </c>
      <c r="E2" s="9" t="s">
        <v>3368</v>
      </c>
      <c r="F2" s="9" t="s">
        <v>1969</v>
      </c>
      <c r="G2" s="9" t="s">
        <v>3256</v>
      </c>
      <c r="H2" s="9" t="n">
        <f aca="false">IF(G2="","",(G2-F2)*24)</f>
        <v>120</v>
      </c>
      <c r="I2" s="9" t="s">
        <v>685</v>
      </c>
      <c r="J2" s="9" t="s">
        <v>3369</v>
      </c>
    </row>
    <row r="3" customFormat="false" ht="15" hidden="false" customHeight="false" outlineLevel="0" collapsed="false">
      <c r="A3" s="9" t="s">
        <v>3370</v>
      </c>
      <c r="B3" s="9" t="s">
        <v>219</v>
      </c>
      <c r="C3" s="9" t="s">
        <v>3371</v>
      </c>
      <c r="D3" s="9" t="s">
        <v>3372</v>
      </c>
      <c r="E3" s="9" t="s">
        <v>3373</v>
      </c>
      <c r="F3" s="9" t="s">
        <v>1490</v>
      </c>
      <c r="G3" s="9" t="s">
        <v>2241</v>
      </c>
      <c r="H3" s="9" t="n">
        <f aca="false">IF(G3="","",(G3-F3)*24)</f>
        <v>96</v>
      </c>
      <c r="I3" s="9" t="s">
        <v>665</v>
      </c>
      <c r="J3" s="9" t="s">
        <v>3369</v>
      </c>
    </row>
    <row r="4" customFormat="false" ht="15" hidden="false" customHeight="false" outlineLevel="0" collapsed="false">
      <c r="A4" s="9" t="s">
        <v>3374</v>
      </c>
      <c r="B4" s="9" t="s">
        <v>246</v>
      </c>
      <c r="C4" s="9" t="s">
        <v>3375</v>
      </c>
      <c r="D4" s="9" t="s">
        <v>3372</v>
      </c>
      <c r="E4" s="9" t="s">
        <v>3368</v>
      </c>
      <c r="F4" s="9" t="s">
        <v>2182</v>
      </c>
      <c r="G4" s="9" t="s">
        <v>3376</v>
      </c>
      <c r="H4" s="9" t="n">
        <f aca="false">IF(G4="","",(G4-F4)*24)</f>
        <v>24</v>
      </c>
      <c r="I4" s="9" t="s">
        <v>685</v>
      </c>
      <c r="J4" s="9" t="s">
        <v>3369</v>
      </c>
    </row>
    <row r="5" customFormat="false" ht="15" hidden="false" customHeight="false" outlineLevel="0" collapsed="false">
      <c r="A5" s="9" t="s">
        <v>3377</v>
      </c>
      <c r="B5" s="9" t="s">
        <v>673</v>
      </c>
      <c r="C5" s="9" t="s">
        <v>3378</v>
      </c>
      <c r="D5" s="9" t="s">
        <v>3379</v>
      </c>
      <c r="E5" s="9" t="s">
        <v>3373</v>
      </c>
      <c r="F5" s="9" t="s">
        <v>1055</v>
      </c>
      <c r="G5" s="9"/>
      <c r="H5" s="9" t="str">
        <f aca="false">IF(G5="","",(G5-F5)*24)</f>
        <v/>
      </c>
      <c r="I5" s="9" t="s">
        <v>685</v>
      </c>
      <c r="J5" s="9" t="s">
        <v>2852</v>
      </c>
    </row>
    <row r="6" customFormat="false" ht="15" hidden="false" customHeight="false" outlineLevel="0" collapsed="false">
      <c r="A6" s="9" t="s">
        <v>3380</v>
      </c>
      <c r="B6" s="9" t="s">
        <v>262</v>
      </c>
      <c r="C6" s="9" t="s">
        <v>3378</v>
      </c>
      <c r="D6" s="9" t="s">
        <v>3379</v>
      </c>
      <c r="E6" s="9" t="s">
        <v>3373</v>
      </c>
      <c r="F6" s="9" t="s">
        <v>1529</v>
      </c>
      <c r="G6" s="9"/>
      <c r="H6" s="9" t="str">
        <f aca="false">IF(G6="","",(G6-F6)*24)</f>
        <v/>
      </c>
      <c r="I6" s="9" t="s">
        <v>554</v>
      </c>
      <c r="J6" s="9" t="s">
        <v>2852</v>
      </c>
    </row>
    <row r="7" customFormat="false" ht="15" hidden="false" customHeight="false" outlineLevel="0" collapsed="false">
      <c r="A7" s="9" t="s">
        <v>3381</v>
      </c>
      <c r="B7" s="9" t="s">
        <v>282</v>
      </c>
      <c r="C7" s="9" t="s">
        <v>3366</v>
      </c>
      <c r="D7" s="9" t="s">
        <v>3379</v>
      </c>
      <c r="E7" s="9" t="s">
        <v>3373</v>
      </c>
      <c r="F7" s="9" t="s">
        <v>3184</v>
      </c>
      <c r="G7" s="9" t="s">
        <v>1462</v>
      </c>
      <c r="H7" s="9" t="n">
        <f aca="false">IF(G7="","",(G7-F7)*24)</f>
        <v>48</v>
      </c>
      <c r="I7" s="9" t="s">
        <v>624</v>
      </c>
      <c r="J7" s="9" t="s">
        <v>3369</v>
      </c>
    </row>
    <row r="8" customFormat="false" ht="15" hidden="false" customHeight="false" outlineLevel="0" collapsed="false">
      <c r="A8" s="9" t="s">
        <v>3382</v>
      </c>
      <c r="B8" s="9" t="s">
        <v>282</v>
      </c>
      <c r="C8" s="9" t="s">
        <v>3383</v>
      </c>
      <c r="D8" s="9" t="s">
        <v>3384</v>
      </c>
      <c r="E8" s="9" t="s">
        <v>3373</v>
      </c>
      <c r="F8" s="9" t="s">
        <v>3018</v>
      </c>
      <c r="G8" s="9" t="s">
        <v>1672</v>
      </c>
      <c r="H8" s="9" t="n">
        <f aca="false">IF(G8="","",(G8-F8)*24)</f>
        <v>24</v>
      </c>
      <c r="I8" s="9" t="s">
        <v>282</v>
      </c>
      <c r="J8" s="9" t="s">
        <v>3369</v>
      </c>
    </row>
    <row r="9" customFormat="false" ht="15" hidden="false" customHeight="false" outlineLevel="0" collapsed="false">
      <c r="A9" s="9" t="s">
        <v>3385</v>
      </c>
      <c r="B9" s="9" t="s">
        <v>454</v>
      </c>
      <c r="C9" s="9" t="s">
        <v>3383</v>
      </c>
      <c r="D9" s="9" t="s">
        <v>3372</v>
      </c>
      <c r="E9" s="9" t="s">
        <v>3373</v>
      </c>
      <c r="F9" s="9" t="s">
        <v>1111</v>
      </c>
      <c r="G9" s="9" t="s">
        <v>2736</v>
      </c>
      <c r="H9" s="9" t="n">
        <f aca="false">IF(G9="","",(G9-F9)*24)</f>
        <v>96</v>
      </c>
      <c r="I9" s="9" t="s">
        <v>685</v>
      </c>
      <c r="J9" s="9" t="s">
        <v>3369</v>
      </c>
    </row>
    <row r="10" customFormat="false" ht="15" hidden="false" customHeight="false" outlineLevel="0" collapsed="false">
      <c r="A10" s="9" t="s">
        <v>3386</v>
      </c>
      <c r="B10" s="9" t="s">
        <v>366</v>
      </c>
      <c r="C10" s="9" t="s">
        <v>3387</v>
      </c>
      <c r="D10" s="9" t="s">
        <v>3372</v>
      </c>
      <c r="E10" s="9" t="s">
        <v>3388</v>
      </c>
      <c r="F10" s="9" t="s">
        <v>1930</v>
      </c>
      <c r="G10" s="9" t="s">
        <v>3324</v>
      </c>
      <c r="H10" s="9" t="n">
        <f aca="false">IF(G10="","",(G10-F10)*24)</f>
        <v>96</v>
      </c>
      <c r="I10" s="9" t="s">
        <v>554</v>
      </c>
      <c r="J10" s="9" t="s">
        <v>3369</v>
      </c>
    </row>
    <row r="11" customFormat="false" ht="15" hidden="false" customHeight="false" outlineLevel="0" collapsed="false">
      <c r="A11" s="9" t="s">
        <v>3389</v>
      </c>
      <c r="B11" s="9" t="s">
        <v>57</v>
      </c>
      <c r="C11" s="9" t="s">
        <v>3371</v>
      </c>
      <c r="D11" s="9" t="s">
        <v>3384</v>
      </c>
      <c r="E11" s="9" t="s">
        <v>3388</v>
      </c>
      <c r="F11" s="9" t="s">
        <v>1768</v>
      </c>
      <c r="G11" s="9"/>
      <c r="H11" s="9" t="str">
        <f aca="false">IF(G11="","",(G11-F11)*24)</f>
        <v/>
      </c>
      <c r="I11" s="9" t="s">
        <v>321</v>
      </c>
      <c r="J11" s="9" t="s">
        <v>2852</v>
      </c>
    </row>
    <row r="12" customFormat="false" ht="15" hidden="false" customHeight="false" outlineLevel="0" collapsed="false">
      <c r="A12" s="9" t="s">
        <v>3390</v>
      </c>
      <c r="B12" s="9" t="s">
        <v>573</v>
      </c>
      <c r="C12" s="9" t="s">
        <v>3383</v>
      </c>
      <c r="D12" s="9" t="s">
        <v>3384</v>
      </c>
      <c r="E12" s="9" t="s">
        <v>3391</v>
      </c>
      <c r="F12" s="9" t="s">
        <v>2061</v>
      </c>
      <c r="G12" s="9" t="s">
        <v>912</v>
      </c>
      <c r="H12" s="9" t="n">
        <f aca="false">IF(G12="","",(G12-F12)*24)</f>
        <v>48</v>
      </c>
      <c r="I12" s="9" t="s">
        <v>635</v>
      </c>
      <c r="J12" s="9" t="s">
        <v>3369</v>
      </c>
    </row>
    <row r="13" customFormat="false" ht="15" hidden="false" customHeight="false" outlineLevel="0" collapsed="false">
      <c r="A13" s="9" t="s">
        <v>3392</v>
      </c>
      <c r="B13" s="9" t="s">
        <v>593</v>
      </c>
      <c r="C13" s="9" t="s">
        <v>3387</v>
      </c>
      <c r="D13" s="9" t="s">
        <v>3393</v>
      </c>
      <c r="E13" s="9" t="s">
        <v>3373</v>
      </c>
      <c r="F13" s="9" t="s">
        <v>3394</v>
      </c>
      <c r="G13" s="9" t="s">
        <v>3395</v>
      </c>
      <c r="H13" s="9" t="n">
        <f aca="false">IF(G13="","",(G13-F13)*24)</f>
        <v>96</v>
      </c>
      <c r="I13" s="9" t="s">
        <v>359</v>
      </c>
      <c r="J13" s="9" t="s">
        <v>3369</v>
      </c>
    </row>
    <row r="14" customFormat="false" ht="15" hidden="false" customHeight="false" outlineLevel="0" collapsed="false">
      <c r="A14" s="9" t="s">
        <v>3396</v>
      </c>
      <c r="B14" s="9" t="s">
        <v>370</v>
      </c>
      <c r="C14" s="9" t="s">
        <v>3378</v>
      </c>
      <c r="D14" s="9" t="s">
        <v>3384</v>
      </c>
      <c r="E14" s="9" t="s">
        <v>3368</v>
      </c>
      <c r="F14" s="9" t="s">
        <v>3397</v>
      </c>
      <c r="G14" s="9" t="s">
        <v>3397</v>
      </c>
      <c r="H14" s="9" t="n">
        <f aca="false">IF(G14="","",(G14-F14)*24)</f>
        <v>0</v>
      </c>
      <c r="I14" s="9" t="s">
        <v>472</v>
      </c>
      <c r="J14" s="9" t="s">
        <v>3369</v>
      </c>
    </row>
    <row r="15" customFormat="false" ht="15" hidden="false" customHeight="false" outlineLevel="0" collapsed="false">
      <c r="A15" s="9" t="s">
        <v>3398</v>
      </c>
      <c r="B15" s="9" t="s">
        <v>329</v>
      </c>
      <c r="C15" s="9" t="s">
        <v>3366</v>
      </c>
      <c r="D15" s="9" t="s">
        <v>3384</v>
      </c>
      <c r="E15" s="9" t="s">
        <v>3373</v>
      </c>
      <c r="F15" s="9" t="s">
        <v>1619</v>
      </c>
      <c r="G15" s="9" t="s">
        <v>1619</v>
      </c>
      <c r="H15" s="9" t="n">
        <f aca="false">IF(G15="","",(G15-F15)*24)</f>
        <v>0</v>
      </c>
      <c r="I15" s="9" t="s">
        <v>359</v>
      </c>
      <c r="J15" s="9" t="s">
        <v>3369</v>
      </c>
    </row>
    <row r="16" customFormat="false" ht="15" hidden="false" customHeight="false" outlineLevel="0" collapsed="false">
      <c r="A16" s="9" t="s">
        <v>3399</v>
      </c>
      <c r="B16" s="9" t="s">
        <v>681</v>
      </c>
      <c r="C16" s="9" t="s">
        <v>3371</v>
      </c>
      <c r="D16" s="9" t="s">
        <v>3384</v>
      </c>
      <c r="E16" s="9" t="s">
        <v>3388</v>
      </c>
      <c r="F16" s="9" t="s">
        <v>3400</v>
      </c>
      <c r="G16" s="9" t="s">
        <v>3401</v>
      </c>
      <c r="H16" s="9" t="n">
        <f aca="false">IF(G16="","",(G16-F16)*24)</f>
        <v>96</v>
      </c>
      <c r="I16" s="9" t="s">
        <v>685</v>
      </c>
      <c r="J16" s="9" t="s">
        <v>3369</v>
      </c>
    </row>
    <row r="17" customFormat="false" ht="15" hidden="false" customHeight="false" outlineLevel="0" collapsed="false">
      <c r="A17" s="9" t="s">
        <v>3402</v>
      </c>
      <c r="B17" s="9" t="s">
        <v>266</v>
      </c>
      <c r="C17" s="9" t="s">
        <v>3387</v>
      </c>
      <c r="D17" s="9" t="s">
        <v>3367</v>
      </c>
      <c r="E17" s="9" t="s">
        <v>3373</v>
      </c>
      <c r="F17" s="9" t="s">
        <v>970</v>
      </c>
      <c r="G17" s="9"/>
      <c r="H17" s="9" t="str">
        <f aca="false">IF(G17="","",(G17-F17)*24)</f>
        <v/>
      </c>
      <c r="I17" s="9" t="s">
        <v>242</v>
      </c>
      <c r="J17" s="9" t="s">
        <v>2852</v>
      </c>
    </row>
    <row r="18" customFormat="false" ht="15" hidden="false" customHeight="false" outlineLevel="0" collapsed="false">
      <c r="A18" s="9" t="s">
        <v>3403</v>
      </c>
      <c r="B18" s="9" t="s">
        <v>635</v>
      </c>
      <c r="C18" s="9" t="s">
        <v>3375</v>
      </c>
      <c r="D18" s="9" t="s">
        <v>3393</v>
      </c>
      <c r="E18" s="9" t="s">
        <v>3368</v>
      </c>
      <c r="F18" s="9" t="s">
        <v>1086</v>
      </c>
      <c r="G18" s="9" t="s">
        <v>2916</v>
      </c>
      <c r="H18" s="9" t="n">
        <f aca="false">IF(G18="","",(G18-F18)*24)</f>
        <v>72</v>
      </c>
      <c r="I18" s="9" t="s">
        <v>605</v>
      </c>
      <c r="J18" s="9" t="s">
        <v>3369</v>
      </c>
    </row>
    <row r="19" customFormat="false" ht="15" hidden="false" customHeight="false" outlineLevel="0" collapsed="false">
      <c r="A19" s="9" t="s">
        <v>3404</v>
      </c>
      <c r="B19" s="9" t="s">
        <v>616</v>
      </c>
      <c r="C19" s="9" t="s">
        <v>3375</v>
      </c>
      <c r="D19" s="9" t="s">
        <v>3393</v>
      </c>
      <c r="E19" s="9" t="s">
        <v>3368</v>
      </c>
      <c r="F19" s="9" t="s">
        <v>982</v>
      </c>
      <c r="G19" s="9" t="s">
        <v>745</v>
      </c>
      <c r="H19" s="9" t="n">
        <f aca="false">IF(G19="","",(G19-F19)*24)</f>
        <v>72</v>
      </c>
      <c r="I19" s="9" t="s">
        <v>321</v>
      </c>
      <c r="J19" s="9" t="s">
        <v>3369</v>
      </c>
    </row>
    <row r="20" customFormat="false" ht="15" hidden="false" customHeight="false" outlineLevel="0" collapsed="false">
      <c r="A20" s="9" t="s">
        <v>3405</v>
      </c>
      <c r="B20" s="9" t="s">
        <v>577</v>
      </c>
      <c r="C20" s="9" t="s">
        <v>3371</v>
      </c>
      <c r="D20" s="9" t="s">
        <v>3393</v>
      </c>
      <c r="E20" s="9" t="s">
        <v>3388</v>
      </c>
      <c r="F20" s="9" t="s">
        <v>1570</v>
      </c>
      <c r="G20" s="9" t="s">
        <v>2241</v>
      </c>
      <c r="H20" s="9" t="n">
        <f aca="false">IF(G20="","",(G20-F20)*24)</f>
        <v>72</v>
      </c>
      <c r="I20" s="9" t="s">
        <v>624</v>
      </c>
      <c r="J20" s="9" t="s">
        <v>3369</v>
      </c>
    </row>
    <row r="21" customFormat="false" ht="15" hidden="false" customHeight="false" outlineLevel="0" collapsed="false">
      <c r="A21" s="9" t="s">
        <v>3406</v>
      </c>
      <c r="B21" s="9" t="s">
        <v>68</v>
      </c>
      <c r="C21" s="9" t="s">
        <v>3378</v>
      </c>
      <c r="D21" s="9" t="s">
        <v>3393</v>
      </c>
      <c r="E21" s="9" t="s">
        <v>3368</v>
      </c>
      <c r="F21" s="9" t="s">
        <v>879</v>
      </c>
      <c r="G21" s="9" t="s">
        <v>1707</v>
      </c>
      <c r="H21" s="9" t="n">
        <f aca="false">IF(G21="","",(G21-F21)*24)</f>
        <v>96</v>
      </c>
      <c r="I21" s="9" t="s">
        <v>662</v>
      </c>
      <c r="J21" s="9" t="s">
        <v>3369</v>
      </c>
    </row>
    <row r="22" customFormat="false" ht="15" hidden="false" customHeight="false" outlineLevel="0" collapsed="false">
      <c r="A22" s="9" t="s">
        <v>3407</v>
      </c>
      <c r="B22" s="9" t="s">
        <v>60</v>
      </c>
      <c r="C22" s="9" t="s">
        <v>3366</v>
      </c>
      <c r="D22" s="9" t="s">
        <v>3379</v>
      </c>
      <c r="E22" s="9" t="s">
        <v>3391</v>
      </c>
      <c r="F22" s="9" t="s">
        <v>3408</v>
      </c>
      <c r="G22" s="9" t="s">
        <v>3409</v>
      </c>
      <c r="H22" s="9" t="n">
        <f aca="false">IF(G22="","",(G22-F22)*24)</f>
        <v>96</v>
      </c>
      <c r="I22" s="9" t="s">
        <v>242</v>
      </c>
      <c r="J22" s="9" t="s">
        <v>3369</v>
      </c>
    </row>
    <row r="23" customFormat="false" ht="15" hidden="false" customHeight="false" outlineLevel="0" collapsed="false">
      <c r="A23" s="9" t="s">
        <v>3410</v>
      </c>
      <c r="B23" s="9" t="s">
        <v>336</v>
      </c>
      <c r="C23" s="9" t="s">
        <v>3387</v>
      </c>
      <c r="D23" s="9" t="s">
        <v>3367</v>
      </c>
      <c r="E23" s="9" t="s">
        <v>3391</v>
      </c>
      <c r="F23" s="9" t="s">
        <v>1999</v>
      </c>
      <c r="G23" s="9" t="s">
        <v>1999</v>
      </c>
      <c r="H23" s="9" t="n">
        <f aca="false">IF(G23="","",(G23-F23)*24)</f>
        <v>0</v>
      </c>
      <c r="I23" s="9" t="s">
        <v>242</v>
      </c>
      <c r="J23" s="9" t="s">
        <v>3369</v>
      </c>
    </row>
    <row r="24" customFormat="false" ht="15" hidden="false" customHeight="false" outlineLevel="0" collapsed="false">
      <c r="A24" s="9" t="s">
        <v>3411</v>
      </c>
      <c r="B24" s="9" t="s">
        <v>204</v>
      </c>
      <c r="C24" s="9" t="s">
        <v>3371</v>
      </c>
      <c r="D24" s="9" t="s">
        <v>3379</v>
      </c>
      <c r="E24" s="9" t="s">
        <v>3368</v>
      </c>
      <c r="F24" s="9" t="s">
        <v>2876</v>
      </c>
      <c r="G24" s="9" t="s">
        <v>2993</v>
      </c>
      <c r="H24" s="9" t="n">
        <f aca="false">IF(G24="","",(G24-F24)*24)</f>
        <v>96</v>
      </c>
      <c r="I24" s="9" t="s">
        <v>665</v>
      </c>
      <c r="J24" s="9" t="s">
        <v>3369</v>
      </c>
    </row>
    <row r="25" customFormat="false" ht="15" hidden="false" customHeight="false" outlineLevel="0" collapsed="false">
      <c r="A25" s="9" t="s">
        <v>3412</v>
      </c>
      <c r="B25" s="9" t="s">
        <v>409</v>
      </c>
      <c r="C25" s="9" t="s">
        <v>3378</v>
      </c>
      <c r="D25" s="9" t="s">
        <v>3379</v>
      </c>
      <c r="E25" s="9" t="s">
        <v>3388</v>
      </c>
      <c r="F25" s="9" t="s">
        <v>1080</v>
      </c>
      <c r="G25" s="9" t="s">
        <v>3413</v>
      </c>
      <c r="H25" s="9" t="n">
        <f aca="false">IF(G25="","",(G25-F25)*24)</f>
        <v>96</v>
      </c>
      <c r="I25" s="9" t="s">
        <v>242</v>
      </c>
      <c r="J25" s="9" t="s">
        <v>3369</v>
      </c>
    </row>
    <row r="26" customFormat="false" ht="15" hidden="false" customHeight="false" outlineLevel="0" collapsed="false">
      <c r="A26" s="9" t="s">
        <v>3414</v>
      </c>
      <c r="B26" s="9" t="s">
        <v>494</v>
      </c>
      <c r="C26" s="9" t="s">
        <v>3378</v>
      </c>
      <c r="D26" s="9" t="s">
        <v>3384</v>
      </c>
      <c r="E26" s="9" t="s">
        <v>3388</v>
      </c>
      <c r="F26" s="9" t="s">
        <v>2002</v>
      </c>
      <c r="G26" s="9" t="s">
        <v>1358</v>
      </c>
      <c r="H26" s="9" t="n">
        <f aca="false">IF(G26="","",(G26-F26)*24)</f>
        <v>48</v>
      </c>
      <c r="I26" s="9" t="s">
        <v>554</v>
      </c>
      <c r="J26" s="9" t="s">
        <v>3369</v>
      </c>
    </row>
    <row r="27" customFormat="false" ht="15" hidden="false" customHeight="false" outlineLevel="0" collapsed="false">
      <c r="A27" s="9" t="s">
        <v>3415</v>
      </c>
      <c r="B27" s="9" t="s">
        <v>148</v>
      </c>
      <c r="C27" s="9" t="s">
        <v>3375</v>
      </c>
      <c r="D27" s="9" t="s">
        <v>3379</v>
      </c>
      <c r="E27" s="9" t="s">
        <v>3368</v>
      </c>
      <c r="F27" s="9" t="s">
        <v>3416</v>
      </c>
      <c r="G27" s="9" t="s">
        <v>3417</v>
      </c>
      <c r="H27" s="9" t="n">
        <f aca="false">IF(G27="","",(G27-F27)*24)</f>
        <v>24</v>
      </c>
      <c r="I27" s="9" t="s">
        <v>164</v>
      </c>
      <c r="J27" s="9" t="s">
        <v>3369</v>
      </c>
    </row>
    <row r="28" customFormat="false" ht="15" hidden="false" customHeight="false" outlineLevel="0" collapsed="false">
      <c r="A28" s="9" t="s">
        <v>3418</v>
      </c>
      <c r="B28" s="9" t="s">
        <v>226</v>
      </c>
      <c r="C28" s="9" t="s">
        <v>3366</v>
      </c>
      <c r="D28" s="9" t="s">
        <v>3372</v>
      </c>
      <c r="E28" s="9" t="s">
        <v>3373</v>
      </c>
      <c r="F28" s="9" t="s">
        <v>3419</v>
      </c>
      <c r="G28" s="9" t="s">
        <v>3420</v>
      </c>
      <c r="H28" s="9" t="n">
        <f aca="false">IF(G28="","",(G28-F28)*24)</f>
        <v>72</v>
      </c>
      <c r="I28" s="9" t="s">
        <v>68</v>
      </c>
      <c r="J28" s="9" t="s">
        <v>3369</v>
      </c>
    </row>
    <row r="29" customFormat="false" ht="15" hidden="false" customHeight="false" outlineLevel="0" collapsed="false">
      <c r="A29" s="9" t="s">
        <v>3421</v>
      </c>
      <c r="B29" s="9" t="s">
        <v>274</v>
      </c>
      <c r="C29" s="9" t="s">
        <v>3378</v>
      </c>
      <c r="D29" s="9" t="s">
        <v>3379</v>
      </c>
      <c r="E29" s="9" t="s">
        <v>3388</v>
      </c>
      <c r="F29" s="9" t="s">
        <v>3422</v>
      </c>
      <c r="G29" s="9" t="s">
        <v>3164</v>
      </c>
      <c r="H29" s="9" t="n">
        <f aca="false">IF(G29="","",(G29-F29)*24)</f>
        <v>48</v>
      </c>
      <c r="I29" s="9" t="s">
        <v>282</v>
      </c>
      <c r="J29" s="9" t="s">
        <v>3369</v>
      </c>
    </row>
    <row r="30" customFormat="false" ht="15" hidden="false" customHeight="false" outlineLevel="0" collapsed="false">
      <c r="A30" s="9" t="s">
        <v>3423</v>
      </c>
      <c r="B30" s="9" t="s">
        <v>677</v>
      </c>
      <c r="C30" s="9" t="s">
        <v>3371</v>
      </c>
      <c r="D30" s="9" t="s">
        <v>3372</v>
      </c>
      <c r="E30" s="9" t="s">
        <v>3373</v>
      </c>
      <c r="F30" s="9" t="s">
        <v>2130</v>
      </c>
      <c r="G30" s="9" t="s">
        <v>1877</v>
      </c>
      <c r="H30" s="9" t="n">
        <f aca="false">IF(G30="","",(G30-F30)*24)</f>
        <v>48</v>
      </c>
      <c r="I30" s="9" t="s">
        <v>359</v>
      </c>
      <c r="J30" s="9" t="s">
        <v>3369</v>
      </c>
    </row>
    <row r="31" customFormat="false" ht="15" hidden="false" customHeight="false" outlineLevel="0" collapsed="false">
      <c r="A31" s="9" t="s">
        <v>3424</v>
      </c>
      <c r="B31" s="9" t="s">
        <v>148</v>
      </c>
      <c r="C31" s="9" t="s">
        <v>3375</v>
      </c>
      <c r="D31" s="9" t="s">
        <v>3393</v>
      </c>
      <c r="E31" s="9" t="s">
        <v>3368</v>
      </c>
      <c r="F31" s="9" t="s">
        <v>1772</v>
      </c>
      <c r="G31" s="9" t="s">
        <v>1771</v>
      </c>
      <c r="H31" s="9" t="n">
        <f aca="false">IF(G31="","",(G31-F31)*24)</f>
        <v>24</v>
      </c>
      <c r="I31" s="9" t="s">
        <v>282</v>
      </c>
      <c r="J31" s="9" t="s">
        <v>3369</v>
      </c>
    </row>
    <row r="32" customFormat="false" ht="15" hidden="false" customHeight="false" outlineLevel="0" collapsed="false">
      <c r="A32" s="9" t="s">
        <v>3425</v>
      </c>
      <c r="B32" s="9" t="s">
        <v>712</v>
      </c>
      <c r="C32" s="9" t="s">
        <v>3375</v>
      </c>
      <c r="D32" s="9" t="s">
        <v>3379</v>
      </c>
      <c r="E32" s="9" t="s">
        <v>3373</v>
      </c>
      <c r="F32" s="9" t="s">
        <v>347</v>
      </c>
      <c r="G32" s="9" t="s">
        <v>3426</v>
      </c>
      <c r="H32" s="9" t="n">
        <f aca="false">IF(G32="","",(G32-F32)*24)</f>
        <v>48</v>
      </c>
      <c r="I32" s="9" t="s">
        <v>204</v>
      </c>
      <c r="J32" s="9" t="s">
        <v>3369</v>
      </c>
    </row>
    <row r="33" customFormat="false" ht="15" hidden="false" customHeight="false" outlineLevel="0" collapsed="false">
      <c r="A33" s="9" t="s">
        <v>3427</v>
      </c>
      <c r="B33" s="9" t="s">
        <v>294</v>
      </c>
      <c r="C33" s="9" t="s">
        <v>3383</v>
      </c>
      <c r="D33" s="9" t="s">
        <v>3367</v>
      </c>
      <c r="E33" s="9" t="s">
        <v>3373</v>
      </c>
      <c r="F33" s="9" t="s">
        <v>2768</v>
      </c>
      <c r="G33" s="9" t="s">
        <v>2768</v>
      </c>
      <c r="H33" s="9" t="n">
        <f aca="false">IF(G33="","",(G33-F33)*24)</f>
        <v>0</v>
      </c>
      <c r="I33" s="9" t="s">
        <v>434</v>
      </c>
      <c r="J33" s="9" t="s">
        <v>3369</v>
      </c>
    </row>
    <row r="34" customFormat="false" ht="15" hidden="false" customHeight="false" outlineLevel="0" collapsed="false">
      <c r="A34" s="9" t="s">
        <v>3428</v>
      </c>
      <c r="B34" s="9" t="s">
        <v>577</v>
      </c>
      <c r="C34" s="9" t="s">
        <v>3375</v>
      </c>
      <c r="D34" s="9" t="s">
        <v>3379</v>
      </c>
      <c r="E34" s="9" t="s">
        <v>3368</v>
      </c>
      <c r="F34" s="9" t="s">
        <v>3429</v>
      </c>
      <c r="G34" s="9"/>
      <c r="H34" s="9" t="str">
        <f aca="false">IF(G34="","",(G34-F34)*24)</f>
        <v/>
      </c>
      <c r="I34" s="9" t="s">
        <v>359</v>
      </c>
      <c r="J34" s="9" t="s">
        <v>2852</v>
      </c>
    </row>
    <row r="35" customFormat="false" ht="15" hidden="false" customHeight="false" outlineLevel="0" collapsed="false">
      <c r="A35" s="9" t="s">
        <v>3430</v>
      </c>
      <c r="B35" s="9" t="s">
        <v>685</v>
      </c>
      <c r="C35" s="9" t="s">
        <v>3371</v>
      </c>
      <c r="D35" s="9" t="s">
        <v>3379</v>
      </c>
      <c r="E35" s="9" t="s">
        <v>3373</v>
      </c>
      <c r="F35" s="9" t="s">
        <v>3431</v>
      </c>
      <c r="G35" s="9" t="s">
        <v>3432</v>
      </c>
      <c r="H35" s="9" t="n">
        <f aca="false">IF(G35="","",(G35-F35)*24)</f>
        <v>24</v>
      </c>
      <c r="I35" s="9" t="s">
        <v>605</v>
      </c>
      <c r="J35" s="9" t="s">
        <v>3369</v>
      </c>
    </row>
    <row r="36" customFormat="false" ht="15" hidden="false" customHeight="false" outlineLevel="0" collapsed="false">
      <c r="A36" s="9" t="s">
        <v>3433</v>
      </c>
      <c r="B36" s="9" t="s">
        <v>72</v>
      </c>
      <c r="C36" s="9" t="s">
        <v>3366</v>
      </c>
      <c r="D36" s="9" t="s">
        <v>3384</v>
      </c>
      <c r="E36" s="9" t="s">
        <v>3368</v>
      </c>
      <c r="F36" s="9" t="s">
        <v>1850</v>
      </c>
      <c r="G36" s="9" t="s">
        <v>776</v>
      </c>
      <c r="H36" s="9" t="n">
        <f aca="false">IF(G36="","",(G36-F36)*24)</f>
        <v>72</v>
      </c>
      <c r="I36" s="9" t="s">
        <v>665</v>
      </c>
      <c r="J36" s="9" t="s">
        <v>3369</v>
      </c>
    </row>
    <row r="37" customFormat="false" ht="15" hidden="false" customHeight="false" outlineLevel="0" collapsed="false">
      <c r="A37" s="9" t="s">
        <v>3434</v>
      </c>
      <c r="B37" s="9" t="s">
        <v>169</v>
      </c>
      <c r="C37" s="9" t="s">
        <v>3383</v>
      </c>
      <c r="D37" s="9" t="s">
        <v>3393</v>
      </c>
      <c r="E37" s="9" t="s">
        <v>3373</v>
      </c>
      <c r="F37" s="9" t="s">
        <v>1968</v>
      </c>
      <c r="G37" s="9" t="s">
        <v>1968</v>
      </c>
      <c r="H37" s="9" t="n">
        <f aca="false">IF(G37="","",(G37-F37)*24)</f>
        <v>0</v>
      </c>
      <c r="I37" s="9" t="s">
        <v>397</v>
      </c>
      <c r="J37" s="9" t="s">
        <v>3369</v>
      </c>
    </row>
    <row r="38" customFormat="false" ht="15" hidden="false" customHeight="false" outlineLevel="0" collapsed="false">
      <c r="A38" s="9" t="s">
        <v>3435</v>
      </c>
      <c r="B38" s="9" t="s">
        <v>64</v>
      </c>
      <c r="C38" s="9" t="s">
        <v>3378</v>
      </c>
      <c r="D38" s="9" t="s">
        <v>3367</v>
      </c>
      <c r="E38" s="9" t="s">
        <v>3391</v>
      </c>
      <c r="F38" s="9" t="s">
        <v>1362</v>
      </c>
      <c r="G38" s="9" t="s">
        <v>1362</v>
      </c>
      <c r="H38" s="9" t="n">
        <f aca="false">IF(G38="","",(G38-F38)*24)</f>
        <v>0</v>
      </c>
      <c r="I38" s="9" t="s">
        <v>242</v>
      </c>
      <c r="J38" s="9" t="s">
        <v>3369</v>
      </c>
    </row>
    <row r="39" customFormat="false" ht="15" hidden="false" customHeight="false" outlineLevel="0" collapsed="false">
      <c r="A39" s="9" t="s">
        <v>3436</v>
      </c>
      <c r="B39" s="9" t="s">
        <v>716</v>
      </c>
      <c r="C39" s="9" t="s">
        <v>3371</v>
      </c>
      <c r="D39" s="9" t="s">
        <v>3372</v>
      </c>
      <c r="E39" s="9" t="s">
        <v>3373</v>
      </c>
      <c r="F39" s="9" t="s">
        <v>3437</v>
      </c>
      <c r="G39" s="9" t="s">
        <v>2216</v>
      </c>
      <c r="H39" s="9" t="n">
        <f aca="false">IF(G39="","",(G39-F39)*24)</f>
        <v>24</v>
      </c>
      <c r="I39" s="9" t="s">
        <v>685</v>
      </c>
      <c r="J39" s="9" t="s">
        <v>3369</v>
      </c>
    </row>
    <row r="40" customFormat="false" ht="15" hidden="false" customHeight="false" outlineLevel="0" collapsed="false">
      <c r="A40" s="9" t="s">
        <v>3438</v>
      </c>
      <c r="B40" s="9" t="s">
        <v>431</v>
      </c>
      <c r="C40" s="9" t="s">
        <v>3366</v>
      </c>
      <c r="D40" s="9" t="s">
        <v>3393</v>
      </c>
      <c r="E40" s="9" t="s">
        <v>3388</v>
      </c>
      <c r="F40" s="9" t="s">
        <v>3315</v>
      </c>
      <c r="G40" s="9" t="s">
        <v>3439</v>
      </c>
      <c r="H40" s="9" t="n">
        <f aca="false">IF(G40="","",(G40-F40)*24)</f>
        <v>96</v>
      </c>
      <c r="I40" s="9" t="s">
        <v>593</v>
      </c>
      <c r="J40" s="9" t="s">
        <v>3369</v>
      </c>
    </row>
    <row r="41" customFormat="false" ht="15" hidden="false" customHeight="false" outlineLevel="0" collapsed="false">
      <c r="A41" s="9" t="s">
        <v>3440</v>
      </c>
      <c r="B41" s="9" t="s">
        <v>581</v>
      </c>
      <c r="C41" s="9" t="s">
        <v>3371</v>
      </c>
      <c r="D41" s="9" t="s">
        <v>3379</v>
      </c>
      <c r="E41" s="9" t="s">
        <v>3373</v>
      </c>
      <c r="F41" s="9" t="s">
        <v>3441</v>
      </c>
      <c r="G41" s="9" t="s">
        <v>3441</v>
      </c>
      <c r="H41" s="9" t="n">
        <f aca="false">IF(G41="","",(G41-F41)*24)</f>
        <v>0</v>
      </c>
      <c r="I41" s="9" t="s">
        <v>434</v>
      </c>
      <c r="J41" s="9" t="s">
        <v>3369</v>
      </c>
    </row>
    <row r="42" customFormat="false" ht="15" hidden="false" customHeight="false" outlineLevel="0" collapsed="false">
      <c r="A42" s="9" t="s">
        <v>3442</v>
      </c>
      <c r="B42" s="9" t="s">
        <v>542</v>
      </c>
      <c r="C42" s="9" t="s">
        <v>3366</v>
      </c>
      <c r="D42" s="9" t="s">
        <v>3384</v>
      </c>
      <c r="E42" s="9" t="s">
        <v>3373</v>
      </c>
      <c r="F42" s="9" t="s">
        <v>3199</v>
      </c>
      <c r="G42" s="9" t="s">
        <v>3127</v>
      </c>
      <c r="H42" s="9" t="n">
        <f aca="false">IF(G42="","",(G42-F42)*24)</f>
        <v>72</v>
      </c>
      <c r="I42" s="9" t="s">
        <v>434</v>
      </c>
      <c r="J42" s="9" t="s">
        <v>3369</v>
      </c>
    </row>
    <row r="43" customFormat="false" ht="15" hidden="false" customHeight="false" outlineLevel="0" collapsed="false">
      <c r="A43" s="9" t="s">
        <v>3443</v>
      </c>
      <c r="B43" s="9" t="s">
        <v>720</v>
      </c>
      <c r="C43" s="9" t="s">
        <v>3371</v>
      </c>
      <c r="D43" s="9" t="s">
        <v>3372</v>
      </c>
      <c r="E43" s="9" t="s">
        <v>3388</v>
      </c>
      <c r="F43" s="9" t="s">
        <v>3444</v>
      </c>
      <c r="G43" s="9" t="s">
        <v>3072</v>
      </c>
      <c r="H43" s="9" t="n">
        <f aca="false">IF(G43="","",(G43-F43)*24)</f>
        <v>48</v>
      </c>
      <c r="I43" s="9" t="s">
        <v>624</v>
      </c>
      <c r="J43" s="9" t="s">
        <v>3369</v>
      </c>
    </row>
    <row r="44" customFormat="false" ht="15" hidden="false" customHeight="false" outlineLevel="0" collapsed="false">
      <c r="A44" s="9" t="s">
        <v>3445</v>
      </c>
      <c r="B44" s="9" t="s">
        <v>669</v>
      </c>
      <c r="C44" s="9" t="s">
        <v>3383</v>
      </c>
      <c r="D44" s="9" t="s">
        <v>3367</v>
      </c>
      <c r="E44" s="9" t="s">
        <v>3373</v>
      </c>
      <c r="F44" s="9" t="s">
        <v>3446</v>
      </c>
      <c r="G44" s="9"/>
      <c r="H44" s="9" t="str">
        <f aca="false">IF(G44="","",(G44-F44)*24)</f>
        <v/>
      </c>
      <c r="I44" s="9" t="s">
        <v>662</v>
      </c>
      <c r="J44" s="9" t="s">
        <v>2852</v>
      </c>
    </row>
    <row r="45" customFormat="false" ht="15" hidden="false" customHeight="false" outlineLevel="0" collapsed="false">
      <c r="A45" s="9" t="s">
        <v>3447</v>
      </c>
      <c r="B45" s="9" t="s">
        <v>274</v>
      </c>
      <c r="C45" s="9" t="s">
        <v>3371</v>
      </c>
      <c r="D45" s="9" t="s">
        <v>3393</v>
      </c>
      <c r="E45" s="9" t="s">
        <v>3391</v>
      </c>
      <c r="F45" s="9" t="s">
        <v>3448</v>
      </c>
      <c r="G45" s="9" t="s">
        <v>2882</v>
      </c>
      <c r="H45" s="9" t="n">
        <f aca="false">IF(G45="","",(G45-F45)*24)</f>
        <v>96</v>
      </c>
      <c r="I45" s="9" t="s">
        <v>204</v>
      </c>
      <c r="J45" s="9" t="s">
        <v>3369</v>
      </c>
    </row>
    <row r="46" customFormat="false" ht="15" hidden="false" customHeight="false" outlineLevel="0" collapsed="false">
      <c r="A46" s="9" t="s">
        <v>3449</v>
      </c>
      <c r="B46" s="9" t="s">
        <v>189</v>
      </c>
      <c r="C46" s="9" t="s">
        <v>3371</v>
      </c>
      <c r="D46" s="9" t="s">
        <v>3384</v>
      </c>
      <c r="E46" s="9" t="s">
        <v>3391</v>
      </c>
      <c r="F46" s="9" t="s">
        <v>3069</v>
      </c>
      <c r="G46" s="9" t="s">
        <v>3069</v>
      </c>
      <c r="H46" s="9" t="n">
        <f aca="false">IF(G46="","",(G46-F46)*24)</f>
        <v>0</v>
      </c>
      <c r="I46" s="9" t="s">
        <v>472</v>
      </c>
      <c r="J46" s="9" t="s">
        <v>3369</v>
      </c>
    </row>
    <row r="47" customFormat="false" ht="15" hidden="false" customHeight="false" outlineLevel="0" collapsed="false">
      <c r="A47" s="9" t="s">
        <v>3450</v>
      </c>
      <c r="B47" s="9" t="s">
        <v>409</v>
      </c>
      <c r="C47" s="9" t="s">
        <v>3378</v>
      </c>
      <c r="D47" s="9" t="s">
        <v>3367</v>
      </c>
      <c r="E47" s="9" t="s">
        <v>3373</v>
      </c>
      <c r="F47" s="9" t="s">
        <v>3451</v>
      </c>
      <c r="G47" s="9" t="s">
        <v>783</v>
      </c>
      <c r="H47" s="9" t="n">
        <f aca="false">IF(G47="","",(G47-F47)*24)</f>
        <v>48</v>
      </c>
      <c r="I47" s="9" t="s">
        <v>665</v>
      </c>
      <c r="J47" s="9" t="s">
        <v>3369</v>
      </c>
    </row>
    <row r="48" customFormat="false" ht="15" hidden="false" customHeight="false" outlineLevel="0" collapsed="false">
      <c r="A48" s="9" t="s">
        <v>3452</v>
      </c>
      <c r="B48" s="9" t="s">
        <v>526</v>
      </c>
      <c r="C48" s="9" t="s">
        <v>3378</v>
      </c>
      <c r="D48" s="9" t="s">
        <v>3379</v>
      </c>
      <c r="E48" s="9" t="s">
        <v>3368</v>
      </c>
      <c r="F48" s="9" t="s">
        <v>3049</v>
      </c>
      <c r="G48" s="9" t="s">
        <v>1934</v>
      </c>
      <c r="H48" s="9" t="n">
        <f aca="false">IF(G48="","",(G48-F48)*24)</f>
        <v>72</v>
      </c>
      <c r="I48" s="9" t="s">
        <v>665</v>
      </c>
      <c r="J48" s="9" t="s">
        <v>3369</v>
      </c>
    </row>
    <row r="49" customFormat="false" ht="15" hidden="false" customHeight="false" outlineLevel="0" collapsed="false">
      <c r="A49" s="9" t="s">
        <v>3453</v>
      </c>
      <c r="B49" s="9" t="s">
        <v>397</v>
      </c>
      <c r="C49" s="9" t="s">
        <v>3371</v>
      </c>
      <c r="D49" s="9" t="s">
        <v>3379</v>
      </c>
      <c r="E49" s="9" t="s">
        <v>3373</v>
      </c>
      <c r="F49" s="9" t="s">
        <v>2673</v>
      </c>
      <c r="G49" s="9" t="s">
        <v>2673</v>
      </c>
      <c r="H49" s="9" t="n">
        <f aca="false">IF(G49="","",(G49-F49)*24)</f>
        <v>0</v>
      </c>
      <c r="I49" s="9" t="s">
        <v>662</v>
      </c>
      <c r="J49" s="9" t="s">
        <v>3369</v>
      </c>
    </row>
    <row r="50" customFormat="false" ht="15" hidden="false" customHeight="false" outlineLevel="0" collapsed="false">
      <c r="A50" s="9" t="s">
        <v>3454</v>
      </c>
      <c r="B50" s="9" t="s">
        <v>197</v>
      </c>
      <c r="C50" s="9" t="s">
        <v>3378</v>
      </c>
      <c r="D50" s="9" t="s">
        <v>3372</v>
      </c>
      <c r="E50" s="9" t="s">
        <v>3388</v>
      </c>
      <c r="F50" s="9" t="s">
        <v>1537</v>
      </c>
      <c r="G50" s="9" t="s">
        <v>1537</v>
      </c>
      <c r="H50" s="9" t="n">
        <f aca="false">IF(G50="","",(G50-F50)*24)</f>
        <v>0</v>
      </c>
      <c r="I50" s="9" t="s">
        <v>605</v>
      </c>
      <c r="J50" s="9" t="s">
        <v>3369</v>
      </c>
    </row>
    <row r="51" customFormat="false" ht="15" hidden="false" customHeight="false" outlineLevel="0" collapsed="false">
      <c r="A51" s="9" t="s">
        <v>3455</v>
      </c>
      <c r="B51" s="9" t="s">
        <v>573</v>
      </c>
      <c r="C51" s="9" t="s">
        <v>3375</v>
      </c>
      <c r="D51" s="9" t="s">
        <v>3372</v>
      </c>
      <c r="E51" s="9" t="s">
        <v>3391</v>
      </c>
      <c r="F51" s="9" t="s">
        <v>3456</v>
      </c>
      <c r="G51" s="9"/>
      <c r="H51" s="9" t="str">
        <f aca="false">IF(G51="","",(G51-F51)*24)</f>
        <v/>
      </c>
      <c r="I51" s="9" t="s">
        <v>397</v>
      </c>
      <c r="J51" s="9" t="s">
        <v>2852</v>
      </c>
    </row>
    <row r="52" customFormat="false" ht="15" hidden="false" customHeight="false" outlineLevel="0" collapsed="false">
      <c r="A52" s="9" t="s">
        <v>3457</v>
      </c>
      <c r="B52" s="9" t="s">
        <v>658</v>
      </c>
      <c r="C52" s="9" t="s">
        <v>3378</v>
      </c>
      <c r="D52" s="9" t="s">
        <v>3372</v>
      </c>
      <c r="E52" s="9" t="s">
        <v>3368</v>
      </c>
      <c r="F52" s="9" t="s">
        <v>760</v>
      </c>
      <c r="G52" s="9" t="s">
        <v>760</v>
      </c>
      <c r="H52" s="9" t="n">
        <f aca="false">IF(G52="","",(G52-F52)*24)</f>
        <v>0</v>
      </c>
      <c r="I52" s="9" t="s">
        <v>685</v>
      </c>
      <c r="J52" s="9" t="s">
        <v>3369</v>
      </c>
    </row>
    <row r="53" customFormat="false" ht="15" hidden="false" customHeight="false" outlineLevel="0" collapsed="false">
      <c r="A53" s="9" t="s">
        <v>3458</v>
      </c>
      <c r="B53" s="9" t="s">
        <v>246</v>
      </c>
      <c r="C53" s="9" t="s">
        <v>3383</v>
      </c>
      <c r="D53" s="9" t="s">
        <v>3379</v>
      </c>
      <c r="E53" s="9" t="s">
        <v>3388</v>
      </c>
      <c r="F53" s="9" t="s">
        <v>1142</v>
      </c>
      <c r="G53" s="9"/>
      <c r="H53" s="9" t="str">
        <f aca="false">IF(G53="","",(G53-F53)*24)</f>
        <v/>
      </c>
      <c r="I53" s="9" t="s">
        <v>635</v>
      </c>
      <c r="J53" s="9" t="s">
        <v>2852</v>
      </c>
    </row>
    <row r="54" customFormat="false" ht="15" hidden="false" customHeight="false" outlineLevel="0" collapsed="false">
      <c r="A54" s="9" t="s">
        <v>3459</v>
      </c>
      <c r="B54" s="9" t="s">
        <v>301</v>
      </c>
      <c r="C54" s="9" t="s">
        <v>3378</v>
      </c>
      <c r="D54" s="9" t="s">
        <v>3379</v>
      </c>
      <c r="E54" s="9" t="s">
        <v>3373</v>
      </c>
      <c r="F54" s="9" t="s">
        <v>1816</v>
      </c>
      <c r="G54" s="9" t="s">
        <v>1816</v>
      </c>
      <c r="H54" s="9" t="n">
        <f aca="false">IF(G54="","",(G54-F54)*24)</f>
        <v>0</v>
      </c>
      <c r="I54" s="9" t="s">
        <v>569</v>
      </c>
      <c r="J54" s="9" t="s">
        <v>3369</v>
      </c>
    </row>
    <row r="55" customFormat="false" ht="15" hidden="false" customHeight="false" outlineLevel="0" collapsed="false">
      <c r="A55" s="9" t="s">
        <v>3460</v>
      </c>
      <c r="B55" s="9" t="s">
        <v>616</v>
      </c>
      <c r="C55" s="9" t="s">
        <v>3383</v>
      </c>
      <c r="D55" s="9" t="s">
        <v>3393</v>
      </c>
      <c r="E55" s="9" t="s">
        <v>3368</v>
      </c>
      <c r="F55" s="9" t="s">
        <v>3461</v>
      </c>
      <c r="G55" s="9" t="s">
        <v>1721</v>
      </c>
      <c r="H55" s="9" t="n">
        <f aca="false">IF(G55="","",(G55-F55)*24)</f>
        <v>48</v>
      </c>
      <c r="I55" s="9" t="s">
        <v>662</v>
      </c>
      <c r="J55" s="9" t="s">
        <v>3369</v>
      </c>
    </row>
    <row r="56" customFormat="false" ht="15" hidden="false" customHeight="false" outlineLevel="0" collapsed="false">
      <c r="A56" s="9" t="s">
        <v>3462</v>
      </c>
      <c r="B56" s="9" t="s">
        <v>643</v>
      </c>
      <c r="C56" s="9" t="s">
        <v>3378</v>
      </c>
      <c r="D56" s="9" t="s">
        <v>3367</v>
      </c>
      <c r="E56" s="9" t="s">
        <v>3368</v>
      </c>
      <c r="F56" s="9" t="s">
        <v>3072</v>
      </c>
      <c r="G56" s="9" t="s">
        <v>3463</v>
      </c>
      <c r="H56" s="9" t="n">
        <f aca="false">IF(G56="","",(G56-F56)*24)</f>
        <v>48</v>
      </c>
      <c r="I56" s="9" t="s">
        <v>569</v>
      </c>
      <c r="J56" s="9" t="s">
        <v>3369</v>
      </c>
    </row>
    <row r="57" customFormat="false" ht="15" hidden="false" customHeight="false" outlineLevel="0" collapsed="false">
      <c r="A57" s="9" t="s">
        <v>3464</v>
      </c>
      <c r="B57" s="9" t="s">
        <v>514</v>
      </c>
      <c r="C57" s="9" t="s">
        <v>3387</v>
      </c>
      <c r="D57" s="9" t="s">
        <v>3384</v>
      </c>
      <c r="E57" s="9" t="s">
        <v>3373</v>
      </c>
      <c r="F57" s="9" t="s">
        <v>3429</v>
      </c>
      <c r="G57" s="9" t="s">
        <v>3465</v>
      </c>
      <c r="H57" s="9" t="n">
        <f aca="false">IF(G57="","",(G57-F57)*24)</f>
        <v>48</v>
      </c>
      <c r="I57" s="9" t="s">
        <v>624</v>
      </c>
      <c r="J57" s="9" t="s">
        <v>3369</v>
      </c>
    </row>
    <row r="58" customFormat="false" ht="15" hidden="false" customHeight="false" outlineLevel="0" collapsed="false">
      <c r="A58" s="9" t="s">
        <v>3466</v>
      </c>
      <c r="B58" s="9" t="s">
        <v>270</v>
      </c>
      <c r="C58" s="9" t="s">
        <v>3383</v>
      </c>
      <c r="D58" s="9" t="s">
        <v>3367</v>
      </c>
      <c r="E58" s="9" t="s">
        <v>3368</v>
      </c>
      <c r="F58" s="9" t="s">
        <v>3293</v>
      </c>
      <c r="G58" s="9" t="s">
        <v>3467</v>
      </c>
      <c r="H58" s="9" t="n">
        <f aca="false">IF(G58="","",(G58-F58)*24)</f>
        <v>24</v>
      </c>
      <c r="I58" s="9" t="s">
        <v>164</v>
      </c>
      <c r="J58" s="9" t="s">
        <v>3369</v>
      </c>
    </row>
    <row r="59" customFormat="false" ht="15" hidden="false" customHeight="false" outlineLevel="0" collapsed="false">
      <c r="A59" s="9" t="s">
        <v>3468</v>
      </c>
      <c r="B59" s="9" t="s">
        <v>616</v>
      </c>
      <c r="C59" s="9" t="s">
        <v>3387</v>
      </c>
      <c r="D59" s="9" t="s">
        <v>3372</v>
      </c>
      <c r="E59" s="9" t="s">
        <v>3388</v>
      </c>
      <c r="F59" s="9" t="s">
        <v>3469</v>
      </c>
      <c r="G59" s="9" t="s">
        <v>3416</v>
      </c>
      <c r="H59" s="9" t="n">
        <f aca="false">IF(G59="","",(G59-F59)*24)</f>
        <v>48</v>
      </c>
      <c r="I59" s="9" t="s">
        <v>434</v>
      </c>
      <c r="J59" s="9" t="s">
        <v>3369</v>
      </c>
    </row>
    <row r="60" customFormat="false" ht="15" hidden="false" customHeight="false" outlineLevel="0" collapsed="false">
      <c r="A60" s="9" t="s">
        <v>3470</v>
      </c>
      <c r="B60" s="9" t="s">
        <v>530</v>
      </c>
      <c r="C60" s="9" t="s">
        <v>3387</v>
      </c>
      <c r="D60" s="9" t="s">
        <v>3379</v>
      </c>
      <c r="E60" s="9" t="s">
        <v>3373</v>
      </c>
      <c r="F60" s="9" t="s">
        <v>3471</v>
      </c>
      <c r="G60" s="9" t="s">
        <v>3472</v>
      </c>
      <c r="H60" s="9" t="n">
        <f aca="false">IF(G60="","",(G60-F60)*24)</f>
        <v>96</v>
      </c>
      <c r="I60" s="9" t="s">
        <v>593</v>
      </c>
      <c r="J60" s="9" t="s">
        <v>3369</v>
      </c>
    </row>
    <row r="61" customFormat="false" ht="15" hidden="false" customHeight="false" outlineLevel="0" collapsed="false">
      <c r="A61" s="9" t="s">
        <v>3473</v>
      </c>
      <c r="B61" s="9" t="s">
        <v>620</v>
      </c>
      <c r="C61" s="9" t="s">
        <v>3371</v>
      </c>
      <c r="D61" s="9" t="s">
        <v>3367</v>
      </c>
      <c r="E61" s="9" t="s">
        <v>3368</v>
      </c>
      <c r="F61" s="9" t="s">
        <v>1462</v>
      </c>
      <c r="G61" s="9" t="s">
        <v>1462</v>
      </c>
      <c r="H61" s="9" t="n">
        <f aca="false">IF(G61="","",(G61-F61)*24)</f>
        <v>0</v>
      </c>
      <c r="I61" s="9" t="s">
        <v>282</v>
      </c>
      <c r="J61" s="9" t="s">
        <v>3369</v>
      </c>
    </row>
    <row r="62" customFormat="false" ht="15" hidden="false" customHeight="false" outlineLevel="0" collapsed="false">
      <c r="A62" s="9" t="s">
        <v>3474</v>
      </c>
      <c r="B62" s="9" t="s">
        <v>662</v>
      </c>
      <c r="C62" s="9" t="s">
        <v>3378</v>
      </c>
      <c r="D62" s="9" t="s">
        <v>3384</v>
      </c>
      <c r="E62" s="9" t="s">
        <v>3368</v>
      </c>
      <c r="F62" s="9" t="s">
        <v>3475</v>
      </c>
      <c r="G62" s="9" t="s">
        <v>3066</v>
      </c>
      <c r="H62" s="9" t="n">
        <f aca="false">IF(G62="","",(G62-F62)*24)</f>
        <v>72</v>
      </c>
      <c r="I62" s="9" t="s">
        <v>68</v>
      </c>
      <c r="J62" s="9" t="s">
        <v>3369</v>
      </c>
    </row>
    <row r="63" customFormat="false" ht="15" hidden="false" customHeight="false" outlineLevel="0" collapsed="false">
      <c r="A63" s="9" t="s">
        <v>3476</v>
      </c>
      <c r="B63" s="9" t="s">
        <v>401</v>
      </c>
      <c r="C63" s="9" t="s">
        <v>3383</v>
      </c>
      <c r="D63" s="9" t="s">
        <v>3372</v>
      </c>
      <c r="E63" s="9" t="s">
        <v>3373</v>
      </c>
      <c r="F63" s="9" t="s">
        <v>3205</v>
      </c>
      <c r="G63" s="9" t="s">
        <v>3205</v>
      </c>
      <c r="H63" s="9" t="n">
        <f aca="false">IF(G63="","",(G63-F63)*24)</f>
        <v>0</v>
      </c>
      <c r="I63" s="9" t="s">
        <v>662</v>
      </c>
      <c r="J63" s="9" t="s">
        <v>3369</v>
      </c>
    </row>
    <row r="64" customFormat="false" ht="15" hidden="false" customHeight="false" outlineLevel="0" collapsed="false">
      <c r="A64" s="9" t="s">
        <v>3477</v>
      </c>
      <c r="B64" s="9" t="s">
        <v>385</v>
      </c>
      <c r="C64" s="9" t="s">
        <v>3383</v>
      </c>
      <c r="D64" s="9" t="s">
        <v>3393</v>
      </c>
      <c r="E64" s="9" t="s">
        <v>3388</v>
      </c>
      <c r="F64" s="9" t="s">
        <v>935</v>
      </c>
      <c r="G64" s="9" t="s">
        <v>465</v>
      </c>
      <c r="H64" s="9" t="n">
        <f aca="false">IF(G64="","",(G64-F64)*24)</f>
        <v>48</v>
      </c>
      <c r="I64" s="9" t="s">
        <v>359</v>
      </c>
      <c r="J64" s="9" t="s">
        <v>3369</v>
      </c>
    </row>
    <row r="65" customFormat="false" ht="15" hidden="false" customHeight="false" outlineLevel="0" collapsed="false">
      <c r="A65" s="9" t="s">
        <v>3478</v>
      </c>
      <c r="B65" s="9" t="s">
        <v>250</v>
      </c>
      <c r="C65" s="9" t="s">
        <v>3371</v>
      </c>
      <c r="D65" s="9" t="s">
        <v>3379</v>
      </c>
      <c r="E65" s="9" t="s">
        <v>3373</v>
      </c>
      <c r="F65" s="9" t="s">
        <v>1786</v>
      </c>
      <c r="G65" s="9"/>
      <c r="H65" s="9" t="str">
        <f aca="false">IF(G65="","",(G65-F65)*24)</f>
        <v/>
      </c>
      <c r="I65" s="9" t="s">
        <v>685</v>
      </c>
      <c r="J65" s="9" t="s">
        <v>2852</v>
      </c>
    </row>
    <row r="66" customFormat="false" ht="15" hidden="false" customHeight="false" outlineLevel="0" collapsed="false">
      <c r="A66" s="9" t="s">
        <v>3479</v>
      </c>
      <c r="B66" s="9" t="s">
        <v>385</v>
      </c>
      <c r="C66" s="9" t="s">
        <v>3378</v>
      </c>
      <c r="D66" s="9" t="s">
        <v>3384</v>
      </c>
      <c r="E66" s="9" t="s">
        <v>3373</v>
      </c>
      <c r="F66" s="9" t="s">
        <v>1377</v>
      </c>
      <c r="G66" s="9"/>
      <c r="H66" s="9" t="str">
        <f aca="false">IF(G66="","",(G66-F66)*24)</f>
        <v/>
      </c>
      <c r="I66" s="9" t="s">
        <v>282</v>
      </c>
      <c r="J66" s="9" t="s">
        <v>2852</v>
      </c>
    </row>
    <row r="67" customFormat="false" ht="15" hidden="false" customHeight="false" outlineLevel="0" collapsed="false">
      <c r="A67" s="9" t="s">
        <v>3480</v>
      </c>
      <c r="B67" s="9" t="s">
        <v>72</v>
      </c>
      <c r="C67" s="9" t="s">
        <v>3366</v>
      </c>
      <c r="D67" s="9" t="s">
        <v>3384</v>
      </c>
      <c r="E67" s="9" t="s">
        <v>3368</v>
      </c>
      <c r="F67" s="9" t="s">
        <v>1973</v>
      </c>
      <c r="G67" s="9" t="s">
        <v>1972</v>
      </c>
      <c r="H67" s="9" t="n">
        <f aca="false">IF(G67="","",(G67-F67)*24)</f>
        <v>48</v>
      </c>
      <c r="I67" s="9" t="s">
        <v>472</v>
      </c>
      <c r="J67" s="9" t="s">
        <v>3369</v>
      </c>
    </row>
    <row r="68" customFormat="false" ht="15" hidden="false" customHeight="false" outlineLevel="0" collapsed="false">
      <c r="A68" s="9" t="s">
        <v>3481</v>
      </c>
      <c r="B68" s="9" t="s">
        <v>234</v>
      </c>
      <c r="C68" s="9" t="s">
        <v>3383</v>
      </c>
      <c r="D68" s="9" t="s">
        <v>3367</v>
      </c>
      <c r="E68" s="9" t="s">
        <v>3373</v>
      </c>
      <c r="F68" s="9" t="s">
        <v>3482</v>
      </c>
      <c r="G68" s="9" t="s">
        <v>3482</v>
      </c>
      <c r="H68" s="9" t="n">
        <f aca="false">IF(G68="","",(G68-F68)*24)</f>
        <v>0</v>
      </c>
      <c r="I68" s="9" t="s">
        <v>472</v>
      </c>
      <c r="J68" s="9" t="s">
        <v>3369</v>
      </c>
    </row>
    <row r="69" customFormat="false" ht="15" hidden="false" customHeight="false" outlineLevel="0" collapsed="false">
      <c r="A69" s="9" t="s">
        <v>3483</v>
      </c>
      <c r="B69" s="9" t="s">
        <v>420</v>
      </c>
      <c r="C69" s="9" t="s">
        <v>3383</v>
      </c>
      <c r="D69" s="9" t="s">
        <v>3372</v>
      </c>
      <c r="E69" s="9" t="s">
        <v>3391</v>
      </c>
      <c r="F69" s="9" t="s">
        <v>3484</v>
      </c>
      <c r="G69" s="9" t="s">
        <v>3432</v>
      </c>
      <c r="H69" s="9" t="n">
        <f aca="false">IF(G69="","",(G69-F69)*24)</f>
        <v>96</v>
      </c>
      <c r="I69" s="9" t="s">
        <v>164</v>
      </c>
      <c r="J69" s="9" t="s">
        <v>3369</v>
      </c>
    </row>
    <row r="70" customFormat="false" ht="15" hidden="false" customHeight="false" outlineLevel="0" collapsed="false">
      <c r="A70" s="9" t="s">
        <v>3485</v>
      </c>
      <c r="B70" s="9" t="s">
        <v>152</v>
      </c>
      <c r="C70" s="9" t="s">
        <v>3378</v>
      </c>
      <c r="D70" s="9" t="s">
        <v>3393</v>
      </c>
      <c r="E70" s="9" t="s">
        <v>3373</v>
      </c>
      <c r="F70" s="9" t="s">
        <v>3486</v>
      </c>
      <c r="G70" s="9" t="s">
        <v>3487</v>
      </c>
      <c r="H70" s="9" t="n">
        <f aca="false">IF(G70="","",(G70-F70)*24)</f>
        <v>48</v>
      </c>
      <c r="I70" s="9" t="s">
        <v>434</v>
      </c>
      <c r="J70" s="9" t="s">
        <v>3369</v>
      </c>
    </row>
    <row r="71" customFormat="false" ht="15" hidden="false" customHeight="false" outlineLevel="0" collapsed="false">
      <c r="A71" s="9" t="s">
        <v>3488</v>
      </c>
      <c r="B71" s="9" t="s">
        <v>258</v>
      </c>
      <c r="C71" s="9" t="s">
        <v>3387</v>
      </c>
      <c r="D71" s="9" t="s">
        <v>3384</v>
      </c>
      <c r="E71" s="9" t="s">
        <v>3368</v>
      </c>
      <c r="F71" s="9" t="s">
        <v>1981</v>
      </c>
      <c r="G71" s="9" t="s">
        <v>3461</v>
      </c>
      <c r="H71" s="9" t="n">
        <f aca="false">IF(G71="","",(G71-F71)*24)</f>
        <v>24</v>
      </c>
      <c r="I71" s="9" t="s">
        <v>242</v>
      </c>
      <c r="J71" s="9" t="s">
        <v>3369</v>
      </c>
    </row>
    <row r="72" customFormat="false" ht="15" hidden="false" customHeight="false" outlineLevel="0" collapsed="false">
      <c r="A72" s="9" t="s">
        <v>3489</v>
      </c>
      <c r="B72" s="9" t="s">
        <v>52</v>
      </c>
      <c r="C72" s="9" t="s">
        <v>3371</v>
      </c>
      <c r="D72" s="9" t="s">
        <v>3379</v>
      </c>
      <c r="E72" s="9" t="s">
        <v>3388</v>
      </c>
      <c r="F72" s="9" t="s">
        <v>3490</v>
      </c>
      <c r="G72" s="9" t="s">
        <v>634</v>
      </c>
      <c r="H72" s="9" t="n">
        <f aca="false">IF(G72="","",(G72-F72)*24)</f>
        <v>72</v>
      </c>
      <c r="I72" s="9" t="s">
        <v>569</v>
      </c>
      <c r="J72" s="9" t="s">
        <v>3369</v>
      </c>
    </row>
    <row r="73" customFormat="false" ht="15" hidden="false" customHeight="false" outlineLevel="0" collapsed="false">
      <c r="A73" s="9" t="s">
        <v>3491</v>
      </c>
      <c r="B73" s="9" t="s">
        <v>689</v>
      </c>
      <c r="C73" s="9" t="s">
        <v>3366</v>
      </c>
      <c r="D73" s="9" t="s">
        <v>3372</v>
      </c>
      <c r="E73" s="9" t="s">
        <v>3368</v>
      </c>
      <c r="F73" s="9" t="s">
        <v>3492</v>
      </c>
      <c r="G73" s="9" t="s">
        <v>1113</v>
      </c>
      <c r="H73" s="9" t="n">
        <f aca="false">IF(G73="","",(G73-F73)*24)</f>
        <v>48</v>
      </c>
      <c r="I73" s="9" t="s">
        <v>204</v>
      </c>
      <c r="J73" s="9" t="s">
        <v>3369</v>
      </c>
    </row>
    <row r="74" customFormat="false" ht="15" hidden="false" customHeight="false" outlineLevel="0" collapsed="false">
      <c r="A74" s="9" t="s">
        <v>3493</v>
      </c>
      <c r="B74" s="9" t="s">
        <v>266</v>
      </c>
      <c r="C74" s="9" t="s">
        <v>3371</v>
      </c>
      <c r="D74" s="9" t="s">
        <v>3379</v>
      </c>
      <c r="E74" s="9" t="s">
        <v>3368</v>
      </c>
      <c r="F74" s="9" t="s">
        <v>886</v>
      </c>
      <c r="G74" s="9"/>
      <c r="H74" s="9" t="str">
        <f aca="false">IF(G74="","",(G74-F74)*24)</f>
        <v/>
      </c>
      <c r="I74" s="9" t="s">
        <v>359</v>
      </c>
      <c r="J74" s="9" t="s">
        <v>2852</v>
      </c>
    </row>
    <row r="75" customFormat="false" ht="15" hidden="false" customHeight="false" outlineLevel="0" collapsed="false">
      <c r="A75" s="9" t="s">
        <v>3494</v>
      </c>
      <c r="B75" s="9" t="s">
        <v>673</v>
      </c>
      <c r="C75" s="9" t="s">
        <v>3387</v>
      </c>
      <c r="D75" s="9" t="s">
        <v>3393</v>
      </c>
      <c r="E75" s="9" t="s">
        <v>3368</v>
      </c>
      <c r="F75" s="9" t="s">
        <v>1927</v>
      </c>
      <c r="G75" s="9" t="s">
        <v>3495</v>
      </c>
      <c r="H75" s="9" t="n">
        <f aca="false">IF(G75="","",(G75-F75)*24)</f>
        <v>24</v>
      </c>
      <c r="I75" s="9" t="s">
        <v>635</v>
      </c>
      <c r="J75" s="9" t="s">
        <v>3369</v>
      </c>
    </row>
    <row r="76" customFormat="false" ht="15" hidden="false" customHeight="false" outlineLevel="0" collapsed="false">
      <c r="A76" s="9" t="s">
        <v>3496</v>
      </c>
      <c r="B76" s="9" t="s">
        <v>428</v>
      </c>
      <c r="C76" s="9" t="s">
        <v>3371</v>
      </c>
      <c r="D76" s="9" t="s">
        <v>3384</v>
      </c>
      <c r="E76" s="9" t="s">
        <v>3368</v>
      </c>
      <c r="F76" s="9" t="s">
        <v>2015</v>
      </c>
      <c r="G76" s="9" t="s">
        <v>3497</v>
      </c>
      <c r="H76" s="9" t="n">
        <f aca="false">IF(G76="","",(G76-F76)*24)</f>
        <v>72</v>
      </c>
      <c r="I76" s="9" t="s">
        <v>434</v>
      </c>
      <c r="J76" s="9" t="s">
        <v>3369</v>
      </c>
    </row>
    <row r="77" customFormat="false" ht="15" hidden="false" customHeight="false" outlineLevel="0" collapsed="false">
      <c r="A77" s="9" t="s">
        <v>3498</v>
      </c>
      <c r="B77" s="9" t="s">
        <v>333</v>
      </c>
      <c r="C77" s="9" t="s">
        <v>3383</v>
      </c>
      <c r="D77" s="9" t="s">
        <v>3367</v>
      </c>
      <c r="E77" s="9" t="s">
        <v>3373</v>
      </c>
      <c r="F77" s="9" t="s">
        <v>1603</v>
      </c>
      <c r="G77" s="9"/>
      <c r="H77" s="9" t="str">
        <f aca="false">IF(G77="","",(G77-F77)*24)</f>
        <v/>
      </c>
      <c r="I77" s="9" t="s">
        <v>204</v>
      </c>
      <c r="J77" s="9" t="s">
        <v>2852</v>
      </c>
    </row>
    <row r="78" customFormat="false" ht="15" hidden="false" customHeight="false" outlineLevel="0" collapsed="false">
      <c r="A78" s="9" t="s">
        <v>3499</v>
      </c>
      <c r="B78" s="9" t="s">
        <v>609</v>
      </c>
      <c r="C78" s="9" t="s">
        <v>3366</v>
      </c>
      <c r="D78" s="9" t="s">
        <v>3379</v>
      </c>
      <c r="E78" s="9" t="s">
        <v>3388</v>
      </c>
      <c r="F78" s="9" t="s">
        <v>1138</v>
      </c>
      <c r="G78" s="9" t="s">
        <v>970</v>
      </c>
      <c r="H78" s="9" t="n">
        <f aca="false">IF(G78="","",(G78-F78)*24)</f>
        <v>72</v>
      </c>
      <c r="I78" s="9" t="s">
        <v>282</v>
      </c>
      <c r="J78" s="9" t="s">
        <v>3369</v>
      </c>
    </row>
    <row r="79" customFormat="false" ht="15" hidden="false" customHeight="false" outlineLevel="0" collapsed="false">
      <c r="A79" s="9" t="s">
        <v>3500</v>
      </c>
      <c r="B79" s="9" t="s">
        <v>160</v>
      </c>
      <c r="C79" s="9" t="s">
        <v>3366</v>
      </c>
      <c r="D79" s="9" t="s">
        <v>3393</v>
      </c>
      <c r="E79" s="9" t="s">
        <v>3388</v>
      </c>
      <c r="F79" s="9" t="s">
        <v>3120</v>
      </c>
      <c r="G79" s="9" t="s">
        <v>3501</v>
      </c>
      <c r="H79" s="9" t="n">
        <f aca="false">IF(G79="","",(G79-F79)*24)</f>
        <v>48</v>
      </c>
      <c r="I79" s="9" t="s">
        <v>635</v>
      </c>
      <c r="J79" s="9" t="s">
        <v>3369</v>
      </c>
    </row>
    <row r="80" customFormat="false" ht="15" hidden="false" customHeight="false" outlineLevel="0" collapsed="false">
      <c r="A80" s="9" t="s">
        <v>3502</v>
      </c>
      <c r="B80" s="9" t="s">
        <v>446</v>
      </c>
      <c r="C80" s="9" t="s">
        <v>3378</v>
      </c>
      <c r="D80" s="9" t="s">
        <v>3384</v>
      </c>
      <c r="E80" s="9" t="s">
        <v>3373</v>
      </c>
      <c r="F80" s="9" t="s">
        <v>549</v>
      </c>
      <c r="G80" s="9" t="s">
        <v>200</v>
      </c>
      <c r="H80" s="9" t="n">
        <f aca="false">IF(G80="","",(G80-F80)*24)</f>
        <v>96</v>
      </c>
      <c r="I80" s="9" t="s">
        <v>593</v>
      </c>
      <c r="J80" s="9" t="s">
        <v>3369</v>
      </c>
    </row>
    <row r="81" customFormat="false" ht="15" hidden="false" customHeight="false" outlineLevel="0" collapsed="false">
      <c r="A81" s="9" t="s">
        <v>3503</v>
      </c>
      <c r="B81" s="9" t="s">
        <v>476</v>
      </c>
      <c r="C81" s="9" t="s">
        <v>3383</v>
      </c>
      <c r="D81" s="9" t="s">
        <v>3384</v>
      </c>
      <c r="E81" s="9" t="s">
        <v>3368</v>
      </c>
      <c r="F81" s="9" t="s">
        <v>2157</v>
      </c>
      <c r="G81" s="9" t="s">
        <v>3416</v>
      </c>
      <c r="H81" s="9" t="n">
        <f aca="false">IF(G81="","",(G81-F81)*24)</f>
        <v>72</v>
      </c>
      <c r="I81" s="9" t="s">
        <v>68</v>
      </c>
      <c r="J81" s="9" t="s">
        <v>3369</v>
      </c>
    </row>
    <row r="82" customFormat="false" ht="15" hidden="false" customHeight="false" outlineLevel="0" collapsed="false">
      <c r="A82" s="9" t="s">
        <v>3504</v>
      </c>
      <c r="B82" s="9" t="s">
        <v>409</v>
      </c>
      <c r="C82" s="9" t="s">
        <v>3366</v>
      </c>
      <c r="D82" s="9" t="s">
        <v>3379</v>
      </c>
      <c r="E82" s="9" t="s">
        <v>3368</v>
      </c>
      <c r="F82" s="9" t="s">
        <v>3505</v>
      </c>
      <c r="G82" s="9" t="s">
        <v>910</v>
      </c>
      <c r="H82" s="9" t="n">
        <f aca="false">IF(G82="","",(G82-F82)*24)</f>
        <v>24</v>
      </c>
      <c r="I82" s="9" t="s">
        <v>665</v>
      </c>
      <c r="J82" s="9" t="s">
        <v>3369</v>
      </c>
    </row>
    <row r="83" customFormat="false" ht="15" hidden="false" customHeight="false" outlineLevel="0" collapsed="false">
      <c r="A83" s="9" t="s">
        <v>3506</v>
      </c>
      <c r="B83" s="9" t="s">
        <v>305</v>
      </c>
      <c r="C83" s="9" t="s">
        <v>3375</v>
      </c>
      <c r="D83" s="9" t="s">
        <v>3393</v>
      </c>
      <c r="E83" s="9" t="s">
        <v>3373</v>
      </c>
      <c r="F83" s="9" t="s">
        <v>1012</v>
      </c>
      <c r="G83" s="9" t="s">
        <v>1012</v>
      </c>
      <c r="H83" s="9" t="n">
        <f aca="false">IF(G83="","",(G83-F83)*24)</f>
        <v>0</v>
      </c>
      <c r="I83" s="9" t="s">
        <v>434</v>
      </c>
      <c r="J83" s="9" t="s">
        <v>3369</v>
      </c>
    </row>
    <row r="84" customFormat="false" ht="15" hidden="false" customHeight="false" outlineLevel="0" collapsed="false">
      <c r="A84" s="9" t="s">
        <v>3507</v>
      </c>
      <c r="B84" s="9" t="s">
        <v>424</v>
      </c>
      <c r="C84" s="9" t="s">
        <v>3378</v>
      </c>
      <c r="D84" s="9" t="s">
        <v>3384</v>
      </c>
      <c r="E84" s="9" t="s">
        <v>3391</v>
      </c>
      <c r="F84" s="9" t="s">
        <v>3123</v>
      </c>
      <c r="G84" s="9" t="s">
        <v>3123</v>
      </c>
      <c r="H84" s="9" t="n">
        <f aca="false">IF(G84="","",(G84-F84)*24)</f>
        <v>0</v>
      </c>
      <c r="I84" s="9" t="s">
        <v>569</v>
      </c>
      <c r="J84" s="9" t="s">
        <v>3369</v>
      </c>
    </row>
    <row r="85" customFormat="false" ht="15" hidden="false" customHeight="false" outlineLevel="0" collapsed="false">
      <c r="A85" s="9" t="s">
        <v>3508</v>
      </c>
      <c r="B85" s="9" t="s">
        <v>510</v>
      </c>
      <c r="C85" s="9" t="s">
        <v>3383</v>
      </c>
      <c r="D85" s="9" t="s">
        <v>3393</v>
      </c>
      <c r="E85" s="9" t="s">
        <v>3391</v>
      </c>
      <c r="F85" s="9" t="s">
        <v>912</v>
      </c>
      <c r="G85" s="9" t="s">
        <v>912</v>
      </c>
      <c r="H85" s="9" t="n">
        <f aca="false">IF(G85="","",(G85-F85)*24)</f>
        <v>0</v>
      </c>
      <c r="I85" s="9" t="s">
        <v>605</v>
      </c>
      <c r="J85" s="9" t="s">
        <v>3369</v>
      </c>
    </row>
    <row r="86" customFormat="false" ht="15" hidden="false" customHeight="false" outlineLevel="0" collapsed="false">
      <c r="A86" s="9" t="s">
        <v>3509</v>
      </c>
      <c r="B86" s="9" t="s">
        <v>487</v>
      </c>
      <c r="C86" s="9" t="s">
        <v>3383</v>
      </c>
      <c r="D86" s="9" t="s">
        <v>3393</v>
      </c>
      <c r="E86" s="9" t="s">
        <v>3373</v>
      </c>
      <c r="F86" s="9" t="s">
        <v>715</v>
      </c>
      <c r="G86" s="9" t="s">
        <v>3401</v>
      </c>
      <c r="H86" s="9" t="n">
        <f aca="false">IF(G86="","",(G86-F86)*24)</f>
        <v>24</v>
      </c>
      <c r="I86" s="9" t="s">
        <v>434</v>
      </c>
      <c r="J86" s="9" t="s">
        <v>3369</v>
      </c>
    </row>
    <row r="87" customFormat="false" ht="15" hidden="false" customHeight="false" outlineLevel="0" collapsed="false">
      <c r="A87" s="9" t="s">
        <v>3510</v>
      </c>
      <c r="B87" s="9" t="s">
        <v>424</v>
      </c>
      <c r="C87" s="9" t="s">
        <v>3378</v>
      </c>
      <c r="D87" s="9" t="s">
        <v>3379</v>
      </c>
      <c r="E87" s="9" t="s">
        <v>3373</v>
      </c>
      <c r="F87" s="9" t="s">
        <v>2685</v>
      </c>
      <c r="G87" s="9" t="s">
        <v>3025</v>
      </c>
      <c r="H87" s="9" t="n">
        <f aca="false">IF(G87="","",(G87-F87)*24)</f>
        <v>96</v>
      </c>
      <c r="I87" s="9" t="s">
        <v>593</v>
      </c>
      <c r="J87" s="9" t="s">
        <v>3369</v>
      </c>
    </row>
    <row r="88" customFormat="false" ht="15" hidden="false" customHeight="false" outlineLevel="0" collapsed="false">
      <c r="A88" s="9" t="s">
        <v>3511</v>
      </c>
      <c r="B88" s="9" t="s">
        <v>355</v>
      </c>
      <c r="C88" s="9" t="s">
        <v>3387</v>
      </c>
      <c r="D88" s="9" t="s">
        <v>3384</v>
      </c>
      <c r="E88" s="9" t="s">
        <v>3368</v>
      </c>
      <c r="F88" s="9" t="s">
        <v>825</v>
      </c>
      <c r="G88" s="9" t="s">
        <v>1534</v>
      </c>
      <c r="H88" s="9" t="n">
        <f aca="false">IF(G88="","",(G88-F88)*24)</f>
        <v>96</v>
      </c>
      <c r="I88" s="9" t="s">
        <v>593</v>
      </c>
      <c r="J88" s="9" t="s">
        <v>3369</v>
      </c>
    </row>
    <row r="89" customFormat="false" ht="15" hidden="false" customHeight="false" outlineLevel="0" collapsed="false">
      <c r="A89" s="9" t="s">
        <v>3512</v>
      </c>
      <c r="B89" s="9" t="s">
        <v>669</v>
      </c>
      <c r="C89" s="9" t="s">
        <v>3375</v>
      </c>
      <c r="D89" s="9" t="s">
        <v>3367</v>
      </c>
      <c r="E89" s="9" t="s">
        <v>3373</v>
      </c>
      <c r="F89" s="9" t="s">
        <v>2380</v>
      </c>
      <c r="G89" s="9" t="s">
        <v>3408</v>
      </c>
      <c r="H89" s="9" t="n">
        <f aca="false">IF(G89="","",(G89-F89)*24)</f>
        <v>24</v>
      </c>
      <c r="I89" s="9" t="s">
        <v>624</v>
      </c>
      <c r="J89" s="9" t="s">
        <v>3369</v>
      </c>
    </row>
    <row r="90" customFormat="false" ht="15" hidden="false" customHeight="false" outlineLevel="0" collapsed="false">
      <c r="A90" s="9" t="s">
        <v>3513</v>
      </c>
      <c r="B90" s="9" t="s">
        <v>309</v>
      </c>
      <c r="C90" s="9" t="s">
        <v>3375</v>
      </c>
      <c r="D90" s="9" t="s">
        <v>3379</v>
      </c>
      <c r="E90" s="9" t="s">
        <v>3373</v>
      </c>
      <c r="F90" s="9" t="s">
        <v>1374</v>
      </c>
      <c r="G90" s="9" t="s">
        <v>1374</v>
      </c>
      <c r="H90" s="9" t="n">
        <f aca="false">IF(G90="","",(G90-F90)*24)</f>
        <v>0</v>
      </c>
      <c r="I90" s="9" t="s">
        <v>472</v>
      </c>
      <c r="J90" s="9" t="s">
        <v>3369</v>
      </c>
    </row>
    <row r="91" customFormat="false" ht="15" hidden="false" customHeight="false" outlineLevel="0" collapsed="false">
      <c r="A91" s="9" t="s">
        <v>3514</v>
      </c>
      <c r="B91" s="9" t="s">
        <v>309</v>
      </c>
      <c r="C91" s="9" t="s">
        <v>3387</v>
      </c>
      <c r="D91" s="9" t="s">
        <v>3379</v>
      </c>
      <c r="E91" s="9" t="s">
        <v>3368</v>
      </c>
      <c r="F91" s="9" t="s">
        <v>2081</v>
      </c>
      <c r="G91" s="9" t="s">
        <v>3515</v>
      </c>
      <c r="H91" s="9" t="n">
        <f aca="false">IF(G91="","",(G91-F91)*24)</f>
        <v>24</v>
      </c>
      <c r="I91" s="9" t="s">
        <v>624</v>
      </c>
      <c r="J91" s="9" t="s">
        <v>3369</v>
      </c>
    </row>
    <row r="92" customFormat="false" ht="15" hidden="false" customHeight="false" outlineLevel="0" collapsed="false">
      <c r="A92" s="9" t="s">
        <v>3516</v>
      </c>
      <c r="B92" s="9" t="s">
        <v>169</v>
      </c>
      <c r="C92" s="9" t="s">
        <v>3371</v>
      </c>
      <c r="D92" s="9" t="s">
        <v>3379</v>
      </c>
      <c r="E92" s="9" t="s">
        <v>3368</v>
      </c>
      <c r="F92" s="9" t="s">
        <v>1936</v>
      </c>
      <c r="G92" s="9" t="s">
        <v>1935</v>
      </c>
      <c r="H92" s="9" t="n">
        <f aca="false">IF(G92="","",(G92-F92)*24)</f>
        <v>48</v>
      </c>
      <c r="I92" s="9" t="s">
        <v>593</v>
      </c>
      <c r="J92" s="9" t="s">
        <v>3369</v>
      </c>
    </row>
    <row r="93" customFormat="false" ht="15" hidden="false" customHeight="false" outlineLevel="0" collapsed="false">
      <c r="A93" s="9" t="s">
        <v>3517</v>
      </c>
      <c r="B93" s="9" t="s">
        <v>48</v>
      </c>
      <c r="C93" s="9" t="s">
        <v>3378</v>
      </c>
      <c r="D93" s="9" t="s">
        <v>3393</v>
      </c>
      <c r="E93" s="9" t="s">
        <v>3368</v>
      </c>
      <c r="F93" s="9" t="s">
        <v>3518</v>
      </c>
      <c r="G93" s="9" t="s">
        <v>2009</v>
      </c>
      <c r="H93" s="9" t="n">
        <f aca="false">IF(G93="","",(G93-F93)*24)</f>
        <v>72</v>
      </c>
      <c r="I93" s="9" t="s">
        <v>68</v>
      </c>
      <c r="J93" s="9" t="s">
        <v>3369</v>
      </c>
    </row>
    <row r="94" customFormat="false" ht="15" hidden="false" customHeight="false" outlineLevel="0" collapsed="false">
      <c r="A94" s="9" t="s">
        <v>3519</v>
      </c>
      <c r="B94" s="9" t="s">
        <v>550</v>
      </c>
      <c r="C94" s="9" t="s">
        <v>3378</v>
      </c>
      <c r="D94" s="9" t="s">
        <v>3379</v>
      </c>
      <c r="E94" s="9" t="s">
        <v>3388</v>
      </c>
      <c r="F94" s="9" t="s">
        <v>3520</v>
      </c>
      <c r="G94" s="9" t="s">
        <v>3520</v>
      </c>
      <c r="H94" s="9" t="n">
        <f aca="false">IF(G94="","",(G94-F94)*24)</f>
        <v>0</v>
      </c>
      <c r="I94" s="9" t="s">
        <v>359</v>
      </c>
      <c r="J94" s="9" t="s">
        <v>3369</v>
      </c>
    </row>
    <row r="95" customFormat="false" ht="15" hidden="false" customHeight="false" outlineLevel="0" collapsed="false">
      <c r="A95" s="9" t="s">
        <v>3521</v>
      </c>
      <c r="B95" s="9" t="s">
        <v>705</v>
      </c>
      <c r="C95" s="9" t="s">
        <v>3366</v>
      </c>
      <c r="D95" s="9" t="s">
        <v>3367</v>
      </c>
      <c r="E95" s="9" t="s">
        <v>3388</v>
      </c>
      <c r="F95" s="9" t="s">
        <v>3522</v>
      </c>
      <c r="G95" s="9" t="s">
        <v>3522</v>
      </c>
      <c r="H95" s="9" t="n">
        <f aca="false">IF(G95="","",(G95-F95)*24)</f>
        <v>0</v>
      </c>
      <c r="I95" s="9" t="s">
        <v>397</v>
      </c>
      <c r="J95" s="9" t="s">
        <v>3369</v>
      </c>
    </row>
    <row r="96" customFormat="false" ht="15" hidden="false" customHeight="false" outlineLevel="0" collapsed="false">
      <c r="A96" s="9" t="s">
        <v>3523</v>
      </c>
      <c r="B96" s="9" t="s">
        <v>416</v>
      </c>
      <c r="C96" s="9" t="s">
        <v>3371</v>
      </c>
      <c r="D96" s="9" t="s">
        <v>3372</v>
      </c>
      <c r="E96" s="9" t="s">
        <v>3373</v>
      </c>
      <c r="F96" s="9" t="s">
        <v>1111</v>
      </c>
      <c r="G96" s="9" t="s">
        <v>1111</v>
      </c>
      <c r="H96" s="9" t="n">
        <f aca="false">IF(G96="","",(G96-F96)*24)</f>
        <v>0</v>
      </c>
      <c r="I96" s="9" t="s">
        <v>242</v>
      </c>
      <c r="J96" s="9" t="s">
        <v>3369</v>
      </c>
    </row>
    <row r="97" customFormat="false" ht="15" hidden="false" customHeight="false" outlineLevel="0" collapsed="false">
      <c r="A97" s="9" t="s">
        <v>3524</v>
      </c>
      <c r="B97" s="9" t="s">
        <v>294</v>
      </c>
      <c r="C97" s="9" t="s">
        <v>3378</v>
      </c>
      <c r="D97" s="9" t="s">
        <v>3379</v>
      </c>
      <c r="E97" s="9" t="s">
        <v>3388</v>
      </c>
      <c r="F97" s="9" t="s">
        <v>3204</v>
      </c>
      <c r="G97" s="9" t="s">
        <v>1953</v>
      </c>
      <c r="H97" s="9" t="n">
        <f aca="false">IF(G97="","",(G97-F97)*24)</f>
        <v>96</v>
      </c>
      <c r="I97" s="9" t="s">
        <v>397</v>
      </c>
      <c r="J97" s="9" t="s">
        <v>3369</v>
      </c>
    </row>
    <row r="98" customFormat="false" ht="15" hidden="false" customHeight="false" outlineLevel="0" collapsed="false">
      <c r="A98" s="9" t="s">
        <v>3525</v>
      </c>
      <c r="B98" s="9" t="s">
        <v>223</v>
      </c>
      <c r="C98" s="9" t="s">
        <v>3387</v>
      </c>
      <c r="D98" s="9" t="s">
        <v>3367</v>
      </c>
      <c r="E98" s="9" t="s">
        <v>3368</v>
      </c>
      <c r="F98" s="9" t="s">
        <v>925</v>
      </c>
      <c r="G98" s="9" t="s">
        <v>3526</v>
      </c>
      <c r="H98" s="9" t="n">
        <f aca="false">IF(G98="","",(G98-F98)*24)</f>
        <v>96</v>
      </c>
      <c r="I98" s="9" t="s">
        <v>593</v>
      </c>
      <c r="J98" s="9" t="s">
        <v>3369</v>
      </c>
    </row>
    <row r="99" customFormat="false" ht="15" hidden="false" customHeight="false" outlineLevel="0" collapsed="false">
      <c r="A99" s="9" t="s">
        <v>3527</v>
      </c>
      <c r="B99" s="9" t="s">
        <v>601</v>
      </c>
      <c r="C99" s="9" t="s">
        <v>3375</v>
      </c>
      <c r="D99" s="9" t="s">
        <v>3393</v>
      </c>
      <c r="E99" s="9" t="s">
        <v>3368</v>
      </c>
      <c r="F99" s="9" t="s">
        <v>2589</v>
      </c>
      <c r="G99" s="9" t="s">
        <v>3528</v>
      </c>
      <c r="H99" s="9" t="n">
        <f aca="false">IF(G99="","",(G99-F99)*24)</f>
        <v>72</v>
      </c>
      <c r="I99" s="9" t="s">
        <v>554</v>
      </c>
      <c r="J99" s="9" t="s">
        <v>3369</v>
      </c>
    </row>
    <row r="100" customFormat="false" ht="15" hidden="false" customHeight="false" outlineLevel="0" collapsed="false">
      <c r="A100" s="9" t="s">
        <v>3529</v>
      </c>
      <c r="B100" s="9" t="s">
        <v>522</v>
      </c>
      <c r="C100" s="9" t="s">
        <v>3378</v>
      </c>
      <c r="D100" s="9" t="s">
        <v>3393</v>
      </c>
      <c r="E100" s="9" t="s">
        <v>3373</v>
      </c>
      <c r="F100" s="9" t="s">
        <v>2094</v>
      </c>
      <c r="G100" s="9" t="s">
        <v>2138</v>
      </c>
      <c r="H100" s="9" t="n">
        <f aca="false">IF(G100="","",(G100-F100)*24)</f>
        <v>24</v>
      </c>
      <c r="I100" s="9" t="s">
        <v>321</v>
      </c>
      <c r="J100" s="9" t="s">
        <v>3369</v>
      </c>
    </row>
    <row r="101" customFormat="false" ht="15" hidden="false" customHeight="false" outlineLevel="0" collapsed="false">
      <c r="A101" s="9" t="s">
        <v>3530</v>
      </c>
      <c r="B101" s="9" t="s">
        <v>208</v>
      </c>
      <c r="C101" s="9" t="s">
        <v>3371</v>
      </c>
      <c r="D101" s="9" t="s">
        <v>3372</v>
      </c>
      <c r="E101" s="9" t="s">
        <v>3373</v>
      </c>
      <c r="F101" s="9" t="s">
        <v>925</v>
      </c>
      <c r="G101" s="9" t="s">
        <v>925</v>
      </c>
      <c r="H101" s="9" t="n">
        <f aca="false">IF(G101="","",(G101-F101)*24)</f>
        <v>0</v>
      </c>
      <c r="I101" s="9" t="s">
        <v>434</v>
      </c>
      <c r="J101" s="9" t="s">
        <v>3369</v>
      </c>
    </row>
    <row r="102" customFormat="false" ht="15" hidden="false" customHeight="false" outlineLevel="0" collapsed="false">
      <c r="A102" s="9" t="s">
        <v>3531</v>
      </c>
      <c r="B102" s="9" t="s">
        <v>566</v>
      </c>
      <c r="C102" s="9" t="s">
        <v>3383</v>
      </c>
      <c r="D102" s="9" t="s">
        <v>3393</v>
      </c>
      <c r="E102" s="9" t="s">
        <v>3388</v>
      </c>
      <c r="F102" s="9" t="s">
        <v>3532</v>
      </c>
      <c r="G102" s="9" t="s">
        <v>3532</v>
      </c>
      <c r="H102" s="9" t="n">
        <f aca="false">IF(G102="","",(G102-F102)*24)</f>
        <v>0</v>
      </c>
      <c r="I102" s="9" t="s">
        <v>554</v>
      </c>
      <c r="J102" s="9" t="s">
        <v>3369</v>
      </c>
    </row>
    <row r="103" customFormat="false" ht="15" hidden="false" customHeight="false" outlineLevel="0" collapsed="false">
      <c r="A103" s="9" t="s">
        <v>3533</v>
      </c>
      <c r="B103" s="9" t="s">
        <v>616</v>
      </c>
      <c r="C103" s="9" t="s">
        <v>3387</v>
      </c>
      <c r="D103" s="9" t="s">
        <v>3367</v>
      </c>
      <c r="E103" s="9" t="s">
        <v>3388</v>
      </c>
      <c r="F103" s="9" t="s">
        <v>1430</v>
      </c>
      <c r="G103" s="9" t="s">
        <v>3220</v>
      </c>
      <c r="H103" s="9" t="n">
        <f aca="false">IF(G103="","",(G103-F103)*24)</f>
        <v>72</v>
      </c>
      <c r="I103" s="9" t="s">
        <v>434</v>
      </c>
      <c r="J103" s="9" t="s">
        <v>3369</v>
      </c>
    </row>
    <row r="104" customFormat="false" ht="15" hidden="false" customHeight="false" outlineLevel="0" collapsed="false">
      <c r="A104" s="9" t="s">
        <v>3534</v>
      </c>
      <c r="B104" s="9" t="s">
        <v>193</v>
      </c>
      <c r="C104" s="9" t="s">
        <v>3383</v>
      </c>
      <c r="D104" s="9" t="s">
        <v>3384</v>
      </c>
      <c r="E104" s="9" t="s">
        <v>3368</v>
      </c>
      <c r="F104" s="9" t="s">
        <v>707</v>
      </c>
      <c r="G104" s="9" t="s">
        <v>3187</v>
      </c>
      <c r="H104" s="9" t="n">
        <f aca="false">IF(G104="","",(G104-F104)*24)</f>
        <v>48</v>
      </c>
      <c r="I104" s="9" t="s">
        <v>605</v>
      </c>
      <c r="J104" s="9" t="s">
        <v>3369</v>
      </c>
    </row>
    <row r="105" customFormat="false" ht="15" hidden="false" customHeight="false" outlineLevel="0" collapsed="false">
      <c r="A105" s="9" t="s">
        <v>3535</v>
      </c>
      <c r="B105" s="9" t="s">
        <v>609</v>
      </c>
      <c r="C105" s="9" t="s">
        <v>3366</v>
      </c>
      <c r="D105" s="9" t="s">
        <v>3372</v>
      </c>
      <c r="E105" s="9" t="s">
        <v>3368</v>
      </c>
      <c r="F105" s="9" t="s">
        <v>3536</v>
      </c>
      <c r="G105" s="9" t="s">
        <v>3537</v>
      </c>
      <c r="H105" s="9" t="n">
        <f aca="false">IF(G105="","",(G105-F105)*24)</f>
        <v>48</v>
      </c>
      <c r="I105" s="9" t="s">
        <v>635</v>
      </c>
      <c r="J105" s="9" t="s">
        <v>3369</v>
      </c>
    </row>
    <row r="106" customFormat="false" ht="15" hidden="false" customHeight="false" outlineLevel="0" collapsed="false">
      <c r="A106" s="9" t="s">
        <v>3538</v>
      </c>
      <c r="B106" s="9" t="s">
        <v>446</v>
      </c>
      <c r="C106" s="9" t="s">
        <v>3387</v>
      </c>
      <c r="D106" s="9" t="s">
        <v>3379</v>
      </c>
      <c r="E106" s="9" t="s">
        <v>3373</v>
      </c>
      <c r="F106" s="9" t="s">
        <v>1582</v>
      </c>
      <c r="G106" s="9" t="s">
        <v>1569</v>
      </c>
      <c r="H106" s="9" t="n">
        <f aca="false">IF(G106="","",(G106-F106)*24)</f>
        <v>72</v>
      </c>
      <c r="I106" s="9" t="s">
        <v>605</v>
      </c>
      <c r="J106" s="9" t="s">
        <v>3369</v>
      </c>
    </row>
    <row r="107" customFormat="false" ht="15" hidden="false" customHeight="false" outlineLevel="0" collapsed="false">
      <c r="A107" s="9" t="s">
        <v>3539</v>
      </c>
      <c r="B107" s="9" t="s">
        <v>483</v>
      </c>
      <c r="C107" s="9" t="s">
        <v>3371</v>
      </c>
      <c r="D107" s="9" t="s">
        <v>3384</v>
      </c>
      <c r="E107" s="9" t="s">
        <v>3388</v>
      </c>
      <c r="F107" s="9" t="s">
        <v>3540</v>
      </c>
      <c r="G107" s="9" t="s">
        <v>3175</v>
      </c>
      <c r="H107" s="9" t="n">
        <f aca="false">IF(G107="","",(G107-F107)*24)</f>
        <v>24</v>
      </c>
      <c r="I107" s="9" t="s">
        <v>68</v>
      </c>
      <c r="J107" s="9" t="s">
        <v>3369</v>
      </c>
    </row>
    <row r="108" customFormat="false" ht="15" hidden="false" customHeight="false" outlineLevel="0" collapsed="false">
      <c r="A108" s="9" t="s">
        <v>3541</v>
      </c>
      <c r="B108" s="9" t="s">
        <v>665</v>
      </c>
      <c r="C108" s="9" t="s">
        <v>3387</v>
      </c>
      <c r="D108" s="9" t="s">
        <v>3384</v>
      </c>
      <c r="E108" s="9" t="s">
        <v>3391</v>
      </c>
      <c r="F108" s="9" t="s">
        <v>1827</v>
      </c>
      <c r="G108" s="9"/>
      <c r="H108" s="9" t="str">
        <f aca="false">IF(G108="","",(G108-F108)*24)</f>
        <v/>
      </c>
      <c r="I108" s="9" t="s">
        <v>569</v>
      </c>
      <c r="J108" s="9" t="s">
        <v>2852</v>
      </c>
    </row>
    <row r="109" customFormat="false" ht="15" hidden="false" customHeight="false" outlineLevel="0" collapsed="false">
      <c r="A109" s="9" t="s">
        <v>3542</v>
      </c>
      <c r="B109" s="9" t="s">
        <v>462</v>
      </c>
      <c r="C109" s="9" t="s">
        <v>3387</v>
      </c>
      <c r="D109" s="9" t="s">
        <v>3384</v>
      </c>
      <c r="E109" s="9" t="s">
        <v>3388</v>
      </c>
      <c r="F109" s="9" t="s">
        <v>3543</v>
      </c>
      <c r="G109" s="9"/>
      <c r="H109" s="9" t="str">
        <f aca="false">IF(G109="","",(G109-F109)*24)</f>
        <v/>
      </c>
      <c r="I109" s="9" t="s">
        <v>605</v>
      </c>
      <c r="J109" s="9" t="s">
        <v>2852</v>
      </c>
    </row>
    <row r="110" customFormat="false" ht="15" hidden="false" customHeight="false" outlineLevel="0" collapsed="false">
      <c r="A110" s="9" t="s">
        <v>3544</v>
      </c>
      <c r="B110" s="9" t="s">
        <v>234</v>
      </c>
      <c r="C110" s="9" t="s">
        <v>3375</v>
      </c>
      <c r="D110" s="9" t="s">
        <v>3393</v>
      </c>
      <c r="E110" s="9" t="s">
        <v>3388</v>
      </c>
      <c r="F110" s="9" t="s">
        <v>1603</v>
      </c>
      <c r="G110" s="9"/>
      <c r="H110" s="9" t="str">
        <f aca="false">IF(G110="","",(G110-F110)*24)</f>
        <v/>
      </c>
      <c r="I110" s="9" t="s">
        <v>282</v>
      </c>
      <c r="J110" s="9" t="s">
        <v>2852</v>
      </c>
    </row>
    <row r="111" customFormat="false" ht="15" hidden="false" customHeight="false" outlineLevel="0" collapsed="false">
      <c r="A111" s="9" t="s">
        <v>3545</v>
      </c>
      <c r="B111" s="9" t="s">
        <v>577</v>
      </c>
      <c r="C111" s="9" t="s">
        <v>3378</v>
      </c>
      <c r="D111" s="9" t="s">
        <v>3367</v>
      </c>
      <c r="E111" s="9" t="s">
        <v>3373</v>
      </c>
      <c r="F111" s="9" t="s">
        <v>1406</v>
      </c>
      <c r="G111" s="9" t="s">
        <v>1406</v>
      </c>
      <c r="H111" s="9" t="n">
        <f aca="false">IF(G111="","",(G111-F111)*24)</f>
        <v>0</v>
      </c>
      <c r="I111" s="9" t="s">
        <v>635</v>
      </c>
      <c r="J111" s="9" t="s">
        <v>3369</v>
      </c>
    </row>
    <row r="112" customFormat="false" ht="15" hidden="false" customHeight="false" outlineLevel="0" collapsed="false">
      <c r="A112" s="9" t="s">
        <v>3546</v>
      </c>
      <c r="B112" s="9" t="s">
        <v>336</v>
      </c>
      <c r="C112" s="9" t="s">
        <v>3378</v>
      </c>
      <c r="D112" s="9" t="s">
        <v>3384</v>
      </c>
      <c r="E112" s="9" t="s">
        <v>3373</v>
      </c>
      <c r="F112" s="9" t="s">
        <v>953</v>
      </c>
      <c r="G112" s="9" t="s">
        <v>953</v>
      </c>
      <c r="H112" s="9" t="n">
        <f aca="false">IF(G112="","",(G112-F112)*24)</f>
        <v>0</v>
      </c>
      <c r="I112" s="9" t="s">
        <v>685</v>
      </c>
      <c r="J112" s="9" t="s">
        <v>3369</v>
      </c>
    </row>
    <row r="113" customFormat="false" ht="15" hidden="false" customHeight="false" outlineLevel="0" collapsed="false">
      <c r="A113" s="9" t="s">
        <v>3547</v>
      </c>
      <c r="B113" s="9" t="s">
        <v>208</v>
      </c>
      <c r="C113" s="9" t="s">
        <v>3375</v>
      </c>
      <c r="D113" s="9" t="s">
        <v>3367</v>
      </c>
      <c r="E113" s="9" t="s">
        <v>3388</v>
      </c>
      <c r="F113" s="9" t="s">
        <v>3548</v>
      </c>
      <c r="G113" s="9" t="s">
        <v>988</v>
      </c>
      <c r="H113" s="9" t="n">
        <f aca="false">IF(G113="","",(G113-F113)*24)</f>
        <v>24</v>
      </c>
      <c r="I113" s="9" t="s">
        <v>635</v>
      </c>
      <c r="J113" s="9" t="s">
        <v>3369</v>
      </c>
    </row>
    <row r="114" customFormat="false" ht="15" hidden="false" customHeight="false" outlineLevel="0" collapsed="false">
      <c r="A114" s="9" t="s">
        <v>3549</v>
      </c>
      <c r="B114" s="9" t="s">
        <v>577</v>
      </c>
      <c r="C114" s="9" t="s">
        <v>3383</v>
      </c>
      <c r="D114" s="9" t="s">
        <v>3367</v>
      </c>
      <c r="E114" s="9" t="s">
        <v>3388</v>
      </c>
      <c r="F114" s="9" t="s">
        <v>3088</v>
      </c>
      <c r="G114" s="9" t="s">
        <v>3088</v>
      </c>
      <c r="H114" s="9" t="n">
        <f aca="false">IF(G114="","",(G114-F114)*24)</f>
        <v>0</v>
      </c>
      <c r="I114" s="9" t="s">
        <v>164</v>
      </c>
      <c r="J114" s="9" t="s">
        <v>3369</v>
      </c>
    </row>
    <row r="115" customFormat="false" ht="15" hidden="false" customHeight="false" outlineLevel="0" collapsed="false">
      <c r="A115" s="9" t="s">
        <v>3550</v>
      </c>
      <c r="B115" s="9" t="s">
        <v>454</v>
      </c>
      <c r="C115" s="9" t="s">
        <v>3375</v>
      </c>
      <c r="D115" s="9" t="s">
        <v>3379</v>
      </c>
      <c r="E115" s="9" t="s">
        <v>3368</v>
      </c>
      <c r="F115" s="9" t="s">
        <v>3551</v>
      </c>
      <c r="G115" s="9" t="s">
        <v>3167</v>
      </c>
      <c r="H115" s="9" t="n">
        <f aca="false">IF(G115="","",(G115-F115)*24)</f>
        <v>72</v>
      </c>
      <c r="I115" s="9" t="s">
        <v>624</v>
      </c>
      <c r="J115" s="9" t="s">
        <v>3369</v>
      </c>
    </row>
    <row r="116" customFormat="false" ht="15" hidden="false" customHeight="false" outlineLevel="0" collapsed="false">
      <c r="A116" s="9" t="s">
        <v>3552</v>
      </c>
      <c r="B116" s="9" t="s">
        <v>620</v>
      </c>
      <c r="C116" s="9" t="s">
        <v>3383</v>
      </c>
      <c r="D116" s="9" t="s">
        <v>3379</v>
      </c>
      <c r="E116" s="9" t="s">
        <v>3373</v>
      </c>
      <c r="F116" s="9" t="s">
        <v>3553</v>
      </c>
      <c r="G116" s="9" t="s">
        <v>3553</v>
      </c>
      <c r="H116" s="9" t="n">
        <f aca="false">IF(G116="","",(G116-F116)*24)</f>
        <v>0</v>
      </c>
      <c r="I116" s="9" t="s">
        <v>434</v>
      </c>
      <c r="J116" s="9" t="s">
        <v>3369</v>
      </c>
    </row>
    <row r="117" customFormat="false" ht="15" hidden="false" customHeight="false" outlineLevel="0" collapsed="false">
      <c r="A117" s="9" t="s">
        <v>3554</v>
      </c>
      <c r="B117" s="9" t="s">
        <v>708</v>
      </c>
      <c r="C117" s="9" t="s">
        <v>3387</v>
      </c>
      <c r="D117" s="9" t="s">
        <v>3384</v>
      </c>
      <c r="E117" s="9" t="s">
        <v>3388</v>
      </c>
      <c r="F117" s="9" t="s">
        <v>3555</v>
      </c>
      <c r="G117" s="9" t="s">
        <v>3556</v>
      </c>
      <c r="H117" s="9" t="n">
        <f aca="false">IF(G117="","",(G117-F117)*24)</f>
        <v>24</v>
      </c>
      <c r="I117" s="9" t="s">
        <v>593</v>
      </c>
      <c r="J117" s="9" t="s">
        <v>3369</v>
      </c>
    </row>
    <row r="118" customFormat="false" ht="15" hidden="false" customHeight="false" outlineLevel="0" collapsed="false">
      <c r="A118" s="9" t="s">
        <v>3557</v>
      </c>
      <c r="B118" s="9" t="s">
        <v>193</v>
      </c>
      <c r="C118" s="9" t="s">
        <v>3371</v>
      </c>
      <c r="D118" s="9" t="s">
        <v>3367</v>
      </c>
      <c r="E118" s="9" t="s">
        <v>3373</v>
      </c>
      <c r="F118" s="9" t="s">
        <v>3558</v>
      </c>
      <c r="G118" s="9" t="s">
        <v>3558</v>
      </c>
      <c r="H118" s="9" t="n">
        <f aca="false">IF(G118="","",(G118-F118)*24)</f>
        <v>0</v>
      </c>
      <c r="I118" s="9" t="s">
        <v>164</v>
      </c>
      <c r="J118" s="9" t="s">
        <v>3369</v>
      </c>
    </row>
    <row r="119" customFormat="false" ht="15" hidden="false" customHeight="false" outlineLevel="0" collapsed="false">
      <c r="A119" s="9" t="s">
        <v>3559</v>
      </c>
      <c r="B119" s="9" t="s">
        <v>605</v>
      </c>
      <c r="C119" s="9" t="s">
        <v>3375</v>
      </c>
      <c r="D119" s="9" t="s">
        <v>3372</v>
      </c>
      <c r="E119" s="9" t="s">
        <v>3368</v>
      </c>
      <c r="F119" s="9" t="s">
        <v>684</v>
      </c>
      <c r="G119" s="9" t="s">
        <v>1627</v>
      </c>
      <c r="H119" s="9" t="n">
        <f aca="false">IF(G119="","",(G119-F119)*24)</f>
        <v>96</v>
      </c>
      <c r="I119" s="9" t="s">
        <v>554</v>
      </c>
      <c r="J119" s="9" t="s">
        <v>3369</v>
      </c>
    </row>
    <row r="120" customFormat="false" ht="15" hidden="false" customHeight="false" outlineLevel="0" collapsed="false">
      <c r="A120" s="9" t="s">
        <v>3560</v>
      </c>
      <c r="B120" s="9" t="s">
        <v>223</v>
      </c>
      <c r="C120" s="9" t="s">
        <v>3383</v>
      </c>
      <c r="D120" s="9" t="s">
        <v>3384</v>
      </c>
      <c r="E120" s="9" t="s">
        <v>3373</v>
      </c>
      <c r="F120" s="9" t="s">
        <v>2908</v>
      </c>
      <c r="G120" s="9" t="s">
        <v>2908</v>
      </c>
      <c r="H120" s="9" t="n">
        <f aca="false">IF(G120="","",(G120-F120)*24)</f>
        <v>0</v>
      </c>
      <c r="I120" s="9" t="s">
        <v>472</v>
      </c>
      <c r="J120" s="9" t="s">
        <v>3369</v>
      </c>
    </row>
    <row r="121" customFormat="false" ht="15" hidden="false" customHeight="false" outlineLevel="0" collapsed="false">
      <c r="A121" s="9" t="s">
        <v>3561</v>
      </c>
      <c r="B121" s="9" t="s">
        <v>428</v>
      </c>
      <c r="C121" s="9" t="s">
        <v>3375</v>
      </c>
      <c r="D121" s="9" t="s">
        <v>3393</v>
      </c>
      <c r="E121" s="9" t="s">
        <v>3368</v>
      </c>
      <c r="F121" s="9" t="s">
        <v>2009</v>
      </c>
      <c r="G121" s="9"/>
      <c r="H121" s="9" t="str">
        <f aca="false">IF(G121="","",(G121-F121)*24)</f>
        <v/>
      </c>
      <c r="I121" s="9" t="s">
        <v>685</v>
      </c>
      <c r="J121" s="9" t="s">
        <v>2852</v>
      </c>
    </row>
    <row r="122" customFormat="false" ht="15" hidden="false" customHeight="false" outlineLevel="0" collapsed="false">
      <c r="A122" s="9" t="s">
        <v>3562</v>
      </c>
      <c r="B122" s="9" t="s">
        <v>454</v>
      </c>
      <c r="C122" s="9" t="s">
        <v>3387</v>
      </c>
      <c r="D122" s="9" t="s">
        <v>3393</v>
      </c>
      <c r="E122" s="9" t="s">
        <v>3368</v>
      </c>
      <c r="F122" s="9" t="s">
        <v>1420</v>
      </c>
      <c r="G122" s="9"/>
      <c r="H122" s="9" t="str">
        <f aca="false">IF(G122="","",(G122-F122)*24)</f>
        <v/>
      </c>
      <c r="I122" s="9" t="s">
        <v>68</v>
      </c>
      <c r="J122" s="9" t="s">
        <v>2852</v>
      </c>
    </row>
    <row r="123" customFormat="false" ht="15" hidden="false" customHeight="false" outlineLevel="0" collapsed="false">
      <c r="A123" s="9" t="s">
        <v>3563</v>
      </c>
      <c r="B123" s="9" t="s">
        <v>472</v>
      </c>
      <c r="C123" s="9" t="s">
        <v>3387</v>
      </c>
      <c r="D123" s="9" t="s">
        <v>3379</v>
      </c>
      <c r="E123" s="9" t="s">
        <v>3368</v>
      </c>
      <c r="F123" s="9" t="s">
        <v>3564</v>
      </c>
      <c r="G123" s="9" t="s">
        <v>3564</v>
      </c>
      <c r="H123" s="9" t="n">
        <f aca="false">IF(G123="","",(G123-F123)*24)</f>
        <v>0</v>
      </c>
      <c r="I123" s="9" t="s">
        <v>242</v>
      </c>
      <c r="J123" s="9" t="s">
        <v>3369</v>
      </c>
    </row>
    <row r="124" customFormat="false" ht="15" hidden="false" customHeight="false" outlineLevel="0" collapsed="false">
      <c r="A124" s="9" t="s">
        <v>3565</v>
      </c>
      <c r="B124" s="9" t="s">
        <v>605</v>
      </c>
      <c r="C124" s="9" t="s">
        <v>3371</v>
      </c>
      <c r="D124" s="9" t="s">
        <v>3379</v>
      </c>
      <c r="E124" s="9" t="s">
        <v>3368</v>
      </c>
      <c r="F124" s="9" t="s">
        <v>3566</v>
      </c>
      <c r="G124" s="9" t="s">
        <v>1911</v>
      </c>
      <c r="H124" s="9" t="n">
        <f aca="false">IF(G124="","",(G124-F124)*24)</f>
        <v>96</v>
      </c>
      <c r="I124" s="9" t="s">
        <v>593</v>
      </c>
      <c r="J124" s="9" t="s">
        <v>3369</v>
      </c>
    </row>
    <row r="125" customFormat="false" ht="15" hidden="false" customHeight="false" outlineLevel="0" collapsed="false">
      <c r="A125" s="9" t="s">
        <v>3567</v>
      </c>
      <c r="B125" s="9" t="s">
        <v>173</v>
      </c>
      <c r="C125" s="9" t="s">
        <v>3383</v>
      </c>
      <c r="D125" s="9" t="s">
        <v>3384</v>
      </c>
      <c r="E125" s="9" t="s">
        <v>3368</v>
      </c>
      <c r="F125" s="9" t="s">
        <v>1798</v>
      </c>
      <c r="G125" s="9" t="s">
        <v>1316</v>
      </c>
      <c r="H125" s="9" t="n">
        <f aca="false">IF(G125="","",(G125-F125)*24)</f>
        <v>72</v>
      </c>
      <c r="I125" s="9" t="s">
        <v>204</v>
      </c>
      <c r="J125" s="9" t="s">
        <v>3369</v>
      </c>
    </row>
    <row r="126" customFormat="false" ht="15" hidden="false" customHeight="false" outlineLevel="0" collapsed="false">
      <c r="A126" s="9" t="s">
        <v>3568</v>
      </c>
      <c r="B126" s="9" t="s">
        <v>234</v>
      </c>
      <c r="C126" s="9" t="s">
        <v>3371</v>
      </c>
      <c r="D126" s="9" t="s">
        <v>3384</v>
      </c>
      <c r="E126" s="9" t="s">
        <v>3388</v>
      </c>
      <c r="F126" s="9" t="s">
        <v>2528</v>
      </c>
      <c r="G126" s="9"/>
      <c r="H126" s="9" t="str">
        <f aca="false">IF(G126="","",(G126-F126)*24)</f>
        <v/>
      </c>
      <c r="I126" s="9" t="s">
        <v>662</v>
      </c>
      <c r="J126" s="9" t="s">
        <v>2852</v>
      </c>
    </row>
    <row r="127" customFormat="false" ht="15" hidden="false" customHeight="false" outlineLevel="0" collapsed="false">
      <c r="A127" s="9" t="s">
        <v>3569</v>
      </c>
      <c r="B127" s="9" t="s">
        <v>620</v>
      </c>
      <c r="C127" s="9" t="s">
        <v>3366</v>
      </c>
      <c r="D127" s="9" t="s">
        <v>3379</v>
      </c>
      <c r="E127" s="9" t="s">
        <v>3391</v>
      </c>
      <c r="F127" s="9" t="s">
        <v>2851</v>
      </c>
      <c r="G127" s="9" t="s">
        <v>2851</v>
      </c>
      <c r="H127" s="9" t="n">
        <f aca="false">IF(G127="","",(G127-F127)*24)</f>
        <v>0</v>
      </c>
      <c r="I127" s="9" t="s">
        <v>554</v>
      </c>
      <c r="J127" s="9" t="s">
        <v>3369</v>
      </c>
    </row>
    <row r="128" customFormat="false" ht="15" hidden="false" customHeight="false" outlineLevel="0" collapsed="false">
      <c r="A128" s="9" t="s">
        <v>3570</v>
      </c>
      <c r="B128" s="9" t="s">
        <v>514</v>
      </c>
      <c r="C128" s="9" t="s">
        <v>3366</v>
      </c>
      <c r="D128" s="9" t="s">
        <v>3367</v>
      </c>
      <c r="E128" s="9" t="s">
        <v>3368</v>
      </c>
      <c r="F128" s="9" t="s">
        <v>1267</v>
      </c>
      <c r="G128" s="9" t="s">
        <v>3571</v>
      </c>
      <c r="H128" s="9" t="n">
        <f aca="false">IF(G128="","",(G128-F128)*24)</f>
        <v>72</v>
      </c>
      <c r="I128" s="9" t="s">
        <v>204</v>
      </c>
      <c r="J128" s="9" t="s">
        <v>3369</v>
      </c>
    </row>
    <row r="129" customFormat="false" ht="15" hidden="false" customHeight="false" outlineLevel="0" collapsed="false">
      <c r="A129" s="9" t="s">
        <v>3572</v>
      </c>
      <c r="B129" s="9" t="s">
        <v>705</v>
      </c>
      <c r="C129" s="9" t="s">
        <v>3378</v>
      </c>
      <c r="D129" s="9" t="s">
        <v>3393</v>
      </c>
      <c r="E129" s="9" t="s">
        <v>3368</v>
      </c>
      <c r="F129" s="9" t="s">
        <v>1130</v>
      </c>
      <c r="G129" s="9" t="s">
        <v>3573</v>
      </c>
      <c r="H129" s="9" t="n">
        <f aca="false">IF(G129="","",(G129-F129)*24)</f>
        <v>96</v>
      </c>
      <c r="I129" s="9" t="s">
        <v>204</v>
      </c>
      <c r="J129" s="9" t="s">
        <v>3369</v>
      </c>
    </row>
    <row r="130" customFormat="false" ht="15" hidden="false" customHeight="false" outlineLevel="0" collapsed="false">
      <c r="A130" s="9" t="s">
        <v>3574</v>
      </c>
      <c r="B130" s="9" t="s">
        <v>250</v>
      </c>
      <c r="C130" s="9" t="s">
        <v>3387</v>
      </c>
      <c r="D130" s="9" t="s">
        <v>3372</v>
      </c>
      <c r="E130" s="9" t="s">
        <v>3368</v>
      </c>
      <c r="F130" s="9" t="s">
        <v>1727</v>
      </c>
      <c r="G130" s="9" t="s">
        <v>1385</v>
      </c>
      <c r="H130" s="9" t="n">
        <f aca="false">IF(G130="","",(G130-F130)*24)</f>
        <v>24</v>
      </c>
      <c r="I130" s="9" t="s">
        <v>685</v>
      </c>
      <c r="J130" s="9" t="s">
        <v>3369</v>
      </c>
    </row>
    <row r="131" customFormat="false" ht="15" hidden="false" customHeight="false" outlineLevel="0" collapsed="false">
      <c r="A131" s="9" t="s">
        <v>3575</v>
      </c>
      <c r="B131" s="9" t="s">
        <v>569</v>
      </c>
      <c r="C131" s="9" t="s">
        <v>3378</v>
      </c>
      <c r="D131" s="9" t="s">
        <v>3393</v>
      </c>
      <c r="E131" s="9" t="s">
        <v>3368</v>
      </c>
      <c r="F131" s="9" t="s">
        <v>1838</v>
      </c>
      <c r="G131" s="9" t="s">
        <v>3217</v>
      </c>
      <c r="H131" s="9" t="n">
        <f aca="false">IF(G131="","",(G131-F131)*24)</f>
        <v>48</v>
      </c>
      <c r="I131" s="9" t="s">
        <v>434</v>
      </c>
      <c r="J131" s="9" t="s">
        <v>3369</v>
      </c>
    </row>
    <row r="132" customFormat="false" ht="15" hidden="false" customHeight="false" outlineLevel="0" collapsed="false">
      <c r="A132" s="9" t="s">
        <v>3576</v>
      </c>
      <c r="B132" s="9" t="s">
        <v>290</v>
      </c>
      <c r="C132" s="9" t="s">
        <v>3378</v>
      </c>
      <c r="D132" s="9" t="s">
        <v>3379</v>
      </c>
      <c r="E132" s="9" t="s">
        <v>3373</v>
      </c>
      <c r="F132" s="9" t="s">
        <v>3577</v>
      </c>
      <c r="G132" s="9" t="s">
        <v>1947</v>
      </c>
      <c r="H132" s="9" t="n">
        <f aca="false">IF(G132="","",(G132-F132)*24)</f>
        <v>48</v>
      </c>
      <c r="I132" s="9" t="s">
        <v>605</v>
      </c>
      <c r="J132" s="9" t="s">
        <v>3369</v>
      </c>
    </row>
    <row r="133" customFormat="false" ht="15" hidden="false" customHeight="false" outlineLevel="0" collapsed="false">
      <c r="A133" s="9" t="s">
        <v>3578</v>
      </c>
      <c r="B133" s="9" t="s">
        <v>84</v>
      </c>
      <c r="C133" s="9" t="s">
        <v>3387</v>
      </c>
      <c r="D133" s="9" t="s">
        <v>3372</v>
      </c>
      <c r="E133" s="9" t="s">
        <v>3373</v>
      </c>
      <c r="F133" s="9" t="s">
        <v>2284</v>
      </c>
      <c r="G133" s="9" t="s">
        <v>2070</v>
      </c>
      <c r="H133" s="9" t="n">
        <f aca="false">IF(G133="","",(G133-F133)*24)</f>
        <v>72</v>
      </c>
      <c r="I133" s="9" t="s">
        <v>605</v>
      </c>
      <c r="J133" s="9" t="s">
        <v>3369</v>
      </c>
    </row>
    <row r="134" customFormat="false" ht="15" hidden="false" customHeight="false" outlineLevel="0" collapsed="false">
      <c r="A134" s="9" t="s">
        <v>3579</v>
      </c>
      <c r="B134" s="9" t="s">
        <v>409</v>
      </c>
      <c r="C134" s="9" t="s">
        <v>3383</v>
      </c>
      <c r="D134" s="9" t="s">
        <v>3393</v>
      </c>
      <c r="E134" s="9" t="s">
        <v>3373</v>
      </c>
      <c r="F134" s="9" t="s">
        <v>2101</v>
      </c>
      <c r="G134" s="9" t="s">
        <v>1630</v>
      </c>
      <c r="H134" s="9" t="n">
        <f aca="false">IF(G134="","",(G134-F134)*24)</f>
        <v>24</v>
      </c>
      <c r="I134" s="9" t="s">
        <v>665</v>
      </c>
      <c r="J134" s="9" t="s">
        <v>3369</v>
      </c>
    </row>
    <row r="135" customFormat="false" ht="15" hidden="false" customHeight="false" outlineLevel="0" collapsed="false">
      <c r="A135" s="9" t="s">
        <v>3580</v>
      </c>
      <c r="B135" s="9" t="s">
        <v>185</v>
      </c>
      <c r="C135" s="9" t="s">
        <v>3378</v>
      </c>
      <c r="D135" s="9" t="s">
        <v>3372</v>
      </c>
      <c r="E135" s="9" t="s">
        <v>3373</v>
      </c>
      <c r="F135" s="9" t="s">
        <v>1576</v>
      </c>
      <c r="G135" s="9" t="s">
        <v>1576</v>
      </c>
      <c r="H135" s="9" t="n">
        <f aca="false">IF(G135="","",(G135-F135)*24)</f>
        <v>0</v>
      </c>
      <c r="I135" s="9" t="s">
        <v>397</v>
      </c>
      <c r="J135" s="9" t="s">
        <v>3369</v>
      </c>
    </row>
    <row r="136" customFormat="false" ht="15" hidden="false" customHeight="false" outlineLevel="0" collapsed="false">
      <c r="A136" s="9" t="s">
        <v>3581</v>
      </c>
      <c r="B136" s="9" t="s">
        <v>401</v>
      </c>
      <c r="C136" s="9" t="s">
        <v>3371</v>
      </c>
      <c r="D136" s="9" t="s">
        <v>3393</v>
      </c>
      <c r="E136" s="9" t="s">
        <v>3368</v>
      </c>
      <c r="F136" s="9" t="s">
        <v>3582</v>
      </c>
      <c r="G136" s="9" t="s">
        <v>1367</v>
      </c>
      <c r="H136" s="9" t="n">
        <f aca="false">IF(G136="","",(G136-F136)*24)</f>
        <v>96</v>
      </c>
      <c r="I136" s="9" t="s">
        <v>624</v>
      </c>
      <c r="J136" s="9" t="s">
        <v>3369</v>
      </c>
    </row>
    <row r="137" customFormat="false" ht="15" hidden="false" customHeight="false" outlineLevel="0" collapsed="false">
      <c r="A137" s="9" t="s">
        <v>3583</v>
      </c>
      <c r="B137" s="9" t="s">
        <v>189</v>
      </c>
      <c r="C137" s="9" t="s">
        <v>3375</v>
      </c>
      <c r="D137" s="9" t="s">
        <v>3393</v>
      </c>
      <c r="E137" s="9" t="s">
        <v>3388</v>
      </c>
      <c r="F137" s="9" t="s">
        <v>982</v>
      </c>
      <c r="G137" s="9" t="s">
        <v>1931</v>
      </c>
      <c r="H137" s="9" t="n">
        <f aca="false">IF(G137="","",(G137-F137)*24)</f>
        <v>24</v>
      </c>
      <c r="I137" s="9" t="s">
        <v>593</v>
      </c>
      <c r="J137" s="9" t="s">
        <v>3369</v>
      </c>
    </row>
    <row r="138" customFormat="false" ht="15" hidden="false" customHeight="false" outlineLevel="0" collapsed="false">
      <c r="A138" s="9" t="s">
        <v>3584</v>
      </c>
      <c r="B138" s="9" t="s">
        <v>204</v>
      </c>
      <c r="C138" s="9" t="s">
        <v>3383</v>
      </c>
      <c r="D138" s="9" t="s">
        <v>3372</v>
      </c>
      <c r="E138" s="9" t="s">
        <v>3391</v>
      </c>
      <c r="F138" s="9" t="s">
        <v>3585</v>
      </c>
      <c r="G138" s="9" t="s">
        <v>2116</v>
      </c>
      <c r="H138" s="9" t="n">
        <f aca="false">IF(G138="","",(G138-F138)*24)</f>
        <v>72</v>
      </c>
      <c r="I138" s="9" t="s">
        <v>635</v>
      </c>
      <c r="J138" s="9" t="s">
        <v>3369</v>
      </c>
    </row>
    <row r="139" customFormat="false" ht="15" hidden="false" customHeight="false" outlineLevel="0" collapsed="false">
      <c r="A139" s="9" t="s">
        <v>3586</v>
      </c>
      <c r="B139" s="9" t="s">
        <v>420</v>
      </c>
      <c r="C139" s="9" t="s">
        <v>3387</v>
      </c>
      <c r="D139" s="9" t="s">
        <v>3393</v>
      </c>
      <c r="E139" s="9" t="s">
        <v>3373</v>
      </c>
      <c r="F139" s="9" t="s">
        <v>2346</v>
      </c>
      <c r="G139" s="9" t="s">
        <v>1367</v>
      </c>
      <c r="H139" s="9" t="n">
        <f aca="false">IF(G139="","",(G139-F139)*24)</f>
        <v>24</v>
      </c>
      <c r="I139" s="9" t="s">
        <v>554</v>
      </c>
      <c r="J139" s="9" t="s">
        <v>3369</v>
      </c>
    </row>
    <row r="140" customFormat="false" ht="15" hidden="false" customHeight="false" outlineLevel="0" collapsed="false">
      <c r="A140" s="9" t="s">
        <v>3587</v>
      </c>
      <c r="B140" s="9" t="s">
        <v>181</v>
      </c>
      <c r="C140" s="9" t="s">
        <v>3366</v>
      </c>
      <c r="D140" s="9" t="s">
        <v>3367</v>
      </c>
      <c r="E140" s="9" t="s">
        <v>3368</v>
      </c>
      <c r="F140" s="9" t="s">
        <v>3588</v>
      </c>
      <c r="G140" s="9" t="s">
        <v>1978</v>
      </c>
      <c r="H140" s="9" t="n">
        <f aca="false">IF(G140="","",(G140-F140)*24)</f>
        <v>48</v>
      </c>
      <c r="I140" s="9" t="s">
        <v>359</v>
      </c>
      <c r="J140" s="9" t="s">
        <v>3369</v>
      </c>
    </row>
    <row r="141" customFormat="false" ht="15" hidden="false" customHeight="false" outlineLevel="0" collapsed="false">
      <c r="A141" s="9" t="s">
        <v>3589</v>
      </c>
      <c r="B141" s="9" t="s">
        <v>223</v>
      </c>
      <c r="C141" s="9" t="s">
        <v>3378</v>
      </c>
      <c r="D141" s="9" t="s">
        <v>3367</v>
      </c>
      <c r="E141" s="9" t="s">
        <v>3368</v>
      </c>
      <c r="F141" s="9" t="s">
        <v>300</v>
      </c>
      <c r="G141" s="9" t="s">
        <v>300</v>
      </c>
      <c r="H141" s="9" t="n">
        <f aca="false">IF(G141="","",(G141-F141)*24)</f>
        <v>0</v>
      </c>
      <c r="I141" s="9" t="s">
        <v>434</v>
      </c>
      <c r="J141" s="9" t="s">
        <v>3369</v>
      </c>
    </row>
    <row r="142" customFormat="false" ht="15" hidden="false" customHeight="false" outlineLevel="0" collapsed="false">
      <c r="A142" s="9" t="s">
        <v>3590</v>
      </c>
      <c r="B142" s="9" t="s">
        <v>169</v>
      </c>
      <c r="C142" s="9" t="s">
        <v>3383</v>
      </c>
      <c r="D142" s="9" t="s">
        <v>3367</v>
      </c>
      <c r="E142" s="9" t="s">
        <v>3388</v>
      </c>
      <c r="F142" s="9" t="s">
        <v>3591</v>
      </c>
      <c r="G142" s="9" t="s">
        <v>3592</v>
      </c>
      <c r="H142" s="9" t="n">
        <f aca="false">IF(G142="","",(G142-F142)*24)</f>
        <v>96</v>
      </c>
      <c r="I142" s="9" t="s">
        <v>434</v>
      </c>
      <c r="J142" s="9" t="s">
        <v>3369</v>
      </c>
    </row>
    <row r="143" customFormat="false" ht="15" hidden="false" customHeight="false" outlineLevel="0" collapsed="false">
      <c r="A143" s="9" t="s">
        <v>3593</v>
      </c>
      <c r="B143" s="9" t="s">
        <v>152</v>
      </c>
      <c r="C143" s="9" t="s">
        <v>3378</v>
      </c>
      <c r="D143" s="9" t="s">
        <v>3367</v>
      </c>
      <c r="E143" s="9" t="s">
        <v>3368</v>
      </c>
      <c r="F143" s="9" t="s">
        <v>3594</v>
      </c>
      <c r="G143" s="9" t="s">
        <v>3595</v>
      </c>
      <c r="H143" s="9" t="n">
        <f aca="false">IF(G143="","",(G143-F143)*24)</f>
        <v>24</v>
      </c>
      <c r="I143" s="9" t="s">
        <v>605</v>
      </c>
      <c r="J143" s="9" t="s">
        <v>3369</v>
      </c>
    </row>
    <row r="144" customFormat="false" ht="15" hidden="false" customHeight="false" outlineLevel="0" collapsed="false">
      <c r="A144" s="9" t="s">
        <v>3596</v>
      </c>
      <c r="B144" s="9" t="s">
        <v>650</v>
      </c>
      <c r="C144" s="9" t="s">
        <v>3366</v>
      </c>
      <c r="D144" s="9" t="s">
        <v>3384</v>
      </c>
      <c r="E144" s="9" t="s">
        <v>3391</v>
      </c>
      <c r="F144" s="9" t="s">
        <v>3597</v>
      </c>
      <c r="G144" s="9" t="s">
        <v>1026</v>
      </c>
      <c r="H144" s="9" t="n">
        <f aca="false">IF(G144="","",(G144-F144)*24)</f>
        <v>72</v>
      </c>
      <c r="I144" s="9" t="s">
        <v>685</v>
      </c>
      <c r="J144" s="9" t="s">
        <v>3369</v>
      </c>
    </row>
    <row r="145" customFormat="false" ht="15" hidden="false" customHeight="false" outlineLevel="0" collapsed="false">
      <c r="A145" s="9" t="s">
        <v>3598</v>
      </c>
      <c r="B145" s="9" t="s">
        <v>72</v>
      </c>
      <c r="C145" s="9" t="s">
        <v>3366</v>
      </c>
      <c r="D145" s="9" t="s">
        <v>3379</v>
      </c>
      <c r="E145" s="9" t="s">
        <v>3368</v>
      </c>
      <c r="F145" s="9" t="s">
        <v>3599</v>
      </c>
      <c r="G145" s="9" t="s">
        <v>1658</v>
      </c>
      <c r="H145" s="9" t="n">
        <f aca="false">IF(G145="","",(G145-F145)*24)</f>
        <v>24</v>
      </c>
      <c r="I145" s="9" t="s">
        <v>554</v>
      </c>
      <c r="J145" s="9" t="s">
        <v>3369</v>
      </c>
    </row>
    <row r="146" customFormat="false" ht="15" hidden="false" customHeight="false" outlineLevel="0" collapsed="false">
      <c r="A146" s="9" t="s">
        <v>3600</v>
      </c>
      <c r="B146" s="9" t="s">
        <v>185</v>
      </c>
      <c r="C146" s="9" t="s">
        <v>3387</v>
      </c>
      <c r="D146" s="9" t="s">
        <v>3384</v>
      </c>
      <c r="E146" s="9" t="s">
        <v>3373</v>
      </c>
      <c r="F146" s="9" t="s">
        <v>1119</v>
      </c>
      <c r="G146" s="9" t="s">
        <v>1162</v>
      </c>
      <c r="H146" s="9" t="n">
        <f aca="false">IF(G146="","",(G146-F146)*24)</f>
        <v>72</v>
      </c>
      <c r="I146" s="9" t="s">
        <v>605</v>
      </c>
      <c r="J146" s="9" t="s">
        <v>3369</v>
      </c>
    </row>
    <row r="147" customFormat="false" ht="15" hidden="false" customHeight="false" outlineLevel="0" collapsed="false">
      <c r="A147" s="9" t="s">
        <v>3601</v>
      </c>
      <c r="B147" s="9" t="s">
        <v>693</v>
      </c>
      <c r="C147" s="9" t="s">
        <v>3371</v>
      </c>
      <c r="D147" s="9" t="s">
        <v>3393</v>
      </c>
      <c r="E147" s="9" t="s">
        <v>3391</v>
      </c>
      <c r="F147" s="9" t="s">
        <v>1851</v>
      </c>
      <c r="G147" s="9" t="s">
        <v>3471</v>
      </c>
      <c r="H147" s="9" t="n">
        <f aca="false">IF(G147="","",(G147-F147)*24)</f>
        <v>72</v>
      </c>
      <c r="I147" s="9" t="s">
        <v>685</v>
      </c>
      <c r="J147" s="9" t="s">
        <v>3369</v>
      </c>
    </row>
    <row r="148" customFormat="false" ht="15" hidden="false" customHeight="false" outlineLevel="0" collapsed="false">
      <c r="A148" s="9" t="s">
        <v>3602</v>
      </c>
      <c r="B148" s="9" t="s">
        <v>148</v>
      </c>
      <c r="C148" s="9" t="s">
        <v>3375</v>
      </c>
      <c r="D148" s="9" t="s">
        <v>3384</v>
      </c>
      <c r="E148" s="9" t="s">
        <v>3373</v>
      </c>
      <c r="F148" s="9" t="s">
        <v>3603</v>
      </c>
      <c r="G148" s="9" t="s">
        <v>1455</v>
      </c>
      <c r="H148" s="9" t="n">
        <f aca="false">IF(G148="","",(G148-F148)*24)</f>
        <v>72</v>
      </c>
      <c r="I148" s="9" t="s">
        <v>593</v>
      </c>
      <c r="J148" s="9" t="s">
        <v>3369</v>
      </c>
    </row>
    <row r="149" customFormat="false" ht="15" hidden="false" customHeight="false" outlineLevel="0" collapsed="false">
      <c r="A149" s="9" t="s">
        <v>3604</v>
      </c>
      <c r="B149" s="9" t="s">
        <v>313</v>
      </c>
      <c r="C149" s="9" t="s">
        <v>3375</v>
      </c>
      <c r="D149" s="9" t="s">
        <v>3384</v>
      </c>
      <c r="E149" s="9" t="s">
        <v>3391</v>
      </c>
      <c r="F149" s="9" t="s">
        <v>1741</v>
      </c>
      <c r="G149" s="9"/>
      <c r="H149" s="9" t="str">
        <f aca="false">IF(G149="","",(G149-F149)*24)</f>
        <v/>
      </c>
      <c r="I149" s="9" t="s">
        <v>569</v>
      </c>
      <c r="J149" s="9" t="s">
        <v>2852</v>
      </c>
    </row>
    <row r="150" customFormat="false" ht="15" hidden="false" customHeight="false" outlineLevel="0" collapsed="false">
      <c r="A150" s="9" t="s">
        <v>3605</v>
      </c>
      <c r="B150" s="9" t="s">
        <v>68</v>
      </c>
      <c r="C150" s="9" t="s">
        <v>3383</v>
      </c>
      <c r="D150" s="9" t="s">
        <v>3372</v>
      </c>
      <c r="E150" s="9" t="s">
        <v>3373</v>
      </c>
      <c r="F150" s="9" t="s">
        <v>1850</v>
      </c>
      <c r="G150" s="9" t="s">
        <v>776</v>
      </c>
      <c r="H150" s="9" t="n">
        <f aca="false">IF(G150="","",(G150-F150)*24)</f>
        <v>72</v>
      </c>
      <c r="I150" s="9" t="s">
        <v>624</v>
      </c>
      <c r="J150" s="9" t="s">
        <v>3369</v>
      </c>
    </row>
    <row r="151" customFormat="false" ht="15" hidden="false" customHeight="false" outlineLevel="0" collapsed="false">
      <c r="A151" s="9" t="s">
        <v>3606</v>
      </c>
      <c r="B151" s="9" t="s">
        <v>363</v>
      </c>
      <c r="C151" s="9" t="s">
        <v>3383</v>
      </c>
      <c r="D151" s="9" t="s">
        <v>3372</v>
      </c>
      <c r="E151" s="9" t="s">
        <v>3388</v>
      </c>
      <c r="F151" s="9" t="s">
        <v>764</v>
      </c>
      <c r="G151" s="9" t="s">
        <v>1286</v>
      </c>
      <c r="H151" s="9" t="n">
        <f aca="false">IF(G151="","",(G151-F151)*24)</f>
        <v>96</v>
      </c>
      <c r="I151" s="9" t="s">
        <v>554</v>
      </c>
      <c r="J151" s="9" t="s">
        <v>3369</v>
      </c>
    </row>
    <row r="152" customFormat="false" ht="15" hidden="false" customHeight="false" outlineLevel="0" collapsed="false">
      <c r="A152" s="9" t="s">
        <v>3607</v>
      </c>
      <c r="B152" s="9" t="s">
        <v>305</v>
      </c>
      <c r="C152" s="9" t="s">
        <v>3387</v>
      </c>
      <c r="D152" s="9" t="s">
        <v>3367</v>
      </c>
      <c r="E152" s="9" t="s">
        <v>3373</v>
      </c>
      <c r="F152" s="9" t="s">
        <v>3608</v>
      </c>
      <c r="G152" s="9" t="s">
        <v>1873</v>
      </c>
      <c r="H152" s="9" t="n">
        <f aca="false">IF(G152="","",(G152-F152)*24)</f>
        <v>48</v>
      </c>
      <c r="I152" s="9" t="s">
        <v>605</v>
      </c>
      <c r="J152" s="9" t="s">
        <v>3369</v>
      </c>
    </row>
    <row r="153" customFormat="false" ht="15" hidden="false" customHeight="false" outlineLevel="0" collapsed="false">
      <c r="A153" s="9" t="s">
        <v>3609</v>
      </c>
      <c r="B153" s="9" t="s">
        <v>286</v>
      </c>
      <c r="C153" s="9" t="s">
        <v>3371</v>
      </c>
      <c r="D153" s="9" t="s">
        <v>3367</v>
      </c>
      <c r="E153" s="9" t="s">
        <v>3373</v>
      </c>
      <c r="F153" s="9" t="s">
        <v>1355</v>
      </c>
      <c r="G153" s="9"/>
      <c r="H153" s="9" t="str">
        <f aca="false">IF(G153="","",(G153-F153)*24)</f>
        <v/>
      </c>
      <c r="I153" s="9" t="s">
        <v>242</v>
      </c>
      <c r="J153" s="9" t="s">
        <v>2852</v>
      </c>
    </row>
    <row r="154" customFormat="false" ht="15" hidden="false" customHeight="false" outlineLevel="0" collapsed="false">
      <c r="A154" s="9" t="s">
        <v>3610</v>
      </c>
      <c r="B154" s="9" t="s">
        <v>226</v>
      </c>
      <c r="C154" s="9" t="s">
        <v>3378</v>
      </c>
      <c r="D154" s="9" t="s">
        <v>3393</v>
      </c>
      <c r="E154" s="9" t="s">
        <v>3373</v>
      </c>
      <c r="F154" s="9" t="s">
        <v>1082</v>
      </c>
      <c r="G154" s="9" t="s">
        <v>1371</v>
      </c>
      <c r="H154" s="9" t="n">
        <f aca="false">IF(G154="","",(G154-F154)*24)</f>
        <v>96</v>
      </c>
      <c r="I154" s="9" t="s">
        <v>665</v>
      </c>
      <c r="J154" s="9" t="s">
        <v>3369</v>
      </c>
    </row>
    <row r="155" customFormat="false" ht="15" hidden="false" customHeight="false" outlineLevel="0" collapsed="false">
      <c r="A155" s="9" t="s">
        <v>3611</v>
      </c>
      <c r="B155" s="9" t="s">
        <v>562</v>
      </c>
      <c r="C155" s="9" t="s">
        <v>3366</v>
      </c>
      <c r="D155" s="9" t="s">
        <v>3379</v>
      </c>
      <c r="E155" s="9" t="s">
        <v>3388</v>
      </c>
      <c r="F155" s="9" t="s">
        <v>3612</v>
      </c>
      <c r="G155" s="9" t="s">
        <v>257</v>
      </c>
      <c r="H155" s="9" t="n">
        <f aca="false">IF(G155="","",(G155-F155)*24)</f>
        <v>24</v>
      </c>
      <c r="I155" s="9" t="s">
        <v>397</v>
      </c>
      <c r="J155" s="9" t="s">
        <v>3369</v>
      </c>
    </row>
    <row r="156" customFormat="false" ht="15" hidden="false" customHeight="false" outlineLevel="0" collapsed="false">
      <c r="A156" s="9" t="s">
        <v>3613</v>
      </c>
      <c r="B156" s="9" t="s">
        <v>697</v>
      </c>
      <c r="C156" s="9" t="s">
        <v>3387</v>
      </c>
      <c r="D156" s="9" t="s">
        <v>3393</v>
      </c>
      <c r="E156" s="9" t="s">
        <v>3368</v>
      </c>
      <c r="F156" s="9" t="s">
        <v>3614</v>
      </c>
      <c r="G156" s="9"/>
      <c r="H156" s="9" t="str">
        <f aca="false">IF(G156="","",(G156-F156)*24)</f>
        <v/>
      </c>
      <c r="I156" s="9" t="s">
        <v>569</v>
      </c>
      <c r="J156" s="9" t="s">
        <v>2852</v>
      </c>
    </row>
    <row r="157" customFormat="false" ht="15" hidden="false" customHeight="false" outlineLevel="0" collapsed="false">
      <c r="A157" s="9" t="s">
        <v>3615</v>
      </c>
      <c r="B157" s="9" t="s">
        <v>609</v>
      </c>
      <c r="C157" s="9" t="s">
        <v>3371</v>
      </c>
      <c r="D157" s="9" t="s">
        <v>3367</v>
      </c>
      <c r="E157" s="9" t="s">
        <v>3368</v>
      </c>
      <c r="F157" s="9" t="s">
        <v>3172</v>
      </c>
      <c r="G157" s="9" t="s">
        <v>3329</v>
      </c>
      <c r="H157" s="9" t="n">
        <f aca="false">IF(G157="","",(G157-F157)*24)</f>
        <v>48</v>
      </c>
      <c r="I157" s="9" t="s">
        <v>472</v>
      </c>
      <c r="J157" s="9" t="s">
        <v>3369</v>
      </c>
    </row>
    <row r="158" customFormat="false" ht="15" hidden="false" customHeight="false" outlineLevel="0" collapsed="false">
      <c r="A158" s="9" t="s">
        <v>3616</v>
      </c>
      <c r="B158" s="9" t="s">
        <v>431</v>
      </c>
      <c r="C158" s="9" t="s">
        <v>3383</v>
      </c>
      <c r="D158" s="9" t="s">
        <v>3367</v>
      </c>
      <c r="E158" s="9" t="s">
        <v>3373</v>
      </c>
      <c r="F158" s="9" t="s">
        <v>3036</v>
      </c>
      <c r="G158" s="9"/>
      <c r="H158" s="9" t="str">
        <f aca="false">IF(G158="","",(G158-F158)*24)</f>
        <v/>
      </c>
      <c r="I158" s="9" t="s">
        <v>605</v>
      </c>
      <c r="J158" s="9" t="s">
        <v>2852</v>
      </c>
    </row>
    <row r="159" customFormat="false" ht="15" hidden="false" customHeight="false" outlineLevel="0" collapsed="false">
      <c r="A159" s="9" t="s">
        <v>3617</v>
      </c>
      <c r="B159" s="9" t="s">
        <v>97</v>
      </c>
      <c r="C159" s="9" t="s">
        <v>3378</v>
      </c>
      <c r="D159" s="9" t="s">
        <v>3384</v>
      </c>
      <c r="E159" s="9" t="s">
        <v>3388</v>
      </c>
      <c r="F159" s="9" t="s">
        <v>871</v>
      </c>
      <c r="G159" s="9" t="s">
        <v>3618</v>
      </c>
      <c r="H159" s="9" t="n">
        <f aca="false">IF(G159="","",(G159-F159)*24)</f>
        <v>72</v>
      </c>
      <c r="I159" s="9" t="s">
        <v>554</v>
      </c>
      <c r="J159" s="9" t="s">
        <v>3369</v>
      </c>
    </row>
    <row r="160" customFormat="false" ht="15" hidden="false" customHeight="false" outlineLevel="0" collapsed="false">
      <c r="A160" s="9" t="s">
        <v>3619</v>
      </c>
      <c r="B160" s="9" t="s">
        <v>321</v>
      </c>
      <c r="C160" s="9" t="s">
        <v>3366</v>
      </c>
      <c r="D160" s="9" t="s">
        <v>3367</v>
      </c>
      <c r="E160" s="9" t="s">
        <v>3368</v>
      </c>
      <c r="F160" s="9" t="s">
        <v>3620</v>
      </c>
      <c r="G160" s="9" t="s">
        <v>1084</v>
      </c>
      <c r="H160" s="9" t="n">
        <f aca="false">IF(G160="","",(G160-F160)*24)</f>
        <v>72</v>
      </c>
      <c r="I160" s="9" t="s">
        <v>593</v>
      </c>
      <c r="J160" s="9" t="s">
        <v>3369</v>
      </c>
    </row>
    <row r="161" customFormat="false" ht="15" hidden="false" customHeight="false" outlineLevel="0" collapsed="false">
      <c r="A161" s="9" t="s">
        <v>3621</v>
      </c>
      <c r="B161" s="9" t="s">
        <v>550</v>
      </c>
      <c r="C161" s="9" t="s">
        <v>3366</v>
      </c>
      <c r="D161" s="9" t="s">
        <v>3367</v>
      </c>
      <c r="E161" s="9" t="s">
        <v>3368</v>
      </c>
      <c r="F161" s="9" t="s">
        <v>3330</v>
      </c>
      <c r="G161" s="9"/>
      <c r="H161" s="9" t="str">
        <f aca="false">IF(G161="","",(G161-F161)*24)</f>
        <v/>
      </c>
      <c r="I161" s="9" t="s">
        <v>321</v>
      </c>
      <c r="J161" s="9" t="s">
        <v>2852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8" t="s">
        <v>3622</v>
      </c>
      <c r="B1" s="8" t="s">
        <v>3623</v>
      </c>
      <c r="C1" s="8" t="s">
        <v>3624</v>
      </c>
      <c r="D1" s="8" t="s">
        <v>3625</v>
      </c>
      <c r="E1" s="8" t="s">
        <v>3626</v>
      </c>
      <c r="F1" s="8" t="s">
        <v>88</v>
      </c>
      <c r="G1" s="8" t="s">
        <v>3627</v>
      </c>
      <c r="H1" s="8" t="s">
        <v>1645</v>
      </c>
      <c r="I1" s="8" t="s">
        <v>3628</v>
      </c>
      <c r="J1" s="8" t="s">
        <v>96</v>
      </c>
    </row>
    <row r="2" customFormat="false" ht="15" hidden="false" customHeight="false" outlineLevel="0" collapsed="false">
      <c r="A2" s="9" t="s">
        <v>3629</v>
      </c>
      <c r="B2" s="9" t="s">
        <v>3630</v>
      </c>
      <c r="C2" s="9" t="s">
        <v>3631</v>
      </c>
      <c r="D2" s="9" t="s">
        <v>2084</v>
      </c>
      <c r="E2" s="9"/>
      <c r="F2" s="9" t="s">
        <v>14</v>
      </c>
      <c r="G2" s="9" t="n">
        <v>51000000</v>
      </c>
      <c r="H2" s="9" t="s">
        <v>1652</v>
      </c>
      <c r="I2" s="9" t="s">
        <v>577</v>
      </c>
      <c r="J2" s="9" t="s">
        <v>3632</v>
      </c>
    </row>
    <row r="3" customFormat="false" ht="15" hidden="false" customHeight="false" outlineLevel="0" collapsed="false">
      <c r="A3" s="9" t="s">
        <v>3633</v>
      </c>
      <c r="B3" s="9" t="s">
        <v>3634</v>
      </c>
      <c r="C3" s="9" t="s">
        <v>3635</v>
      </c>
      <c r="D3" s="9"/>
      <c r="E3" s="9"/>
      <c r="F3" s="9" t="s">
        <v>71</v>
      </c>
      <c r="G3" s="9" t="n">
        <v>432000000</v>
      </c>
      <c r="H3" s="9" t="s">
        <v>1652</v>
      </c>
      <c r="I3" s="9" t="s">
        <v>538</v>
      </c>
      <c r="J3" s="9" t="s">
        <v>3636</v>
      </c>
    </row>
    <row r="4" customFormat="false" ht="15" hidden="false" customHeight="false" outlineLevel="0" collapsed="false">
      <c r="A4" s="9" t="s">
        <v>3637</v>
      </c>
      <c r="B4" s="9" t="s">
        <v>3608</v>
      </c>
      <c r="C4" s="9" t="s">
        <v>3638</v>
      </c>
      <c r="D4" s="9"/>
      <c r="E4" s="9"/>
      <c r="F4" s="9" t="s">
        <v>14</v>
      </c>
      <c r="G4" s="9" t="n">
        <v>48000000</v>
      </c>
      <c r="H4" s="9" t="s">
        <v>1652</v>
      </c>
      <c r="I4" s="9" t="s">
        <v>169</v>
      </c>
      <c r="J4" s="9" t="s">
        <v>3632</v>
      </c>
    </row>
    <row r="5" customFormat="false" ht="15" hidden="false" customHeight="false" outlineLevel="0" collapsed="false">
      <c r="A5" s="9" t="s">
        <v>3639</v>
      </c>
      <c r="B5" s="9" t="s">
        <v>906</v>
      </c>
      <c r="C5" s="9" t="s">
        <v>3640</v>
      </c>
      <c r="D5" s="9"/>
      <c r="E5" s="9" t="s">
        <v>1518</v>
      </c>
      <c r="F5" s="9" t="s">
        <v>79</v>
      </c>
      <c r="G5" s="9" t="n">
        <v>40500000</v>
      </c>
      <c r="H5" s="9" t="s">
        <v>1652</v>
      </c>
      <c r="I5" s="9" t="s">
        <v>476</v>
      </c>
      <c r="J5" s="9" t="s">
        <v>3632</v>
      </c>
    </row>
    <row r="6" customFormat="false" ht="15" hidden="false" customHeight="false" outlineLevel="0" collapsed="false">
      <c r="A6" s="9" t="s">
        <v>3641</v>
      </c>
      <c r="B6" s="9" t="s">
        <v>828</v>
      </c>
      <c r="C6" s="9" t="s">
        <v>3642</v>
      </c>
      <c r="D6" s="9"/>
      <c r="E6" s="9"/>
      <c r="F6" s="9" t="s">
        <v>67</v>
      </c>
      <c r="G6" s="9" t="n">
        <v>96000000</v>
      </c>
      <c r="H6" s="9" t="s">
        <v>1652</v>
      </c>
      <c r="I6" s="9" t="s">
        <v>246</v>
      </c>
      <c r="J6" s="9" t="s">
        <v>3632</v>
      </c>
    </row>
    <row r="7" customFormat="false" ht="15" hidden="false" customHeight="false" outlineLevel="0" collapsed="false">
      <c r="A7" s="9" t="s">
        <v>3643</v>
      </c>
      <c r="B7" s="9" t="s">
        <v>1883</v>
      </c>
      <c r="C7" s="9" t="s">
        <v>3631</v>
      </c>
      <c r="D7" s="9" t="s">
        <v>1905</v>
      </c>
      <c r="E7" s="9"/>
      <c r="F7" s="9" t="s">
        <v>71</v>
      </c>
      <c r="G7" s="9" t="n">
        <v>394500000</v>
      </c>
      <c r="H7" s="9" t="s">
        <v>1652</v>
      </c>
      <c r="I7" s="9" t="s">
        <v>286</v>
      </c>
      <c r="J7" s="9" t="s">
        <v>3632</v>
      </c>
    </row>
    <row r="8" customFormat="false" ht="15" hidden="false" customHeight="false" outlineLevel="0" collapsed="false">
      <c r="A8" s="9" t="s">
        <v>3644</v>
      </c>
      <c r="B8" s="9" t="s">
        <v>369</v>
      </c>
      <c r="C8" s="9" t="s">
        <v>3635</v>
      </c>
      <c r="D8" s="9"/>
      <c r="E8" s="9"/>
      <c r="F8" s="9" t="s">
        <v>8</v>
      </c>
      <c r="G8" s="9" t="n">
        <v>327000000</v>
      </c>
      <c r="H8" s="9" t="s">
        <v>1652</v>
      </c>
      <c r="I8" s="9" t="s">
        <v>476</v>
      </c>
      <c r="J8" s="9" t="s">
        <v>3636</v>
      </c>
    </row>
    <row r="9" customFormat="false" ht="15" hidden="false" customHeight="false" outlineLevel="0" collapsed="false">
      <c r="A9" s="9" t="s">
        <v>3645</v>
      </c>
      <c r="B9" s="9" t="s">
        <v>3646</v>
      </c>
      <c r="C9" s="9" t="s">
        <v>3642</v>
      </c>
      <c r="D9" s="9"/>
      <c r="E9" s="9"/>
      <c r="F9" s="9" t="s">
        <v>83</v>
      </c>
      <c r="G9" s="9" t="n">
        <v>63000000</v>
      </c>
      <c r="H9" s="9" t="s">
        <v>1652</v>
      </c>
      <c r="I9" s="9" t="s">
        <v>169</v>
      </c>
      <c r="J9" s="9" t="s">
        <v>3632</v>
      </c>
    </row>
    <row r="10" customFormat="false" ht="15" hidden="false" customHeight="false" outlineLevel="0" collapsed="false">
      <c r="A10" s="9" t="s">
        <v>3647</v>
      </c>
      <c r="B10" s="9" t="s">
        <v>1680</v>
      </c>
      <c r="C10" s="9" t="s">
        <v>3638</v>
      </c>
      <c r="D10" s="9" t="s">
        <v>2139</v>
      </c>
      <c r="E10" s="9"/>
      <c r="F10" s="9" t="s">
        <v>67</v>
      </c>
      <c r="G10" s="9" t="n">
        <v>429500000</v>
      </c>
      <c r="H10" s="9" t="s">
        <v>1652</v>
      </c>
      <c r="I10" s="9" t="s">
        <v>246</v>
      </c>
      <c r="J10" s="9" t="s">
        <v>3632</v>
      </c>
    </row>
    <row r="11" customFormat="false" ht="15" hidden="false" customHeight="false" outlineLevel="0" collapsed="false">
      <c r="A11" s="9" t="s">
        <v>3648</v>
      </c>
      <c r="B11" s="9" t="s">
        <v>1707</v>
      </c>
      <c r="C11" s="9" t="s">
        <v>3635</v>
      </c>
      <c r="D11" s="9"/>
      <c r="E11" s="9"/>
      <c r="F11" s="9" t="s">
        <v>75</v>
      </c>
      <c r="G11" s="9" t="n">
        <v>320500000</v>
      </c>
      <c r="H11" s="9" t="s">
        <v>1652</v>
      </c>
      <c r="I11" s="9" t="s">
        <v>169</v>
      </c>
      <c r="J11" s="9" t="s">
        <v>3632</v>
      </c>
    </row>
    <row r="12" customFormat="false" ht="15" hidden="false" customHeight="false" outlineLevel="0" collapsed="false">
      <c r="A12" s="9" t="s">
        <v>3649</v>
      </c>
      <c r="B12" s="9" t="s">
        <v>3431</v>
      </c>
      <c r="C12" s="9" t="s">
        <v>3642</v>
      </c>
      <c r="D12" s="9"/>
      <c r="E12" s="9"/>
      <c r="F12" s="9" t="s">
        <v>67</v>
      </c>
      <c r="G12" s="9" t="n">
        <v>324500000</v>
      </c>
      <c r="H12" s="9" t="s">
        <v>1652</v>
      </c>
      <c r="I12" s="9" t="s">
        <v>401</v>
      </c>
      <c r="J12" s="9" t="s">
        <v>3632</v>
      </c>
    </row>
    <row r="13" customFormat="false" ht="15" hidden="false" customHeight="false" outlineLevel="0" collapsed="false">
      <c r="A13" s="9" t="s">
        <v>3650</v>
      </c>
      <c r="B13" s="9" t="s">
        <v>2002</v>
      </c>
      <c r="C13" s="9" t="s">
        <v>3631</v>
      </c>
      <c r="D13" s="9" t="s">
        <v>1843</v>
      </c>
      <c r="E13" s="9"/>
      <c r="F13" s="9" t="s">
        <v>83</v>
      </c>
      <c r="G13" s="9" t="n">
        <v>323500000</v>
      </c>
      <c r="H13" s="9" t="s">
        <v>1652</v>
      </c>
      <c r="I13" s="9" t="s">
        <v>476</v>
      </c>
      <c r="J13" s="9" t="s">
        <v>3636</v>
      </c>
    </row>
    <row r="14" customFormat="false" ht="15" hidden="false" customHeight="false" outlineLevel="0" collapsed="false">
      <c r="A14" s="9" t="s">
        <v>3651</v>
      </c>
      <c r="B14" s="9" t="s">
        <v>1603</v>
      </c>
      <c r="C14" s="9" t="s">
        <v>3631</v>
      </c>
      <c r="D14" s="9"/>
      <c r="E14" s="9"/>
      <c r="F14" s="9" t="s">
        <v>75</v>
      </c>
      <c r="G14" s="9" t="n">
        <v>314500000</v>
      </c>
      <c r="H14" s="9" t="s">
        <v>1652</v>
      </c>
      <c r="I14" s="9" t="s">
        <v>476</v>
      </c>
      <c r="J14" s="9" t="s">
        <v>3632</v>
      </c>
    </row>
    <row r="15" customFormat="false" ht="15" hidden="false" customHeight="false" outlineLevel="0" collapsed="false">
      <c r="A15" s="9" t="s">
        <v>3652</v>
      </c>
      <c r="B15" s="9" t="s">
        <v>2158</v>
      </c>
      <c r="C15" s="9" t="s">
        <v>3653</v>
      </c>
      <c r="D15" s="9"/>
      <c r="E15" s="9"/>
      <c r="F15" s="9" t="s">
        <v>63</v>
      </c>
      <c r="G15" s="9" t="n">
        <v>62500000</v>
      </c>
      <c r="H15" s="9" t="s">
        <v>1652</v>
      </c>
      <c r="I15" s="9" t="s">
        <v>246</v>
      </c>
      <c r="J15" s="9" t="s">
        <v>3632</v>
      </c>
    </row>
    <row r="16" customFormat="false" ht="15" hidden="false" customHeight="false" outlineLevel="0" collapsed="false">
      <c r="A16" s="9" t="s">
        <v>3654</v>
      </c>
      <c r="B16" s="9" t="s">
        <v>977</v>
      </c>
      <c r="C16" s="9" t="s">
        <v>3635</v>
      </c>
      <c r="D16" s="9"/>
      <c r="E16" s="9"/>
      <c r="F16" s="9" t="s">
        <v>56</v>
      </c>
      <c r="G16" s="9" t="n">
        <v>111000000</v>
      </c>
      <c r="H16" s="9" t="s">
        <v>1652</v>
      </c>
      <c r="I16" s="9" t="s">
        <v>325</v>
      </c>
      <c r="J16" s="9" t="s">
        <v>3632</v>
      </c>
    </row>
    <row r="17" customFormat="false" ht="15" hidden="false" customHeight="false" outlineLevel="0" collapsed="false">
      <c r="A17" s="9" t="s">
        <v>3655</v>
      </c>
      <c r="B17" s="9" t="s">
        <v>957</v>
      </c>
      <c r="C17" s="9" t="s">
        <v>3635</v>
      </c>
      <c r="D17" s="9"/>
      <c r="E17" s="9" t="s">
        <v>1349</v>
      </c>
      <c r="F17" s="9" t="s">
        <v>10</v>
      </c>
      <c r="G17" s="9" t="n">
        <v>373000000</v>
      </c>
      <c r="H17" s="9" t="s">
        <v>1652</v>
      </c>
      <c r="I17" s="9" t="s">
        <v>577</v>
      </c>
      <c r="J17" s="9" t="s">
        <v>3636</v>
      </c>
    </row>
    <row r="18" customFormat="false" ht="15" hidden="false" customHeight="false" outlineLevel="0" collapsed="false">
      <c r="A18" s="9" t="s">
        <v>3656</v>
      </c>
      <c r="B18" s="9" t="s">
        <v>568</v>
      </c>
      <c r="C18" s="9" t="s">
        <v>3631</v>
      </c>
      <c r="D18" s="9" t="s">
        <v>1769</v>
      </c>
      <c r="E18" s="9"/>
      <c r="F18" s="9" t="s">
        <v>67</v>
      </c>
      <c r="G18" s="9" t="n">
        <v>363000000</v>
      </c>
      <c r="H18" s="9" t="s">
        <v>1652</v>
      </c>
      <c r="I18" s="9" t="s">
        <v>438</v>
      </c>
      <c r="J18" s="9" t="s">
        <v>3632</v>
      </c>
    </row>
    <row r="19" customFormat="false" ht="15" hidden="false" customHeight="false" outlineLevel="0" collapsed="false">
      <c r="A19" s="9" t="s">
        <v>3657</v>
      </c>
      <c r="B19" s="9" t="s">
        <v>172</v>
      </c>
      <c r="C19" s="9" t="s">
        <v>3640</v>
      </c>
      <c r="D19" s="9"/>
      <c r="E19" s="9"/>
      <c r="F19" s="9" t="s">
        <v>71</v>
      </c>
      <c r="G19" s="9" t="n">
        <v>99000000</v>
      </c>
      <c r="H19" s="9" t="s">
        <v>1652</v>
      </c>
      <c r="I19" s="9" t="s">
        <v>286</v>
      </c>
      <c r="J19" s="9" t="s">
        <v>3632</v>
      </c>
    </row>
    <row r="20" customFormat="false" ht="15" hidden="false" customHeight="false" outlineLevel="0" collapsed="false">
      <c r="A20" s="9" t="s">
        <v>3658</v>
      </c>
      <c r="B20" s="9" t="s">
        <v>2453</v>
      </c>
      <c r="C20" s="9" t="s">
        <v>3642</v>
      </c>
      <c r="D20" s="9"/>
      <c r="E20" s="9"/>
      <c r="F20" s="9" t="s">
        <v>10</v>
      </c>
      <c r="G20" s="9" t="n">
        <v>299000000</v>
      </c>
      <c r="H20" s="9" t="s">
        <v>1652</v>
      </c>
      <c r="I20" s="9" t="s">
        <v>476</v>
      </c>
      <c r="J20" s="9" t="s">
        <v>3632</v>
      </c>
    </row>
    <row r="21" customFormat="false" ht="15" hidden="false" customHeight="false" outlineLevel="0" collapsed="false">
      <c r="A21" s="9" t="s">
        <v>3659</v>
      </c>
      <c r="B21" s="9" t="s">
        <v>1534</v>
      </c>
      <c r="C21" s="9" t="s">
        <v>3640</v>
      </c>
      <c r="D21" s="9" t="s">
        <v>2095</v>
      </c>
      <c r="E21" s="9"/>
      <c r="F21" s="9" t="s">
        <v>63</v>
      </c>
      <c r="G21" s="9" t="n">
        <v>418000000</v>
      </c>
      <c r="H21" s="9" t="s">
        <v>1652</v>
      </c>
      <c r="I21" s="9" t="s">
        <v>325</v>
      </c>
      <c r="J21" s="9" t="s">
        <v>3632</v>
      </c>
    </row>
    <row r="22" customFormat="false" ht="15" hidden="false" customHeight="false" outlineLevel="0" collapsed="false">
      <c r="A22" s="9" t="s">
        <v>3660</v>
      </c>
      <c r="B22" s="9" t="s">
        <v>3661</v>
      </c>
      <c r="C22" s="9" t="s">
        <v>3642</v>
      </c>
      <c r="D22" s="9"/>
      <c r="E22" s="9"/>
      <c r="F22" s="9" t="s">
        <v>71</v>
      </c>
      <c r="G22" s="9" t="n">
        <v>102500000</v>
      </c>
      <c r="H22" s="9" t="s">
        <v>1652</v>
      </c>
      <c r="I22" s="9" t="s">
        <v>476</v>
      </c>
      <c r="J22" s="9" t="s">
        <v>3632</v>
      </c>
    </row>
    <row r="23" customFormat="false" ht="15" hidden="false" customHeight="false" outlineLevel="0" collapsed="false">
      <c r="A23" s="9" t="s">
        <v>3662</v>
      </c>
      <c r="B23" s="9" t="s">
        <v>1854</v>
      </c>
      <c r="C23" s="9" t="s">
        <v>3642</v>
      </c>
      <c r="D23" s="9"/>
      <c r="E23" s="9"/>
      <c r="F23" s="9" t="s">
        <v>56</v>
      </c>
      <c r="G23" s="9" t="n">
        <v>17500000</v>
      </c>
      <c r="H23" s="9" t="s">
        <v>1652</v>
      </c>
      <c r="I23" s="9" t="s">
        <v>438</v>
      </c>
      <c r="J23" s="9" t="s">
        <v>3632</v>
      </c>
    </row>
    <row r="24" customFormat="false" ht="15" hidden="false" customHeight="false" outlineLevel="0" collapsed="false">
      <c r="A24" s="9" t="s">
        <v>3663</v>
      </c>
      <c r="B24" s="9" t="s">
        <v>3213</v>
      </c>
      <c r="C24" s="9" t="s">
        <v>3631</v>
      </c>
      <c r="D24" s="9"/>
      <c r="E24" s="9"/>
      <c r="F24" s="9" t="s">
        <v>79</v>
      </c>
      <c r="G24" s="9" t="n">
        <v>180500000</v>
      </c>
      <c r="H24" s="9" t="s">
        <v>1652</v>
      </c>
      <c r="I24" s="9" t="s">
        <v>363</v>
      </c>
      <c r="J24" s="9" t="s">
        <v>3632</v>
      </c>
    </row>
    <row r="25" customFormat="false" ht="15" hidden="false" customHeight="false" outlineLevel="0" collapsed="false">
      <c r="A25" s="9" t="s">
        <v>3664</v>
      </c>
      <c r="B25" s="9" t="s">
        <v>2002</v>
      </c>
      <c r="C25" s="9" t="s">
        <v>3631</v>
      </c>
      <c r="D25" s="9" t="s">
        <v>1852</v>
      </c>
      <c r="E25" s="9"/>
      <c r="F25" s="9" t="s">
        <v>67</v>
      </c>
      <c r="G25" s="9" t="n">
        <v>126000000</v>
      </c>
      <c r="H25" s="9" t="s">
        <v>1652</v>
      </c>
      <c r="I25" s="9" t="s">
        <v>169</v>
      </c>
      <c r="J25" s="9" t="s">
        <v>3632</v>
      </c>
    </row>
    <row r="26" customFormat="false" ht="15" hidden="false" customHeight="false" outlineLevel="0" collapsed="false">
      <c r="A26" s="9" t="s">
        <v>3665</v>
      </c>
      <c r="B26" s="9" t="s">
        <v>3666</v>
      </c>
      <c r="C26" s="9" t="s">
        <v>3631</v>
      </c>
      <c r="D26" s="9" t="s">
        <v>1974</v>
      </c>
      <c r="E26" s="9"/>
      <c r="F26" s="9" t="s">
        <v>10</v>
      </c>
      <c r="G26" s="9" t="n">
        <v>5000000</v>
      </c>
      <c r="H26" s="9" t="s">
        <v>1652</v>
      </c>
      <c r="I26" s="9" t="s">
        <v>325</v>
      </c>
      <c r="J26" s="9" t="s">
        <v>3632</v>
      </c>
    </row>
    <row r="27" customFormat="false" ht="15" hidden="false" customHeight="false" outlineLevel="0" collapsed="false">
      <c r="A27" s="9" t="s">
        <v>3667</v>
      </c>
      <c r="B27" s="9" t="s">
        <v>3668</v>
      </c>
      <c r="C27" s="9" t="s">
        <v>3638</v>
      </c>
      <c r="D27" s="9" t="s">
        <v>1983</v>
      </c>
      <c r="E27" s="9"/>
      <c r="F27" s="9" t="s">
        <v>14</v>
      </c>
      <c r="G27" s="9" t="n">
        <v>288000000</v>
      </c>
      <c r="H27" s="9" t="s">
        <v>1652</v>
      </c>
      <c r="I27" s="9" t="s">
        <v>169</v>
      </c>
      <c r="J27" s="9" t="s">
        <v>3632</v>
      </c>
    </row>
    <row r="28" customFormat="false" ht="15" hidden="false" customHeight="false" outlineLevel="0" collapsed="false">
      <c r="A28" s="9" t="s">
        <v>3669</v>
      </c>
      <c r="B28" s="9" t="s">
        <v>3670</v>
      </c>
      <c r="C28" s="9" t="s">
        <v>3638</v>
      </c>
      <c r="D28" s="9" t="s">
        <v>1778</v>
      </c>
      <c r="E28" s="9"/>
      <c r="F28" s="9" t="s">
        <v>79</v>
      </c>
      <c r="G28" s="9" t="n">
        <v>142500000</v>
      </c>
      <c r="H28" s="9" t="s">
        <v>1652</v>
      </c>
      <c r="I28" s="9" t="s">
        <v>577</v>
      </c>
      <c r="J28" s="9" t="s">
        <v>3632</v>
      </c>
    </row>
    <row r="29" customFormat="false" ht="15" hidden="false" customHeight="false" outlineLevel="0" collapsed="false">
      <c r="A29" s="9" t="s">
        <v>3671</v>
      </c>
      <c r="B29" s="9" t="s">
        <v>3672</v>
      </c>
      <c r="C29" s="9" t="s">
        <v>3653</v>
      </c>
      <c r="D29" s="9"/>
      <c r="E29" s="9"/>
      <c r="F29" s="9" t="s">
        <v>71</v>
      </c>
      <c r="G29" s="9" t="n">
        <v>349500000</v>
      </c>
      <c r="H29" s="9" t="s">
        <v>1652</v>
      </c>
      <c r="I29" s="9" t="s">
        <v>363</v>
      </c>
      <c r="J29" s="9" t="s">
        <v>3632</v>
      </c>
    </row>
    <row r="30" customFormat="false" ht="15" hidden="false" customHeight="false" outlineLevel="0" collapsed="false">
      <c r="A30" s="9" t="s">
        <v>3673</v>
      </c>
      <c r="B30" s="9" t="s">
        <v>964</v>
      </c>
      <c r="C30" s="9" t="s">
        <v>3638</v>
      </c>
      <c r="D30" s="9" t="s">
        <v>2139</v>
      </c>
      <c r="E30" s="9"/>
      <c r="F30" s="9" t="s">
        <v>75</v>
      </c>
      <c r="G30" s="9" t="n">
        <v>24000000</v>
      </c>
      <c r="H30" s="9" t="s">
        <v>1652</v>
      </c>
      <c r="I30" s="9" t="s">
        <v>286</v>
      </c>
      <c r="J30" s="9" t="s">
        <v>3632</v>
      </c>
    </row>
    <row r="31" customFormat="false" ht="15" hidden="false" customHeight="false" outlineLevel="0" collapsed="false">
      <c r="A31" s="9" t="s">
        <v>3674</v>
      </c>
      <c r="B31" s="9" t="s">
        <v>2213</v>
      </c>
      <c r="C31" s="9" t="s">
        <v>3642</v>
      </c>
      <c r="D31" s="9"/>
      <c r="E31" s="9"/>
      <c r="F31" s="9" t="s">
        <v>56</v>
      </c>
      <c r="G31" s="9" t="n">
        <v>308000000</v>
      </c>
      <c r="H31" s="9" t="s">
        <v>1652</v>
      </c>
      <c r="I31" s="9" t="s">
        <v>325</v>
      </c>
      <c r="J31" s="9" t="s">
        <v>3632</v>
      </c>
    </row>
    <row r="32" customFormat="false" ht="15" hidden="false" customHeight="false" outlineLevel="0" collapsed="false">
      <c r="A32" s="9" t="s">
        <v>3675</v>
      </c>
      <c r="B32" s="9" t="s">
        <v>584</v>
      </c>
      <c r="C32" s="9" t="s">
        <v>3653</v>
      </c>
      <c r="D32" s="9"/>
      <c r="E32" s="9"/>
      <c r="F32" s="9" t="s">
        <v>8</v>
      </c>
      <c r="G32" s="9" t="n">
        <v>146000000</v>
      </c>
      <c r="H32" s="9" t="s">
        <v>1652</v>
      </c>
      <c r="I32" s="9" t="s">
        <v>72</v>
      </c>
      <c r="J32" s="9" t="s">
        <v>3632</v>
      </c>
    </row>
    <row r="33" customFormat="false" ht="15" hidden="false" customHeight="false" outlineLevel="0" collapsed="false">
      <c r="A33" s="9" t="s">
        <v>3676</v>
      </c>
      <c r="B33" s="9" t="s">
        <v>1022</v>
      </c>
      <c r="C33" s="9" t="s">
        <v>3635</v>
      </c>
      <c r="D33" s="9"/>
      <c r="E33" s="9"/>
      <c r="F33" s="9" t="s">
        <v>63</v>
      </c>
      <c r="G33" s="9" t="n">
        <v>67500000</v>
      </c>
      <c r="H33" s="9" t="s">
        <v>1652</v>
      </c>
      <c r="I33" s="9" t="s">
        <v>363</v>
      </c>
      <c r="J33" s="9" t="s">
        <v>3632</v>
      </c>
    </row>
    <row r="34" customFormat="false" ht="15" hidden="false" customHeight="false" outlineLevel="0" collapsed="false">
      <c r="A34" s="9" t="s">
        <v>3677</v>
      </c>
      <c r="B34" s="9" t="s">
        <v>3233</v>
      </c>
      <c r="C34" s="9" t="s">
        <v>3653</v>
      </c>
      <c r="D34" s="9"/>
      <c r="E34" s="9"/>
      <c r="F34" s="9" t="s">
        <v>8</v>
      </c>
      <c r="G34" s="9" t="n">
        <v>173000000</v>
      </c>
      <c r="H34" s="9" t="s">
        <v>1652</v>
      </c>
      <c r="I34" s="9" t="s">
        <v>538</v>
      </c>
      <c r="J34" s="9" t="s">
        <v>3632</v>
      </c>
    </row>
    <row r="35" customFormat="false" ht="15" hidden="false" customHeight="false" outlineLevel="0" collapsed="false">
      <c r="A35" s="9" t="s">
        <v>3678</v>
      </c>
      <c r="B35" s="9" t="s">
        <v>2346</v>
      </c>
      <c r="C35" s="9" t="s">
        <v>3635</v>
      </c>
      <c r="D35" s="9"/>
      <c r="E35" s="9"/>
      <c r="F35" s="9" t="s">
        <v>71</v>
      </c>
      <c r="G35" s="9" t="n">
        <v>370500000</v>
      </c>
      <c r="H35" s="9" t="s">
        <v>1652</v>
      </c>
      <c r="I35" s="9" t="s">
        <v>286</v>
      </c>
      <c r="J35" s="9" t="s">
        <v>3632</v>
      </c>
    </row>
    <row r="36" customFormat="false" ht="15" hidden="false" customHeight="false" outlineLevel="0" collapsed="false">
      <c r="A36" s="9" t="s">
        <v>3679</v>
      </c>
      <c r="B36" s="9" t="s">
        <v>3680</v>
      </c>
      <c r="C36" s="9" t="s">
        <v>3642</v>
      </c>
      <c r="D36" s="9"/>
      <c r="E36" s="9"/>
      <c r="F36" s="9" t="s">
        <v>10</v>
      </c>
      <c r="G36" s="9" t="n">
        <v>285000000</v>
      </c>
      <c r="H36" s="9" t="s">
        <v>1652</v>
      </c>
      <c r="I36" s="9" t="s">
        <v>325</v>
      </c>
      <c r="J36" s="9" t="s">
        <v>3632</v>
      </c>
    </row>
    <row r="37" customFormat="false" ht="15" hidden="false" customHeight="false" outlineLevel="0" collapsed="false">
      <c r="A37" s="9" t="s">
        <v>3681</v>
      </c>
      <c r="B37" s="9" t="s">
        <v>2968</v>
      </c>
      <c r="C37" s="9" t="s">
        <v>3642</v>
      </c>
      <c r="D37" s="9"/>
      <c r="E37" s="9"/>
      <c r="F37" s="9" t="s">
        <v>63</v>
      </c>
      <c r="G37" s="9" t="n">
        <v>357000000</v>
      </c>
      <c r="H37" s="9" t="s">
        <v>1652</v>
      </c>
      <c r="I37" s="9" t="s">
        <v>401</v>
      </c>
      <c r="J37" s="9" t="s">
        <v>3632</v>
      </c>
    </row>
    <row r="38" customFormat="false" ht="15" hidden="false" customHeight="false" outlineLevel="0" collapsed="false">
      <c r="A38" s="9" t="s">
        <v>3682</v>
      </c>
      <c r="B38" s="9" t="s">
        <v>3683</v>
      </c>
      <c r="C38" s="9" t="s">
        <v>3631</v>
      </c>
      <c r="D38" s="9"/>
      <c r="E38" s="9"/>
      <c r="F38" s="9" t="s">
        <v>10</v>
      </c>
      <c r="G38" s="9" t="n">
        <v>15000000</v>
      </c>
      <c r="H38" s="9" t="s">
        <v>1652</v>
      </c>
      <c r="I38" s="9" t="s">
        <v>246</v>
      </c>
      <c r="J38" s="9" t="s">
        <v>3632</v>
      </c>
    </row>
    <row r="39" customFormat="false" ht="15" hidden="false" customHeight="false" outlineLevel="0" collapsed="false">
      <c r="A39" s="9" t="s">
        <v>3684</v>
      </c>
      <c r="B39" s="9" t="s">
        <v>715</v>
      </c>
      <c r="C39" s="9" t="s">
        <v>3638</v>
      </c>
      <c r="D39" s="9" t="s">
        <v>1983</v>
      </c>
      <c r="E39" s="9"/>
      <c r="F39" s="9" t="s">
        <v>71</v>
      </c>
      <c r="G39" s="9" t="n">
        <v>116000000</v>
      </c>
      <c r="H39" s="9" t="s">
        <v>1652</v>
      </c>
      <c r="I39" s="9" t="s">
        <v>208</v>
      </c>
      <c r="J39" s="9" t="s">
        <v>3632</v>
      </c>
    </row>
    <row r="40" customFormat="false" ht="15" hidden="false" customHeight="false" outlineLevel="0" collapsed="false">
      <c r="A40" s="9" t="s">
        <v>3685</v>
      </c>
      <c r="B40" s="9" t="s">
        <v>3686</v>
      </c>
      <c r="C40" s="9" t="s">
        <v>3653</v>
      </c>
      <c r="D40" s="9"/>
      <c r="E40" s="9"/>
      <c r="F40" s="9" t="s">
        <v>8</v>
      </c>
      <c r="G40" s="9" t="n">
        <v>352500000</v>
      </c>
      <c r="H40" s="9" t="s">
        <v>1652</v>
      </c>
      <c r="I40" s="9" t="s">
        <v>72</v>
      </c>
      <c r="J40" s="9" t="s">
        <v>3632</v>
      </c>
    </row>
    <row r="41" customFormat="false" ht="15" hidden="false" customHeight="false" outlineLevel="0" collapsed="false">
      <c r="A41" s="9" t="s">
        <v>3687</v>
      </c>
      <c r="B41" s="9" t="s">
        <v>2294</v>
      </c>
      <c r="C41" s="9" t="s">
        <v>3635</v>
      </c>
      <c r="D41" s="9"/>
      <c r="E41" s="9" t="s">
        <v>1386</v>
      </c>
      <c r="F41" s="9" t="s">
        <v>10</v>
      </c>
      <c r="G41" s="9" t="n">
        <v>135500000</v>
      </c>
      <c r="H41" s="9" t="s">
        <v>1652</v>
      </c>
      <c r="I41" s="9" t="s">
        <v>325</v>
      </c>
      <c r="J41" s="9" t="s">
        <v>3632</v>
      </c>
    </row>
    <row r="42" customFormat="false" ht="15" hidden="false" customHeight="false" outlineLevel="0" collapsed="false">
      <c r="A42" s="9" t="s">
        <v>3688</v>
      </c>
      <c r="B42" s="9" t="s">
        <v>1716</v>
      </c>
      <c r="C42" s="9" t="s">
        <v>3631</v>
      </c>
      <c r="D42" s="9"/>
      <c r="E42" s="9"/>
      <c r="F42" s="9" t="s">
        <v>56</v>
      </c>
      <c r="G42" s="9" t="n">
        <v>299000000</v>
      </c>
      <c r="H42" s="9" t="s">
        <v>1652</v>
      </c>
      <c r="I42" s="9" t="s">
        <v>401</v>
      </c>
      <c r="J42" s="9" t="s">
        <v>3632</v>
      </c>
    </row>
    <row r="43" customFormat="false" ht="15" hidden="false" customHeight="false" outlineLevel="0" collapsed="false">
      <c r="A43" s="9" t="s">
        <v>3689</v>
      </c>
      <c r="B43" s="9" t="s">
        <v>1044</v>
      </c>
      <c r="C43" s="9" t="s">
        <v>3638</v>
      </c>
      <c r="D43" s="9"/>
      <c r="E43" s="9"/>
      <c r="F43" s="9" t="s">
        <v>71</v>
      </c>
      <c r="G43" s="9" t="n">
        <v>326500000</v>
      </c>
      <c r="H43" s="9" t="s">
        <v>1652</v>
      </c>
      <c r="I43" s="9" t="s">
        <v>401</v>
      </c>
      <c r="J43" s="9" t="s">
        <v>3632</v>
      </c>
    </row>
    <row r="44" customFormat="false" ht="15" hidden="false" customHeight="false" outlineLevel="0" collapsed="false">
      <c r="A44" s="9" t="s">
        <v>3690</v>
      </c>
      <c r="B44" s="9" t="s">
        <v>1228</v>
      </c>
      <c r="C44" s="9" t="s">
        <v>3653</v>
      </c>
      <c r="D44" s="9"/>
      <c r="E44" s="9"/>
      <c r="F44" s="9" t="s">
        <v>14</v>
      </c>
      <c r="G44" s="9" t="n">
        <v>296000000</v>
      </c>
      <c r="H44" s="9" t="s">
        <v>1652</v>
      </c>
      <c r="I44" s="9" t="s">
        <v>401</v>
      </c>
      <c r="J44" s="9" t="s">
        <v>3632</v>
      </c>
    </row>
    <row r="45" customFormat="false" ht="15" hidden="false" customHeight="false" outlineLevel="0" collapsed="false">
      <c r="A45" s="9" t="s">
        <v>3691</v>
      </c>
      <c r="B45" s="9" t="s">
        <v>2068</v>
      </c>
      <c r="C45" s="9" t="s">
        <v>3631</v>
      </c>
      <c r="D45" s="9"/>
      <c r="E45" s="9"/>
      <c r="F45" s="9" t="s">
        <v>75</v>
      </c>
      <c r="G45" s="9" t="n">
        <v>116000000</v>
      </c>
      <c r="H45" s="9" t="s">
        <v>1652</v>
      </c>
      <c r="I45" s="9" t="s">
        <v>169</v>
      </c>
      <c r="J45" s="9" t="s">
        <v>3632</v>
      </c>
    </row>
    <row r="46" customFormat="false" ht="15" hidden="false" customHeight="false" outlineLevel="0" collapsed="false">
      <c r="A46" s="9" t="s">
        <v>3692</v>
      </c>
      <c r="B46" s="9" t="s">
        <v>1385</v>
      </c>
      <c r="C46" s="9" t="s">
        <v>3640</v>
      </c>
      <c r="D46" s="9" t="s">
        <v>2193</v>
      </c>
      <c r="E46" s="9"/>
      <c r="F46" s="9" t="s">
        <v>14</v>
      </c>
      <c r="G46" s="9" t="n">
        <v>338000000</v>
      </c>
      <c r="H46" s="9" t="s">
        <v>1652</v>
      </c>
      <c r="I46" s="9" t="s">
        <v>538</v>
      </c>
      <c r="J46" s="9" t="s">
        <v>3632</v>
      </c>
    </row>
    <row r="47" customFormat="false" ht="15" hidden="false" customHeight="false" outlineLevel="0" collapsed="false">
      <c r="A47" s="9" t="s">
        <v>3693</v>
      </c>
      <c r="B47" s="9" t="s">
        <v>1534</v>
      </c>
      <c r="C47" s="9" t="s">
        <v>3640</v>
      </c>
      <c r="D47" s="9" t="s">
        <v>2139</v>
      </c>
      <c r="E47" s="9" t="s">
        <v>1231</v>
      </c>
      <c r="F47" s="9" t="s">
        <v>14</v>
      </c>
      <c r="G47" s="9" t="n">
        <v>240000000</v>
      </c>
      <c r="H47" s="9" t="s">
        <v>1652</v>
      </c>
      <c r="I47" s="9" t="s">
        <v>363</v>
      </c>
      <c r="J47" s="9" t="s">
        <v>3632</v>
      </c>
    </row>
    <row r="48" customFormat="false" ht="15" hidden="false" customHeight="false" outlineLevel="0" collapsed="false">
      <c r="A48" s="9" t="s">
        <v>3694</v>
      </c>
      <c r="B48" s="9" t="s">
        <v>3105</v>
      </c>
      <c r="C48" s="9" t="s">
        <v>3631</v>
      </c>
      <c r="D48" s="9" t="s">
        <v>2220</v>
      </c>
      <c r="E48" s="9"/>
      <c r="F48" s="9" t="s">
        <v>79</v>
      </c>
      <c r="G48" s="9" t="n">
        <v>263500000</v>
      </c>
      <c r="H48" s="9" t="s">
        <v>1652</v>
      </c>
      <c r="I48" s="9" t="s">
        <v>325</v>
      </c>
      <c r="J48" s="9" t="s">
        <v>3632</v>
      </c>
    </row>
    <row r="49" customFormat="false" ht="15" hidden="false" customHeight="false" outlineLevel="0" collapsed="false">
      <c r="A49" s="9" t="s">
        <v>3695</v>
      </c>
      <c r="B49" s="9" t="s">
        <v>3094</v>
      </c>
      <c r="C49" s="9" t="s">
        <v>3640</v>
      </c>
      <c r="D49" s="9" t="s">
        <v>1821</v>
      </c>
      <c r="E49" s="9"/>
      <c r="F49" s="9" t="s">
        <v>10</v>
      </c>
      <c r="G49" s="9" t="n">
        <v>67000000</v>
      </c>
      <c r="H49" s="9" t="s">
        <v>1652</v>
      </c>
      <c r="I49" s="9" t="s">
        <v>246</v>
      </c>
      <c r="J49" s="9" t="s">
        <v>3636</v>
      </c>
    </row>
    <row r="50" customFormat="false" ht="15" hidden="false" customHeight="false" outlineLevel="0" collapsed="false">
      <c r="A50" s="9" t="s">
        <v>3696</v>
      </c>
      <c r="B50" s="9" t="s">
        <v>3697</v>
      </c>
      <c r="C50" s="9" t="s">
        <v>3642</v>
      </c>
      <c r="D50" s="9"/>
      <c r="E50" s="9"/>
      <c r="F50" s="9" t="s">
        <v>83</v>
      </c>
      <c r="G50" s="9" t="n">
        <v>263000000</v>
      </c>
      <c r="H50" s="9" t="s">
        <v>1652</v>
      </c>
      <c r="I50" s="9" t="s">
        <v>246</v>
      </c>
      <c r="J50" s="9" t="s">
        <v>3632</v>
      </c>
    </row>
    <row r="51" customFormat="false" ht="15" hidden="false" customHeight="false" outlineLevel="0" collapsed="false">
      <c r="A51" s="9" t="s">
        <v>3698</v>
      </c>
      <c r="B51" s="9" t="s">
        <v>1311</v>
      </c>
      <c r="C51" s="9" t="s">
        <v>3635</v>
      </c>
      <c r="D51" s="9"/>
      <c r="E51" s="9" t="s">
        <v>1321</v>
      </c>
      <c r="F51" s="9" t="s">
        <v>63</v>
      </c>
      <c r="G51" s="9" t="n">
        <v>445500000</v>
      </c>
      <c r="H51" s="9" t="s">
        <v>1652</v>
      </c>
      <c r="I51" s="9" t="s">
        <v>476</v>
      </c>
      <c r="J51" s="9" t="s">
        <v>3632</v>
      </c>
    </row>
    <row r="52" customFormat="false" ht="15" hidden="false" customHeight="false" outlineLevel="0" collapsed="false">
      <c r="A52" s="9" t="s">
        <v>3699</v>
      </c>
      <c r="B52" s="9" t="s">
        <v>553</v>
      </c>
      <c r="C52" s="9" t="s">
        <v>3642</v>
      </c>
      <c r="D52" s="9"/>
      <c r="E52" s="9"/>
      <c r="F52" s="9" t="s">
        <v>10</v>
      </c>
      <c r="G52" s="9" t="n">
        <v>381500000</v>
      </c>
      <c r="H52" s="9" t="s">
        <v>1652</v>
      </c>
      <c r="I52" s="9" t="s">
        <v>169</v>
      </c>
      <c r="J52" s="9" t="s">
        <v>3632</v>
      </c>
    </row>
    <row r="53" customFormat="false" ht="15" hidden="false" customHeight="false" outlineLevel="0" collapsed="false">
      <c r="A53" s="9" t="s">
        <v>3700</v>
      </c>
      <c r="B53" s="9" t="s">
        <v>1838</v>
      </c>
      <c r="C53" s="9" t="s">
        <v>3638</v>
      </c>
      <c r="D53" s="9" t="s">
        <v>2121</v>
      </c>
      <c r="E53" s="9"/>
      <c r="F53" s="9" t="s">
        <v>79</v>
      </c>
      <c r="G53" s="9" t="n">
        <v>232000000</v>
      </c>
      <c r="H53" s="9" t="s">
        <v>1652</v>
      </c>
      <c r="I53" s="9" t="s">
        <v>325</v>
      </c>
      <c r="J53" s="9" t="s">
        <v>3632</v>
      </c>
    </row>
    <row r="54" customFormat="false" ht="15" hidden="false" customHeight="false" outlineLevel="0" collapsed="false">
      <c r="A54" s="9" t="s">
        <v>3701</v>
      </c>
      <c r="B54" s="9" t="s">
        <v>3702</v>
      </c>
      <c r="C54" s="9" t="s">
        <v>3635</v>
      </c>
      <c r="D54" s="9"/>
      <c r="E54" s="9" t="s">
        <v>1345</v>
      </c>
      <c r="F54" s="9" t="s">
        <v>56</v>
      </c>
      <c r="G54" s="9" t="n">
        <v>203500000</v>
      </c>
      <c r="H54" s="9" t="s">
        <v>1652</v>
      </c>
      <c r="I54" s="9" t="s">
        <v>438</v>
      </c>
      <c r="J54" s="9" t="s">
        <v>3632</v>
      </c>
    </row>
    <row r="55" customFormat="false" ht="15" hidden="false" customHeight="false" outlineLevel="0" collapsed="false">
      <c r="A55" s="9" t="s">
        <v>3703</v>
      </c>
      <c r="B55" s="9" t="s">
        <v>1968</v>
      </c>
      <c r="C55" s="9" t="s">
        <v>3635</v>
      </c>
      <c r="D55" s="9"/>
      <c r="E55" s="9"/>
      <c r="F55" s="9" t="s">
        <v>67</v>
      </c>
      <c r="G55" s="9" t="n">
        <v>50500000</v>
      </c>
      <c r="H55" s="9" t="s">
        <v>1652</v>
      </c>
      <c r="I55" s="9" t="s">
        <v>72</v>
      </c>
      <c r="J55" s="9" t="s">
        <v>3632</v>
      </c>
    </row>
    <row r="56" customFormat="false" ht="15" hidden="false" customHeight="false" outlineLevel="0" collapsed="false">
      <c r="A56" s="9" t="s">
        <v>3704</v>
      </c>
      <c r="B56" s="9" t="s">
        <v>1998</v>
      </c>
      <c r="C56" s="9" t="s">
        <v>3638</v>
      </c>
      <c r="D56" s="9" t="s">
        <v>2054</v>
      </c>
      <c r="E56" s="9"/>
      <c r="F56" s="9" t="s">
        <v>56</v>
      </c>
      <c r="G56" s="9" t="n">
        <v>304500000</v>
      </c>
      <c r="H56" s="9" t="s">
        <v>1652</v>
      </c>
      <c r="I56" s="9" t="s">
        <v>286</v>
      </c>
      <c r="J56" s="9" t="s">
        <v>3632</v>
      </c>
    </row>
    <row r="57" customFormat="false" ht="15" hidden="false" customHeight="false" outlineLevel="0" collapsed="false">
      <c r="A57" s="9" t="s">
        <v>3705</v>
      </c>
      <c r="B57" s="9" t="s">
        <v>2348</v>
      </c>
      <c r="C57" s="9" t="s">
        <v>3653</v>
      </c>
      <c r="D57" s="9"/>
      <c r="E57" s="9"/>
      <c r="F57" s="9" t="s">
        <v>71</v>
      </c>
      <c r="G57" s="9" t="n">
        <v>56000000</v>
      </c>
      <c r="H57" s="9" t="s">
        <v>1652</v>
      </c>
      <c r="I57" s="9" t="s">
        <v>538</v>
      </c>
      <c r="J57" s="9" t="s">
        <v>3632</v>
      </c>
    </row>
    <row r="58" customFormat="false" ht="15" hidden="false" customHeight="false" outlineLevel="0" collapsed="false">
      <c r="A58" s="9" t="s">
        <v>3706</v>
      </c>
      <c r="B58" s="9" t="s">
        <v>3707</v>
      </c>
      <c r="C58" s="9" t="s">
        <v>3635</v>
      </c>
      <c r="D58" s="9"/>
      <c r="E58" s="9" t="s">
        <v>1261</v>
      </c>
      <c r="F58" s="9" t="s">
        <v>8</v>
      </c>
      <c r="G58" s="9" t="n">
        <v>295000000</v>
      </c>
      <c r="H58" s="9" t="s">
        <v>1652</v>
      </c>
      <c r="I58" s="9" t="s">
        <v>286</v>
      </c>
      <c r="J58" s="9" t="s">
        <v>3632</v>
      </c>
    </row>
    <row r="59" customFormat="false" ht="15" hidden="false" customHeight="false" outlineLevel="0" collapsed="false">
      <c r="A59" s="9" t="s">
        <v>3708</v>
      </c>
      <c r="B59" s="9" t="s">
        <v>3709</v>
      </c>
      <c r="C59" s="9" t="s">
        <v>3635</v>
      </c>
      <c r="D59" s="9"/>
      <c r="E59" s="9" t="s">
        <v>1611</v>
      </c>
      <c r="F59" s="9" t="s">
        <v>83</v>
      </c>
      <c r="G59" s="9" t="n">
        <v>358500000</v>
      </c>
      <c r="H59" s="9" t="s">
        <v>1652</v>
      </c>
      <c r="I59" s="9" t="s">
        <v>577</v>
      </c>
      <c r="J59" s="9" t="s">
        <v>3632</v>
      </c>
    </row>
    <row r="60" customFormat="false" ht="15" hidden="false" customHeight="false" outlineLevel="0" collapsed="false">
      <c r="A60" s="9" t="s">
        <v>3710</v>
      </c>
      <c r="B60" s="9" t="s">
        <v>1084</v>
      </c>
      <c r="C60" s="9" t="s">
        <v>3635</v>
      </c>
      <c r="D60" s="9"/>
      <c r="E60" s="9" t="s">
        <v>1593</v>
      </c>
      <c r="F60" s="9" t="s">
        <v>63</v>
      </c>
      <c r="G60" s="9" t="n">
        <v>254000000</v>
      </c>
      <c r="H60" s="9" t="s">
        <v>1652</v>
      </c>
      <c r="I60" s="9" t="s">
        <v>246</v>
      </c>
      <c r="J60" s="9" t="s">
        <v>3632</v>
      </c>
    </row>
    <row r="61" customFormat="false" ht="15" hidden="false" customHeight="false" outlineLevel="0" collapsed="false">
      <c r="A61" s="9" t="s">
        <v>3711</v>
      </c>
      <c r="B61" s="9" t="s">
        <v>3712</v>
      </c>
      <c r="C61" s="9" t="s">
        <v>3631</v>
      </c>
      <c r="D61" s="9"/>
      <c r="E61" s="9"/>
      <c r="F61" s="9" t="s">
        <v>83</v>
      </c>
      <c r="G61" s="9" t="n">
        <v>147500000</v>
      </c>
      <c r="H61" s="9" t="s">
        <v>1652</v>
      </c>
      <c r="I61" s="9" t="s">
        <v>577</v>
      </c>
      <c r="J61" s="9" t="s">
        <v>3632</v>
      </c>
    </row>
    <row r="62" customFormat="false" ht="15" hidden="false" customHeight="false" outlineLevel="0" collapsed="false">
      <c r="A62" s="9" t="s">
        <v>3713</v>
      </c>
      <c r="B62" s="9" t="s">
        <v>3714</v>
      </c>
      <c r="C62" s="9" t="s">
        <v>3653</v>
      </c>
      <c r="D62" s="9"/>
      <c r="E62" s="9"/>
      <c r="F62" s="9" t="s">
        <v>83</v>
      </c>
      <c r="G62" s="9" t="n">
        <v>244500000</v>
      </c>
      <c r="H62" s="9" t="s">
        <v>1652</v>
      </c>
      <c r="I62" s="9" t="s">
        <v>577</v>
      </c>
      <c r="J62" s="9" t="s">
        <v>3632</v>
      </c>
    </row>
    <row r="63" customFormat="false" ht="15" hidden="false" customHeight="false" outlineLevel="0" collapsed="false">
      <c r="A63" s="9" t="s">
        <v>3715</v>
      </c>
      <c r="B63" s="9" t="s">
        <v>1691</v>
      </c>
      <c r="C63" s="9" t="s">
        <v>3638</v>
      </c>
      <c r="D63" s="9" t="s">
        <v>1739</v>
      </c>
      <c r="E63" s="9"/>
      <c r="F63" s="9" t="s">
        <v>56</v>
      </c>
      <c r="G63" s="9" t="n">
        <v>96000000</v>
      </c>
      <c r="H63" s="9" t="s">
        <v>1652</v>
      </c>
      <c r="I63" s="9" t="s">
        <v>325</v>
      </c>
      <c r="J63" s="9" t="s">
        <v>3636</v>
      </c>
    </row>
    <row r="64" customFormat="false" ht="15" hidden="false" customHeight="false" outlineLevel="0" collapsed="false">
      <c r="A64" s="9" t="s">
        <v>3716</v>
      </c>
      <c r="B64" s="9" t="s">
        <v>3717</v>
      </c>
      <c r="C64" s="9" t="s">
        <v>3635</v>
      </c>
      <c r="D64" s="9"/>
      <c r="E64" s="9"/>
      <c r="F64" s="9" t="s">
        <v>71</v>
      </c>
      <c r="G64" s="9" t="n">
        <v>171500000</v>
      </c>
      <c r="H64" s="9" t="s">
        <v>1652</v>
      </c>
      <c r="I64" s="9" t="s">
        <v>72</v>
      </c>
      <c r="J64" s="9" t="s">
        <v>3632</v>
      </c>
    </row>
    <row r="65" customFormat="false" ht="15" hidden="false" customHeight="false" outlineLevel="0" collapsed="false">
      <c r="A65" s="9" t="s">
        <v>3718</v>
      </c>
      <c r="B65" s="9" t="s">
        <v>2025</v>
      </c>
      <c r="C65" s="9" t="s">
        <v>3635</v>
      </c>
      <c r="D65" s="9"/>
      <c r="E65" s="9" t="s">
        <v>1568</v>
      </c>
      <c r="F65" s="9" t="s">
        <v>8</v>
      </c>
      <c r="G65" s="9" t="n">
        <v>304500000</v>
      </c>
      <c r="H65" s="9" t="s">
        <v>1652</v>
      </c>
      <c r="I65" s="9" t="s">
        <v>325</v>
      </c>
      <c r="J65" s="9" t="s">
        <v>3636</v>
      </c>
    </row>
    <row r="66" customFormat="false" ht="15" hidden="false" customHeight="false" outlineLevel="0" collapsed="false">
      <c r="A66" s="9" t="s">
        <v>3719</v>
      </c>
      <c r="B66" s="9" t="s">
        <v>2685</v>
      </c>
      <c r="C66" s="9" t="s">
        <v>3635</v>
      </c>
      <c r="D66" s="9"/>
      <c r="E66" s="9"/>
      <c r="F66" s="9" t="s">
        <v>14</v>
      </c>
      <c r="G66" s="9" t="n">
        <v>242000000</v>
      </c>
      <c r="H66" s="9" t="s">
        <v>1652</v>
      </c>
      <c r="I66" s="9" t="s">
        <v>169</v>
      </c>
      <c r="J66" s="9" t="s">
        <v>3632</v>
      </c>
    </row>
    <row r="67" customFormat="false" ht="15" hidden="false" customHeight="false" outlineLevel="0" collapsed="false">
      <c r="A67" s="9" t="s">
        <v>3720</v>
      </c>
      <c r="B67" s="9" t="s">
        <v>2237</v>
      </c>
      <c r="C67" s="9" t="s">
        <v>3653</v>
      </c>
      <c r="D67" s="9"/>
      <c r="E67" s="9"/>
      <c r="F67" s="9" t="s">
        <v>63</v>
      </c>
      <c r="G67" s="9" t="n">
        <v>428000000</v>
      </c>
      <c r="H67" s="9" t="s">
        <v>1652</v>
      </c>
      <c r="I67" s="9" t="s">
        <v>246</v>
      </c>
      <c r="J67" s="9" t="s">
        <v>3632</v>
      </c>
    </row>
    <row r="68" customFormat="false" ht="15" hidden="false" customHeight="false" outlineLevel="0" collapsed="false">
      <c r="A68" s="9" t="s">
        <v>3721</v>
      </c>
      <c r="B68" s="9" t="s">
        <v>1964</v>
      </c>
      <c r="C68" s="9" t="s">
        <v>3638</v>
      </c>
      <c r="D68" s="9"/>
      <c r="E68" s="9"/>
      <c r="F68" s="9" t="s">
        <v>10</v>
      </c>
      <c r="G68" s="9" t="n">
        <v>156000000</v>
      </c>
      <c r="H68" s="9" t="s">
        <v>1652</v>
      </c>
      <c r="I68" s="9" t="s">
        <v>577</v>
      </c>
      <c r="J68" s="9" t="s">
        <v>3632</v>
      </c>
    </row>
    <row r="69" customFormat="false" ht="15" hidden="false" customHeight="false" outlineLevel="0" collapsed="false">
      <c r="A69" s="9" t="s">
        <v>3722</v>
      </c>
      <c r="B69" s="9" t="s">
        <v>2117</v>
      </c>
      <c r="C69" s="9" t="s">
        <v>3640</v>
      </c>
      <c r="D69" s="9" t="s">
        <v>2183</v>
      </c>
      <c r="E69" s="9" t="s">
        <v>1461</v>
      </c>
      <c r="F69" s="9" t="s">
        <v>63</v>
      </c>
      <c r="G69" s="9" t="n">
        <v>187000000</v>
      </c>
      <c r="H69" s="9" t="s">
        <v>1652</v>
      </c>
      <c r="I69" s="9" t="s">
        <v>401</v>
      </c>
      <c r="J69" s="9" t="s">
        <v>3632</v>
      </c>
    </row>
    <row r="70" customFormat="false" ht="15" hidden="false" customHeight="false" outlineLevel="0" collapsed="false">
      <c r="A70" s="9" t="s">
        <v>3723</v>
      </c>
      <c r="B70" s="9" t="s">
        <v>3724</v>
      </c>
      <c r="C70" s="9" t="s">
        <v>3631</v>
      </c>
      <c r="D70" s="9"/>
      <c r="E70" s="9"/>
      <c r="F70" s="9" t="s">
        <v>79</v>
      </c>
      <c r="G70" s="9" t="n">
        <v>397000000</v>
      </c>
      <c r="H70" s="9" t="s">
        <v>1652</v>
      </c>
      <c r="I70" s="9" t="s">
        <v>538</v>
      </c>
      <c r="J70" s="9" t="s">
        <v>3636</v>
      </c>
    </row>
    <row r="71" customFormat="false" ht="15" hidden="false" customHeight="false" outlineLevel="0" collapsed="false">
      <c r="A71" s="9" t="s">
        <v>3725</v>
      </c>
      <c r="B71" s="9" t="s">
        <v>3726</v>
      </c>
      <c r="C71" s="9" t="s">
        <v>3642</v>
      </c>
      <c r="D71" s="9"/>
      <c r="E71" s="9"/>
      <c r="F71" s="9" t="s">
        <v>10</v>
      </c>
      <c r="G71" s="9" t="n">
        <v>138500000</v>
      </c>
      <c r="H71" s="9" t="s">
        <v>1652</v>
      </c>
      <c r="I71" s="9" t="s">
        <v>538</v>
      </c>
      <c r="J71" s="9" t="s">
        <v>3632</v>
      </c>
    </row>
    <row r="72" customFormat="false" ht="15" hidden="false" customHeight="false" outlineLevel="0" collapsed="false">
      <c r="A72" s="9" t="s">
        <v>3727</v>
      </c>
      <c r="B72" s="9" t="s">
        <v>3728</v>
      </c>
      <c r="C72" s="9" t="s">
        <v>3638</v>
      </c>
      <c r="D72" s="9"/>
      <c r="E72" s="9"/>
      <c r="F72" s="9" t="s">
        <v>14</v>
      </c>
      <c r="G72" s="9" t="n">
        <v>338000000</v>
      </c>
      <c r="H72" s="9" t="s">
        <v>1652</v>
      </c>
      <c r="I72" s="9" t="s">
        <v>208</v>
      </c>
      <c r="J72" s="9" t="s">
        <v>3632</v>
      </c>
    </row>
    <row r="73" customFormat="false" ht="15" hidden="false" customHeight="false" outlineLevel="0" collapsed="false">
      <c r="A73" s="9" t="s">
        <v>3729</v>
      </c>
      <c r="B73" s="9" t="s">
        <v>3730</v>
      </c>
      <c r="C73" s="9" t="s">
        <v>3638</v>
      </c>
      <c r="D73" s="9" t="s">
        <v>2311</v>
      </c>
      <c r="E73" s="9"/>
      <c r="F73" s="9" t="s">
        <v>71</v>
      </c>
      <c r="G73" s="9" t="n">
        <v>184500000</v>
      </c>
      <c r="H73" s="9" t="s">
        <v>1652</v>
      </c>
      <c r="I73" s="9" t="s">
        <v>246</v>
      </c>
      <c r="J73" s="9" t="s">
        <v>3632</v>
      </c>
    </row>
    <row r="74" customFormat="false" ht="15" hidden="false" customHeight="false" outlineLevel="0" collapsed="false">
      <c r="A74" s="9" t="s">
        <v>3731</v>
      </c>
      <c r="B74" s="9" t="s">
        <v>3732</v>
      </c>
      <c r="C74" s="9" t="s">
        <v>3642</v>
      </c>
      <c r="D74" s="9"/>
      <c r="E74" s="9"/>
      <c r="F74" s="9" t="s">
        <v>10</v>
      </c>
      <c r="G74" s="9" t="n">
        <v>140500000</v>
      </c>
      <c r="H74" s="9" t="s">
        <v>1652</v>
      </c>
      <c r="I74" s="9" t="s">
        <v>538</v>
      </c>
      <c r="J74" s="9" t="s">
        <v>3632</v>
      </c>
    </row>
    <row r="75" customFormat="false" ht="15" hidden="false" customHeight="false" outlineLevel="0" collapsed="false">
      <c r="A75" s="9" t="s">
        <v>3733</v>
      </c>
      <c r="B75" s="9" t="s">
        <v>1837</v>
      </c>
      <c r="C75" s="9" t="s">
        <v>3653</v>
      </c>
      <c r="D75" s="9"/>
      <c r="E75" s="9"/>
      <c r="F75" s="9" t="s">
        <v>56</v>
      </c>
      <c r="G75" s="9" t="n">
        <v>136000000</v>
      </c>
      <c r="H75" s="9" t="s">
        <v>1652</v>
      </c>
      <c r="I75" s="9" t="s">
        <v>538</v>
      </c>
      <c r="J75" s="9" t="s">
        <v>3632</v>
      </c>
    </row>
    <row r="76" customFormat="false" ht="15" hidden="false" customHeight="false" outlineLevel="0" collapsed="false">
      <c r="A76" s="9" t="s">
        <v>3734</v>
      </c>
      <c r="B76" s="9" t="s">
        <v>1820</v>
      </c>
      <c r="C76" s="9" t="s">
        <v>3642</v>
      </c>
      <c r="D76" s="9"/>
      <c r="E76" s="9"/>
      <c r="F76" s="9" t="s">
        <v>83</v>
      </c>
      <c r="G76" s="9" t="n">
        <v>214000000</v>
      </c>
      <c r="H76" s="9" t="s">
        <v>1652</v>
      </c>
      <c r="I76" s="9" t="s">
        <v>286</v>
      </c>
      <c r="J76" s="9" t="s">
        <v>3632</v>
      </c>
    </row>
    <row r="77" customFormat="false" ht="15" hidden="false" customHeight="false" outlineLevel="0" collapsed="false">
      <c r="A77" s="9" t="s">
        <v>3735</v>
      </c>
      <c r="B77" s="9" t="s">
        <v>3736</v>
      </c>
      <c r="C77" s="9" t="s">
        <v>3653</v>
      </c>
      <c r="D77" s="9"/>
      <c r="E77" s="9"/>
      <c r="F77" s="9" t="s">
        <v>79</v>
      </c>
      <c r="G77" s="9" t="n">
        <v>359500000</v>
      </c>
      <c r="H77" s="9" t="s">
        <v>1652</v>
      </c>
      <c r="I77" s="9" t="s">
        <v>325</v>
      </c>
      <c r="J77" s="9" t="s">
        <v>3632</v>
      </c>
    </row>
    <row r="78" customFormat="false" ht="15" hidden="false" customHeight="false" outlineLevel="0" collapsed="false">
      <c r="A78" s="9" t="s">
        <v>3737</v>
      </c>
      <c r="B78" s="9" t="s">
        <v>3028</v>
      </c>
      <c r="C78" s="9" t="s">
        <v>3642</v>
      </c>
      <c r="D78" s="9"/>
      <c r="E78" s="9"/>
      <c r="F78" s="9" t="s">
        <v>75</v>
      </c>
      <c r="G78" s="9" t="n">
        <v>290500000</v>
      </c>
      <c r="H78" s="9" t="s">
        <v>1652</v>
      </c>
      <c r="I78" s="9" t="s">
        <v>325</v>
      </c>
      <c r="J78" s="9" t="s">
        <v>3632</v>
      </c>
    </row>
    <row r="79" customFormat="false" ht="15" hidden="false" customHeight="false" outlineLevel="0" collapsed="false">
      <c r="A79" s="9" t="s">
        <v>3738</v>
      </c>
      <c r="B79" s="9" t="s">
        <v>1934</v>
      </c>
      <c r="C79" s="9" t="s">
        <v>3642</v>
      </c>
      <c r="D79" s="9"/>
      <c r="E79" s="9"/>
      <c r="F79" s="9" t="s">
        <v>56</v>
      </c>
      <c r="G79" s="9" t="n">
        <v>239000000</v>
      </c>
      <c r="H79" s="9" t="s">
        <v>1652</v>
      </c>
      <c r="I79" s="9" t="s">
        <v>538</v>
      </c>
      <c r="J79" s="9" t="s">
        <v>3632</v>
      </c>
    </row>
    <row r="80" customFormat="false" ht="15" hidden="false" customHeight="false" outlineLevel="0" collapsed="false">
      <c r="A80" s="9" t="s">
        <v>3739</v>
      </c>
      <c r="B80" s="9" t="s">
        <v>3612</v>
      </c>
      <c r="C80" s="9" t="s">
        <v>3653</v>
      </c>
      <c r="D80" s="9"/>
      <c r="E80" s="9"/>
      <c r="F80" s="9" t="s">
        <v>79</v>
      </c>
      <c r="G80" s="9" t="n">
        <v>340500000</v>
      </c>
      <c r="H80" s="9" t="s">
        <v>1652</v>
      </c>
      <c r="I80" s="9" t="s">
        <v>208</v>
      </c>
      <c r="J80" s="9" t="s">
        <v>3632</v>
      </c>
    </row>
    <row r="81" customFormat="false" ht="15" hidden="false" customHeight="false" outlineLevel="0" collapsed="false">
      <c r="A81" s="9" t="s">
        <v>3740</v>
      </c>
      <c r="B81" s="9" t="s">
        <v>2153</v>
      </c>
      <c r="C81" s="9" t="s">
        <v>3635</v>
      </c>
      <c r="D81" s="9"/>
      <c r="E81" s="9"/>
      <c r="F81" s="9" t="s">
        <v>8</v>
      </c>
      <c r="G81" s="9" t="n">
        <v>232500000</v>
      </c>
      <c r="H81" s="9" t="s">
        <v>1652</v>
      </c>
      <c r="I81" s="9" t="s">
        <v>72</v>
      </c>
      <c r="J81" s="9" t="s">
        <v>3632</v>
      </c>
    </row>
    <row r="82" customFormat="false" ht="15" hidden="false" customHeight="false" outlineLevel="0" collapsed="false">
      <c r="A82" s="9" t="s">
        <v>3741</v>
      </c>
      <c r="B82" s="9" t="s">
        <v>3742</v>
      </c>
      <c r="C82" s="9" t="s">
        <v>3635</v>
      </c>
      <c r="D82" s="9"/>
      <c r="E82" s="9" t="s">
        <v>1389</v>
      </c>
      <c r="F82" s="9" t="s">
        <v>8</v>
      </c>
      <c r="G82" s="9" t="n">
        <v>220500000</v>
      </c>
      <c r="H82" s="9" t="s">
        <v>1652</v>
      </c>
      <c r="I82" s="9" t="s">
        <v>325</v>
      </c>
      <c r="J82" s="9" t="s">
        <v>3632</v>
      </c>
    </row>
    <row r="83" customFormat="false" ht="15" hidden="false" customHeight="false" outlineLevel="0" collapsed="false">
      <c r="A83" s="9" t="s">
        <v>3743</v>
      </c>
      <c r="B83" s="9" t="s">
        <v>1095</v>
      </c>
      <c r="C83" s="9" t="s">
        <v>3635</v>
      </c>
      <c r="D83" s="9"/>
      <c r="E83" s="9" t="s">
        <v>1404</v>
      </c>
      <c r="F83" s="9" t="s">
        <v>63</v>
      </c>
      <c r="G83" s="9" t="n">
        <v>402500000</v>
      </c>
      <c r="H83" s="9" t="s">
        <v>1652</v>
      </c>
      <c r="I83" s="9" t="s">
        <v>438</v>
      </c>
      <c r="J83" s="9" t="s">
        <v>3632</v>
      </c>
    </row>
    <row r="84" customFormat="false" ht="15" hidden="false" customHeight="false" outlineLevel="0" collapsed="false">
      <c r="A84" s="9" t="s">
        <v>3744</v>
      </c>
      <c r="B84" s="9" t="s">
        <v>1388</v>
      </c>
      <c r="C84" s="9" t="s">
        <v>3638</v>
      </c>
      <c r="D84" s="9"/>
      <c r="E84" s="9"/>
      <c r="F84" s="9" t="s">
        <v>63</v>
      </c>
      <c r="G84" s="9" t="n">
        <v>73500000</v>
      </c>
      <c r="H84" s="9" t="s">
        <v>1652</v>
      </c>
      <c r="I84" s="9" t="s">
        <v>577</v>
      </c>
      <c r="J84" s="9" t="s">
        <v>3632</v>
      </c>
    </row>
    <row r="85" customFormat="false" ht="15" hidden="false" customHeight="false" outlineLevel="0" collapsed="false">
      <c r="A85" s="9" t="s">
        <v>3745</v>
      </c>
      <c r="B85" s="9" t="s">
        <v>3025</v>
      </c>
      <c r="C85" s="9" t="s">
        <v>3635</v>
      </c>
      <c r="D85" s="9"/>
      <c r="E85" s="9" t="s">
        <v>1249</v>
      </c>
      <c r="F85" s="9" t="s">
        <v>75</v>
      </c>
      <c r="G85" s="9" t="n">
        <v>182000000</v>
      </c>
      <c r="H85" s="9" t="s">
        <v>1652</v>
      </c>
      <c r="I85" s="9" t="s">
        <v>246</v>
      </c>
      <c r="J85" s="9" t="s">
        <v>3632</v>
      </c>
    </row>
    <row r="86" customFormat="false" ht="15" hidden="false" customHeight="false" outlineLevel="0" collapsed="false">
      <c r="A86" s="9" t="s">
        <v>3746</v>
      </c>
      <c r="B86" s="9" t="s">
        <v>752</v>
      </c>
      <c r="C86" s="9" t="s">
        <v>3642</v>
      </c>
      <c r="D86" s="9"/>
      <c r="E86" s="9"/>
      <c r="F86" s="9" t="s">
        <v>71</v>
      </c>
      <c r="G86" s="9" t="n">
        <v>50500000</v>
      </c>
      <c r="H86" s="9" t="s">
        <v>1652</v>
      </c>
      <c r="I86" s="9" t="s">
        <v>286</v>
      </c>
      <c r="J86" s="9" t="s">
        <v>3636</v>
      </c>
    </row>
    <row r="87" customFormat="false" ht="15" hidden="false" customHeight="false" outlineLevel="0" collapsed="false">
      <c r="A87" s="9" t="s">
        <v>3747</v>
      </c>
      <c r="B87" s="9" t="s">
        <v>1742</v>
      </c>
      <c r="C87" s="9" t="s">
        <v>3631</v>
      </c>
      <c r="D87" s="9" t="s">
        <v>2084</v>
      </c>
      <c r="E87" s="9"/>
      <c r="F87" s="9" t="s">
        <v>67</v>
      </c>
      <c r="G87" s="9" t="n">
        <v>412000000</v>
      </c>
      <c r="H87" s="9" t="s">
        <v>1652</v>
      </c>
      <c r="I87" s="9" t="s">
        <v>476</v>
      </c>
      <c r="J87" s="9" t="s">
        <v>3632</v>
      </c>
    </row>
    <row r="88" customFormat="false" ht="15" hidden="false" customHeight="false" outlineLevel="0" collapsed="false">
      <c r="A88" s="9" t="s">
        <v>3748</v>
      </c>
      <c r="B88" s="9" t="s">
        <v>3749</v>
      </c>
      <c r="C88" s="9" t="s">
        <v>3631</v>
      </c>
      <c r="D88" s="9" t="s">
        <v>2189</v>
      </c>
      <c r="E88" s="9"/>
      <c r="F88" s="9" t="s">
        <v>14</v>
      </c>
      <c r="G88" s="9" t="n">
        <v>154500000</v>
      </c>
      <c r="H88" s="9" t="s">
        <v>1652</v>
      </c>
      <c r="I88" s="9" t="s">
        <v>286</v>
      </c>
      <c r="J88" s="9" t="s">
        <v>3632</v>
      </c>
    </row>
    <row r="89" customFormat="false" ht="15" hidden="false" customHeight="false" outlineLevel="0" collapsed="false">
      <c r="A89" s="9" t="s">
        <v>3750</v>
      </c>
      <c r="B89" s="9" t="s">
        <v>3751</v>
      </c>
      <c r="C89" s="9" t="s">
        <v>3640</v>
      </c>
      <c r="D89" s="9" t="s">
        <v>1847</v>
      </c>
      <c r="E89" s="9" t="s">
        <v>1611</v>
      </c>
      <c r="F89" s="9" t="s">
        <v>71</v>
      </c>
      <c r="G89" s="9" t="n">
        <v>49500000</v>
      </c>
      <c r="H89" s="9" t="s">
        <v>1652</v>
      </c>
      <c r="I89" s="9" t="s">
        <v>208</v>
      </c>
      <c r="J89" s="9" t="s">
        <v>3632</v>
      </c>
    </row>
    <row r="90" customFormat="false" ht="15" hidden="false" customHeight="false" outlineLevel="0" collapsed="false">
      <c r="A90" s="9" t="s">
        <v>3752</v>
      </c>
      <c r="B90" s="9" t="s">
        <v>1055</v>
      </c>
      <c r="C90" s="9" t="s">
        <v>3653</v>
      </c>
      <c r="D90" s="9"/>
      <c r="E90" s="9"/>
      <c r="F90" s="9" t="s">
        <v>67</v>
      </c>
      <c r="G90" s="9" t="n">
        <v>240000000</v>
      </c>
      <c r="H90" s="9" t="s">
        <v>1652</v>
      </c>
      <c r="I90" s="9" t="s">
        <v>325</v>
      </c>
      <c r="J90" s="9" t="s">
        <v>3632</v>
      </c>
    </row>
    <row r="91" customFormat="false" ht="15" hidden="false" customHeight="false" outlineLevel="0" collapsed="false">
      <c r="A91" s="9" t="s">
        <v>3753</v>
      </c>
      <c r="B91" s="9" t="s">
        <v>3754</v>
      </c>
      <c r="C91" s="9" t="s">
        <v>3642</v>
      </c>
      <c r="D91" s="9"/>
      <c r="E91" s="9"/>
      <c r="F91" s="9" t="s">
        <v>75</v>
      </c>
      <c r="G91" s="9" t="n">
        <v>14500000</v>
      </c>
      <c r="H91" s="9" t="s">
        <v>1652</v>
      </c>
      <c r="I91" s="9" t="s">
        <v>438</v>
      </c>
      <c r="J91" s="9" t="s">
        <v>3632</v>
      </c>
    </row>
    <row r="92" customFormat="false" ht="15" hidden="false" customHeight="false" outlineLevel="0" collapsed="false">
      <c r="A92" s="9" t="s">
        <v>3755</v>
      </c>
      <c r="B92" s="9" t="s">
        <v>3756</v>
      </c>
      <c r="C92" s="9" t="s">
        <v>3635</v>
      </c>
      <c r="D92" s="9"/>
      <c r="E92" s="9"/>
      <c r="F92" s="9" t="s">
        <v>83</v>
      </c>
      <c r="G92" s="9" t="n">
        <v>155000000</v>
      </c>
      <c r="H92" s="9" t="s">
        <v>1652</v>
      </c>
      <c r="I92" s="9" t="s">
        <v>246</v>
      </c>
      <c r="J92" s="9" t="s">
        <v>3632</v>
      </c>
    </row>
    <row r="93" customFormat="false" ht="15" hidden="false" customHeight="false" outlineLevel="0" collapsed="false">
      <c r="A93" s="9" t="s">
        <v>3757</v>
      </c>
      <c r="B93" s="9" t="s">
        <v>2811</v>
      </c>
      <c r="C93" s="9" t="s">
        <v>3638</v>
      </c>
      <c r="D93" s="9"/>
      <c r="E93" s="9"/>
      <c r="F93" s="9" t="s">
        <v>83</v>
      </c>
      <c r="G93" s="9" t="n">
        <v>449500000</v>
      </c>
      <c r="H93" s="9" t="s">
        <v>1652</v>
      </c>
      <c r="I93" s="9" t="s">
        <v>286</v>
      </c>
      <c r="J93" s="9" t="s">
        <v>3632</v>
      </c>
    </row>
    <row r="94" customFormat="false" ht="15" hidden="false" customHeight="false" outlineLevel="0" collapsed="false">
      <c r="A94" s="9" t="s">
        <v>3758</v>
      </c>
      <c r="B94" s="9" t="s">
        <v>1084</v>
      </c>
      <c r="C94" s="9" t="s">
        <v>3638</v>
      </c>
      <c r="D94" s="9" t="s">
        <v>1654</v>
      </c>
      <c r="E94" s="9"/>
      <c r="F94" s="9" t="s">
        <v>75</v>
      </c>
      <c r="G94" s="9" t="n">
        <v>413500000</v>
      </c>
      <c r="H94" s="9" t="s">
        <v>1652</v>
      </c>
      <c r="I94" s="9" t="s">
        <v>438</v>
      </c>
      <c r="J94" s="9" t="s">
        <v>3632</v>
      </c>
    </row>
    <row r="95" customFormat="false" ht="15" hidden="false" customHeight="false" outlineLevel="0" collapsed="false">
      <c r="A95" s="9" t="s">
        <v>3759</v>
      </c>
      <c r="B95" s="9" t="s">
        <v>1117</v>
      </c>
      <c r="C95" s="9" t="s">
        <v>3635</v>
      </c>
      <c r="D95" s="9"/>
      <c r="E95" s="9" t="s">
        <v>1595</v>
      </c>
      <c r="F95" s="9" t="s">
        <v>10</v>
      </c>
      <c r="G95" s="9" t="n">
        <v>171000000</v>
      </c>
      <c r="H95" s="9" t="s">
        <v>1652</v>
      </c>
      <c r="I95" s="9" t="s">
        <v>476</v>
      </c>
      <c r="J95" s="9" t="s">
        <v>3632</v>
      </c>
    </row>
    <row r="96" customFormat="false" ht="15" hidden="false" customHeight="false" outlineLevel="0" collapsed="false">
      <c r="A96" s="9" t="s">
        <v>3760</v>
      </c>
      <c r="B96" s="9" t="s">
        <v>3761</v>
      </c>
      <c r="C96" s="9" t="s">
        <v>3653</v>
      </c>
      <c r="D96" s="9"/>
      <c r="E96" s="9"/>
      <c r="F96" s="9" t="s">
        <v>75</v>
      </c>
      <c r="G96" s="9" t="n">
        <v>354000000</v>
      </c>
      <c r="H96" s="9" t="s">
        <v>1652</v>
      </c>
      <c r="I96" s="9" t="s">
        <v>325</v>
      </c>
      <c r="J96" s="9" t="s">
        <v>3636</v>
      </c>
    </row>
    <row r="97" customFormat="false" ht="15" hidden="false" customHeight="false" outlineLevel="0" collapsed="false">
      <c r="A97" s="9" t="s">
        <v>3762</v>
      </c>
      <c r="B97" s="9" t="s">
        <v>3683</v>
      </c>
      <c r="C97" s="9" t="s">
        <v>3640</v>
      </c>
      <c r="D97" s="9" t="s">
        <v>2151</v>
      </c>
      <c r="E97" s="9"/>
      <c r="F97" s="9" t="s">
        <v>8</v>
      </c>
      <c r="G97" s="9" t="n">
        <v>359500000</v>
      </c>
      <c r="H97" s="9" t="s">
        <v>1652</v>
      </c>
      <c r="I97" s="9" t="s">
        <v>246</v>
      </c>
      <c r="J97" s="9" t="s">
        <v>3632</v>
      </c>
    </row>
    <row r="98" customFormat="false" ht="15" hidden="false" customHeight="false" outlineLevel="0" collapsed="false">
      <c r="A98" s="9" t="s">
        <v>3763</v>
      </c>
      <c r="B98" s="9" t="s">
        <v>1359</v>
      </c>
      <c r="C98" s="9" t="s">
        <v>3640</v>
      </c>
      <c r="D98" s="9"/>
      <c r="E98" s="9" t="s">
        <v>1618</v>
      </c>
      <c r="F98" s="9" t="s">
        <v>56</v>
      </c>
      <c r="G98" s="9" t="n">
        <v>154500000</v>
      </c>
      <c r="H98" s="9" t="s">
        <v>1652</v>
      </c>
      <c r="I98" s="9" t="s">
        <v>538</v>
      </c>
      <c r="J98" s="9" t="s">
        <v>3632</v>
      </c>
    </row>
    <row r="99" customFormat="false" ht="15" hidden="false" customHeight="false" outlineLevel="0" collapsed="false">
      <c r="A99" s="9" t="s">
        <v>3764</v>
      </c>
      <c r="B99" s="9" t="s">
        <v>3111</v>
      </c>
      <c r="C99" s="9" t="s">
        <v>3642</v>
      </c>
      <c r="D99" s="9"/>
      <c r="E99" s="9"/>
      <c r="F99" s="9" t="s">
        <v>83</v>
      </c>
      <c r="G99" s="9" t="n">
        <v>352500000</v>
      </c>
      <c r="H99" s="9" t="s">
        <v>1652</v>
      </c>
      <c r="I99" s="9" t="s">
        <v>246</v>
      </c>
      <c r="J99" s="9" t="s">
        <v>3632</v>
      </c>
    </row>
    <row r="100" customFormat="false" ht="15" hidden="false" customHeight="false" outlineLevel="0" collapsed="false">
      <c r="A100" s="9" t="s">
        <v>3765</v>
      </c>
      <c r="B100" s="9" t="s">
        <v>3766</v>
      </c>
      <c r="C100" s="9" t="s">
        <v>3638</v>
      </c>
      <c r="D100" s="9"/>
      <c r="E100" s="9"/>
      <c r="F100" s="9" t="s">
        <v>10</v>
      </c>
      <c r="G100" s="9" t="n">
        <v>266500000</v>
      </c>
      <c r="H100" s="9" t="s">
        <v>1652</v>
      </c>
      <c r="I100" s="9" t="s">
        <v>169</v>
      </c>
      <c r="J100" s="9" t="s">
        <v>3632</v>
      </c>
    </row>
    <row r="101" customFormat="false" ht="15" hidden="false" customHeight="false" outlineLevel="0" collapsed="false">
      <c r="A101" s="9" t="s">
        <v>3767</v>
      </c>
      <c r="B101" s="9" t="s">
        <v>2010</v>
      </c>
      <c r="C101" s="9" t="s">
        <v>3642</v>
      </c>
      <c r="D101" s="9"/>
      <c r="E101" s="9"/>
      <c r="F101" s="9" t="s">
        <v>8</v>
      </c>
      <c r="G101" s="9" t="n">
        <v>426500000</v>
      </c>
      <c r="H101" s="9" t="s">
        <v>1652</v>
      </c>
      <c r="I101" s="9" t="s">
        <v>438</v>
      </c>
      <c r="J101" s="9" t="s">
        <v>3632</v>
      </c>
    </row>
    <row r="102" customFormat="false" ht="15" hidden="false" customHeight="false" outlineLevel="0" collapsed="false">
      <c r="A102" s="9" t="s">
        <v>3768</v>
      </c>
      <c r="B102" s="9" t="s">
        <v>806</v>
      </c>
      <c r="C102" s="9" t="s">
        <v>3635</v>
      </c>
      <c r="D102" s="9"/>
      <c r="E102" s="9" t="s">
        <v>1457</v>
      </c>
      <c r="F102" s="9" t="s">
        <v>56</v>
      </c>
      <c r="G102" s="9" t="n">
        <v>420000000</v>
      </c>
      <c r="H102" s="9" t="s">
        <v>1652</v>
      </c>
      <c r="I102" s="9" t="s">
        <v>246</v>
      </c>
      <c r="J102" s="9" t="s">
        <v>3632</v>
      </c>
    </row>
    <row r="103" customFormat="false" ht="15" hidden="false" customHeight="false" outlineLevel="0" collapsed="false">
      <c r="A103" s="9" t="s">
        <v>3769</v>
      </c>
      <c r="B103" s="9" t="s">
        <v>1927</v>
      </c>
      <c r="C103" s="9" t="s">
        <v>3631</v>
      </c>
      <c r="D103" s="9"/>
      <c r="E103" s="9"/>
      <c r="F103" s="9" t="s">
        <v>75</v>
      </c>
      <c r="G103" s="9" t="n">
        <v>440000000</v>
      </c>
      <c r="H103" s="9" t="s">
        <v>1652</v>
      </c>
      <c r="I103" s="9" t="s">
        <v>538</v>
      </c>
      <c r="J103" s="9" t="s">
        <v>3632</v>
      </c>
    </row>
    <row r="104" customFormat="false" ht="15" hidden="false" customHeight="false" outlineLevel="0" collapsed="false">
      <c r="A104" s="9" t="s">
        <v>3770</v>
      </c>
      <c r="B104" s="9" t="s">
        <v>3771</v>
      </c>
      <c r="C104" s="9" t="s">
        <v>3638</v>
      </c>
      <c r="D104" s="9"/>
      <c r="E104" s="9"/>
      <c r="F104" s="9" t="s">
        <v>56</v>
      </c>
      <c r="G104" s="9" t="n">
        <v>73000000</v>
      </c>
      <c r="H104" s="9" t="s">
        <v>1652</v>
      </c>
      <c r="I104" s="9" t="s">
        <v>577</v>
      </c>
      <c r="J104" s="9" t="s">
        <v>3632</v>
      </c>
    </row>
    <row r="105" customFormat="false" ht="15" hidden="false" customHeight="false" outlineLevel="0" collapsed="false">
      <c r="A105" s="9" t="s">
        <v>3772</v>
      </c>
      <c r="B105" s="9" t="s">
        <v>3315</v>
      </c>
      <c r="C105" s="9" t="s">
        <v>3653</v>
      </c>
      <c r="D105" s="9"/>
      <c r="E105" s="9"/>
      <c r="F105" s="9" t="s">
        <v>79</v>
      </c>
      <c r="G105" s="9" t="n">
        <v>103000000</v>
      </c>
      <c r="H105" s="9" t="s">
        <v>1652</v>
      </c>
      <c r="I105" s="9" t="s">
        <v>401</v>
      </c>
      <c r="J105" s="9" t="s">
        <v>3632</v>
      </c>
    </row>
    <row r="106" customFormat="false" ht="15" hidden="false" customHeight="false" outlineLevel="0" collapsed="false">
      <c r="A106" s="9" t="s">
        <v>3773</v>
      </c>
      <c r="B106" s="9" t="s">
        <v>3774</v>
      </c>
      <c r="C106" s="9" t="s">
        <v>3640</v>
      </c>
      <c r="D106" s="9" t="s">
        <v>2218</v>
      </c>
      <c r="E106" s="9"/>
      <c r="F106" s="9" t="s">
        <v>63</v>
      </c>
      <c r="G106" s="9" t="n">
        <v>200500000</v>
      </c>
      <c r="H106" s="9" t="s">
        <v>1652</v>
      </c>
      <c r="I106" s="9" t="s">
        <v>363</v>
      </c>
      <c r="J106" s="9" t="s">
        <v>3632</v>
      </c>
    </row>
    <row r="107" customFormat="false" ht="15" hidden="false" customHeight="false" outlineLevel="0" collapsed="false">
      <c r="A107" s="9" t="s">
        <v>3775</v>
      </c>
      <c r="B107" s="9" t="s">
        <v>1849</v>
      </c>
      <c r="C107" s="9" t="s">
        <v>3642</v>
      </c>
      <c r="D107" s="9"/>
      <c r="E107" s="9"/>
      <c r="F107" s="9" t="s">
        <v>71</v>
      </c>
      <c r="G107" s="9" t="n">
        <v>417000000</v>
      </c>
      <c r="H107" s="9" t="s">
        <v>1652</v>
      </c>
      <c r="I107" s="9" t="s">
        <v>363</v>
      </c>
      <c r="J107" s="9" t="s">
        <v>3632</v>
      </c>
    </row>
    <row r="108" customFormat="false" ht="15" hidden="false" customHeight="false" outlineLevel="0" collapsed="false">
      <c r="A108" s="9" t="s">
        <v>3776</v>
      </c>
      <c r="B108" s="9" t="s">
        <v>3528</v>
      </c>
      <c r="C108" s="9" t="s">
        <v>3642</v>
      </c>
      <c r="D108" s="9"/>
      <c r="E108" s="9"/>
      <c r="F108" s="9" t="s">
        <v>10</v>
      </c>
      <c r="G108" s="9" t="n">
        <v>289000000</v>
      </c>
      <c r="H108" s="9" t="s">
        <v>1652</v>
      </c>
      <c r="I108" s="9" t="s">
        <v>363</v>
      </c>
      <c r="J108" s="9" t="s">
        <v>3632</v>
      </c>
    </row>
    <row r="109" customFormat="false" ht="15" hidden="false" customHeight="false" outlineLevel="0" collapsed="false">
      <c r="A109" s="9" t="s">
        <v>3777</v>
      </c>
      <c r="B109" s="9" t="s">
        <v>1028</v>
      </c>
      <c r="C109" s="9" t="s">
        <v>3635</v>
      </c>
      <c r="D109" s="9"/>
      <c r="E109" s="9"/>
      <c r="F109" s="9" t="s">
        <v>83</v>
      </c>
      <c r="G109" s="9" t="n">
        <v>228000000</v>
      </c>
      <c r="H109" s="9" t="s">
        <v>1652</v>
      </c>
      <c r="I109" s="9" t="s">
        <v>72</v>
      </c>
      <c r="J109" s="9" t="s">
        <v>3636</v>
      </c>
    </row>
    <row r="110" customFormat="false" ht="15" hidden="false" customHeight="false" outlineLevel="0" collapsed="false">
      <c r="A110" s="9" t="s">
        <v>3778</v>
      </c>
      <c r="B110" s="9" t="s">
        <v>3779</v>
      </c>
      <c r="C110" s="9" t="s">
        <v>3638</v>
      </c>
      <c r="D110" s="9" t="s">
        <v>2331</v>
      </c>
      <c r="E110" s="9"/>
      <c r="F110" s="9" t="s">
        <v>75</v>
      </c>
      <c r="G110" s="9" t="n">
        <v>142000000</v>
      </c>
      <c r="H110" s="9" t="s">
        <v>1652</v>
      </c>
      <c r="I110" s="9" t="s">
        <v>72</v>
      </c>
      <c r="J110" s="9" t="s">
        <v>3780</v>
      </c>
    </row>
    <row r="111" customFormat="false" ht="15" hidden="false" customHeight="false" outlineLevel="0" collapsed="false">
      <c r="A111" s="9" t="s">
        <v>3781</v>
      </c>
      <c r="B111" s="9" t="s">
        <v>3782</v>
      </c>
      <c r="C111" s="9" t="s">
        <v>3653</v>
      </c>
      <c r="D111" s="9"/>
      <c r="E111" s="9"/>
      <c r="F111" s="9" t="s">
        <v>79</v>
      </c>
      <c r="G111" s="9" t="n">
        <v>108000000</v>
      </c>
      <c r="H111" s="9" t="s">
        <v>1652</v>
      </c>
      <c r="I111" s="9" t="s">
        <v>325</v>
      </c>
      <c r="J111" s="9" t="s">
        <v>3636</v>
      </c>
    </row>
    <row r="112" customFormat="false" ht="15" hidden="false" customHeight="false" outlineLevel="0" collapsed="false">
      <c r="A112" s="9" t="s">
        <v>3783</v>
      </c>
      <c r="B112" s="9" t="s">
        <v>3784</v>
      </c>
      <c r="C112" s="9" t="s">
        <v>3642</v>
      </c>
      <c r="D112" s="9"/>
      <c r="E112" s="9"/>
      <c r="F112" s="9" t="s">
        <v>79</v>
      </c>
      <c r="G112" s="9" t="n">
        <v>32500000</v>
      </c>
      <c r="H112" s="9" t="s">
        <v>1652</v>
      </c>
      <c r="I112" s="9" t="s">
        <v>208</v>
      </c>
      <c r="J112" s="9" t="s">
        <v>3632</v>
      </c>
    </row>
    <row r="113" customFormat="false" ht="15" hidden="false" customHeight="false" outlineLevel="0" collapsed="false">
      <c r="A113" s="9" t="s">
        <v>3785</v>
      </c>
      <c r="B113" s="9" t="s">
        <v>1945</v>
      </c>
      <c r="C113" s="9" t="s">
        <v>3640</v>
      </c>
      <c r="D113" s="9"/>
      <c r="E113" s="9" t="s">
        <v>1551</v>
      </c>
      <c r="F113" s="9" t="s">
        <v>56</v>
      </c>
      <c r="G113" s="9" t="n">
        <v>143000000</v>
      </c>
      <c r="H113" s="9" t="s">
        <v>1652</v>
      </c>
      <c r="I113" s="9" t="s">
        <v>538</v>
      </c>
      <c r="J113" s="9" t="s">
        <v>3632</v>
      </c>
    </row>
    <row r="114" customFormat="false" ht="15" hidden="false" customHeight="false" outlineLevel="0" collapsed="false">
      <c r="A114" s="9" t="s">
        <v>3786</v>
      </c>
      <c r="B114" s="9" t="s">
        <v>3208</v>
      </c>
      <c r="C114" s="9" t="s">
        <v>3635</v>
      </c>
      <c r="D114" s="9"/>
      <c r="E114" s="9"/>
      <c r="F114" s="9" t="s">
        <v>75</v>
      </c>
      <c r="G114" s="9" t="n">
        <v>193000000</v>
      </c>
      <c r="H114" s="9" t="s">
        <v>1652</v>
      </c>
      <c r="I114" s="9" t="s">
        <v>401</v>
      </c>
      <c r="J114" s="9" t="s">
        <v>3632</v>
      </c>
    </row>
    <row r="115" customFormat="false" ht="15" hidden="false" customHeight="false" outlineLevel="0" collapsed="false">
      <c r="A115" s="9" t="s">
        <v>3787</v>
      </c>
      <c r="B115" s="9" t="s">
        <v>1374</v>
      </c>
      <c r="C115" s="9" t="s">
        <v>3653</v>
      </c>
      <c r="D115" s="9"/>
      <c r="E115" s="9"/>
      <c r="F115" s="9" t="s">
        <v>79</v>
      </c>
      <c r="G115" s="9" t="n">
        <v>397500000</v>
      </c>
      <c r="H115" s="9" t="s">
        <v>1652</v>
      </c>
      <c r="I115" s="9" t="s">
        <v>538</v>
      </c>
      <c r="J115" s="9" t="s">
        <v>3632</v>
      </c>
    </row>
    <row r="116" customFormat="false" ht="15" hidden="false" customHeight="false" outlineLevel="0" collapsed="false">
      <c r="A116" s="9" t="s">
        <v>3788</v>
      </c>
      <c r="B116" s="9" t="s">
        <v>3426</v>
      </c>
      <c r="C116" s="9" t="s">
        <v>3640</v>
      </c>
      <c r="D116" s="9" t="s">
        <v>2210</v>
      </c>
      <c r="E116" s="9" t="s">
        <v>1518</v>
      </c>
      <c r="F116" s="9" t="s">
        <v>71</v>
      </c>
      <c r="G116" s="9" t="n">
        <v>35000000</v>
      </c>
      <c r="H116" s="9" t="s">
        <v>1652</v>
      </c>
      <c r="I116" s="9" t="s">
        <v>72</v>
      </c>
      <c r="J116" s="9" t="s">
        <v>3632</v>
      </c>
    </row>
    <row r="117" customFormat="false" ht="15" hidden="false" customHeight="false" outlineLevel="0" collapsed="false">
      <c r="A117" s="9" t="s">
        <v>3789</v>
      </c>
      <c r="B117" s="9" t="s">
        <v>3196</v>
      </c>
      <c r="C117" s="9" t="s">
        <v>3638</v>
      </c>
      <c r="D117" s="9" t="s">
        <v>1781</v>
      </c>
      <c r="E117" s="9"/>
      <c r="F117" s="9" t="s">
        <v>75</v>
      </c>
      <c r="G117" s="9" t="n">
        <v>348000000</v>
      </c>
      <c r="H117" s="9" t="s">
        <v>1652</v>
      </c>
      <c r="I117" s="9" t="s">
        <v>401</v>
      </c>
      <c r="J117" s="9" t="s">
        <v>3632</v>
      </c>
    </row>
    <row r="118" customFormat="false" ht="15" hidden="false" customHeight="false" outlineLevel="0" collapsed="false">
      <c r="A118" s="9" t="s">
        <v>3790</v>
      </c>
      <c r="B118" s="9" t="s">
        <v>1569</v>
      </c>
      <c r="C118" s="9" t="s">
        <v>3640</v>
      </c>
      <c r="D118" s="9"/>
      <c r="E118" s="9" t="s">
        <v>1611</v>
      </c>
      <c r="F118" s="9" t="s">
        <v>56</v>
      </c>
      <c r="G118" s="9" t="n">
        <v>373000000</v>
      </c>
      <c r="H118" s="9" t="s">
        <v>1652</v>
      </c>
      <c r="I118" s="9" t="s">
        <v>363</v>
      </c>
      <c r="J118" s="9" t="s">
        <v>3632</v>
      </c>
    </row>
    <row r="119" customFormat="false" ht="15" hidden="false" customHeight="false" outlineLevel="0" collapsed="false">
      <c r="A119" s="9" t="s">
        <v>3791</v>
      </c>
      <c r="B119" s="9" t="s">
        <v>3432</v>
      </c>
      <c r="C119" s="9" t="s">
        <v>3635</v>
      </c>
      <c r="D119" s="9"/>
      <c r="E119" s="9" t="s">
        <v>1364</v>
      </c>
      <c r="F119" s="9" t="s">
        <v>10</v>
      </c>
      <c r="G119" s="9" t="n">
        <v>19500000</v>
      </c>
      <c r="H119" s="9" t="s">
        <v>1652</v>
      </c>
      <c r="I119" s="9" t="s">
        <v>577</v>
      </c>
      <c r="J119" s="9" t="s">
        <v>3632</v>
      </c>
    </row>
    <row r="120" customFormat="false" ht="15" hidden="false" customHeight="false" outlineLevel="0" collapsed="false">
      <c r="A120" s="9" t="s">
        <v>3792</v>
      </c>
      <c r="B120" s="9" t="s">
        <v>3130</v>
      </c>
      <c r="C120" s="9" t="s">
        <v>3653</v>
      </c>
      <c r="D120" s="9"/>
      <c r="E120" s="9"/>
      <c r="F120" s="9" t="s">
        <v>8</v>
      </c>
      <c r="G120" s="9" t="n">
        <v>89500000</v>
      </c>
      <c r="H120" s="9" t="s">
        <v>1652</v>
      </c>
      <c r="I120" s="9" t="s">
        <v>325</v>
      </c>
      <c r="J120" s="9" t="s">
        <v>3632</v>
      </c>
    </row>
    <row r="121" customFormat="false" ht="15" hidden="false" customHeight="false" outlineLevel="0" collapsed="false">
      <c r="A121" s="9" t="s">
        <v>3793</v>
      </c>
      <c r="B121" s="9" t="s">
        <v>1837</v>
      </c>
      <c r="C121" s="9" t="s">
        <v>3642</v>
      </c>
      <c r="D121" s="9"/>
      <c r="E121" s="9"/>
      <c r="F121" s="9" t="s">
        <v>56</v>
      </c>
      <c r="G121" s="9" t="n">
        <v>326500000</v>
      </c>
      <c r="H121" s="9" t="s">
        <v>1652</v>
      </c>
      <c r="I121" s="9" t="s">
        <v>476</v>
      </c>
      <c r="J121" s="9" t="s">
        <v>3632</v>
      </c>
    </row>
    <row r="122" customFormat="false" ht="15" hidden="false" customHeight="false" outlineLevel="0" collapsed="false">
      <c r="A122" s="9" t="s">
        <v>3794</v>
      </c>
      <c r="B122" s="9" t="s">
        <v>3292</v>
      </c>
      <c r="C122" s="9" t="s">
        <v>3631</v>
      </c>
      <c r="D122" s="9" t="s">
        <v>2295</v>
      </c>
      <c r="E122" s="9"/>
      <c r="F122" s="9" t="s">
        <v>63</v>
      </c>
      <c r="G122" s="9" t="n">
        <v>115500000</v>
      </c>
      <c r="H122" s="9" t="s">
        <v>1652</v>
      </c>
      <c r="I122" s="9" t="s">
        <v>246</v>
      </c>
      <c r="J122" s="9" t="s">
        <v>3632</v>
      </c>
    </row>
    <row r="123" customFormat="false" ht="15" hidden="false" customHeight="false" outlineLevel="0" collapsed="false">
      <c r="A123" s="9" t="s">
        <v>3795</v>
      </c>
      <c r="B123" s="9" t="s">
        <v>1999</v>
      </c>
      <c r="C123" s="9" t="s">
        <v>3653</v>
      </c>
      <c r="D123" s="9"/>
      <c r="E123" s="9"/>
      <c r="F123" s="9" t="s">
        <v>14</v>
      </c>
      <c r="G123" s="9" t="n">
        <v>44500000</v>
      </c>
      <c r="H123" s="9" t="s">
        <v>1652</v>
      </c>
      <c r="I123" s="9" t="s">
        <v>476</v>
      </c>
      <c r="J123" s="9" t="s">
        <v>3632</v>
      </c>
    </row>
    <row r="124" customFormat="false" ht="15" hidden="false" customHeight="false" outlineLevel="0" collapsed="false">
      <c r="A124" s="9" t="s">
        <v>3796</v>
      </c>
      <c r="B124" s="9" t="s">
        <v>980</v>
      </c>
      <c r="C124" s="9" t="s">
        <v>3638</v>
      </c>
      <c r="D124" s="9" t="s">
        <v>1805</v>
      </c>
      <c r="E124" s="9"/>
      <c r="F124" s="9" t="s">
        <v>8</v>
      </c>
      <c r="G124" s="9" t="n">
        <v>184500000</v>
      </c>
      <c r="H124" s="9" t="s">
        <v>1652</v>
      </c>
      <c r="I124" s="9" t="s">
        <v>363</v>
      </c>
      <c r="J124" s="9" t="s">
        <v>3632</v>
      </c>
    </row>
    <row r="125" customFormat="false" ht="15" hidden="false" customHeight="false" outlineLevel="0" collapsed="false">
      <c r="A125" s="9" t="s">
        <v>3797</v>
      </c>
      <c r="B125" s="9" t="s">
        <v>3798</v>
      </c>
      <c r="C125" s="9" t="s">
        <v>3631</v>
      </c>
      <c r="D125" s="9" t="s">
        <v>2334</v>
      </c>
      <c r="E125" s="9"/>
      <c r="F125" s="9" t="s">
        <v>79</v>
      </c>
      <c r="G125" s="9" t="n">
        <v>254500000</v>
      </c>
      <c r="H125" s="9" t="s">
        <v>1652</v>
      </c>
      <c r="I125" s="9" t="s">
        <v>246</v>
      </c>
      <c r="J125" s="9" t="s">
        <v>3632</v>
      </c>
    </row>
    <row r="126" customFormat="false" ht="15" hidden="false" customHeight="false" outlineLevel="0" collapsed="false">
      <c r="A126" s="9" t="s">
        <v>3799</v>
      </c>
      <c r="B126" s="9" t="s">
        <v>1378</v>
      </c>
      <c r="C126" s="9" t="s">
        <v>3642</v>
      </c>
      <c r="D126" s="9"/>
      <c r="E126" s="9"/>
      <c r="F126" s="9" t="s">
        <v>79</v>
      </c>
      <c r="G126" s="9" t="n">
        <v>180500000</v>
      </c>
      <c r="H126" s="9" t="s">
        <v>1652</v>
      </c>
      <c r="I126" s="9" t="s">
        <v>325</v>
      </c>
      <c r="J126" s="9" t="s">
        <v>3632</v>
      </c>
    </row>
    <row r="127" customFormat="false" ht="15" hidden="false" customHeight="false" outlineLevel="0" collapsed="false">
      <c r="A127" s="9" t="s">
        <v>3800</v>
      </c>
      <c r="B127" s="9" t="s">
        <v>3801</v>
      </c>
      <c r="C127" s="9" t="s">
        <v>3638</v>
      </c>
      <c r="D127" s="9"/>
      <c r="E127" s="9"/>
      <c r="F127" s="9" t="s">
        <v>75</v>
      </c>
      <c r="G127" s="9" t="n">
        <v>219000000</v>
      </c>
      <c r="H127" s="9" t="s">
        <v>1652</v>
      </c>
      <c r="I127" s="9" t="s">
        <v>538</v>
      </c>
      <c r="J127" s="9" t="s">
        <v>3632</v>
      </c>
    </row>
    <row r="128" customFormat="false" ht="15" hidden="false" customHeight="false" outlineLevel="0" collapsed="false">
      <c r="A128" s="9" t="s">
        <v>3802</v>
      </c>
      <c r="B128" s="9" t="s">
        <v>3803</v>
      </c>
      <c r="C128" s="9" t="s">
        <v>3653</v>
      </c>
      <c r="D128" s="9"/>
      <c r="E128" s="9"/>
      <c r="F128" s="9" t="s">
        <v>10</v>
      </c>
      <c r="G128" s="9" t="n">
        <v>65500000</v>
      </c>
      <c r="H128" s="9" t="s">
        <v>1652</v>
      </c>
      <c r="I128" s="9" t="s">
        <v>438</v>
      </c>
      <c r="J128" s="9" t="s">
        <v>3632</v>
      </c>
    </row>
    <row r="129" customFormat="false" ht="15" hidden="false" customHeight="false" outlineLevel="0" collapsed="false">
      <c r="A129" s="9" t="s">
        <v>3804</v>
      </c>
      <c r="B129" s="9" t="s">
        <v>3805</v>
      </c>
      <c r="C129" s="9" t="s">
        <v>3642</v>
      </c>
      <c r="D129" s="9"/>
      <c r="E129" s="9"/>
      <c r="F129" s="9" t="s">
        <v>14</v>
      </c>
      <c r="G129" s="9" t="n">
        <v>26500000</v>
      </c>
      <c r="H129" s="9" t="s">
        <v>1652</v>
      </c>
      <c r="I129" s="9" t="s">
        <v>476</v>
      </c>
      <c r="J129" s="9" t="s">
        <v>3632</v>
      </c>
    </row>
    <row r="130" customFormat="false" ht="15" hidden="false" customHeight="false" outlineLevel="0" collapsed="false">
      <c r="A130" s="9" t="s">
        <v>3806</v>
      </c>
      <c r="B130" s="9" t="s">
        <v>932</v>
      </c>
      <c r="C130" s="9" t="s">
        <v>3638</v>
      </c>
      <c r="D130" s="9"/>
      <c r="E130" s="9"/>
      <c r="F130" s="9" t="s">
        <v>63</v>
      </c>
      <c r="G130" s="9" t="n">
        <v>424500000</v>
      </c>
      <c r="H130" s="9" t="s">
        <v>1652</v>
      </c>
      <c r="I130" s="9" t="s">
        <v>286</v>
      </c>
      <c r="J130" s="9" t="s">
        <v>3632</v>
      </c>
    </row>
    <row r="131" customFormat="false" ht="15" hidden="false" customHeight="false" outlineLevel="0" collapsed="false">
      <c r="A131" s="9" t="s">
        <v>3807</v>
      </c>
      <c r="B131" s="9" t="s">
        <v>3782</v>
      </c>
      <c r="C131" s="9" t="s">
        <v>3635</v>
      </c>
      <c r="D131" s="9"/>
      <c r="E131" s="9"/>
      <c r="F131" s="9" t="s">
        <v>56</v>
      </c>
      <c r="G131" s="9" t="n">
        <v>147500000</v>
      </c>
      <c r="H131" s="9" t="s">
        <v>1652</v>
      </c>
      <c r="I131" s="9" t="s">
        <v>169</v>
      </c>
      <c r="J131" s="9" t="s">
        <v>3632</v>
      </c>
    </row>
    <row r="132" customFormat="false" ht="15" hidden="false" customHeight="false" outlineLevel="0" collapsed="false">
      <c r="A132" s="9" t="s">
        <v>3808</v>
      </c>
      <c r="B132" s="9" t="s">
        <v>3809</v>
      </c>
      <c r="C132" s="9" t="s">
        <v>3653</v>
      </c>
      <c r="D132" s="9"/>
      <c r="E132" s="9"/>
      <c r="F132" s="9" t="s">
        <v>83</v>
      </c>
      <c r="G132" s="9" t="n">
        <v>256500000</v>
      </c>
      <c r="H132" s="9" t="s">
        <v>1652</v>
      </c>
      <c r="I132" s="9" t="s">
        <v>286</v>
      </c>
      <c r="J132" s="9" t="s">
        <v>3632</v>
      </c>
    </row>
    <row r="133" customFormat="false" ht="15" hidden="false" customHeight="false" outlineLevel="0" collapsed="false">
      <c r="A133" s="9" t="s">
        <v>3810</v>
      </c>
      <c r="B133" s="9" t="s">
        <v>2101</v>
      </c>
      <c r="C133" s="9" t="s">
        <v>3653</v>
      </c>
      <c r="D133" s="9"/>
      <c r="E133" s="9"/>
      <c r="F133" s="9" t="s">
        <v>10</v>
      </c>
      <c r="G133" s="9" t="n">
        <v>298500000</v>
      </c>
      <c r="H133" s="9" t="s">
        <v>1652</v>
      </c>
      <c r="I133" s="9" t="s">
        <v>401</v>
      </c>
      <c r="J133" s="9" t="s">
        <v>3636</v>
      </c>
    </row>
    <row r="134" customFormat="false" ht="15" hidden="false" customHeight="false" outlineLevel="0" collapsed="false">
      <c r="A134" s="9" t="s">
        <v>3811</v>
      </c>
      <c r="B134" s="9" t="s">
        <v>1789</v>
      </c>
      <c r="C134" s="9" t="s">
        <v>3640</v>
      </c>
      <c r="D134" s="9" t="s">
        <v>1996</v>
      </c>
      <c r="E134" s="9"/>
      <c r="F134" s="9" t="s">
        <v>14</v>
      </c>
      <c r="G134" s="9" t="n">
        <v>171500000</v>
      </c>
      <c r="H134" s="9" t="s">
        <v>1652</v>
      </c>
      <c r="I134" s="9" t="s">
        <v>72</v>
      </c>
      <c r="J134" s="9" t="s">
        <v>3632</v>
      </c>
    </row>
    <row r="135" customFormat="false" ht="15" hidden="false" customHeight="false" outlineLevel="0" collapsed="false">
      <c r="A135" s="9" t="s">
        <v>3812</v>
      </c>
      <c r="B135" s="9" t="s">
        <v>3495</v>
      </c>
      <c r="C135" s="9" t="s">
        <v>3640</v>
      </c>
      <c r="D135" s="9" t="s">
        <v>2360</v>
      </c>
      <c r="E135" s="9"/>
      <c r="F135" s="9" t="s">
        <v>8</v>
      </c>
      <c r="G135" s="9" t="n">
        <v>121000000</v>
      </c>
      <c r="H135" s="9" t="s">
        <v>1652</v>
      </c>
      <c r="I135" s="9" t="s">
        <v>401</v>
      </c>
      <c r="J135" s="9" t="s">
        <v>3632</v>
      </c>
    </row>
    <row r="136" customFormat="false" ht="15" hidden="false" customHeight="false" outlineLevel="0" collapsed="false">
      <c r="A136" s="9" t="s">
        <v>3813</v>
      </c>
      <c r="B136" s="9" t="s">
        <v>1024</v>
      </c>
      <c r="C136" s="9" t="s">
        <v>3653</v>
      </c>
      <c r="D136" s="9"/>
      <c r="E136" s="9"/>
      <c r="F136" s="9" t="s">
        <v>8</v>
      </c>
      <c r="G136" s="9" t="n">
        <v>177500000</v>
      </c>
      <c r="H136" s="9" t="s">
        <v>1652</v>
      </c>
      <c r="I136" s="9" t="s">
        <v>169</v>
      </c>
      <c r="J136" s="9" t="s">
        <v>3636</v>
      </c>
    </row>
    <row r="137" customFormat="false" ht="15" hidden="false" customHeight="false" outlineLevel="0" collapsed="false">
      <c r="A137" s="9" t="s">
        <v>3814</v>
      </c>
      <c r="B137" s="9" t="s">
        <v>3815</v>
      </c>
      <c r="C137" s="9" t="s">
        <v>3640</v>
      </c>
      <c r="D137" s="9"/>
      <c r="E137" s="9" t="s">
        <v>1485</v>
      </c>
      <c r="F137" s="9" t="s">
        <v>75</v>
      </c>
      <c r="G137" s="9" t="n">
        <v>66500000</v>
      </c>
      <c r="H137" s="9" t="s">
        <v>1652</v>
      </c>
      <c r="I137" s="9" t="s">
        <v>286</v>
      </c>
      <c r="J137" s="9" t="s">
        <v>3632</v>
      </c>
    </row>
    <row r="138" customFormat="false" ht="15" hidden="false" customHeight="false" outlineLevel="0" collapsed="false">
      <c r="A138" s="9" t="s">
        <v>3816</v>
      </c>
      <c r="B138" s="9" t="s">
        <v>3183</v>
      </c>
      <c r="C138" s="9" t="s">
        <v>3635</v>
      </c>
      <c r="D138" s="9"/>
      <c r="E138" s="9"/>
      <c r="F138" s="9" t="s">
        <v>14</v>
      </c>
      <c r="G138" s="9" t="n">
        <v>333000000</v>
      </c>
      <c r="H138" s="9" t="s">
        <v>1652</v>
      </c>
      <c r="I138" s="9" t="s">
        <v>325</v>
      </c>
      <c r="J138" s="9" t="s">
        <v>3632</v>
      </c>
    </row>
    <row r="139" customFormat="false" ht="15" hidden="false" customHeight="false" outlineLevel="0" collapsed="false">
      <c r="A139" s="9" t="s">
        <v>3817</v>
      </c>
      <c r="B139" s="9" t="s">
        <v>2975</v>
      </c>
      <c r="C139" s="9" t="s">
        <v>3638</v>
      </c>
      <c r="D139" s="9" t="s">
        <v>1728</v>
      </c>
      <c r="E139" s="9"/>
      <c r="F139" s="9" t="s">
        <v>8</v>
      </c>
      <c r="G139" s="9" t="n">
        <v>396500000</v>
      </c>
      <c r="H139" s="9" t="s">
        <v>1652</v>
      </c>
      <c r="I139" s="9" t="s">
        <v>246</v>
      </c>
      <c r="J139" s="9" t="s">
        <v>3632</v>
      </c>
    </row>
    <row r="140" customFormat="false" ht="15" hidden="false" customHeight="false" outlineLevel="0" collapsed="false">
      <c r="A140" s="9" t="s">
        <v>3818</v>
      </c>
      <c r="B140" s="9" t="s">
        <v>3819</v>
      </c>
      <c r="C140" s="9" t="s">
        <v>3640</v>
      </c>
      <c r="D140" s="9"/>
      <c r="E140" s="9" t="s">
        <v>1457</v>
      </c>
      <c r="F140" s="9" t="s">
        <v>8</v>
      </c>
      <c r="G140" s="9" t="n">
        <v>198500000</v>
      </c>
      <c r="H140" s="9" t="s">
        <v>1652</v>
      </c>
      <c r="I140" s="9" t="s">
        <v>363</v>
      </c>
      <c r="J140" s="9" t="s">
        <v>3632</v>
      </c>
    </row>
    <row r="141" customFormat="false" ht="15" hidden="false" customHeight="false" outlineLevel="0" collapsed="false">
      <c r="A141" s="9" t="s">
        <v>3820</v>
      </c>
      <c r="B141" s="9" t="s">
        <v>3821</v>
      </c>
      <c r="C141" s="9" t="s">
        <v>3640</v>
      </c>
      <c r="D141" s="9" t="s">
        <v>1805</v>
      </c>
      <c r="E141" s="9" t="s">
        <v>1299</v>
      </c>
      <c r="F141" s="9" t="s">
        <v>83</v>
      </c>
      <c r="G141" s="9" t="n">
        <v>188500000</v>
      </c>
      <c r="H141" s="9" t="s">
        <v>1652</v>
      </c>
      <c r="I141" s="9" t="s">
        <v>325</v>
      </c>
      <c r="J141" s="9" t="s">
        <v>3632</v>
      </c>
    </row>
    <row r="142" customFormat="false" ht="15" hidden="false" customHeight="false" outlineLevel="0" collapsed="false">
      <c r="A142" s="9" t="s">
        <v>3822</v>
      </c>
      <c r="B142" s="9" t="s">
        <v>3597</v>
      </c>
      <c r="C142" s="9" t="s">
        <v>3635</v>
      </c>
      <c r="D142" s="9"/>
      <c r="E142" s="9" t="s">
        <v>1283</v>
      </c>
      <c r="F142" s="9" t="s">
        <v>83</v>
      </c>
      <c r="G142" s="9" t="n">
        <v>5500000</v>
      </c>
      <c r="H142" s="9" t="s">
        <v>1652</v>
      </c>
      <c r="I142" s="9" t="s">
        <v>246</v>
      </c>
      <c r="J142" s="9" t="s">
        <v>3632</v>
      </c>
    </row>
    <row r="143" customFormat="false" ht="15" hidden="false" customHeight="false" outlineLevel="0" collapsed="false">
      <c r="A143" s="9" t="s">
        <v>3823</v>
      </c>
      <c r="B143" s="9" t="s">
        <v>3824</v>
      </c>
      <c r="C143" s="9" t="s">
        <v>3653</v>
      </c>
      <c r="D143" s="9"/>
      <c r="E143" s="9"/>
      <c r="F143" s="9" t="s">
        <v>8</v>
      </c>
      <c r="G143" s="9" t="n">
        <v>411000000</v>
      </c>
      <c r="H143" s="9" t="s">
        <v>1652</v>
      </c>
      <c r="I143" s="9" t="s">
        <v>72</v>
      </c>
      <c r="J143" s="9" t="s">
        <v>3636</v>
      </c>
    </row>
    <row r="144" customFormat="false" ht="15" hidden="false" customHeight="false" outlineLevel="0" collapsed="false">
      <c r="A144" s="9" t="s">
        <v>3825</v>
      </c>
      <c r="B144" s="9" t="s">
        <v>3826</v>
      </c>
      <c r="C144" s="9" t="s">
        <v>3635</v>
      </c>
      <c r="D144" s="9"/>
      <c r="E144" s="9" t="s">
        <v>1302</v>
      </c>
      <c r="F144" s="9" t="s">
        <v>75</v>
      </c>
      <c r="G144" s="9" t="n">
        <v>92500000</v>
      </c>
      <c r="H144" s="9" t="s">
        <v>1652</v>
      </c>
      <c r="I144" s="9" t="s">
        <v>286</v>
      </c>
      <c r="J144" s="9" t="s">
        <v>3632</v>
      </c>
    </row>
    <row r="145" customFormat="false" ht="15" hidden="false" customHeight="false" outlineLevel="0" collapsed="false">
      <c r="A145" s="9" t="s">
        <v>3827</v>
      </c>
      <c r="B145" s="9" t="s">
        <v>1326</v>
      </c>
      <c r="C145" s="9" t="s">
        <v>3653</v>
      </c>
      <c r="D145" s="9"/>
      <c r="E145" s="9"/>
      <c r="F145" s="9" t="s">
        <v>14</v>
      </c>
      <c r="G145" s="9" t="n">
        <v>150000000</v>
      </c>
      <c r="H145" s="9" t="s">
        <v>1652</v>
      </c>
      <c r="I145" s="9" t="s">
        <v>208</v>
      </c>
      <c r="J145" s="9" t="s">
        <v>3632</v>
      </c>
    </row>
    <row r="146" customFormat="false" ht="15" hidden="false" customHeight="false" outlineLevel="0" collapsed="false">
      <c r="A146" s="9" t="s">
        <v>3828</v>
      </c>
      <c r="B146" s="9" t="s">
        <v>959</v>
      </c>
      <c r="C146" s="9" t="s">
        <v>3640</v>
      </c>
      <c r="D146" s="9" t="s">
        <v>1751</v>
      </c>
      <c r="E146" s="9" t="s">
        <v>1482</v>
      </c>
      <c r="F146" s="9" t="s">
        <v>14</v>
      </c>
      <c r="G146" s="9" t="n">
        <v>253500000</v>
      </c>
      <c r="H146" s="9" t="s">
        <v>1652</v>
      </c>
      <c r="I146" s="9" t="s">
        <v>577</v>
      </c>
      <c r="J146" s="9" t="s">
        <v>3632</v>
      </c>
    </row>
    <row r="147" customFormat="false" ht="15" hidden="false" customHeight="false" outlineLevel="0" collapsed="false">
      <c r="A147" s="9" t="s">
        <v>3829</v>
      </c>
      <c r="B147" s="9" t="s">
        <v>2057</v>
      </c>
      <c r="C147" s="9" t="s">
        <v>3638</v>
      </c>
      <c r="D147" s="9" t="s">
        <v>1960</v>
      </c>
      <c r="E147" s="9"/>
      <c r="F147" s="9" t="s">
        <v>67</v>
      </c>
      <c r="G147" s="9" t="n">
        <v>399500000</v>
      </c>
      <c r="H147" s="9" t="s">
        <v>1652</v>
      </c>
      <c r="I147" s="9" t="s">
        <v>438</v>
      </c>
      <c r="J147" s="9" t="s">
        <v>3632</v>
      </c>
    </row>
    <row r="148" customFormat="false" ht="15" hidden="false" customHeight="false" outlineLevel="0" collapsed="false">
      <c r="A148" s="9" t="s">
        <v>3830</v>
      </c>
      <c r="B148" s="9" t="s">
        <v>2725</v>
      </c>
      <c r="C148" s="9" t="s">
        <v>3653</v>
      </c>
      <c r="D148" s="9"/>
      <c r="E148" s="9"/>
      <c r="F148" s="9" t="s">
        <v>63</v>
      </c>
      <c r="G148" s="9" t="n">
        <v>163500000</v>
      </c>
      <c r="H148" s="9" t="s">
        <v>1652</v>
      </c>
      <c r="I148" s="9" t="s">
        <v>577</v>
      </c>
      <c r="J148" s="9" t="s">
        <v>3632</v>
      </c>
    </row>
    <row r="149" customFormat="false" ht="15" hidden="false" customHeight="false" outlineLevel="0" collapsed="false">
      <c r="A149" s="9" t="s">
        <v>3831</v>
      </c>
      <c r="B149" s="9" t="s">
        <v>3183</v>
      </c>
      <c r="C149" s="9" t="s">
        <v>3635</v>
      </c>
      <c r="D149" s="9"/>
      <c r="E149" s="9" t="s">
        <v>1428</v>
      </c>
      <c r="F149" s="9" t="s">
        <v>83</v>
      </c>
      <c r="G149" s="9" t="n">
        <v>249000000</v>
      </c>
      <c r="H149" s="9" t="s">
        <v>1652</v>
      </c>
      <c r="I149" s="9" t="s">
        <v>286</v>
      </c>
      <c r="J149" s="9" t="s">
        <v>3632</v>
      </c>
    </row>
    <row r="150" customFormat="false" ht="15" hidden="false" customHeight="false" outlineLevel="0" collapsed="false">
      <c r="A150" s="9" t="s">
        <v>3832</v>
      </c>
      <c r="B150" s="9" t="s">
        <v>854</v>
      </c>
      <c r="C150" s="9" t="s">
        <v>3653</v>
      </c>
      <c r="D150" s="9"/>
      <c r="E150" s="9"/>
      <c r="F150" s="9" t="s">
        <v>14</v>
      </c>
      <c r="G150" s="9" t="n">
        <v>156500000</v>
      </c>
      <c r="H150" s="9" t="s">
        <v>1652</v>
      </c>
      <c r="I150" s="9" t="s">
        <v>577</v>
      </c>
      <c r="J150" s="9" t="s">
        <v>3632</v>
      </c>
    </row>
    <row r="151" customFormat="false" ht="15" hidden="false" customHeight="false" outlineLevel="0" collapsed="false">
      <c r="A151" s="9" t="s">
        <v>3833</v>
      </c>
      <c r="B151" s="9" t="s">
        <v>3028</v>
      </c>
      <c r="C151" s="9" t="s">
        <v>3631</v>
      </c>
      <c r="D151" s="9"/>
      <c r="E151" s="9"/>
      <c r="F151" s="9" t="s">
        <v>56</v>
      </c>
      <c r="G151" s="9" t="n">
        <v>18500000</v>
      </c>
      <c r="H151" s="9" t="s">
        <v>1652</v>
      </c>
      <c r="I151" s="9" t="s">
        <v>246</v>
      </c>
      <c r="J151" s="9" t="s">
        <v>3632</v>
      </c>
    </row>
    <row r="152" customFormat="false" ht="15" hidden="false" customHeight="false" outlineLevel="0" collapsed="false">
      <c r="A152" s="9" t="s">
        <v>3834</v>
      </c>
      <c r="B152" s="9" t="s">
        <v>2520</v>
      </c>
      <c r="C152" s="9" t="s">
        <v>3635</v>
      </c>
      <c r="D152" s="9"/>
      <c r="E152" s="9" t="s">
        <v>1599</v>
      </c>
      <c r="F152" s="9" t="s">
        <v>8</v>
      </c>
      <c r="G152" s="9" t="n">
        <v>138500000</v>
      </c>
      <c r="H152" s="9" t="s">
        <v>1652</v>
      </c>
      <c r="I152" s="9" t="s">
        <v>286</v>
      </c>
      <c r="J152" s="9" t="s">
        <v>3632</v>
      </c>
    </row>
    <row r="153" customFormat="false" ht="15" hidden="false" customHeight="false" outlineLevel="0" collapsed="false">
      <c r="A153" s="9" t="s">
        <v>3835</v>
      </c>
      <c r="B153" s="9" t="s">
        <v>1020</v>
      </c>
      <c r="C153" s="9" t="s">
        <v>3635</v>
      </c>
      <c r="D153" s="9"/>
      <c r="E153" s="9" t="s">
        <v>1604</v>
      </c>
      <c r="F153" s="9" t="s">
        <v>83</v>
      </c>
      <c r="G153" s="9" t="n">
        <v>197000000</v>
      </c>
      <c r="H153" s="9" t="s">
        <v>1652</v>
      </c>
      <c r="I153" s="9" t="s">
        <v>401</v>
      </c>
      <c r="J153" s="9" t="s">
        <v>3632</v>
      </c>
    </row>
    <row r="154" customFormat="false" ht="15" hidden="false" customHeight="false" outlineLevel="0" collapsed="false">
      <c r="A154" s="9" t="s">
        <v>3836</v>
      </c>
      <c r="B154" s="9" t="s">
        <v>927</v>
      </c>
      <c r="C154" s="9" t="s">
        <v>3642</v>
      </c>
      <c r="D154" s="9"/>
      <c r="E154" s="9"/>
      <c r="F154" s="9" t="s">
        <v>75</v>
      </c>
      <c r="G154" s="9" t="n">
        <v>23000000</v>
      </c>
      <c r="H154" s="9" t="s">
        <v>1652</v>
      </c>
      <c r="I154" s="9" t="s">
        <v>246</v>
      </c>
      <c r="J154" s="9" t="s">
        <v>3632</v>
      </c>
    </row>
    <row r="155" customFormat="false" ht="15" hidden="false" customHeight="false" outlineLevel="0" collapsed="false">
      <c r="A155" s="9" t="s">
        <v>3837</v>
      </c>
      <c r="B155" s="9" t="s">
        <v>2276</v>
      </c>
      <c r="C155" s="9" t="s">
        <v>3640</v>
      </c>
      <c r="D155" s="9" t="s">
        <v>1723</v>
      </c>
      <c r="E155" s="9"/>
      <c r="F155" s="9" t="s">
        <v>8</v>
      </c>
      <c r="G155" s="9" t="n">
        <v>277500000</v>
      </c>
      <c r="H155" s="9" t="s">
        <v>1652</v>
      </c>
      <c r="I155" s="9" t="s">
        <v>325</v>
      </c>
      <c r="J155" s="9" t="s">
        <v>3636</v>
      </c>
    </row>
    <row r="156" customFormat="false" ht="15" hidden="false" customHeight="false" outlineLevel="0" collapsed="false">
      <c r="A156" s="9" t="s">
        <v>3838</v>
      </c>
      <c r="B156" s="9" t="s">
        <v>3098</v>
      </c>
      <c r="C156" s="9" t="s">
        <v>3631</v>
      </c>
      <c r="D156" s="9"/>
      <c r="E156" s="9"/>
      <c r="F156" s="9" t="s">
        <v>63</v>
      </c>
      <c r="G156" s="9" t="n">
        <v>415000000</v>
      </c>
      <c r="H156" s="9" t="s">
        <v>1652</v>
      </c>
      <c r="I156" s="9" t="s">
        <v>476</v>
      </c>
      <c r="J156" s="9" t="s">
        <v>3632</v>
      </c>
    </row>
    <row r="157" customFormat="false" ht="15" hidden="false" customHeight="false" outlineLevel="0" collapsed="false">
      <c r="A157" s="9" t="s">
        <v>3839</v>
      </c>
      <c r="B157" s="9" t="s">
        <v>3840</v>
      </c>
      <c r="C157" s="9" t="s">
        <v>3631</v>
      </c>
      <c r="D157" s="9"/>
      <c r="E157" s="9"/>
      <c r="F157" s="9" t="s">
        <v>83</v>
      </c>
      <c r="G157" s="9" t="n">
        <v>222500000</v>
      </c>
      <c r="H157" s="9" t="s">
        <v>1652</v>
      </c>
      <c r="I157" s="9" t="s">
        <v>363</v>
      </c>
      <c r="J157" s="9" t="s">
        <v>3632</v>
      </c>
    </row>
    <row r="158" customFormat="false" ht="15" hidden="false" customHeight="false" outlineLevel="0" collapsed="false">
      <c r="A158" s="9" t="s">
        <v>3841</v>
      </c>
      <c r="B158" s="9" t="s">
        <v>2101</v>
      </c>
      <c r="C158" s="9" t="s">
        <v>3635</v>
      </c>
      <c r="D158" s="9"/>
      <c r="E158" s="9"/>
      <c r="F158" s="9" t="s">
        <v>63</v>
      </c>
      <c r="G158" s="9" t="n">
        <v>440000000</v>
      </c>
      <c r="H158" s="9" t="s">
        <v>1652</v>
      </c>
      <c r="I158" s="9" t="s">
        <v>438</v>
      </c>
      <c r="J158" s="9" t="s">
        <v>3632</v>
      </c>
    </row>
    <row r="159" customFormat="false" ht="15" hidden="false" customHeight="false" outlineLevel="0" collapsed="false">
      <c r="A159" s="9" t="s">
        <v>3842</v>
      </c>
      <c r="B159" s="9" t="s">
        <v>3310</v>
      </c>
      <c r="C159" s="9" t="s">
        <v>3640</v>
      </c>
      <c r="D159" s="9" t="s">
        <v>2159</v>
      </c>
      <c r="E159" s="9" t="s">
        <v>1416</v>
      </c>
      <c r="F159" s="9" t="s">
        <v>75</v>
      </c>
      <c r="G159" s="9" t="n">
        <v>382000000</v>
      </c>
      <c r="H159" s="9" t="s">
        <v>1652</v>
      </c>
      <c r="I159" s="9" t="s">
        <v>246</v>
      </c>
      <c r="J159" s="9" t="s">
        <v>3632</v>
      </c>
    </row>
    <row r="160" customFormat="false" ht="15" hidden="false" customHeight="false" outlineLevel="0" collapsed="false">
      <c r="A160" s="9" t="s">
        <v>3843</v>
      </c>
      <c r="B160" s="9" t="s">
        <v>3844</v>
      </c>
      <c r="C160" s="9" t="s">
        <v>3631</v>
      </c>
      <c r="D160" s="9"/>
      <c r="E160" s="9"/>
      <c r="F160" s="9" t="s">
        <v>63</v>
      </c>
      <c r="G160" s="9" t="n">
        <v>44000000</v>
      </c>
      <c r="H160" s="9" t="s">
        <v>1652</v>
      </c>
      <c r="I160" s="9" t="s">
        <v>246</v>
      </c>
      <c r="J160" s="9" t="s">
        <v>3632</v>
      </c>
    </row>
    <row r="161" customFormat="false" ht="15" hidden="false" customHeight="false" outlineLevel="0" collapsed="false">
      <c r="A161" s="9" t="s">
        <v>3845</v>
      </c>
      <c r="B161" s="9" t="s">
        <v>1727</v>
      </c>
      <c r="C161" s="9" t="s">
        <v>3631</v>
      </c>
      <c r="D161" s="9" t="s">
        <v>1703</v>
      </c>
      <c r="E161" s="9"/>
      <c r="F161" s="9" t="s">
        <v>83</v>
      </c>
      <c r="G161" s="9" t="n">
        <v>140500000</v>
      </c>
      <c r="H161" s="9" t="s">
        <v>1652</v>
      </c>
      <c r="I161" s="9" t="s">
        <v>325</v>
      </c>
      <c r="J161" s="9" t="s">
        <v>3632</v>
      </c>
    </row>
    <row r="162" customFormat="false" ht="15" hidden="false" customHeight="false" outlineLevel="0" collapsed="false">
      <c r="A162" s="9" t="s">
        <v>3846</v>
      </c>
      <c r="B162" s="9" t="s">
        <v>3847</v>
      </c>
      <c r="C162" s="9" t="s">
        <v>3640</v>
      </c>
      <c r="D162" s="9"/>
      <c r="E162" s="9"/>
      <c r="F162" s="9" t="s">
        <v>10</v>
      </c>
      <c r="G162" s="9" t="n">
        <v>157500000</v>
      </c>
      <c r="H162" s="9" t="s">
        <v>1652</v>
      </c>
      <c r="I162" s="9" t="s">
        <v>476</v>
      </c>
      <c r="J162" s="9" t="s">
        <v>3632</v>
      </c>
    </row>
    <row r="163" customFormat="false" ht="15" hidden="false" customHeight="false" outlineLevel="0" collapsed="false">
      <c r="A163" s="9" t="s">
        <v>3848</v>
      </c>
      <c r="B163" s="9" t="s">
        <v>1597</v>
      </c>
      <c r="C163" s="9" t="s">
        <v>3638</v>
      </c>
      <c r="D163" s="9" t="s">
        <v>1673</v>
      </c>
      <c r="E163" s="9"/>
      <c r="F163" s="9" t="s">
        <v>75</v>
      </c>
      <c r="G163" s="9" t="n">
        <v>5000000</v>
      </c>
      <c r="H163" s="9" t="s">
        <v>1652</v>
      </c>
      <c r="I163" s="9" t="s">
        <v>401</v>
      </c>
      <c r="J163" s="9" t="s">
        <v>3632</v>
      </c>
    </row>
    <row r="164" customFormat="false" ht="15" hidden="false" customHeight="false" outlineLevel="0" collapsed="false">
      <c r="A164" s="9" t="s">
        <v>3849</v>
      </c>
      <c r="B164" s="9" t="s">
        <v>297</v>
      </c>
      <c r="C164" s="9" t="s">
        <v>3642</v>
      </c>
      <c r="D164" s="9"/>
      <c r="E164" s="9"/>
      <c r="F164" s="9" t="s">
        <v>79</v>
      </c>
      <c r="G164" s="9" t="n">
        <v>112000000</v>
      </c>
      <c r="H164" s="9" t="s">
        <v>1652</v>
      </c>
      <c r="I164" s="9" t="s">
        <v>363</v>
      </c>
      <c r="J164" s="9" t="s">
        <v>3632</v>
      </c>
    </row>
    <row r="165" customFormat="false" ht="15" hidden="false" customHeight="false" outlineLevel="0" collapsed="false">
      <c r="A165" s="9" t="s">
        <v>3850</v>
      </c>
      <c r="B165" s="9" t="s">
        <v>3851</v>
      </c>
      <c r="C165" s="9" t="s">
        <v>3631</v>
      </c>
      <c r="D165" s="9"/>
      <c r="E165" s="9"/>
      <c r="F165" s="9" t="s">
        <v>79</v>
      </c>
      <c r="G165" s="9" t="n">
        <v>161000000</v>
      </c>
      <c r="H165" s="9" t="s">
        <v>1652</v>
      </c>
      <c r="I165" s="9" t="s">
        <v>169</v>
      </c>
      <c r="J165" s="9" t="s">
        <v>3632</v>
      </c>
    </row>
    <row r="166" customFormat="false" ht="15" hidden="false" customHeight="false" outlineLevel="0" collapsed="false">
      <c r="A166" s="9" t="s">
        <v>3852</v>
      </c>
      <c r="B166" s="9" t="s">
        <v>1678</v>
      </c>
      <c r="C166" s="9" t="s">
        <v>3631</v>
      </c>
      <c r="D166" s="9" t="s">
        <v>2139</v>
      </c>
      <c r="E166" s="9"/>
      <c r="F166" s="9" t="s">
        <v>56</v>
      </c>
      <c r="G166" s="9" t="n">
        <v>116500000</v>
      </c>
      <c r="H166" s="9" t="s">
        <v>1652</v>
      </c>
      <c r="I166" s="9" t="s">
        <v>538</v>
      </c>
      <c r="J166" s="9" t="s">
        <v>3632</v>
      </c>
    </row>
    <row r="167" customFormat="false" ht="15" hidden="false" customHeight="false" outlineLevel="0" collapsed="false">
      <c r="A167" s="9" t="s">
        <v>3853</v>
      </c>
      <c r="B167" s="9" t="s">
        <v>1896</v>
      </c>
      <c r="C167" s="9" t="s">
        <v>3640</v>
      </c>
      <c r="D167" s="9" t="s">
        <v>1787</v>
      </c>
      <c r="E167" s="9"/>
      <c r="F167" s="9" t="s">
        <v>56</v>
      </c>
      <c r="G167" s="9" t="n">
        <v>350500000</v>
      </c>
      <c r="H167" s="9" t="s">
        <v>1652</v>
      </c>
      <c r="I167" s="9" t="s">
        <v>438</v>
      </c>
      <c r="J167" s="9" t="s">
        <v>3636</v>
      </c>
    </row>
    <row r="168" customFormat="false" ht="15" hidden="false" customHeight="false" outlineLevel="0" collapsed="false">
      <c r="A168" s="9" t="s">
        <v>3854</v>
      </c>
      <c r="B168" s="9" t="s">
        <v>1657</v>
      </c>
      <c r="C168" s="9" t="s">
        <v>3631</v>
      </c>
      <c r="D168" s="9" t="s">
        <v>2327</v>
      </c>
      <c r="E168" s="9"/>
      <c r="F168" s="9" t="s">
        <v>14</v>
      </c>
      <c r="G168" s="9" t="n">
        <v>31500000</v>
      </c>
      <c r="H168" s="9" t="s">
        <v>1652</v>
      </c>
      <c r="I168" s="9" t="s">
        <v>577</v>
      </c>
      <c r="J168" s="9" t="s">
        <v>3780</v>
      </c>
    </row>
    <row r="169" customFormat="false" ht="15" hidden="false" customHeight="false" outlineLevel="0" collapsed="false">
      <c r="A169" s="9" t="s">
        <v>3855</v>
      </c>
      <c r="B169" s="9" t="s">
        <v>3073</v>
      </c>
      <c r="C169" s="9" t="s">
        <v>3635</v>
      </c>
      <c r="D169" s="9"/>
      <c r="E169" s="9"/>
      <c r="F169" s="9" t="s">
        <v>67</v>
      </c>
      <c r="G169" s="9" t="n">
        <v>277000000</v>
      </c>
      <c r="H169" s="9" t="s">
        <v>1652</v>
      </c>
      <c r="I169" s="9" t="s">
        <v>577</v>
      </c>
      <c r="J169" s="9" t="s">
        <v>3632</v>
      </c>
    </row>
    <row r="170" customFormat="false" ht="15" hidden="false" customHeight="false" outlineLevel="0" collapsed="false">
      <c r="A170" s="9" t="s">
        <v>3856</v>
      </c>
      <c r="B170" s="9" t="s">
        <v>304</v>
      </c>
      <c r="C170" s="9" t="s">
        <v>3631</v>
      </c>
      <c r="D170" s="9" t="s">
        <v>2148</v>
      </c>
      <c r="E170" s="9"/>
      <c r="F170" s="9" t="s">
        <v>75</v>
      </c>
      <c r="G170" s="9" t="n">
        <v>58000000</v>
      </c>
      <c r="H170" s="9" t="s">
        <v>1652</v>
      </c>
      <c r="I170" s="9" t="s">
        <v>438</v>
      </c>
      <c r="J170" s="9" t="s">
        <v>3632</v>
      </c>
    </row>
    <row r="171" customFormat="false" ht="15" hidden="false" customHeight="false" outlineLevel="0" collapsed="false">
      <c r="A171" s="9" t="s">
        <v>3857</v>
      </c>
      <c r="B171" s="9" t="s">
        <v>825</v>
      </c>
      <c r="C171" s="9" t="s">
        <v>3631</v>
      </c>
      <c r="D171" s="9" t="s">
        <v>2299</v>
      </c>
      <c r="E171" s="9"/>
      <c r="F171" s="9" t="s">
        <v>71</v>
      </c>
      <c r="G171" s="9" t="n">
        <v>37000000</v>
      </c>
      <c r="H171" s="9" t="s">
        <v>1652</v>
      </c>
      <c r="I171" s="9" t="s">
        <v>538</v>
      </c>
      <c r="J171" s="9" t="s">
        <v>3632</v>
      </c>
    </row>
    <row r="172" customFormat="false" ht="15" hidden="false" customHeight="false" outlineLevel="0" collapsed="false">
      <c r="A172" s="9" t="s">
        <v>3858</v>
      </c>
      <c r="B172" s="9" t="s">
        <v>3394</v>
      </c>
      <c r="C172" s="9" t="s">
        <v>3638</v>
      </c>
      <c r="D172" s="9" t="s">
        <v>2234</v>
      </c>
      <c r="E172" s="9"/>
      <c r="F172" s="9" t="s">
        <v>67</v>
      </c>
      <c r="G172" s="9" t="n">
        <v>172000000</v>
      </c>
      <c r="H172" s="9" t="s">
        <v>1652</v>
      </c>
      <c r="I172" s="9" t="s">
        <v>363</v>
      </c>
      <c r="J172" s="9" t="s">
        <v>3636</v>
      </c>
    </row>
    <row r="173" customFormat="false" ht="15" hidden="false" customHeight="false" outlineLevel="0" collapsed="false">
      <c r="A173" s="9" t="s">
        <v>3859</v>
      </c>
      <c r="B173" s="9" t="s">
        <v>3172</v>
      </c>
      <c r="C173" s="9" t="s">
        <v>3642</v>
      </c>
      <c r="D173" s="9"/>
      <c r="E173" s="9"/>
      <c r="F173" s="9" t="s">
        <v>63</v>
      </c>
      <c r="G173" s="9" t="n">
        <v>318500000</v>
      </c>
      <c r="H173" s="9" t="s">
        <v>1652</v>
      </c>
      <c r="I173" s="9" t="s">
        <v>72</v>
      </c>
      <c r="J173" s="9" t="s">
        <v>3632</v>
      </c>
    </row>
    <row r="174" customFormat="false" ht="15" hidden="false" customHeight="false" outlineLevel="0" collapsed="false">
      <c r="A174" s="9" t="s">
        <v>3860</v>
      </c>
      <c r="B174" s="9" t="s">
        <v>1831</v>
      </c>
      <c r="C174" s="9" t="s">
        <v>3631</v>
      </c>
      <c r="D174" s="9"/>
      <c r="E174" s="9"/>
      <c r="F174" s="9" t="s">
        <v>83</v>
      </c>
      <c r="G174" s="9" t="n">
        <v>13500000</v>
      </c>
      <c r="H174" s="9" t="s">
        <v>1652</v>
      </c>
      <c r="I174" s="9" t="s">
        <v>169</v>
      </c>
      <c r="J174" s="9" t="s">
        <v>3632</v>
      </c>
    </row>
    <row r="175" customFormat="false" ht="15" hidden="false" customHeight="false" outlineLevel="0" collapsed="false">
      <c r="A175" s="9" t="s">
        <v>3861</v>
      </c>
      <c r="B175" s="9" t="s">
        <v>1055</v>
      </c>
      <c r="C175" s="9" t="s">
        <v>3653</v>
      </c>
      <c r="D175" s="9"/>
      <c r="E175" s="9"/>
      <c r="F175" s="9" t="s">
        <v>79</v>
      </c>
      <c r="G175" s="9" t="n">
        <v>401500000</v>
      </c>
      <c r="H175" s="9" t="s">
        <v>1652</v>
      </c>
      <c r="I175" s="9" t="s">
        <v>476</v>
      </c>
      <c r="J175" s="9" t="s">
        <v>3632</v>
      </c>
    </row>
    <row r="176" customFormat="false" ht="15" hidden="false" customHeight="false" outlineLevel="0" collapsed="false">
      <c r="A176" s="9" t="s">
        <v>3862</v>
      </c>
      <c r="B176" s="9" t="s">
        <v>1167</v>
      </c>
      <c r="C176" s="9" t="s">
        <v>3642</v>
      </c>
      <c r="D176" s="9"/>
      <c r="E176" s="9"/>
      <c r="F176" s="9" t="s">
        <v>83</v>
      </c>
      <c r="G176" s="9" t="n">
        <v>17000000</v>
      </c>
      <c r="H176" s="9" t="s">
        <v>1652</v>
      </c>
      <c r="I176" s="9" t="s">
        <v>538</v>
      </c>
      <c r="J176" s="9" t="s">
        <v>3632</v>
      </c>
    </row>
    <row r="177" customFormat="false" ht="15" hidden="false" customHeight="false" outlineLevel="0" collapsed="false">
      <c r="A177" s="9" t="s">
        <v>3863</v>
      </c>
      <c r="B177" s="9" t="s">
        <v>946</v>
      </c>
      <c r="C177" s="9" t="s">
        <v>3640</v>
      </c>
      <c r="D177" s="9" t="s">
        <v>1751</v>
      </c>
      <c r="E177" s="9"/>
      <c r="F177" s="9" t="s">
        <v>14</v>
      </c>
      <c r="G177" s="9" t="n">
        <v>289500000</v>
      </c>
      <c r="H177" s="9" t="s">
        <v>1652</v>
      </c>
      <c r="I177" s="9" t="s">
        <v>438</v>
      </c>
      <c r="J177" s="9" t="s">
        <v>3780</v>
      </c>
    </row>
    <row r="178" customFormat="false" ht="15" hidden="false" customHeight="false" outlineLevel="0" collapsed="false">
      <c r="A178" s="9" t="s">
        <v>3864</v>
      </c>
      <c r="B178" s="9" t="s">
        <v>2061</v>
      </c>
      <c r="C178" s="9" t="s">
        <v>3640</v>
      </c>
      <c r="D178" s="9" t="s">
        <v>2337</v>
      </c>
      <c r="E178" s="9" t="s">
        <v>1611</v>
      </c>
      <c r="F178" s="9" t="s">
        <v>79</v>
      </c>
      <c r="G178" s="9" t="n">
        <v>409000000</v>
      </c>
      <c r="H178" s="9" t="s">
        <v>1652</v>
      </c>
      <c r="I178" s="9" t="s">
        <v>72</v>
      </c>
      <c r="J178" s="9" t="s">
        <v>3632</v>
      </c>
    </row>
    <row r="179" customFormat="false" ht="15" hidden="false" customHeight="false" outlineLevel="0" collapsed="false">
      <c r="A179" s="9" t="s">
        <v>3865</v>
      </c>
      <c r="B179" s="9" t="s">
        <v>3591</v>
      </c>
      <c r="C179" s="9" t="s">
        <v>3653</v>
      </c>
      <c r="D179" s="9"/>
      <c r="E179" s="9"/>
      <c r="F179" s="9" t="s">
        <v>75</v>
      </c>
      <c r="G179" s="9" t="n">
        <v>162500000</v>
      </c>
      <c r="H179" s="9" t="s">
        <v>1652</v>
      </c>
      <c r="I179" s="9" t="s">
        <v>286</v>
      </c>
      <c r="J179" s="9" t="s">
        <v>3632</v>
      </c>
    </row>
    <row r="180" customFormat="false" ht="15" hidden="false" customHeight="false" outlineLevel="0" collapsed="false">
      <c r="A180" s="9" t="s">
        <v>3866</v>
      </c>
      <c r="B180" s="9" t="s">
        <v>3867</v>
      </c>
      <c r="C180" s="9" t="s">
        <v>3631</v>
      </c>
      <c r="D180" s="9"/>
      <c r="E180" s="9"/>
      <c r="F180" s="9" t="s">
        <v>67</v>
      </c>
      <c r="G180" s="9" t="n">
        <v>124500000</v>
      </c>
      <c r="H180" s="9" t="s">
        <v>1652</v>
      </c>
      <c r="I180" s="9" t="s">
        <v>325</v>
      </c>
      <c r="J180" s="9" t="s">
        <v>3632</v>
      </c>
    </row>
    <row r="181" customFormat="false" ht="15" hidden="false" customHeight="false" outlineLevel="0" collapsed="false">
      <c r="A181" s="9" t="s">
        <v>3868</v>
      </c>
      <c r="B181" s="9" t="s">
        <v>3869</v>
      </c>
      <c r="C181" s="9" t="s">
        <v>3640</v>
      </c>
      <c r="D181" s="9"/>
      <c r="E181" s="9"/>
      <c r="F181" s="9" t="s">
        <v>75</v>
      </c>
      <c r="G181" s="9" t="n">
        <v>375500000</v>
      </c>
      <c r="H181" s="9" t="s">
        <v>1652</v>
      </c>
      <c r="I181" s="9" t="s">
        <v>363</v>
      </c>
      <c r="J181" s="9" t="s">
        <v>3632</v>
      </c>
    </row>
    <row r="182" customFormat="false" ht="15" hidden="false" customHeight="false" outlineLevel="0" collapsed="false">
      <c r="A182" s="9" t="s">
        <v>3870</v>
      </c>
      <c r="B182" s="9" t="s">
        <v>1945</v>
      </c>
      <c r="C182" s="9" t="s">
        <v>3653</v>
      </c>
      <c r="D182" s="9"/>
      <c r="E182" s="9"/>
      <c r="F182" s="9" t="s">
        <v>79</v>
      </c>
      <c r="G182" s="9" t="n">
        <v>39500000</v>
      </c>
      <c r="H182" s="9" t="s">
        <v>1652</v>
      </c>
      <c r="I182" s="9" t="s">
        <v>325</v>
      </c>
      <c r="J182" s="9" t="s">
        <v>3632</v>
      </c>
    </row>
    <row r="183" customFormat="false" ht="15" hidden="false" customHeight="false" outlineLevel="0" collapsed="false">
      <c r="A183" s="9" t="s">
        <v>3871</v>
      </c>
      <c r="B183" s="9" t="s">
        <v>779</v>
      </c>
      <c r="C183" s="9" t="s">
        <v>3638</v>
      </c>
      <c r="D183" s="9" t="s">
        <v>2071</v>
      </c>
      <c r="E183" s="9"/>
      <c r="F183" s="9" t="s">
        <v>14</v>
      </c>
      <c r="G183" s="9" t="n">
        <v>292000000</v>
      </c>
      <c r="H183" s="9" t="s">
        <v>1652</v>
      </c>
      <c r="I183" s="9" t="s">
        <v>208</v>
      </c>
      <c r="J183" s="9" t="s">
        <v>3636</v>
      </c>
    </row>
    <row r="184" customFormat="false" ht="15" hidden="false" customHeight="false" outlineLevel="0" collapsed="false">
      <c r="A184" s="9" t="s">
        <v>3872</v>
      </c>
      <c r="B184" s="9" t="s">
        <v>822</v>
      </c>
      <c r="C184" s="9" t="s">
        <v>3642</v>
      </c>
      <c r="D184" s="9"/>
      <c r="E184" s="9"/>
      <c r="F184" s="9" t="s">
        <v>83</v>
      </c>
      <c r="G184" s="9" t="n">
        <v>341000000</v>
      </c>
      <c r="H184" s="9" t="s">
        <v>1652</v>
      </c>
      <c r="I184" s="9" t="s">
        <v>208</v>
      </c>
      <c r="J184" s="9" t="s">
        <v>3632</v>
      </c>
    </row>
    <row r="185" customFormat="false" ht="15" hidden="false" customHeight="false" outlineLevel="0" collapsed="false">
      <c r="A185" s="9" t="s">
        <v>3873</v>
      </c>
      <c r="B185" s="9" t="s">
        <v>925</v>
      </c>
      <c r="C185" s="9" t="s">
        <v>3631</v>
      </c>
      <c r="D185" s="9" t="s">
        <v>1758</v>
      </c>
      <c r="E185" s="9"/>
      <c r="F185" s="9" t="s">
        <v>71</v>
      </c>
      <c r="G185" s="9" t="n">
        <v>216000000</v>
      </c>
      <c r="H185" s="9" t="s">
        <v>1652</v>
      </c>
      <c r="I185" s="9" t="s">
        <v>438</v>
      </c>
      <c r="J185" s="9" t="s">
        <v>3780</v>
      </c>
    </row>
    <row r="186" customFormat="false" ht="15" hidden="false" customHeight="false" outlineLevel="0" collapsed="false">
      <c r="A186" s="9" t="s">
        <v>3874</v>
      </c>
      <c r="B186" s="9" t="s">
        <v>1022</v>
      </c>
      <c r="C186" s="9" t="s">
        <v>3642</v>
      </c>
      <c r="D186" s="9"/>
      <c r="E186" s="9"/>
      <c r="F186" s="9" t="s">
        <v>14</v>
      </c>
      <c r="G186" s="9" t="n">
        <v>92500000</v>
      </c>
      <c r="H186" s="9" t="s">
        <v>1652</v>
      </c>
      <c r="I186" s="9" t="s">
        <v>401</v>
      </c>
      <c r="J186" s="9" t="s">
        <v>3632</v>
      </c>
    </row>
    <row r="187" customFormat="false" ht="15" hidden="false" customHeight="false" outlineLevel="0" collapsed="false">
      <c r="A187" s="9" t="s">
        <v>3875</v>
      </c>
      <c r="B187" s="9" t="s">
        <v>2108</v>
      </c>
      <c r="C187" s="9" t="s">
        <v>3642</v>
      </c>
      <c r="D187" s="9"/>
      <c r="E187" s="9"/>
      <c r="F187" s="9" t="s">
        <v>63</v>
      </c>
      <c r="G187" s="9" t="n">
        <v>392000000</v>
      </c>
      <c r="H187" s="9" t="s">
        <v>1652</v>
      </c>
      <c r="I187" s="9" t="s">
        <v>438</v>
      </c>
      <c r="J187" s="9" t="s">
        <v>3632</v>
      </c>
    </row>
    <row r="188" customFormat="false" ht="15" hidden="false" customHeight="false" outlineLevel="0" collapsed="false">
      <c r="A188" s="9" t="s">
        <v>3876</v>
      </c>
      <c r="B188" s="9" t="s">
        <v>2346</v>
      </c>
      <c r="C188" s="9" t="s">
        <v>3640</v>
      </c>
      <c r="D188" s="9" t="s">
        <v>1699</v>
      </c>
      <c r="E188" s="9"/>
      <c r="F188" s="9" t="s">
        <v>8</v>
      </c>
      <c r="G188" s="9" t="n">
        <v>353500000</v>
      </c>
      <c r="H188" s="9" t="s">
        <v>1652</v>
      </c>
      <c r="I188" s="9" t="s">
        <v>208</v>
      </c>
      <c r="J188" s="9" t="s">
        <v>3780</v>
      </c>
    </row>
    <row r="189" customFormat="false" ht="15" hidden="false" customHeight="false" outlineLevel="0" collapsed="false">
      <c r="A189" s="9" t="s">
        <v>3877</v>
      </c>
      <c r="B189" s="9" t="s">
        <v>1478</v>
      </c>
      <c r="C189" s="9" t="s">
        <v>3653</v>
      </c>
      <c r="D189" s="9"/>
      <c r="E189" s="9"/>
      <c r="F189" s="9" t="s">
        <v>79</v>
      </c>
      <c r="G189" s="9" t="n">
        <v>199000000</v>
      </c>
      <c r="H189" s="9" t="s">
        <v>1652</v>
      </c>
      <c r="I189" s="9" t="s">
        <v>363</v>
      </c>
      <c r="J189" s="9" t="s">
        <v>3632</v>
      </c>
    </row>
    <row r="190" customFormat="false" ht="15" hidden="false" customHeight="false" outlineLevel="0" collapsed="false">
      <c r="A190" s="9" t="s">
        <v>3878</v>
      </c>
      <c r="B190" s="9" t="s">
        <v>3879</v>
      </c>
      <c r="C190" s="9" t="s">
        <v>3640</v>
      </c>
      <c r="D190" s="9" t="s">
        <v>2323</v>
      </c>
      <c r="E190" s="9" t="s">
        <v>1401</v>
      </c>
      <c r="F190" s="9" t="s">
        <v>67</v>
      </c>
      <c r="G190" s="9" t="n">
        <v>303000000</v>
      </c>
      <c r="H190" s="9" t="s">
        <v>1652</v>
      </c>
      <c r="I190" s="9" t="s">
        <v>476</v>
      </c>
      <c r="J190" s="9" t="s">
        <v>3632</v>
      </c>
    </row>
    <row r="191" customFormat="false" ht="15" hidden="false" customHeight="false" outlineLevel="0" collapsed="false">
      <c r="A191" s="9" t="s">
        <v>3880</v>
      </c>
      <c r="B191" s="9" t="s">
        <v>846</v>
      </c>
      <c r="C191" s="9" t="s">
        <v>3635</v>
      </c>
      <c r="D191" s="9"/>
      <c r="E191" s="9"/>
      <c r="F191" s="9" t="s">
        <v>67</v>
      </c>
      <c r="G191" s="9" t="n">
        <v>230000000</v>
      </c>
      <c r="H191" s="9" t="s">
        <v>1652</v>
      </c>
      <c r="I191" s="9" t="s">
        <v>363</v>
      </c>
      <c r="J191" s="9" t="s">
        <v>3632</v>
      </c>
    </row>
    <row r="192" customFormat="false" ht="15" hidden="false" customHeight="false" outlineLevel="0" collapsed="false">
      <c r="A192" s="9" t="s">
        <v>3881</v>
      </c>
      <c r="B192" s="9" t="s">
        <v>3882</v>
      </c>
      <c r="C192" s="9" t="s">
        <v>3631</v>
      </c>
      <c r="D192" s="9"/>
      <c r="E192" s="9"/>
      <c r="F192" s="9" t="s">
        <v>56</v>
      </c>
      <c r="G192" s="9" t="n">
        <v>376000000</v>
      </c>
      <c r="H192" s="9" t="s">
        <v>1652</v>
      </c>
      <c r="I192" s="9" t="s">
        <v>208</v>
      </c>
      <c r="J192" s="9" t="s">
        <v>3632</v>
      </c>
    </row>
    <row r="193" customFormat="false" ht="15" hidden="false" customHeight="false" outlineLevel="0" collapsed="false">
      <c r="A193" s="9" t="s">
        <v>3883</v>
      </c>
      <c r="B193" s="9" t="s">
        <v>1276</v>
      </c>
      <c r="C193" s="9" t="s">
        <v>3653</v>
      </c>
      <c r="D193" s="9"/>
      <c r="E193" s="9"/>
      <c r="F193" s="9" t="s">
        <v>10</v>
      </c>
      <c r="G193" s="9" t="n">
        <v>78000000</v>
      </c>
      <c r="H193" s="9" t="s">
        <v>1652</v>
      </c>
      <c r="I193" s="9" t="s">
        <v>72</v>
      </c>
      <c r="J193" s="9" t="s">
        <v>3632</v>
      </c>
    </row>
    <row r="194" customFormat="false" ht="15" hidden="false" customHeight="false" outlineLevel="0" collapsed="false">
      <c r="A194" s="9" t="s">
        <v>3884</v>
      </c>
      <c r="B194" s="9" t="s">
        <v>2972</v>
      </c>
      <c r="C194" s="9" t="s">
        <v>3640</v>
      </c>
      <c r="D194" s="9"/>
      <c r="E194" s="9" t="s">
        <v>1442</v>
      </c>
      <c r="F194" s="9" t="s">
        <v>56</v>
      </c>
      <c r="G194" s="9" t="n">
        <v>260500000</v>
      </c>
      <c r="H194" s="9" t="s">
        <v>1652</v>
      </c>
      <c r="I194" s="9" t="s">
        <v>577</v>
      </c>
      <c r="J194" s="9" t="s">
        <v>3632</v>
      </c>
    </row>
    <row r="195" customFormat="false" ht="15" hidden="false" customHeight="false" outlineLevel="0" collapsed="false">
      <c r="A195" s="9" t="s">
        <v>3885</v>
      </c>
      <c r="B195" s="9" t="s">
        <v>833</v>
      </c>
      <c r="C195" s="9" t="s">
        <v>3638</v>
      </c>
      <c r="D195" s="9" t="s">
        <v>2000</v>
      </c>
      <c r="E195" s="9"/>
      <c r="F195" s="9" t="s">
        <v>8</v>
      </c>
      <c r="G195" s="9" t="n">
        <v>289000000</v>
      </c>
      <c r="H195" s="9" t="s">
        <v>1652</v>
      </c>
      <c r="I195" s="9" t="s">
        <v>438</v>
      </c>
      <c r="J195" s="9" t="s">
        <v>3636</v>
      </c>
    </row>
    <row r="196" customFormat="false" ht="15" hidden="false" customHeight="false" outlineLevel="0" collapsed="false">
      <c r="A196" s="9" t="s">
        <v>3886</v>
      </c>
      <c r="B196" s="9" t="s">
        <v>1657</v>
      </c>
      <c r="C196" s="9" t="s">
        <v>3653</v>
      </c>
      <c r="D196" s="9"/>
      <c r="E196" s="9"/>
      <c r="F196" s="9" t="s">
        <v>71</v>
      </c>
      <c r="G196" s="9" t="n">
        <v>146500000</v>
      </c>
      <c r="H196" s="9" t="s">
        <v>1652</v>
      </c>
      <c r="I196" s="9" t="s">
        <v>325</v>
      </c>
      <c r="J196" s="9" t="s">
        <v>3632</v>
      </c>
    </row>
    <row r="197" customFormat="false" ht="15" hidden="false" customHeight="false" outlineLevel="0" collapsed="false">
      <c r="A197" s="9" t="s">
        <v>3887</v>
      </c>
      <c r="B197" s="9" t="s">
        <v>2138</v>
      </c>
      <c r="C197" s="9" t="s">
        <v>3638</v>
      </c>
      <c r="D197" s="9" t="s">
        <v>2341</v>
      </c>
      <c r="E197" s="9"/>
      <c r="F197" s="9" t="s">
        <v>14</v>
      </c>
      <c r="G197" s="9" t="n">
        <v>220500000</v>
      </c>
      <c r="H197" s="9" t="s">
        <v>1652</v>
      </c>
      <c r="I197" s="9" t="s">
        <v>438</v>
      </c>
      <c r="J197" s="9" t="s">
        <v>3632</v>
      </c>
    </row>
    <row r="198" customFormat="false" ht="15" hidden="false" customHeight="false" outlineLevel="0" collapsed="false">
      <c r="A198" s="9" t="s">
        <v>3888</v>
      </c>
      <c r="B198" s="9" t="s">
        <v>1504</v>
      </c>
      <c r="C198" s="9" t="s">
        <v>3631</v>
      </c>
      <c r="D198" s="9" t="s">
        <v>1939</v>
      </c>
      <c r="E198" s="9"/>
      <c r="F198" s="9" t="s">
        <v>56</v>
      </c>
      <c r="G198" s="9" t="n">
        <v>61000000</v>
      </c>
      <c r="H198" s="9" t="s">
        <v>1652</v>
      </c>
      <c r="I198" s="9" t="s">
        <v>286</v>
      </c>
      <c r="J198" s="9" t="s">
        <v>3632</v>
      </c>
    </row>
    <row r="199" customFormat="false" ht="15" hidden="false" customHeight="false" outlineLevel="0" collapsed="false">
      <c r="A199" s="9" t="s">
        <v>3889</v>
      </c>
      <c r="B199" s="9" t="s">
        <v>3890</v>
      </c>
      <c r="C199" s="9" t="s">
        <v>3638</v>
      </c>
      <c r="D199" s="9"/>
      <c r="E199" s="9"/>
      <c r="F199" s="9" t="s">
        <v>63</v>
      </c>
      <c r="G199" s="9" t="n">
        <v>133000000</v>
      </c>
      <c r="H199" s="9" t="s">
        <v>1652</v>
      </c>
      <c r="I199" s="9" t="s">
        <v>476</v>
      </c>
      <c r="J199" s="9" t="s">
        <v>3632</v>
      </c>
    </row>
    <row r="200" customFormat="false" ht="15" hidden="false" customHeight="false" outlineLevel="0" collapsed="false">
      <c r="A200" s="9" t="s">
        <v>3891</v>
      </c>
      <c r="B200" s="9" t="s">
        <v>1569</v>
      </c>
      <c r="C200" s="9" t="s">
        <v>3640</v>
      </c>
      <c r="D200" s="9" t="s">
        <v>1773</v>
      </c>
      <c r="E200" s="9" t="s">
        <v>1599</v>
      </c>
      <c r="F200" s="9" t="s">
        <v>79</v>
      </c>
      <c r="G200" s="9" t="n">
        <v>386500000</v>
      </c>
      <c r="H200" s="9" t="s">
        <v>1652</v>
      </c>
      <c r="I200" s="9" t="s">
        <v>208</v>
      </c>
      <c r="J200" s="9" t="s">
        <v>3632</v>
      </c>
    </row>
    <row r="201" customFormat="false" ht="15" hidden="false" customHeight="false" outlineLevel="0" collapsed="false">
      <c r="A201" s="9" t="s">
        <v>3892</v>
      </c>
      <c r="B201" s="9" t="s">
        <v>3268</v>
      </c>
      <c r="C201" s="9" t="s">
        <v>3653</v>
      </c>
      <c r="D201" s="9"/>
      <c r="E201" s="9"/>
      <c r="F201" s="9" t="s">
        <v>79</v>
      </c>
      <c r="G201" s="9" t="n">
        <v>409500000</v>
      </c>
      <c r="H201" s="9" t="s">
        <v>1652</v>
      </c>
      <c r="I201" s="9" t="s">
        <v>246</v>
      </c>
      <c r="J201" s="9" t="s">
        <v>3632</v>
      </c>
    </row>
    <row r="202" customFormat="false" ht="15" hidden="false" customHeight="false" outlineLevel="0" collapsed="false">
      <c r="A202" s="9" t="s">
        <v>3893</v>
      </c>
      <c r="B202" s="9" t="s">
        <v>3338</v>
      </c>
      <c r="C202" s="9" t="s">
        <v>3631</v>
      </c>
      <c r="D202" s="9" t="s">
        <v>2205</v>
      </c>
      <c r="E202" s="9"/>
      <c r="F202" s="9" t="s">
        <v>71</v>
      </c>
      <c r="G202" s="9" t="n">
        <v>375000000</v>
      </c>
      <c r="H202" s="9" t="s">
        <v>1652</v>
      </c>
      <c r="I202" s="9" t="s">
        <v>401</v>
      </c>
      <c r="J202" s="9" t="s">
        <v>3632</v>
      </c>
    </row>
    <row r="203" customFormat="false" ht="15" hidden="false" customHeight="false" outlineLevel="0" collapsed="false">
      <c r="A203" s="9" t="s">
        <v>3894</v>
      </c>
      <c r="B203" s="9" t="s">
        <v>2520</v>
      </c>
      <c r="C203" s="9" t="s">
        <v>3631</v>
      </c>
      <c r="D203" s="9"/>
      <c r="E203" s="9"/>
      <c r="F203" s="9" t="s">
        <v>10</v>
      </c>
      <c r="G203" s="9" t="n">
        <v>228000000</v>
      </c>
      <c r="H203" s="9" t="s">
        <v>1652</v>
      </c>
      <c r="I203" s="9" t="s">
        <v>363</v>
      </c>
      <c r="J203" s="9" t="s">
        <v>3632</v>
      </c>
    </row>
    <row r="204" customFormat="false" ht="15" hidden="false" customHeight="false" outlineLevel="0" collapsed="false">
      <c r="A204" s="9" t="s">
        <v>3895</v>
      </c>
      <c r="B204" s="9" t="s">
        <v>2166</v>
      </c>
      <c r="C204" s="9" t="s">
        <v>3638</v>
      </c>
      <c r="D204" s="9"/>
      <c r="E204" s="9"/>
      <c r="F204" s="9" t="s">
        <v>10</v>
      </c>
      <c r="G204" s="9" t="n">
        <v>181500000</v>
      </c>
      <c r="H204" s="9" t="s">
        <v>1652</v>
      </c>
      <c r="I204" s="9" t="s">
        <v>169</v>
      </c>
      <c r="J204" s="9" t="s">
        <v>3632</v>
      </c>
    </row>
    <row r="205" customFormat="false" ht="15" hidden="false" customHeight="false" outlineLevel="0" collapsed="false">
      <c r="A205" s="9" t="s">
        <v>3896</v>
      </c>
      <c r="B205" s="9" t="s">
        <v>1362</v>
      </c>
      <c r="C205" s="9" t="s">
        <v>3640</v>
      </c>
      <c r="D205" s="9" t="s">
        <v>1825</v>
      </c>
      <c r="E205" s="9"/>
      <c r="F205" s="9" t="s">
        <v>63</v>
      </c>
      <c r="G205" s="9" t="n">
        <v>232500000</v>
      </c>
      <c r="H205" s="9" t="s">
        <v>1652</v>
      </c>
      <c r="I205" s="9" t="s">
        <v>538</v>
      </c>
      <c r="J205" s="9" t="s">
        <v>3632</v>
      </c>
    </row>
    <row r="206" customFormat="false" ht="15" hidden="false" customHeight="false" outlineLevel="0" collapsed="false">
      <c r="A206" s="9" t="s">
        <v>3897</v>
      </c>
      <c r="B206" s="9" t="s">
        <v>790</v>
      </c>
      <c r="C206" s="9" t="s">
        <v>3640</v>
      </c>
      <c r="D206" s="9"/>
      <c r="E206" s="9"/>
      <c r="F206" s="9" t="s">
        <v>8</v>
      </c>
      <c r="G206" s="9" t="n">
        <v>222000000</v>
      </c>
      <c r="H206" s="9" t="s">
        <v>1652</v>
      </c>
      <c r="I206" s="9" t="s">
        <v>169</v>
      </c>
      <c r="J206" s="9" t="s">
        <v>3636</v>
      </c>
    </row>
    <row r="207" customFormat="false" ht="15" hidden="false" customHeight="false" outlineLevel="0" collapsed="false">
      <c r="A207" s="9" t="s">
        <v>3898</v>
      </c>
      <c r="B207" s="9" t="s">
        <v>1014</v>
      </c>
      <c r="C207" s="9" t="s">
        <v>3631</v>
      </c>
      <c r="D207" s="9" t="s">
        <v>2193</v>
      </c>
      <c r="E207" s="9"/>
      <c r="F207" s="9" t="s">
        <v>8</v>
      </c>
      <c r="G207" s="9" t="n">
        <v>325000000</v>
      </c>
      <c r="H207" s="9" t="s">
        <v>1652</v>
      </c>
      <c r="I207" s="9" t="s">
        <v>538</v>
      </c>
      <c r="J207" s="9" t="s">
        <v>3632</v>
      </c>
    </row>
    <row r="208" customFormat="false" ht="15" hidden="false" customHeight="false" outlineLevel="0" collapsed="false">
      <c r="A208" s="9" t="s">
        <v>3899</v>
      </c>
      <c r="B208" s="9" t="s">
        <v>854</v>
      </c>
      <c r="C208" s="9" t="s">
        <v>3653</v>
      </c>
      <c r="D208" s="9"/>
      <c r="E208" s="9"/>
      <c r="F208" s="9" t="s">
        <v>71</v>
      </c>
      <c r="G208" s="9" t="n">
        <v>447000000</v>
      </c>
      <c r="H208" s="9" t="s">
        <v>1652</v>
      </c>
      <c r="I208" s="9" t="s">
        <v>246</v>
      </c>
      <c r="J208" s="9" t="s">
        <v>3632</v>
      </c>
    </row>
    <row r="209" customFormat="false" ht="15" hidden="false" customHeight="false" outlineLevel="0" collapsed="false">
      <c r="A209" s="9" t="s">
        <v>3900</v>
      </c>
      <c r="B209" s="9" t="s">
        <v>3901</v>
      </c>
      <c r="C209" s="9" t="s">
        <v>3642</v>
      </c>
      <c r="D209" s="9"/>
      <c r="E209" s="9"/>
      <c r="F209" s="9" t="s">
        <v>56</v>
      </c>
      <c r="G209" s="9" t="n">
        <v>248500000</v>
      </c>
      <c r="H209" s="9" t="s">
        <v>1652</v>
      </c>
      <c r="I209" s="9" t="s">
        <v>208</v>
      </c>
      <c r="J209" s="9" t="s">
        <v>3632</v>
      </c>
    </row>
    <row r="210" customFormat="false" ht="15" hidden="false" customHeight="false" outlineLevel="0" collapsed="false">
      <c r="A210" s="9" t="s">
        <v>3902</v>
      </c>
      <c r="B210" s="9" t="s">
        <v>3903</v>
      </c>
      <c r="C210" s="9" t="s">
        <v>3638</v>
      </c>
      <c r="D210" s="9" t="s">
        <v>1763</v>
      </c>
      <c r="E210" s="9"/>
      <c r="F210" s="9" t="s">
        <v>79</v>
      </c>
      <c r="G210" s="9" t="n">
        <v>439000000</v>
      </c>
      <c r="H210" s="9" t="s">
        <v>1652</v>
      </c>
      <c r="I210" s="9" t="s">
        <v>577</v>
      </c>
      <c r="J210" s="9" t="s">
        <v>3632</v>
      </c>
    </row>
    <row r="211" customFormat="false" ht="15" hidden="false" customHeight="false" outlineLevel="0" collapsed="false">
      <c r="A211" s="9" t="s">
        <v>3904</v>
      </c>
      <c r="B211" s="9" t="s">
        <v>2236</v>
      </c>
      <c r="C211" s="9" t="s">
        <v>3642</v>
      </c>
      <c r="D211" s="9"/>
      <c r="E211" s="9"/>
      <c r="F211" s="9" t="s">
        <v>10</v>
      </c>
      <c r="G211" s="9" t="n">
        <v>251500000</v>
      </c>
      <c r="H211" s="9" t="s">
        <v>1652</v>
      </c>
      <c r="I211" s="9" t="s">
        <v>438</v>
      </c>
      <c r="J211" s="9" t="s">
        <v>3632</v>
      </c>
    </row>
    <row r="212" customFormat="false" ht="15" hidden="false" customHeight="false" outlineLevel="0" collapsed="false">
      <c r="A212" s="9" t="s">
        <v>3905</v>
      </c>
      <c r="B212" s="9" t="s">
        <v>2094</v>
      </c>
      <c r="C212" s="9" t="s">
        <v>3635</v>
      </c>
      <c r="D212" s="9"/>
      <c r="E212" s="9"/>
      <c r="F212" s="9" t="s">
        <v>63</v>
      </c>
      <c r="G212" s="9" t="n">
        <v>314500000</v>
      </c>
      <c r="H212" s="9" t="s">
        <v>1652</v>
      </c>
      <c r="I212" s="9" t="s">
        <v>363</v>
      </c>
      <c r="J212" s="9" t="s">
        <v>3632</v>
      </c>
    </row>
    <row r="213" customFormat="false" ht="15" hidden="false" customHeight="false" outlineLevel="0" collapsed="false">
      <c r="A213" s="9" t="s">
        <v>3906</v>
      </c>
      <c r="B213" s="9" t="s">
        <v>304</v>
      </c>
      <c r="C213" s="9" t="s">
        <v>3640</v>
      </c>
      <c r="D213" s="9" t="s">
        <v>2168</v>
      </c>
      <c r="E213" s="9"/>
      <c r="F213" s="9" t="s">
        <v>56</v>
      </c>
      <c r="G213" s="9" t="n">
        <v>449500000</v>
      </c>
      <c r="H213" s="9" t="s">
        <v>1652</v>
      </c>
      <c r="I213" s="9" t="s">
        <v>286</v>
      </c>
      <c r="J213" s="9" t="s">
        <v>3632</v>
      </c>
    </row>
    <row r="214" customFormat="false" ht="15" hidden="false" customHeight="false" outlineLevel="0" collapsed="false">
      <c r="A214" s="9" t="s">
        <v>3907</v>
      </c>
      <c r="B214" s="9" t="s">
        <v>3908</v>
      </c>
      <c r="C214" s="9" t="s">
        <v>3640</v>
      </c>
      <c r="D214" s="9" t="s">
        <v>2254</v>
      </c>
      <c r="E214" s="9" t="s">
        <v>1408</v>
      </c>
      <c r="F214" s="9" t="s">
        <v>79</v>
      </c>
      <c r="G214" s="9" t="n">
        <v>246500000</v>
      </c>
      <c r="H214" s="9" t="s">
        <v>1652</v>
      </c>
      <c r="I214" s="9" t="s">
        <v>286</v>
      </c>
      <c r="J214" s="9" t="s">
        <v>3632</v>
      </c>
    </row>
    <row r="215" customFormat="false" ht="15" hidden="false" customHeight="false" outlineLevel="0" collapsed="false">
      <c r="A215" s="9" t="s">
        <v>3909</v>
      </c>
      <c r="B215" s="9" t="s">
        <v>3910</v>
      </c>
      <c r="C215" s="9" t="s">
        <v>3631</v>
      </c>
      <c r="D215" s="9" t="s">
        <v>2095</v>
      </c>
      <c r="E215" s="9"/>
      <c r="F215" s="9" t="s">
        <v>67</v>
      </c>
      <c r="G215" s="9" t="n">
        <v>127000000</v>
      </c>
      <c r="H215" s="9" t="s">
        <v>1652</v>
      </c>
      <c r="I215" s="9" t="s">
        <v>538</v>
      </c>
      <c r="J215" s="9" t="s">
        <v>3632</v>
      </c>
    </row>
    <row r="216" customFormat="false" ht="15" hidden="false" customHeight="false" outlineLevel="0" collapsed="false">
      <c r="A216" s="9" t="s">
        <v>3911</v>
      </c>
      <c r="B216" s="9" t="s">
        <v>300</v>
      </c>
      <c r="C216" s="9" t="s">
        <v>3642</v>
      </c>
      <c r="D216" s="9"/>
      <c r="E216" s="9"/>
      <c r="F216" s="9" t="s">
        <v>67</v>
      </c>
      <c r="G216" s="9" t="n">
        <v>338500000</v>
      </c>
      <c r="H216" s="9" t="s">
        <v>1652</v>
      </c>
      <c r="I216" s="9" t="s">
        <v>169</v>
      </c>
      <c r="J216" s="9" t="s">
        <v>3632</v>
      </c>
    </row>
    <row r="217" customFormat="false" ht="15" hidden="false" customHeight="false" outlineLevel="0" collapsed="false">
      <c r="A217" s="9" t="s">
        <v>3912</v>
      </c>
      <c r="B217" s="9" t="s">
        <v>745</v>
      </c>
      <c r="C217" s="9" t="s">
        <v>3640</v>
      </c>
      <c r="D217" s="9" t="s">
        <v>2128</v>
      </c>
      <c r="E217" s="9"/>
      <c r="F217" s="9" t="s">
        <v>75</v>
      </c>
      <c r="G217" s="9" t="n">
        <v>308000000</v>
      </c>
      <c r="H217" s="9" t="s">
        <v>1652</v>
      </c>
      <c r="I217" s="9" t="s">
        <v>363</v>
      </c>
      <c r="J217" s="9" t="s">
        <v>3632</v>
      </c>
    </row>
    <row r="218" customFormat="false" ht="15" hidden="false" customHeight="false" outlineLevel="0" collapsed="false">
      <c r="A218" s="9" t="s">
        <v>3913</v>
      </c>
      <c r="B218" s="9" t="s">
        <v>3914</v>
      </c>
      <c r="C218" s="9" t="s">
        <v>3631</v>
      </c>
      <c r="D218" s="9" t="s">
        <v>1881</v>
      </c>
      <c r="E218" s="9"/>
      <c r="F218" s="9" t="s">
        <v>71</v>
      </c>
      <c r="G218" s="9" t="n">
        <v>31500000</v>
      </c>
      <c r="H218" s="9" t="s">
        <v>1652</v>
      </c>
      <c r="I218" s="9" t="s">
        <v>438</v>
      </c>
      <c r="J218" s="9" t="s">
        <v>3632</v>
      </c>
    </row>
    <row r="219" customFormat="false" ht="15" hidden="false" customHeight="false" outlineLevel="0" collapsed="false">
      <c r="A219" s="9" t="s">
        <v>3915</v>
      </c>
      <c r="B219" s="9" t="s">
        <v>2326</v>
      </c>
      <c r="C219" s="9" t="s">
        <v>3640</v>
      </c>
      <c r="D219" s="9" t="s">
        <v>2047</v>
      </c>
      <c r="E219" s="9"/>
      <c r="F219" s="9" t="s">
        <v>71</v>
      </c>
      <c r="G219" s="9" t="n">
        <v>204500000</v>
      </c>
      <c r="H219" s="9" t="s">
        <v>1652</v>
      </c>
      <c r="I219" s="9" t="s">
        <v>286</v>
      </c>
      <c r="J219" s="9" t="s">
        <v>3636</v>
      </c>
    </row>
    <row r="220" customFormat="false" ht="15" hidden="false" customHeight="false" outlineLevel="0" collapsed="false">
      <c r="A220" s="9" t="s">
        <v>3916</v>
      </c>
      <c r="B220" s="9" t="s">
        <v>3917</v>
      </c>
      <c r="C220" s="9" t="s">
        <v>3642</v>
      </c>
      <c r="D220" s="9"/>
      <c r="E220" s="9"/>
      <c r="F220" s="9" t="s">
        <v>14</v>
      </c>
      <c r="G220" s="9" t="n">
        <v>174000000</v>
      </c>
      <c r="H220" s="9" t="s">
        <v>1652</v>
      </c>
      <c r="I220" s="9" t="s">
        <v>538</v>
      </c>
      <c r="J220" s="9" t="s">
        <v>3632</v>
      </c>
    </row>
    <row r="221" customFormat="false" ht="15" hidden="false" customHeight="false" outlineLevel="0" collapsed="false">
      <c r="A221" s="9" t="s">
        <v>3918</v>
      </c>
      <c r="B221" s="9" t="s">
        <v>921</v>
      </c>
      <c r="C221" s="9" t="s">
        <v>3642</v>
      </c>
      <c r="D221" s="9"/>
      <c r="E221" s="9"/>
      <c r="F221" s="9" t="s">
        <v>71</v>
      </c>
      <c r="G221" s="9" t="n">
        <v>113500000</v>
      </c>
      <c r="H221" s="9" t="s">
        <v>1652</v>
      </c>
      <c r="I221" s="9" t="s">
        <v>476</v>
      </c>
      <c r="J221" s="9" t="s">
        <v>3636</v>
      </c>
    </row>
    <row r="222" customFormat="false" ht="15" hidden="false" customHeight="false" outlineLevel="0" collapsed="false">
      <c r="A222" s="9" t="s">
        <v>3919</v>
      </c>
      <c r="B222" s="9" t="s">
        <v>977</v>
      </c>
      <c r="C222" s="9" t="s">
        <v>3638</v>
      </c>
      <c r="D222" s="9"/>
      <c r="E222" s="9"/>
      <c r="F222" s="9" t="s">
        <v>10</v>
      </c>
      <c r="G222" s="9" t="n">
        <v>314500000</v>
      </c>
      <c r="H222" s="9" t="s">
        <v>1652</v>
      </c>
      <c r="I222" s="9" t="s">
        <v>476</v>
      </c>
      <c r="J222" s="9" t="s">
        <v>3632</v>
      </c>
    </row>
    <row r="223" customFormat="false" ht="15" hidden="false" customHeight="false" outlineLevel="0" collapsed="false">
      <c r="A223" s="9" t="s">
        <v>3920</v>
      </c>
      <c r="B223" s="9" t="s">
        <v>2041</v>
      </c>
      <c r="C223" s="9" t="s">
        <v>3653</v>
      </c>
      <c r="D223" s="9"/>
      <c r="E223" s="9"/>
      <c r="F223" s="9" t="s">
        <v>8</v>
      </c>
      <c r="G223" s="9" t="n">
        <v>370000000</v>
      </c>
      <c r="H223" s="9" t="s">
        <v>1652</v>
      </c>
      <c r="I223" s="9" t="s">
        <v>72</v>
      </c>
      <c r="J223" s="9" t="s">
        <v>3632</v>
      </c>
    </row>
    <row r="224" customFormat="false" ht="15" hidden="false" customHeight="false" outlineLevel="0" collapsed="false">
      <c r="A224" s="9" t="s">
        <v>3921</v>
      </c>
      <c r="B224" s="9" t="s">
        <v>2250</v>
      </c>
      <c r="C224" s="9" t="s">
        <v>3640</v>
      </c>
      <c r="D224" s="9" t="s">
        <v>2012</v>
      </c>
      <c r="E224" s="9"/>
      <c r="F224" s="9" t="s">
        <v>79</v>
      </c>
      <c r="G224" s="9" t="n">
        <v>32500000</v>
      </c>
      <c r="H224" s="9" t="s">
        <v>1652</v>
      </c>
      <c r="I224" s="9" t="s">
        <v>538</v>
      </c>
      <c r="J224" s="9" t="s">
        <v>3632</v>
      </c>
    </row>
    <row r="225" customFormat="false" ht="15" hidden="false" customHeight="false" outlineLevel="0" collapsed="false">
      <c r="A225" s="9" t="s">
        <v>3922</v>
      </c>
      <c r="B225" s="9" t="s">
        <v>818</v>
      </c>
      <c r="C225" s="9" t="s">
        <v>3631</v>
      </c>
      <c r="D225" s="9" t="s">
        <v>1825</v>
      </c>
      <c r="E225" s="9"/>
      <c r="F225" s="9" t="s">
        <v>79</v>
      </c>
      <c r="G225" s="9" t="n">
        <v>203000000</v>
      </c>
      <c r="H225" s="9" t="s">
        <v>1652</v>
      </c>
      <c r="I225" s="9" t="s">
        <v>577</v>
      </c>
      <c r="J225" s="9" t="s">
        <v>3632</v>
      </c>
    </row>
    <row r="226" customFormat="false" ht="15" hidden="false" customHeight="false" outlineLevel="0" collapsed="false">
      <c r="A226" s="9" t="s">
        <v>3923</v>
      </c>
      <c r="B226" s="9" t="s">
        <v>3416</v>
      </c>
      <c r="C226" s="9" t="s">
        <v>3631</v>
      </c>
      <c r="D226" s="9" t="s">
        <v>1881</v>
      </c>
      <c r="E226" s="9"/>
      <c r="F226" s="9" t="s">
        <v>79</v>
      </c>
      <c r="G226" s="9" t="n">
        <v>375500000</v>
      </c>
      <c r="H226" s="9" t="s">
        <v>1652</v>
      </c>
      <c r="I226" s="9" t="s">
        <v>246</v>
      </c>
      <c r="J226" s="9" t="s">
        <v>3636</v>
      </c>
    </row>
    <row r="227" customFormat="false" ht="15" hidden="false" customHeight="false" outlineLevel="0" collapsed="false">
      <c r="A227" s="9" t="s">
        <v>3924</v>
      </c>
      <c r="B227" s="9" t="s">
        <v>3925</v>
      </c>
      <c r="C227" s="9" t="s">
        <v>3635</v>
      </c>
      <c r="D227" s="9"/>
      <c r="E227" s="9"/>
      <c r="F227" s="9" t="s">
        <v>79</v>
      </c>
      <c r="G227" s="9" t="n">
        <v>52500000</v>
      </c>
      <c r="H227" s="9" t="s">
        <v>1652</v>
      </c>
      <c r="I227" s="9" t="s">
        <v>438</v>
      </c>
      <c r="J227" s="9" t="s">
        <v>3632</v>
      </c>
    </row>
    <row r="228" customFormat="false" ht="15" hidden="false" customHeight="false" outlineLevel="0" collapsed="false">
      <c r="A228" s="9" t="s">
        <v>3926</v>
      </c>
      <c r="B228" s="9" t="s">
        <v>2188</v>
      </c>
      <c r="C228" s="9" t="s">
        <v>3635</v>
      </c>
      <c r="D228" s="9"/>
      <c r="E228" s="9" t="s">
        <v>1386</v>
      </c>
      <c r="F228" s="9" t="s">
        <v>8</v>
      </c>
      <c r="G228" s="9" t="n">
        <v>118000000</v>
      </c>
      <c r="H228" s="9" t="s">
        <v>1652</v>
      </c>
      <c r="I228" s="9" t="s">
        <v>538</v>
      </c>
      <c r="J228" s="9" t="s">
        <v>3632</v>
      </c>
    </row>
    <row r="229" customFormat="false" ht="15" hidden="false" customHeight="false" outlineLevel="0" collapsed="false">
      <c r="A229" s="9" t="s">
        <v>3927</v>
      </c>
      <c r="B229" s="9" t="s">
        <v>935</v>
      </c>
      <c r="C229" s="9" t="s">
        <v>3635</v>
      </c>
      <c r="D229" s="9"/>
      <c r="E229" s="9" t="s">
        <v>1299</v>
      </c>
      <c r="F229" s="9" t="s">
        <v>71</v>
      </c>
      <c r="G229" s="9" t="n">
        <v>336000000</v>
      </c>
      <c r="H229" s="9" t="s">
        <v>1652</v>
      </c>
      <c r="I229" s="9" t="s">
        <v>363</v>
      </c>
      <c r="J229" s="9" t="s">
        <v>3632</v>
      </c>
    </row>
    <row r="230" customFormat="false" ht="15" hidden="false" customHeight="false" outlineLevel="0" collapsed="false">
      <c r="A230" s="9" t="s">
        <v>3928</v>
      </c>
      <c r="B230" s="9" t="s">
        <v>2209</v>
      </c>
      <c r="C230" s="9" t="s">
        <v>3635</v>
      </c>
      <c r="D230" s="9"/>
      <c r="E230" s="9" t="s">
        <v>1467</v>
      </c>
      <c r="F230" s="9" t="s">
        <v>71</v>
      </c>
      <c r="G230" s="9" t="n">
        <v>10500000</v>
      </c>
      <c r="H230" s="9" t="s">
        <v>1652</v>
      </c>
      <c r="I230" s="9" t="s">
        <v>72</v>
      </c>
      <c r="J230" s="9" t="s">
        <v>3632</v>
      </c>
    </row>
    <row r="231" customFormat="false" ht="15" hidden="false" customHeight="false" outlineLevel="0" collapsed="false">
      <c r="A231" s="9" t="s">
        <v>3929</v>
      </c>
      <c r="B231" s="9" t="s">
        <v>3180</v>
      </c>
      <c r="C231" s="9" t="s">
        <v>3653</v>
      </c>
      <c r="D231" s="9"/>
      <c r="E231" s="9"/>
      <c r="F231" s="9" t="s">
        <v>56</v>
      </c>
      <c r="G231" s="9" t="n">
        <v>49000000</v>
      </c>
      <c r="H231" s="9" t="s">
        <v>1652</v>
      </c>
      <c r="I231" s="9" t="s">
        <v>577</v>
      </c>
      <c r="J231" s="9" t="s">
        <v>3632</v>
      </c>
    </row>
    <row r="232" customFormat="false" ht="15" hidden="false" customHeight="false" outlineLevel="0" collapsed="false">
      <c r="A232" s="9" t="s">
        <v>3930</v>
      </c>
      <c r="B232" s="9" t="s">
        <v>3620</v>
      </c>
      <c r="C232" s="9" t="s">
        <v>3638</v>
      </c>
      <c r="D232" s="9"/>
      <c r="E232" s="9"/>
      <c r="F232" s="9" t="s">
        <v>63</v>
      </c>
      <c r="G232" s="9" t="n">
        <v>402000000</v>
      </c>
      <c r="H232" s="9" t="s">
        <v>1652</v>
      </c>
      <c r="I232" s="9" t="s">
        <v>325</v>
      </c>
      <c r="J232" s="9" t="s">
        <v>3632</v>
      </c>
    </row>
    <row r="233" customFormat="false" ht="15" hidden="false" customHeight="false" outlineLevel="0" collapsed="false">
      <c r="A233" s="9" t="s">
        <v>3931</v>
      </c>
      <c r="B233" s="9" t="s">
        <v>839</v>
      </c>
      <c r="C233" s="9" t="s">
        <v>3631</v>
      </c>
      <c r="D233" s="9" t="s">
        <v>1867</v>
      </c>
      <c r="E233" s="9"/>
      <c r="F233" s="9" t="s">
        <v>10</v>
      </c>
      <c r="G233" s="9" t="n">
        <v>135500000</v>
      </c>
      <c r="H233" s="9" t="s">
        <v>1652</v>
      </c>
      <c r="I233" s="9" t="s">
        <v>538</v>
      </c>
      <c r="J233" s="9" t="s">
        <v>3632</v>
      </c>
    </row>
    <row r="234" customFormat="false" ht="15" hidden="false" customHeight="false" outlineLevel="0" collapsed="false">
      <c r="A234" s="9" t="s">
        <v>3932</v>
      </c>
      <c r="B234" s="9" t="s">
        <v>1930</v>
      </c>
      <c r="C234" s="9" t="s">
        <v>3631</v>
      </c>
      <c r="D234" s="9" t="s">
        <v>1885</v>
      </c>
      <c r="E234" s="9"/>
      <c r="F234" s="9" t="s">
        <v>71</v>
      </c>
      <c r="G234" s="9" t="n">
        <v>287500000</v>
      </c>
      <c r="H234" s="9" t="s">
        <v>1652</v>
      </c>
      <c r="I234" s="9" t="s">
        <v>286</v>
      </c>
      <c r="J234" s="9" t="s">
        <v>3632</v>
      </c>
    </row>
    <row r="235" customFormat="false" ht="15" hidden="false" customHeight="false" outlineLevel="0" collapsed="false">
      <c r="A235" s="9" t="s">
        <v>3933</v>
      </c>
      <c r="B235" s="9" t="s">
        <v>3233</v>
      </c>
      <c r="C235" s="9" t="s">
        <v>3653</v>
      </c>
      <c r="D235" s="9"/>
      <c r="E235" s="9"/>
      <c r="F235" s="9" t="s">
        <v>14</v>
      </c>
      <c r="G235" s="9" t="n">
        <v>196000000</v>
      </c>
      <c r="H235" s="9" t="s">
        <v>1652</v>
      </c>
      <c r="I235" s="9" t="s">
        <v>72</v>
      </c>
      <c r="J235" s="9" t="s">
        <v>3780</v>
      </c>
    </row>
    <row r="236" customFormat="false" ht="15" hidden="false" customHeight="false" outlineLevel="0" collapsed="false">
      <c r="A236" s="9" t="s">
        <v>3934</v>
      </c>
      <c r="B236" s="9" t="s">
        <v>3208</v>
      </c>
      <c r="C236" s="9" t="s">
        <v>3631</v>
      </c>
      <c r="D236" s="9"/>
      <c r="E236" s="9"/>
      <c r="F236" s="9" t="s">
        <v>10</v>
      </c>
      <c r="G236" s="9" t="n">
        <v>232000000</v>
      </c>
      <c r="H236" s="9" t="s">
        <v>1652</v>
      </c>
      <c r="I236" s="9" t="s">
        <v>246</v>
      </c>
      <c r="J236" s="9" t="s">
        <v>3632</v>
      </c>
    </row>
    <row r="237" customFormat="false" ht="15" hidden="false" customHeight="false" outlineLevel="0" collapsed="false">
      <c r="A237" s="9" t="s">
        <v>3935</v>
      </c>
      <c r="B237" s="9" t="s">
        <v>2987</v>
      </c>
      <c r="C237" s="9" t="s">
        <v>3642</v>
      </c>
      <c r="D237" s="9"/>
      <c r="E237" s="9"/>
      <c r="F237" s="9" t="s">
        <v>14</v>
      </c>
      <c r="G237" s="9" t="n">
        <v>229000000</v>
      </c>
      <c r="H237" s="9" t="s">
        <v>1652</v>
      </c>
      <c r="I237" s="9" t="s">
        <v>325</v>
      </c>
      <c r="J237" s="9" t="s">
        <v>3632</v>
      </c>
    </row>
    <row r="238" customFormat="false" ht="15" hidden="false" customHeight="false" outlineLevel="0" collapsed="false">
      <c r="A238" s="9" t="s">
        <v>3936</v>
      </c>
      <c r="B238" s="9" t="s">
        <v>3937</v>
      </c>
      <c r="C238" s="9" t="s">
        <v>3640</v>
      </c>
      <c r="D238" s="9" t="s">
        <v>1809</v>
      </c>
      <c r="E238" s="9"/>
      <c r="F238" s="9" t="s">
        <v>10</v>
      </c>
      <c r="G238" s="9" t="n">
        <v>49000000</v>
      </c>
      <c r="H238" s="9" t="s">
        <v>1652</v>
      </c>
      <c r="I238" s="9" t="s">
        <v>438</v>
      </c>
      <c r="J238" s="9" t="s">
        <v>3632</v>
      </c>
    </row>
    <row r="239" customFormat="false" ht="15" hidden="false" customHeight="false" outlineLevel="0" collapsed="false">
      <c r="A239" s="9" t="s">
        <v>3938</v>
      </c>
      <c r="B239" s="9" t="s">
        <v>2216</v>
      </c>
      <c r="C239" s="9" t="s">
        <v>3653</v>
      </c>
      <c r="D239" s="9"/>
      <c r="E239" s="9"/>
      <c r="F239" s="9" t="s">
        <v>14</v>
      </c>
      <c r="G239" s="9" t="n">
        <v>43000000</v>
      </c>
      <c r="H239" s="9" t="s">
        <v>1652</v>
      </c>
      <c r="I239" s="9" t="s">
        <v>208</v>
      </c>
      <c r="J239" s="9" t="s">
        <v>3632</v>
      </c>
    </row>
    <row r="240" customFormat="false" ht="15" hidden="false" customHeight="false" outlineLevel="0" collapsed="false">
      <c r="A240" s="9" t="s">
        <v>3939</v>
      </c>
      <c r="B240" s="9" t="s">
        <v>2861</v>
      </c>
      <c r="C240" s="9" t="s">
        <v>3653</v>
      </c>
      <c r="D240" s="9"/>
      <c r="E240" s="9"/>
      <c r="F240" s="9" t="s">
        <v>83</v>
      </c>
      <c r="G240" s="9" t="n">
        <v>389500000</v>
      </c>
      <c r="H240" s="9" t="s">
        <v>1652</v>
      </c>
      <c r="I240" s="9" t="s">
        <v>246</v>
      </c>
      <c r="J240" s="9" t="s">
        <v>3632</v>
      </c>
    </row>
    <row r="241" customFormat="false" ht="15" hidden="false" customHeight="false" outlineLevel="0" collapsed="false">
      <c r="A241" s="9" t="s">
        <v>3940</v>
      </c>
      <c r="B241" s="9" t="s">
        <v>2348</v>
      </c>
      <c r="C241" s="9" t="s">
        <v>3631</v>
      </c>
      <c r="D241" s="9" t="s">
        <v>2344</v>
      </c>
      <c r="E241" s="9"/>
      <c r="F241" s="9" t="s">
        <v>67</v>
      </c>
      <c r="G241" s="9" t="n">
        <v>427500000</v>
      </c>
      <c r="H241" s="9" t="s">
        <v>1652</v>
      </c>
      <c r="I241" s="9" t="s">
        <v>208</v>
      </c>
      <c r="J241" s="9" t="s">
        <v>3632</v>
      </c>
    </row>
    <row r="242" customFormat="false" ht="15" hidden="false" customHeight="false" outlineLevel="0" collapsed="false">
      <c r="A242" s="9" t="s">
        <v>3941</v>
      </c>
      <c r="B242" s="9" t="s">
        <v>1068</v>
      </c>
      <c r="C242" s="9" t="s">
        <v>3653</v>
      </c>
      <c r="D242" s="9"/>
      <c r="E242" s="9"/>
      <c r="F242" s="9" t="s">
        <v>71</v>
      </c>
      <c r="G242" s="9" t="n">
        <v>446500000</v>
      </c>
      <c r="H242" s="9" t="s">
        <v>1652</v>
      </c>
      <c r="I242" s="9" t="s">
        <v>72</v>
      </c>
      <c r="J242" s="9" t="s">
        <v>3632</v>
      </c>
    </row>
    <row r="243" customFormat="false" ht="15" hidden="false" customHeight="false" outlineLevel="0" collapsed="false">
      <c r="A243" s="9" t="s">
        <v>3942</v>
      </c>
      <c r="B243" s="9" t="s">
        <v>2904</v>
      </c>
      <c r="C243" s="9" t="s">
        <v>3653</v>
      </c>
      <c r="D243" s="9"/>
      <c r="E243" s="9"/>
      <c r="F243" s="9" t="s">
        <v>75</v>
      </c>
      <c r="G243" s="9" t="n">
        <v>279500000</v>
      </c>
      <c r="H243" s="9" t="s">
        <v>1652</v>
      </c>
      <c r="I243" s="9" t="s">
        <v>401</v>
      </c>
      <c r="J243" s="9" t="s">
        <v>3632</v>
      </c>
    </row>
    <row r="244" customFormat="false" ht="15" hidden="false" customHeight="false" outlineLevel="0" collapsed="false">
      <c r="A244" s="9" t="s">
        <v>3943</v>
      </c>
      <c r="B244" s="9" t="s">
        <v>3175</v>
      </c>
      <c r="C244" s="9" t="s">
        <v>3631</v>
      </c>
      <c r="D244" s="9" t="s">
        <v>2128</v>
      </c>
      <c r="E244" s="9"/>
      <c r="F244" s="9" t="s">
        <v>79</v>
      </c>
      <c r="G244" s="9" t="n">
        <v>284500000</v>
      </c>
      <c r="H244" s="9" t="s">
        <v>1652</v>
      </c>
      <c r="I244" s="9" t="s">
        <v>577</v>
      </c>
      <c r="J244" s="9" t="s">
        <v>3780</v>
      </c>
    </row>
    <row r="245" customFormat="false" ht="15" hidden="false" customHeight="false" outlineLevel="0" collapsed="false">
      <c r="A245" s="9" t="s">
        <v>3944</v>
      </c>
      <c r="B245" s="9" t="s">
        <v>1916</v>
      </c>
      <c r="C245" s="9" t="s">
        <v>3635</v>
      </c>
      <c r="D245" s="9"/>
      <c r="E245" s="9"/>
      <c r="F245" s="9" t="s">
        <v>10</v>
      </c>
      <c r="G245" s="9" t="n">
        <v>192500000</v>
      </c>
      <c r="H245" s="9" t="s">
        <v>1652</v>
      </c>
      <c r="I245" s="9" t="s">
        <v>208</v>
      </c>
      <c r="J245" s="9" t="s">
        <v>3632</v>
      </c>
    </row>
    <row r="246" customFormat="false" ht="15" hidden="false" customHeight="false" outlineLevel="0" collapsed="false">
      <c r="A246" s="9" t="s">
        <v>3945</v>
      </c>
      <c r="B246" s="9" t="s">
        <v>3417</v>
      </c>
      <c r="C246" s="9" t="s">
        <v>3653</v>
      </c>
      <c r="D246" s="9"/>
      <c r="E246" s="9"/>
      <c r="F246" s="9" t="s">
        <v>10</v>
      </c>
      <c r="G246" s="9" t="n">
        <v>85500000</v>
      </c>
      <c r="H246" s="9" t="s">
        <v>1652</v>
      </c>
      <c r="I246" s="9" t="s">
        <v>246</v>
      </c>
      <c r="J246" s="9" t="s">
        <v>3632</v>
      </c>
    </row>
    <row r="247" customFormat="false" ht="15" hidden="false" customHeight="false" outlineLevel="0" collapsed="false">
      <c r="A247" s="9" t="s">
        <v>3946</v>
      </c>
      <c r="B247" s="9" t="s">
        <v>3947</v>
      </c>
      <c r="C247" s="9" t="s">
        <v>3635</v>
      </c>
      <c r="D247" s="9"/>
      <c r="E247" s="9"/>
      <c r="F247" s="9" t="s">
        <v>75</v>
      </c>
      <c r="G247" s="9" t="n">
        <v>87500000</v>
      </c>
      <c r="H247" s="9" t="s">
        <v>1652</v>
      </c>
      <c r="I247" s="9" t="s">
        <v>538</v>
      </c>
      <c r="J247" s="9" t="s">
        <v>3632</v>
      </c>
    </row>
    <row r="248" customFormat="false" ht="15" hidden="false" customHeight="false" outlineLevel="0" collapsed="false">
      <c r="A248" s="9" t="s">
        <v>3948</v>
      </c>
      <c r="B248" s="9" t="s">
        <v>2204</v>
      </c>
      <c r="C248" s="9" t="s">
        <v>3638</v>
      </c>
      <c r="D248" s="9"/>
      <c r="E248" s="9"/>
      <c r="F248" s="9" t="s">
        <v>79</v>
      </c>
      <c r="G248" s="9" t="n">
        <v>214500000</v>
      </c>
      <c r="H248" s="9" t="s">
        <v>1652</v>
      </c>
      <c r="I248" s="9" t="s">
        <v>363</v>
      </c>
      <c r="J248" s="9" t="s">
        <v>3632</v>
      </c>
    </row>
    <row r="249" customFormat="false" ht="15" hidden="false" customHeight="false" outlineLevel="0" collapsed="false">
      <c r="A249" s="9" t="s">
        <v>3949</v>
      </c>
      <c r="B249" s="9" t="s">
        <v>1603</v>
      </c>
      <c r="C249" s="9" t="s">
        <v>3642</v>
      </c>
      <c r="D249" s="9"/>
      <c r="E249" s="9"/>
      <c r="F249" s="9" t="s">
        <v>63</v>
      </c>
      <c r="G249" s="9" t="n">
        <v>369000000</v>
      </c>
      <c r="H249" s="9" t="s">
        <v>1652</v>
      </c>
      <c r="I249" s="9" t="s">
        <v>538</v>
      </c>
      <c r="J249" s="9" t="s">
        <v>3632</v>
      </c>
    </row>
    <row r="250" customFormat="false" ht="15" hidden="false" customHeight="false" outlineLevel="0" collapsed="false">
      <c r="A250" s="9" t="s">
        <v>3950</v>
      </c>
      <c r="B250" s="9" t="s">
        <v>3487</v>
      </c>
      <c r="C250" s="9" t="s">
        <v>3653</v>
      </c>
      <c r="D250" s="9"/>
      <c r="E250" s="9"/>
      <c r="F250" s="9" t="s">
        <v>67</v>
      </c>
      <c r="G250" s="9" t="n">
        <v>289000000</v>
      </c>
      <c r="H250" s="9" t="s">
        <v>1652</v>
      </c>
      <c r="I250" s="9" t="s">
        <v>538</v>
      </c>
      <c r="J250" s="9" t="s">
        <v>3632</v>
      </c>
    </row>
    <row r="251" customFormat="false" ht="15" hidden="false" customHeight="false" outlineLevel="0" collapsed="false">
      <c r="A251" s="9" t="s">
        <v>3951</v>
      </c>
      <c r="B251" s="9" t="s">
        <v>257</v>
      </c>
      <c r="C251" s="9" t="s">
        <v>3653</v>
      </c>
      <c r="D251" s="9"/>
      <c r="E251" s="9"/>
      <c r="F251" s="9" t="s">
        <v>14</v>
      </c>
      <c r="G251" s="9" t="n">
        <v>411500000</v>
      </c>
      <c r="H251" s="9" t="s">
        <v>1652</v>
      </c>
      <c r="I251" s="9" t="s">
        <v>476</v>
      </c>
      <c r="J251" s="9" t="s">
        <v>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3.85" hidden="false" customHeight="false" outlineLevel="0" collapsed="false">
      <c r="A1" s="8" t="s">
        <v>3952</v>
      </c>
      <c r="B1" s="8" t="s">
        <v>41</v>
      </c>
      <c r="C1" s="8" t="s">
        <v>88</v>
      </c>
      <c r="D1" s="8" t="s">
        <v>3953</v>
      </c>
      <c r="E1" s="8" t="s">
        <v>3954</v>
      </c>
      <c r="F1" s="8" t="s">
        <v>3955</v>
      </c>
      <c r="G1" s="8" t="s">
        <v>3956</v>
      </c>
      <c r="H1" s="8" t="s">
        <v>96</v>
      </c>
      <c r="I1" s="8" t="s">
        <v>3957</v>
      </c>
    </row>
    <row r="2" customFormat="false" ht="15" hidden="false" customHeight="false" outlineLevel="0" collapsed="false">
      <c r="A2" s="9" t="s">
        <v>3958</v>
      </c>
      <c r="B2" s="9" t="s">
        <v>66</v>
      </c>
      <c r="C2" s="9" t="s">
        <v>67</v>
      </c>
      <c r="D2" s="9" t="s">
        <v>1433</v>
      </c>
      <c r="E2" s="9" t="s">
        <v>3959</v>
      </c>
      <c r="F2" s="9" t="s">
        <v>3960</v>
      </c>
      <c r="G2" s="9" t="s">
        <v>3373</v>
      </c>
      <c r="H2" s="9" t="s">
        <v>2852</v>
      </c>
      <c r="I2" s="9" t="s">
        <v>554</v>
      </c>
    </row>
    <row r="3" customFormat="false" ht="15" hidden="false" customHeight="false" outlineLevel="0" collapsed="false">
      <c r="A3" s="9" t="s">
        <v>3961</v>
      </c>
      <c r="B3" s="9" t="s">
        <v>55</v>
      </c>
      <c r="C3" s="9" t="s">
        <v>56</v>
      </c>
      <c r="D3" s="9" t="s">
        <v>1046</v>
      </c>
      <c r="E3" s="9" t="s">
        <v>3959</v>
      </c>
      <c r="F3" s="9" t="s">
        <v>3962</v>
      </c>
      <c r="G3" s="9" t="s">
        <v>3388</v>
      </c>
      <c r="H3" s="9" t="s">
        <v>2852</v>
      </c>
      <c r="I3" s="9" t="s">
        <v>643</v>
      </c>
    </row>
    <row r="4" customFormat="false" ht="15" hidden="false" customHeight="false" outlineLevel="0" collapsed="false">
      <c r="A4" s="9" t="s">
        <v>3963</v>
      </c>
      <c r="B4" s="9" t="s">
        <v>55</v>
      </c>
      <c r="C4" s="9" t="s">
        <v>56</v>
      </c>
      <c r="D4" s="9" t="s">
        <v>3566</v>
      </c>
      <c r="E4" s="9" t="s">
        <v>3964</v>
      </c>
      <c r="F4" s="9" t="s">
        <v>3965</v>
      </c>
      <c r="G4" s="9" t="s">
        <v>3391</v>
      </c>
      <c r="H4" s="9" t="s">
        <v>2852</v>
      </c>
      <c r="I4" s="9" t="s">
        <v>57</v>
      </c>
    </row>
    <row r="5" customFormat="false" ht="15" hidden="false" customHeight="false" outlineLevel="0" collapsed="false">
      <c r="A5" s="9" t="s">
        <v>3966</v>
      </c>
      <c r="B5" s="9" t="s">
        <v>59</v>
      </c>
      <c r="C5" s="9" t="s">
        <v>14</v>
      </c>
      <c r="D5" s="9" t="s">
        <v>3967</v>
      </c>
      <c r="E5" s="9" t="s">
        <v>3959</v>
      </c>
      <c r="F5" s="9" t="s">
        <v>3968</v>
      </c>
      <c r="G5" s="9" t="s">
        <v>3373</v>
      </c>
      <c r="H5" s="9" t="s">
        <v>2852</v>
      </c>
      <c r="I5" s="9" t="s">
        <v>389</v>
      </c>
    </row>
    <row r="6" customFormat="false" ht="15" hidden="false" customHeight="false" outlineLevel="0" collapsed="false">
      <c r="A6" s="9" t="s">
        <v>3969</v>
      </c>
      <c r="B6" s="9" t="s">
        <v>82</v>
      </c>
      <c r="C6" s="9" t="s">
        <v>83</v>
      </c>
      <c r="D6" s="9" t="s">
        <v>2931</v>
      </c>
      <c r="E6" s="9" t="s">
        <v>3970</v>
      </c>
      <c r="F6" s="9" t="s">
        <v>3960</v>
      </c>
      <c r="G6" s="9" t="s">
        <v>3373</v>
      </c>
      <c r="H6" s="9" t="s">
        <v>2843</v>
      </c>
      <c r="I6" s="9" t="s">
        <v>510</v>
      </c>
    </row>
    <row r="7" customFormat="false" ht="15" hidden="false" customHeight="false" outlineLevel="0" collapsed="false">
      <c r="A7" s="9" t="s">
        <v>3971</v>
      </c>
      <c r="B7" s="9" t="s">
        <v>47</v>
      </c>
      <c r="C7" s="9" t="s">
        <v>8</v>
      </c>
      <c r="D7" s="9" t="s">
        <v>2016</v>
      </c>
      <c r="E7" s="9" t="s">
        <v>3972</v>
      </c>
      <c r="F7" s="9" t="s">
        <v>3960</v>
      </c>
      <c r="G7" s="9" t="s">
        <v>3388</v>
      </c>
      <c r="H7" s="9" t="s">
        <v>2843</v>
      </c>
      <c r="I7" s="9" t="s">
        <v>454</v>
      </c>
    </row>
    <row r="8" customFormat="false" ht="15" hidden="false" customHeight="false" outlineLevel="0" collapsed="false">
      <c r="A8" s="9" t="s">
        <v>3973</v>
      </c>
      <c r="B8" s="9" t="s">
        <v>62</v>
      </c>
      <c r="C8" s="9" t="s">
        <v>63</v>
      </c>
      <c r="D8" s="9" t="s">
        <v>1105</v>
      </c>
      <c r="E8" s="9" t="s">
        <v>3959</v>
      </c>
      <c r="F8" s="9" t="s">
        <v>3974</v>
      </c>
      <c r="G8" s="9" t="s">
        <v>3373</v>
      </c>
      <c r="H8" s="9" t="s">
        <v>3975</v>
      </c>
      <c r="I8" s="9" t="s">
        <v>355</v>
      </c>
    </row>
    <row r="9" customFormat="false" ht="15" hidden="false" customHeight="false" outlineLevel="0" collapsed="false">
      <c r="A9" s="9" t="s">
        <v>3976</v>
      </c>
      <c r="B9" s="9" t="s">
        <v>51</v>
      </c>
      <c r="C9" s="9" t="s">
        <v>10</v>
      </c>
      <c r="D9" s="9" t="s">
        <v>2297</v>
      </c>
      <c r="E9" s="9" t="s">
        <v>3977</v>
      </c>
      <c r="F9" s="9" t="s">
        <v>3965</v>
      </c>
      <c r="G9" s="9" t="s">
        <v>3388</v>
      </c>
      <c r="H9" s="9" t="s">
        <v>3975</v>
      </c>
      <c r="I9" s="9" t="s">
        <v>420</v>
      </c>
    </row>
    <row r="10" customFormat="false" ht="15" hidden="false" customHeight="false" outlineLevel="0" collapsed="false">
      <c r="A10" s="9" t="s">
        <v>3978</v>
      </c>
      <c r="B10" s="9" t="s">
        <v>82</v>
      </c>
      <c r="C10" s="9" t="s">
        <v>83</v>
      </c>
      <c r="D10" s="9" t="s">
        <v>1486</v>
      </c>
      <c r="E10" s="9" t="s">
        <v>3977</v>
      </c>
      <c r="F10" s="9" t="s">
        <v>3974</v>
      </c>
      <c r="G10" s="9" t="s">
        <v>3373</v>
      </c>
      <c r="H10" s="9" t="s">
        <v>2843</v>
      </c>
      <c r="I10" s="9" t="s">
        <v>585</v>
      </c>
    </row>
    <row r="11" customFormat="false" ht="15" hidden="false" customHeight="false" outlineLevel="0" collapsed="false">
      <c r="A11" s="9" t="s">
        <v>3979</v>
      </c>
      <c r="B11" s="9" t="s">
        <v>66</v>
      </c>
      <c r="C11" s="9" t="s">
        <v>67</v>
      </c>
      <c r="D11" s="9" t="s">
        <v>3867</v>
      </c>
      <c r="E11" s="9" t="s">
        <v>3959</v>
      </c>
      <c r="F11" s="9" t="s">
        <v>3980</v>
      </c>
      <c r="G11" s="9" t="s">
        <v>3368</v>
      </c>
      <c r="H11" s="9" t="s">
        <v>2843</v>
      </c>
      <c r="I11" s="9" t="s">
        <v>635</v>
      </c>
    </row>
    <row r="12" customFormat="false" ht="15" hidden="false" customHeight="false" outlineLevel="0" collapsed="false">
      <c r="A12" s="9" t="s">
        <v>3981</v>
      </c>
      <c r="B12" s="9" t="s">
        <v>59</v>
      </c>
      <c r="C12" s="9" t="s">
        <v>14</v>
      </c>
      <c r="D12" s="9" t="s">
        <v>970</v>
      </c>
      <c r="E12" s="9" t="s">
        <v>3970</v>
      </c>
      <c r="F12" s="9" t="s">
        <v>3974</v>
      </c>
      <c r="G12" s="9" t="s">
        <v>3368</v>
      </c>
      <c r="H12" s="9" t="s">
        <v>2852</v>
      </c>
      <c r="I12" s="9" t="s">
        <v>681</v>
      </c>
    </row>
    <row r="13" customFormat="false" ht="15" hidden="false" customHeight="false" outlineLevel="0" collapsed="false">
      <c r="A13" s="9" t="s">
        <v>3982</v>
      </c>
      <c r="B13" s="9" t="s">
        <v>82</v>
      </c>
      <c r="C13" s="9" t="s">
        <v>83</v>
      </c>
      <c r="D13" s="9" t="s">
        <v>2137</v>
      </c>
      <c r="E13" s="9" t="s">
        <v>3977</v>
      </c>
      <c r="F13" s="9" t="s">
        <v>3983</v>
      </c>
      <c r="G13" s="9" t="s">
        <v>3373</v>
      </c>
      <c r="H13" s="9" t="s">
        <v>2852</v>
      </c>
      <c r="I13" s="9" t="s">
        <v>219</v>
      </c>
    </row>
    <row r="14" customFormat="false" ht="15" hidden="false" customHeight="false" outlineLevel="0" collapsed="false">
      <c r="A14" s="9" t="s">
        <v>3984</v>
      </c>
      <c r="B14" s="9" t="s">
        <v>47</v>
      </c>
      <c r="C14" s="9" t="s">
        <v>8</v>
      </c>
      <c r="D14" s="9" t="s">
        <v>854</v>
      </c>
      <c r="E14" s="9" t="s">
        <v>3959</v>
      </c>
      <c r="F14" s="9" t="s">
        <v>3974</v>
      </c>
      <c r="G14" s="9" t="s">
        <v>3373</v>
      </c>
      <c r="H14" s="9" t="s">
        <v>2843</v>
      </c>
      <c r="I14" s="9" t="s">
        <v>301</v>
      </c>
    </row>
    <row r="15" customFormat="false" ht="15" hidden="false" customHeight="false" outlineLevel="0" collapsed="false">
      <c r="A15" s="9" t="s">
        <v>3985</v>
      </c>
      <c r="B15" s="9" t="s">
        <v>62</v>
      </c>
      <c r="C15" s="9" t="s">
        <v>63</v>
      </c>
      <c r="D15" s="9" t="s">
        <v>3986</v>
      </c>
      <c r="E15" s="9" t="s">
        <v>3970</v>
      </c>
      <c r="F15" s="9" t="s">
        <v>3983</v>
      </c>
      <c r="G15" s="9" t="s">
        <v>3373</v>
      </c>
      <c r="H15" s="9" t="s">
        <v>3975</v>
      </c>
      <c r="I15" s="9" t="s">
        <v>534</v>
      </c>
    </row>
    <row r="16" customFormat="false" ht="15" hidden="false" customHeight="false" outlineLevel="0" collapsed="false">
      <c r="A16" s="9" t="s">
        <v>3987</v>
      </c>
      <c r="B16" s="9" t="s">
        <v>74</v>
      </c>
      <c r="C16" s="9" t="s">
        <v>75</v>
      </c>
      <c r="D16" s="9" t="s">
        <v>2841</v>
      </c>
      <c r="E16" s="9" t="s">
        <v>3972</v>
      </c>
      <c r="F16" s="9" t="s">
        <v>3974</v>
      </c>
      <c r="G16" s="9" t="s">
        <v>3373</v>
      </c>
      <c r="H16" s="9" t="s">
        <v>3975</v>
      </c>
      <c r="I16" s="9" t="s">
        <v>366</v>
      </c>
    </row>
    <row r="17" customFormat="false" ht="15" hidden="false" customHeight="false" outlineLevel="0" collapsed="false">
      <c r="A17" s="9" t="s">
        <v>3988</v>
      </c>
      <c r="B17" s="9" t="s">
        <v>55</v>
      </c>
      <c r="C17" s="9" t="s">
        <v>56</v>
      </c>
      <c r="D17" s="9" t="s">
        <v>3989</v>
      </c>
      <c r="E17" s="9" t="s">
        <v>3977</v>
      </c>
      <c r="F17" s="9" t="s">
        <v>3974</v>
      </c>
      <c r="G17" s="9" t="s">
        <v>3373</v>
      </c>
      <c r="H17" s="9" t="s">
        <v>3975</v>
      </c>
      <c r="I17" s="9" t="s">
        <v>424</v>
      </c>
    </row>
    <row r="18" customFormat="false" ht="15" hidden="false" customHeight="false" outlineLevel="0" collapsed="false">
      <c r="A18" s="9" t="s">
        <v>3990</v>
      </c>
      <c r="B18" s="9" t="s">
        <v>51</v>
      </c>
      <c r="C18" s="9" t="s">
        <v>10</v>
      </c>
      <c r="D18" s="9" t="s">
        <v>3991</v>
      </c>
      <c r="E18" s="9" t="s">
        <v>3964</v>
      </c>
      <c r="F18" s="9" t="s">
        <v>3962</v>
      </c>
      <c r="G18" s="9" t="s">
        <v>3373</v>
      </c>
      <c r="H18" s="9" t="s">
        <v>2852</v>
      </c>
      <c r="I18" s="9" t="s">
        <v>522</v>
      </c>
    </row>
    <row r="19" customFormat="false" ht="15" hidden="false" customHeight="false" outlineLevel="0" collapsed="false">
      <c r="A19" s="9" t="s">
        <v>3992</v>
      </c>
      <c r="B19" s="9" t="s">
        <v>74</v>
      </c>
      <c r="C19" s="9" t="s">
        <v>75</v>
      </c>
      <c r="D19" s="9" t="s">
        <v>3680</v>
      </c>
      <c r="E19" s="9" t="s">
        <v>3964</v>
      </c>
      <c r="F19" s="9" t="s">
        <v>3983</v>
      </c>
      <c r="G19" s="9" t="s">
        <v>3373</v>
      </c>
      <c r="H19" s="9" t="s">
        <v>2843</v>
      </c>
      <c r="I19" s="9" t="s">
        <v>366</v>
      </c>
    </row>
    <row r="20" customFormat="false" ht="15" hidden="false" customHeight="false" outlineLevel="0" collapsed="false">
      <c r="A20" s="9" t="s">
        <v>3993</v>
      </c>
      <c r="B20" s="9" t="s">
        <v>70</v>
      </c>
      <c r="C20" s="9" t="s">
        <v>71</v>
      </c>
      <c r="D20" s="9" t="s">
        <v>3130</v>
      </c>
      <c r="E20" s="9" t="s">
        <v>3977</v>
      </c>
      <c r="F20" s="9" t="s">
        <v>3962</v>
      </c>
      <c r="G20" s="9" t="s">
        <v>3391</v>
      </c>
      <c r="H20" s="9" t="s">
        <v>2852</v>
      </c>
      <c r="I20" s="9" t="s">
        <v>325</v>
      </c>
    </row>
    <row r="21" customFormat="false" ht="15" hidden="false" customHeight="false" outlineLevel="0" collapsed="false">
      <c r="A21" s="9" t="s">
        <v>3994</v>
      </c>
      <c r="B21" s="9" t="s">
        <v>78</v>
      </c>
      <c r="C21" s="9" t="s">
        <v>79</v>
      </c>
      <c r="D21" s="9" t="s">
        <v>3995</v>
      </c>
      <c r="E21" s="9" t="s">
        <v>3970</v>
      </c>
      <c r="F21" s="9" t="s">
        <v>3980</v>
      </c>
      <c r="G21" s="9" t="s">
        <v>3373</v>
      </c>
      <c r="H21" s="9" t="s">
        <v>2852</v>
      </c>
      <c r="I21" s="9" t="s">
        <v>333</v>
      </c>
    </row>
    <row r="22" customFormat="false" ht="15" hidden="false" customHeight="false" outlineLevel="0" collapsed="false">
      <c r="A22" s="9" t="s">
        <v>3996</v>
      </c>
      <c r="B22" s="9" t="s">
        <v>62</v>
      </c>
      <c r="C22" s="9" t="s">
        <v>63</v>
      </c>
      <c r="D22" s="9" t="s">
        <v>908</v>
      </c>
      <c r="E22" s="9" t="s">
        <v>3970</v>
      </c>
      <c r="F22" s="9" t="s">
        <v>3980</v>
      </c>
      <c r="G22" s="9" t="s">
        <v>3368</v>
      </c>
      <c r="H22" s="9" t="s">
        <v>2843</v>
      </c>
      <c r="I22" s="9" t="s">
        <v>647</v>
      </c>
    </row>
    <row r="23" customFormat="false" ht="15" hidden="false" customHeight="false" outlineLevel="0" collapsed="false">
      <c r="A23" s="9" t="s">
        <v>3997</v>
      </c>
      <c r="B23" s="9" t="s">
        <v>70</v>
      </c>
      <c r="C23" s="9" t="s">
        <v>71</v>
      </c>
      <c r="D23" s="9" t="s">
        <v>1157</v>
      </c>
      <c r="E23" s="9" t="s">
        <v>3972</v>
      </c>
      <c r="F23" s="9" t="s">
        <v>3960</v>
      </c>
      <c r="G23" s="9" t="s">
        <v>3373</v>
      </c>
      <c r="H23" s="9" t="s">
        <v>2843</v>
      </c>
      <c r="I23" s="9" t="s">
        <v>72</v>
      </c>
    </row>
    <row r="24" customFormat="false" ht="15" hidden="false" customHeight="false" outlineLevel="0" collapsed="false">
      <c r="A24" s="9" t="s">
        <v>3998</v>
      </c>
      <c r="B24" s="9" t="s">
        <v>74</v>
      </c>
      <c r="C24" s="9" t="s">
        <v>75</v>
      </c>
      <c r="D24" s="9" t="s">
        <v>3999</v>
      </c>
      <c r="E24" s="9" t="s">
        <v>3964</v>
      </c>
      <c r="F24" s="9" t="s">
        <v>3968</v>
      </c>
      <c r="G24" s="9" t="s">
        <v>3368</v>
      </c>
      <c r="H24" s="9" t="s">
        <v>2843</v>
      </c>
      <c r="I24" s="9" t="s">
        <v>697</v>
      </c>
    </row>
    <row r="25" customFormat="false" ht="15" hidden="false" customHeight="false" outlineLevel="0" collapsed="false">
      <c r="A25" s="9" t="s">
        <v>4000</v>
      </c>
      <c r="B25" s="9" t="s">
        <v>51</v>
      </c>
      <c r="C25" s="9" t="s">
        <v>10</v>
      </c>
      <c r="D25" s="9" t="s">
        <v>4001</v>
      </c>
      <c r="E25" s="9" t="s">
        <v>3972</v>
      </c>
      <c r="F25" s="9" t="s">
        <v>3965</v>
      </c>
      <c r="G25" s="9" t="s">
        <v>3373</v>
      </c>
      <c r="H25" s="9" t="s">
        <v>2843</v>
      </c>
      <c r="I25" s="9" t="s">
        <v>305</v>
      </c>
    </row>
    <row r="26" customFormat="false" ht="15" hidden="false" customHeight="false" outlineLevel="0" collapsed="false">
      <c r="A26" s="9" t="s">
        <v>4002</v>
      </c>
      <c r="B26" s="9" t="s">
        <v>55</v>
      </c>
      <c r="C26" s="9" t="s">
        <v>56</v>
      </c>
      <c r="D26" s="9" t="s">
        <v>757</v>
      </c>
      <c r="E26" s="9" t="s">
        <v>3964</v>
      </c>
      <c r="F26" s="9" t="s">
        <v>3974</v>
      </c>
      <c r="G26" s="9" t="s">
        <v>3388</v>
      </c>
      <c r="H26" s="9" t="s">
        <v>2852</v>
      </c>
      <c r="I26" s="9" t="s">
        <v>152</v>
      </c>
    </row>
    <row r="27" customFormat="false" ht="15" hidden="false" customHeight="false" outlineLevel="0" collapsed="false">
      <c r="A27" s="9" t="s">
        <v>4003</v>
      </c>
      <c r="B27" s="9" t="s">
        <v>66</v>
      </c>
      <c r="C27" s="9" t="s">
        <v>67</v>
      </c>
      <c r="D27" s="9" t="s">
        <v>1889</v>
      </c>
      <c r="E27" s="9" t="s">
        <v>3959</v>
      </c>
      <c r="F27" s="9" t="s">
        <v>3960</v>
      </c>
      <c r="G27" s="9" t="s">
        <v>3391</v>
      </c>
      <c r="H27" s="9" t="s">
        <v>2852</v>
      </c>
      <c r="I27" s="9" t="s">
        <v>68</v>
      </c>
    </row>
    <row r="28" customFormat="false" ht="15" hidden="false" customHeight="false" outlineLevel="0" collapsed="false">
      <c r="A28" s="9" t="s">
        <v>4004</v>
      </c>
      <c r="B28" s="9" t="s">
        <v>66</v>
      </c>
      <c r="C28" s="9" t="s">
        <v>67</v>
      </c>
      <c r="D28" s="9" t="s">
        <v>1119</v>
      </c>
      <c r="E28" s="9" t="s">
        <v>3977</v>
      </c>
      <c r="F28" s="9" t="s">
        <v>3980</v>
      </c>
      <c r="G28" s="9" t="s">
        <v>3388</v>
      </c>
      <c r="H28" s="9" t="s">
        <v>3975</v>
      </c>
      <c r="I28" s="9" t="s">
        <v>68</v>
      </c>
    </row>
    <row r="29" customFormat="false" ht="15" hidden="false" customHeight="false" outlineLevel="0" collapsed="false">
      <c r="A29" s="9" t="s">
        <v>4005</v>
      </c>
      <c r="B29" s="9" t="s">
        <v>70</v>
      </c>
      <c r="C29" s="9" t="s">
        <v>71</v>
      </c>
      <c r="D29" s="9" t="s">
        <v>600</v>
      </c>
      <c r="E29" s="9" t="s">
        <v>3970</v>
      </c>
      <c r="F29" s="9" t="s">
        <v>3965</v>
      </c>
      <c r="G29" s="9" t="s">
        <v>3368</v>
      </c>
      <c r="H29" s="9" t="s">
        <v>2843</v>
      </c>
      <c r="I29" s="9" t="s">
        <v>208</v>
      </c>
    </row>
    <row r="30" customFormat="false" ht="15" hidden="false" customHeight="false" outlineLevel="0" collapsed="false">
      <c r="A30" s="9" t="s">
        <v>4006</v>
      </c>
      <c r="B30" s="9" t="s">
        <v>62</v>
      </c>
      <c r="C30" s="9" t="s">
        <v>63</v>
      </c>
      <c r="D30" s="9" t="s">
        <v>3518</v>
      </c>
      <c r="E30" s="9" t="s">
        <v>3977</v>
      </c>
      <c r="F30" s="9" t="s">
        <v>3968</v>
      </c>
      <c r="G30" s="9" t="s">
        <v>3368</v>
      </c>
      <c r="H30" s="9" t="s">
        <v>2843</v>
      </c>
      <c r="I30" s="9" t="s">
        <v>693</v>
      </c>
    </row>
    <row r="31" customFormat="false" ht="15" hidden="false" customHeight="false" outlineLevel="0" collapsed="false">
      <c r="A31" s="9" t="s">
        <v>4007</v>
      </c>
      <c r="B31" s="9" t="s">
        <v>70</v>
      </c>
      <c r="C31" s="9" t="s">
        <v>71</v>
      </c>
      <c r="D31" s="9" t="s">
        <v>874</v>
      </c>
      <c r="E31" s="9" t="s">
        <v>3970</v>
      </c>
      <c r="F31" s="9" t="s">
        <v>3960</v>
      </c>
      <c r="G31" s="9" t="s">
        <v>3368</v>
      </c>
      <c r="H31" s="9" t="s">
        <v>3975</v>
      </c>
      <c r="I31" s="9" t="s">
        <v>325</v>
      </c>
    </row>
    <row r="32" customFormat="false" ht="15" hidden="false" customHeight="false" outlineLevel="0" collapsed="false">
      <c r="A32" s="9" t="s">
        <v>4008</v>
      </c>
      <c r="B32" s="9" t="s">
        <v>74</v>
      </c>
      <c r="C32" s="9" t="s">
        <v>75</v>
      </c>
      <c r="D32" s="9" t="s">
        <v>2742</v>
      </c>
      <c r="E32" s="9" t="s">
        <v>3970</v>
      </c>
      <c r="F32" s="9" t="s">
        <v>3980</v>
      </c>
      <c r="G32" s="9" t="s">
        <v>3391</v>
      </c>
      <c r="H32" s="9" t="s">
        <v>2852</v>
      </c>
      <c r="I32" s="9" t="s">
        <v>212</v>
      </c>
    </row>
    <row r="33" customFormat="false" ht="15" hidden="false" customHeight="false" outlineLevel="0" collapsed="false">
      <c r="A33" s="9" t="s">
        <v>4009</v>
      </c>
      <c r="B33" s="9" t="s">
        <v>55</v>
      </c>
      <c r="C33" s="9" t="s">
        <v>56</v>
      </c>
      <c r="D33" s="9" t="s">
        <v>798</v>
      </c>
      <c r="E33" s="9" t="s">
        <v>3977</v>
      </c>
      <c r="F33" s="9" t="s">
        <v>3960</v>
      </c>
      <c r="G33" s="9" t="s">
        <v>3373</v>
      </c>
      <c r="H33" s="9" t="s">
        <v>2843</v>
      </c>
      <c r="I33" s="9" t="s">
        <v>309</v>
      </c>
    </row>
    <row r="34" customFormat="false" ht="15" hidden="false" customHeight="false" outlineLevel="0" collapsed="false">
      <c r="A34" s="9" t="s">
        <v>4010</v>
      </c>
      <c r="B34" s="9" t="s">
        <v>47</v>
      </c>
      <c r="C34" s="9" t="s">
        <v>8</v>
      </c>
      <c r="D34" s="9" t="s">
        <v>4011</v>
      </c>
      <c r="E34" s="9" t="s">
        <v>3972</v>
      </c>
      <c r="F34" s="9" t="s">
        <v>3968</v>
      </c>
      <c r="G34" s="9" t="s">
        <v>3368</v>
      </c>
      <c r="H34" s="9" t="s">
        <v>2843</v>
      </c>
      <c r="I34" s="9" t="s">
        <v>223</v>
      </c>
    </row>
    <row r="35" customFormat="false" ht="15" hidden="false" customHeight="false" outlineLevel="0" collapsed="false">
      <c r="A35" s="9" t="s">
        <v>4012</v>
      </c>
      <c r="B35" s="9" t="s">
        <v>62</v>
      </c>
      <c r="C35" s="9" t="s">
        <v>63</v>
      </c>
      <c r="D35" s="9" t="s">
        <v>3501</v>
      </c>
      <c r="E35" s="9" t="s">
        <v>3977</v>
      </c>
      <c r="F35" s="9" t="s">
        <v>3960</v>
      </c>
      <c r="G35" s="9" t="s">
        <v>3368</v>
      </c>
      <c r="H35" s="9" t="s">
        <v>2843</v>
      </c>
      <c r="I35" s="9" t="s">
        <v>317</v>
      </c>
    </row>
    <row r="36" customFormat="false" ht="15" hidden="false" customHeight="false" outlineLevel="0" collapsed="false">
      <c r="A36" s="9" t="s">
        <v>4013</v>
      </c>
      <c r="B36" s="9" t="s">
        <v>62</v>
      </c>
      <c r="C36" s="9" t="s">
        <v>63</v>
      </c>
      <c r="D36" s="9" t="s">
        <v>4014</v>
      </c>
      <c r="E36" s="9" t="s">
        <v>3959</v>
      </c>
      <c r="F36" s="9" t="s">
        <v>3960</v>
      </c>
      <c r="G36" s="9" t="s">
        <v>3373</v>
      </c>
      <c r="H36" s="9" t="s">
        <v>2843</v>
      </c>
      <c r="I36" s="9" t="s">
        <v>431</v>
      </c>
    </row>
    <row r="37" customFormat="false" ht="15" hidden="false" customHeight="false" outlineLevel="0" collapsed="false">
      <c r="A37" s="9" t="s">
        <v>4015</v>
      </c>
      <c r="B37" s="9" t="s">
        <v>59</v>
      </c>
      <c r="C37" s="9" t="s">
        <v>14</v>
      </c>
      <c r="D37" s="9" t="s">
        <v>4016</v>
      </c>
      <c r="E37" s="9" t="s">
        <v>3972</v>
      </c>
      <c r="F37" s="9" t="s">
        <v>3960</v>
      </c>
      <c r="G37" s="9" t="s">
        <v>3388</v>
      </c>
      <c r="H37" s="9" t="s">
        <v>3975</v>
      </c>
      <c r="I37" s="9" t="s">
        <v>389</v>
      </c>
    </row>
    <row r="38" customFormat="false" ht="15" hidden="false" customHeight="false" outlineLevel="0" collapsed="false">
      <c r="A38" s="9" t="s">
        <v>4017</v>
      </c>
      <c r="B38" s="9" t="s">
        <v>66</v>
      </c>
      <c r="C38" s="9" t="s">
        <v>67</v>
      </c>
      <c r="D38" s="9" t="s">
        <v>1658</v>
      </c>
      <c r="E38" s="9" t="s">
        <v>3972</v>
      </c>
      <c r="F38" s="9" t="s">
        <v>3960</v>
      </c>
      <c r="G38" s="9" t="s">
        <v>3388</v>
      </c>
      <c r="H38" s="9" t="s">
        <v>3975</v>
      </c>
      <c r="I38" s="9" t="s">
        <v>321</v>
      </c>
    </row>
    <row r="39" customFormat="false" ht="15" hidden="false" customHeight="false" outlineLevel="0" collapsed="false">
      <c r="A39" s="9" t="s">
        <v>4018</v>
      </c>
      <c r="B39" s="9" t="s">
        <v>47</v>
      </c>
      <c r="C39" s="9" t="s">
        <v>8</v>
      </c>
      <c r="D39" s="9" t="s">
        <v>3025</v>
      </c>
      <c r="E39" s="9" t="s">
        <v>3964</v>
      </c>
      <c r="F39" s="9" t="s">
        <v>3983</v>
      </c>
      <c r="G39" s="9" t="s">
        <v>3373</v>
      </c>
      <c r="H39" s="9" t="s">
        <v>2852</v>
      </c>
      <c r="I39" s="9" t="s">
        <v>546</v>
      </c>
    </row>
    <row r="40" customFormat="false" ht="15" hidden="false" customHeight="false" outlineLevel="0" collapsed="false">
      <c r="A40" s="9" t="s">
        <v>4019</v>
      </c>
      <c r="B40" s="9" t="s">
        <v>70</v>
      </c>
      <c r="C40" s="9" t="s">
        <v>71</v>
      </c>
      <c r="D40" s="9" t="s">
        <v>1132</v>
      </c>
      <c r="E40" s="9" t="s">
        <v>3972</v>
      </c>
      <c r="F40" s="9" t="s">
        <v>3983</v>
      </c>
      <c r="G40" s="9" t="s">
        <v>3373</v>
      </c>
      <c r="H40" s="9" t="s">
        <v>2843</v>
      </c>
      <c r="I40" s="9" t="s">
        <v>438</v>
      </c>
    </row>
    <row r="41" customFormat="false" ht="15" hidden="false" customHeight="false" outlineLevel="0" collapsed="false">
      <c r="A41" s="9" t="s">
        <v>4020</v>
      </c>
      <c r="B41" s="9" t="s">
        <v>62</v>
      </c>
      <c r="C41" s="9" t="s">
        <v>63</v>
      </c>
      <c r="D41" s="9" t="s">
        <v>4021</v>
      </c>
      <c r="E41" s="9" t="s">
        <v>3959</v>
      </c>
      <c r="F41" s="9" t="s">
        <v>3974</v>
      </c>
      <c r="G41" s="9" t="s">
        <v>3368</v>
      </c>
      <c r="H41" s="9" t="s">
        <v>2852</v>
      </c>
      <c r="I41" s="9" t="s">
        <v>431</v>
      </c>
    </row>
    <row r="42" customFormat="false" ht="15" hidden="false" customHeight="false" outlineLevel="0" collapsed="false">
      <c r="A42" s="9" t="s">
        <v>4022</v>
      </c>
      <c r="B42" s="9" t="s">
        <v>47</v>
      </c>
      <c r="C42" s="9" t="s">
        <v>8</v>
      </c>
      <c r="D42" s="9" t="s">
        <v>4023</v>
      </c>
      <c r="E42" s="9" t="s">
        <v>3959</v>
      </c>
      <c r="F42" s="9" t="s">
        <v>3962</v>
      </c>
      <c r="G42" s="9" t="s">
        <v>3373</v>
      </c>
      <c r="H42" s="9" t="s">
        <v>3975</v>
      </c>
      <c r="I42" s="9" t="s">
        <v>377</v>
      </c>
    </row>
    <row r="43" customFormat="false" ht="15" hidden="false" customHeight="false" outlineLevel="0" collapsed="false">
      <c r="A43" s="9" t="s">
        <v>4024</v>
      </c>
      <c r="B43" s="9" t="s">
        <v>82</v>
      </c>
      <c r="C43" s="9" t="s">
        <v>83</v>
      </c>
      <c r="D43" s="9" t="s">
        <v>1091</v>
      </c>
      <c r="E43" s="9" t="s">
        <v>3972</v>
      </c>
      <c r="F43" s="9" t="s">
        <v>3980</v>
      </c>
      <c r="G43" s="9" t="s">
        <v>3373</v>
      </c>
      <c r="H43" s="9" t="s">
        <v>2843</v>
      </c>
      <c r="I43" s="9" t="s">
        <v>181</v>
      </c>
    </row>
    <row r="44" customFormat="false" ht="15" hidden="false" customHeight="false" outlineLevel="0" collapsed="false">
      <c r="A44" s="9" t="s">
        <v>4025</v>
      </c>
      <c r="B44" s="9" t="s">
        <v>66</v>
      </c>
      <c r="C44" s="9" t="s">
        <v>67</v>
      </c>
      <c r="D44" s="9" t="s">
        <v>3105</v>
      </c>
      <c r="E44" s="9" t="s">
        <v>3972</v>
      </c>
      <c r="F44" s="9" t="s">
        <v>3974</v>
      </c>
      <c r="G44" s="9" t="s">
        <v>3391</v>
      </c>
      <c r="H44" s="9" t="s">
        <v>2852</v>
      </c>
      <c r="I44" s="9" t="s">
        <v>635</v>
      </c>
    </row>
    <row r="45" customFormat="false" ht="15" hidden="false" customHeight="false" outlineLevel="0" collapsed="false">
      <c r="A45" s="9" t="s">
        <v>4026</v>
      </c>
      <c r="B45" s="9" t="s">
        <v>66</v>
      </c>
      <c r="C45" s="9" t="s">
        <v>67</v>
      </c>
      <c r="D45" s="9" t="s">
        <v>3333</v>
      </c>
      <c r="E45" s="9" t="s">
        <v>3970</v>
      </c>
      <c r="F45" s="9" t="s">
        <v>3983</v>
      </c>
      <c r="G45" s="9" t="s">
        <v>3391</v>
      </c>
      <c r="H45" s="9" t="s">
        <v>3975</v>
      </c>
      <c r="I45" s="9" t="s">
        <v>624</v>
      </c>
    </row>
    <row r="46" customFormat="false" ht="15" hidden="false" customHeight="false" outlineLevel="0" collapsed="false">
      <c r="A46" s="9" t="s">
        <v>4027</v>
      </c>
      <c r="B46" s="9" t="s">
        <v>78</v>
      </c>
      <c r="C46" s="9" t="s">
        <v>79</v>
      </c>
      <c r="D46" s="9" t="s">
        <v>786</v>
      </c>
      <c r="E46" s="9" t="s">
        <v>3970</v>
      </c>
      <c r="F46" s="9" t="s">
        <v>3968</v>
      </c>
      <c r="G46" s="9" t="s">
        <v>3388</v>
      </c>
      <c r="H46" s="9" t="s">
        <v>3975</v>
      </c>
      <c r="I46" s="9" t="s">
        <v>483</v>
      </c>
    </row>
    <row r="47" customFormat="false" ht="15" hidden="false" customHeight="false" outlineLevel="0" collapsed="false">
      <c r="A47" s="9" t="s">
        <v>4028</v>
      </c>
      <c r="B47" s="9" t="s">
        <v>70</v>
      </c>
      <c r="C47" s="9" t="s">
        <v>71</v>
      </c>
      <c r="D47" s="9" t="s">
        <v>2848</v>
      </c>
      <c r="E47" s="9" t="s">
        <v>3964</v>
      </c>
      <c r="F47" s="9" t="s">
        <v>3974</v>
      </c>
      <c r="G47" s="9" t="s">
        <v>3368</v>
      </c>
      <c r="H47" s="9" t="s">
        <v>2843</v>
      </c>
      <c r="I47" s="9" t="s">
        <v>476</v>
      </c>
    </row>
    <row r="48" customFormat="false" ht="15" hidden="false" customHeight="false" outlineLevel="0" collapsed="false">
      <c r="A48" s="9" t="s">
        <v>4029</v>
      </c>
      <c r="B48" s="9" t="s">
        <v>66</v>
      </c>
      <c r="C48" s="9" t="s">
        <v>67</v>
      </c>
      <c r="D48" s="9" t="s">
        <v>1619</v>
      </c>
      <c r="E48" s="9" t="s">
        <v>3964</v>
      </c>
      <c r="F48" s="9" t="s">
        <v>3960</v>
      </c>
      <c r="G48" s="9" t="s">
        <v>3368</v>
      </c>
      <c r="H48" s="9" t="s">
        <v>2843</v>
      </c>
      <c r="I48" s="9" t="s">
        <v>397</v>
      </c>
    </row>
    <row r="49" customFormat="false" ht="15" hidden="false" customHeight="false" outlineLevel="0" collapsed="false">
      <c r="A49" s="9" t="s">
        <v>4030</v>
      </c>
      <c r="B49" s="9" t="s">
        <v>78</v>
      </c>
      <c r="C49" s="9" t="s">
        <v>79</v>
      </c>
      <c r="D49" s="9" t="s">
        <v>1462</v>
      </c>
      <c r="E49" s="9" t="s">
        <v>3964</v>
      </c>
      <c r="F49" s="9" t="s">
        <v>3968</v>
      </c>
      <c r="G49" s="9" t="s">
        <v>3388</v>
      </c>
      <c r="H49" s="9" t="s">
        <v>2843</v>
      </c>
      <c r="I49" s="9" t="s">
        <v>370</v>
      </c>
    </row>
    <row r="50" customFormat="false" ht="15" hidden="false" customHeight="false" outlineLevel="0" collapsed="false">
      <c r="A50" s="9" t="s">
        <v>4031</v>
      </c>
      <c r="B50" s="9" t="s">
        <v>82</v>
      </c>
      <c r="C50" s="9" t="s">
        <v>83</v>
      </c>
      <c r="D50" s="9" t="s">
        <v>4032</v>
      </c>
      <c r="E50" s="9" t="s">
        <v>3977</v>
      </c>
      <c r="F50" s="9" t="s">
        <v>3980</v>
      </c>
      <c r="G50" s="9" t="s">
        <v>3368</v>
      </c>
      <c r="H50" s="9" t="s">
        <v>3975</v>
      </c>
      <c r="I50" s="9" t="s">
        <v>689</v>
      </c>
    </row>
    <row r="51" customFormat="false" ht="15" hidden="false" customHeight="false" outlineLevel="0" collapsed="false">
      <c r="A51" s="9" t="s">
        <v>4033</v>
      </c>
      <c r="B51" s="9" t="s">
        <v>59</v>
      </c>
      <c r="C51" s="9" t="s">
        <v>14</v>
      </c>
      <c r="D51" s="9" t="s">
        <v>2742</v>
      </c>
      <c r="E51" s="9" t="s">
        <v>3977</v>
      </c>
      <c r="F51" s="9" t="s">
        <v>3983</v>
      </c>
      <c r="G51" s="9" t="s">
        <v>3388</v>
      </c>
      <c r="H51" s="9" t="s">
        <v>2843</v>
      </c>
      <c r="I51" s="9" t="s">
        <v>60</v>
      </c>
    </row>
    <row r="52" customFormat="false" ht="15" hidden="false" customHeight="false" outlineLevel="0" collapsed="false">
      <c r="A52" s="9" t="s">
        <v>4034</v>
      </c>
      <c r="B52" s="9" t="s">
        <v>51</v>
      </c>
      <c r="C52" s="9" t="s">
        <v>10</v>
      </c>
      <c r="D52" s="9" t="s">
        <v>1130</v>
      </c>
      <c r="E52" s="9" t="s">
        <v>3977</v>
      </c>
      <c r="F52" s="9" t="s">
        <v>3974</v>
      </c>
      <c r="G52" s="9" t="s">
        <v>3373</v>
      </c>
      <c r="H52" s="9" t="s">
        <v>3975</v>
      </c>
      <c r="I52" s="9" t="s">
        <v>562</v>
      </c>
    </row>
    <row r="53" customFormat="false" ht="15" hidden="false" customHeight="false" outlineLevel="0" collapsed="false">
      <c r="A53" s="9" t="s">
        <v>4035</v>
      </c>
      <c r="B53" s="9" t="s">
        <v>47</v>
      </c>
      <c r="C53" s="9" t="s">
        <v>8</v>
      </c>
      <c r="D53" s="9" t="s">
        <v>4036</v>
      </c>
      <c r="E53" s="9" t="s">
        <v>3977</v>
      </c>
      <c r="F53" s="9" t="s">
        <v>3983</v>
      </c>
      <c r="G53" s="9" t="s">
        <v>3373</v>
      </c>
      <c r="H53" s="9" t="s">
        <v>2852</v>
      </c>
      <c r="I53" s="9" t="s">
        <v>223</v>
      </c>
    </row>
    <row r="54" customFormat="false" ht="15" hidden="false" customHeight="false" outlineLevel="0" collapsed="false">
      <c r="A54" s="9" t="s">
        <v>4037</v>
      </c>
      <c r="B54" s="9" t="s">
        <v>59</v>
      </c>
      <c r="C54" s="9" t="s">
        <v>14</v>
      </c>
      <c r="D54" s="9" t="s">
        <v>3597</v>
      </c>
      <c r="E54" s="9" t="s">
        <v>3970</v>
      </c>
      <c r="F54" s="9" t="s">
        <v>3962</v>
      </c>
      <c r="G54" s="9" t="s">
        <v>3368</v>
      </c>
      <c r="H54" s="9" t="s">
        <v>2843</v>
      </c>
      <c r="I54" s="9" t="s">
        <v>701</v>
      </c>
    </row>
    <row r="55" customFormat="false" ht="15" hidden="false" customHeight="false" outlineLevel="0" collapsed="false">
      <c r="A55" s="9" t="s">
        <v>4038</v>
      </c>
      <c r="B55" s="9" t="s">
        <v>66</v>
      </c>
      <c r="C55" s="9" t="s">
        <v>67</v>
      </c>
      <c r="D55" s="9" t="s">
        <v>1624</v>
      </c>
      <c r="E55" s="9" t="s">
        <v>3964</v>
      </c>
      <c r="F55" s="9" t="s">
        <v>3983</v>
      </c>
      <c r="G55" s="9" t="s">
        <v>3373</v>
      </c>
      <c r="H55" s="9" t="s">
        <v>3975</v>
      </c>
      <c r="I55" s="9" t="s">
        <v>593</v>
      </c>
    </row>
    <row r="56" customFormat="false" ht="15" hidden="false" customHeight="false" outlineLevel="0" collapsed="false">
      <c r="A56" s="9" t="s">
        <v>4039</v>
      </c>
      <c r="B56" s="9" t="s">
        <v>59</v>
      </c>
      <c r="C56" s="9" t="s">
        <v>14</v>
      </c>
      <c r="D56" s="9" t="s">
        <v>4040</v>
      </c>
      <c r="E56" s="9" t="s">
        <v>3964</v>
      </c>
      <c r="F56" s="9" t="s">
        <v>3974</v>
      </c>
      <c r="G56" s="9" t="s">
        <v>3373</v>
      </c>
      <c r="H56" s="9" t="s">
        <v>2852</v>
      </c>
      <c r="I56" s="9" t="s">
        <v>156</v>
      </c>
    </row>
    <row r="57" customFormat="false" ht="15" hidden="false" customHeight="false" outlineLevel="0" collapsed="false">
      <c r="A57" s="9" t="s">
        <v>4041</v>
      </c>
      <c r="B57" s="9" t="s">
        <v>70</v>
      </c>
      <c r="C57" s="9" t="s">
        <v>71</v>
      </c>
      <c r="D57" s="9" t="s">
        <v>347</v>
      </c>
      <c r="E57" s="9" t="s">
        <v>3972</v>
      </c>
      <c r="F57" s="9" t="s">
        <v>3974</v>
      </c>
      <c r="G57" s="9" t="s">
        <v>3391</v>
      </c>
      <c r="H57" s="9" t="s">
        <v>3975</v>
      </c>
      <c r="I57" s="9" t="s">
        <v>325</v>
      </c>
    </row>
    <row r="58" customFormat="false" ht="15" hidden="false" customHeight="false" outlineLevel="0" collapsed="false">
      <c r="A58" s="9" t="s">
        <v>4042</v>
      </c>
      <c r="B58" s="9" t="s">
        <v>62</v>
      </c>
      <c r="C58" s="9" t="s">
        <v>63</v>
      </c>
      <c r="D58" s="9" t="s">
        <v>249</v>
      </c>
      <c r="E58" s="9" t="s">
        <v>3959</v>
      </c>
      <c r="F58" s="9" t="s">
        <v>3968</v>
      </c>
      <c r="G58" s="9" t="s">
        <v>3373</v>
      </c>
      <c r="H58" s="9" t="s">
        <v>3975</v>
      </c>
      <c r="I58" s="9" t="s">
        <v>64</v>
      </c>
    </row>
    <row r="59" customFormat="false" ht="15" hidden="false" customHeight="false" outlineLevel="0" collapsed="false">
      <c r="A59" s="9" t="s">
        <v>4043</v>
      </c>
      <c r="B59" s="9" t="s">
        <v>59</v>
      </c>
      <c r="C59" s="9" t="s">
        <v>14</v>
      </c>
      <c r="D59" s="9" t="s">
        <v>3098</v>
      </c>
      <c r="E59" s="9" t="s">
        <v>3977</v>
      </c>
      <c r="F59" s="9" t="s">
        <v>3974</v>
      </c>
      <c r="G59" s="9" t="s">
        <v>3368</v>
      </c>
      <c r="H59" s="9" t="s">
        <v>3975</v>
      </c>
      <c r="I59" s="9" t="s">
        <v>428</v>
      </c>
    </row>
    <row r="60" customFormat="false" ht="15" hidden="false" customHeight="false" outlineLevel="0" collapsed="false">
      <c r="A60" s="9" t="s">
        <v>4044</v>
      </c>
      <c r="B60" s="9" t="s">
        <v>47</v>
      </c>
      <c r="C60" s="9" t="s">
        <v>8</v>
      </c>
      <c r="D60" s="9" t="s">
        <v>3080</v>
      </c>
      <c r="E60" s="9" t="s">
        <v>3959</v>
      </c>
      <c r="F60" s="9" t="s">
        <v>3974</v>
      </c>
      <c r="G60" s="9" t="s">
        <v>3373</v>
      </c>
      <c r="H60" s="9" t="s">
        <v>2852</v>
      </c>
      <c r="I60" s="9" t="s">
        <v>223</v>
      </c>
    </row>
    <row r="61" customFormat="false" ht="15" hidden="false" customHeight="false" outlineLevel="0" collapsed="false">
      <c r="A61" s="9" t="s">
        <v>4045</v>
      </c>
      <c r="B61" s="9" t="s">
        <v>55</v>
      </c>
      <c r="C61" s="9" t="s">
        <v>56</v>
      </c>
      <c r="D61" s="9" t="s">
        <v>4046</v>
      </c>
      <c r="E61" s="9" t="s">
        <v>3977</v>
      </c>
      <c r="F61" s="9" t="s">
        <v>3965</v>
      </c>
      <c r="G61" s="9" t="s">
        <v>3368</v>
      </c>
      <c r="H61" s="9" t="s">
        <v>3975</v>
      </c>
      <c r="I61" s="9" t="s">
        <v>558</v>
      </c>
    </row>
    <row r="62" customFormat="false" ht="15" hidden="false" customHeight="false" outlineLevel="0" collapsed="false">
      <c r="A62" s="9" t="s">
        <v>4047</v>
      </c>
      <c r="B62" s="9" t="s">
        <v>70</v>
      </c>
      <c r="C62" s="9" t="s">
        <v>71</v>
      </c>
      <c r="D62" s="9" t="s">
        <v>2002</v>
      </c>
      <c r="E62" s="9" t="s">
        <v>3964</v>
      </c>
      <c r="F62" s="9" t="s">
        <v>3983</v>
      </c>
      <c r="G62" s="9" t="s">
        <v>3368</v>
      </c>
      <c r="H62" s="9" t="s">
        <v>3975</v>
      </c>
      <c r="I62" s="9" t="s">
        <v>401</v>
      </c>
    </row>
    <row r="63" customFormat="false" ht="15" hidden="false" customHeight="false" outlineLevel="0" collapsed="false">
      <c r="A63" s="9" t="s">
        <v>4048</v>
      </c>
      <c r="B63" s="9" t="s">
        <v>47</v>
      </c>
      <c r="C63" s="9" t="s">
        <v>8</v>
      </c>
      <c r="D63" s="9" t="s">
        <v>4049</v>
      </c>
      <c r="E63" s="9" t="s">
        <v>3964</v>
      </c>
      <c r="F63" s="9" t="s">
        <v>3983</v>
      </c>
      <c r="G63" s="9" t="s">
        <v>3368</v>
      </c>
      <c r="H63" s="9" t="s">
        <v>2843</v>
      </c>
      <c r="I63" s="9" t="s">
        <v>597</v>
      </c>
    </row>
    <row r="64" customFormat="false" ht="15" hidden="false" customHeight="false" outlineLevel="0" collapsed="false">
      <c r="A64" s="9" t="s">
        <v>4050</v>
      </c>
      <c r="B64" s="9" t="s">
        <v>51</v>
      </c>
      <c r="C64" s="9" t="s">
        <v>10</v>
      </c>
      <c r="D64" s="9" t="s">
        <v>3149</v>
      </c>
      <c r="E64" s="9" t="s">
        <v>3970</v>
      </c>
      <c r="F64" s="9" t="s">
        <v>3960</v>
      </c>
      <c r="G64" s="9" t="s">
        <v>3388</v>
      </c>
      <c r="H64" s="9" t="s">
        <v>2852</v>
      </c>
      <c r="I64" s="9" t="s">
        <v>526</v>
      </c>
    </row>
    <row r="65" customFormat="false" ht="15" hidden="false" customHeight="false" outlineLevel="0" collapsed="false">
      <c r="A65" s="9" t="s">
        <v>4051</v>
      </c>
      <c r="B65" s="9" t="s">
        <v>47</v>
      </c>
      <c r="C65" s="9" t="s">
        <v>8</v>
      </c>
      <c r="D65" s="9" t="s">
        <v>2528</v>
      </c>
      <c r="E65" s="9" t="s">
        <v>3972</v>
      </c>
      <c r="F65" s="9" t="s">
        <v>3983</v>
      </c>
      <c r="G65" s="9" t="s">
        <v>3373</v>
      </c>
      <c r="H65" s="9" t="s">
        <v>3975</v>
      </c>
      <c r="I65" s="9" t="s">
        <v>377</v>
      </c>
    </row>
    <row r="66" customFormat="false" ht="15" hidden="false" customHeight="false" outlineLevel="0" collapsed="false">
      <c r="A66" s="9" t="s">
        <v>4052</v>
      </c>
      <c r="B66" s="9" t="s">
        <v>47</v>
      </c>
      <c r="C66" s="9" t="s">
        <v>8</v>
      </c>
      <c r="D66" s="9" t="s">
        <v>3585</v>
      </c>
      <c r="E66" s="9" t="s">
        <v>3964</v>
      </c>
      <c r="F66" s="9" t="s">
        <v>3968</v>
      </c>
      <c r="G66" s="9" t="s">
        <v>3388</v>
      </c>
      <c r="H66" s="9" t="s">
        <v>3975</v>
      </c>
      <c r="I66" s="9" t="s">
        <v>262</v>
      </c>
    </row>
    <row r="67" customFormat="false" ht="15" hidden="false" customHeight="false" outlineLevel="0" collapsed="false">
      <c r="A67" s="9" t="s">
        <v>4053</v>
      </c>
      <c r="B67" s="9" t="s">
        <v>51</v>
      </c>
      <c r="C67" s="9" t="s">
        <v>10</v>
      </c>
      <c r="D67" s="9" t="s">
        <v>2185</v>
      </c>
      <c r="E67" s="9" t="s">
        <v>3964</v>
      </c>
      <c r="F67" s="9" t="s">
        <v>3980</v>
      </c>
      <c r="G67" s="9" t="s">
        <v>3373</v>
      </c>
      <c r="H67" s="9" t="s">
        <v>3975</v>
      </c>
      <c r="I67" s="9" t="s">
        <v>498</v>
      </c>
    </row>
    <row r="68" customFormat="false" ht="15" hidden="false" customHeight="false" outlineLevel="0" collapsed="false">
      <c r="A68" s="9" t="s">
        <v>4054</v>
      </c>
      <c r="B68" s="9" t="s">
        <v>78</v>
      </c>
      <c r="C68" s="9" t="s">
        <v>79</v>
      </c>
      <c r="D68" s="9" t="s">
        <v>1946</v>
      </c>
      <c r="E68" s="9" t="s">
        <v>3970</v>
      </c>
      <c r="F68" s="9" t="s">
        <v>3974</v>
      </c>
      <c r="G68" s="9" t="s">
        <v>3368</v>
      </c>
      <c r="H68" s="9" t="s">
        <v>3975</v>
      </c>
      <c r="I68" s="9" t="s">
        <v>658</v>
      </c>
    </row>
    <row r="69" customFormat="false" ht="15" hidden="false" customHeight="false" outlineLevel="0" collapsed="false">
      <c r="A69" s="9" t="s">
        <v>4055</v>
      </c>
      <c r="B69" s="9" t="s">
        <v>70</v>
      </c>
      <c r="C69" s="9" t="s">
        <v>71</v>
      </c>
      <c r="D69" s="9" t="s">
        <v>1627</v>
      </c>
      <c r="E69" s="9" t="s">
        <v>3977</v>
      </c>
      <c r="F69" s="9" t="s">
        <v>3965</v>
      </c>
      <c r="G69" s="9" t="s">
        <v>3373</v>
      </c>
      <c r="H69" s="9" t="s">
        <v>2843</v>
      </c>
      <c r="I69" s="9" t="s">
        <v>476</v>
      </c>
    </row>
    <row r="70" customFormat="false" ht="15" hidden="false" customHeight="false" outlineLevel="0" collapsed="false">
      <c r="A70" s="9" t="s">
        <v>4056</v>
      </c>
      <c r="B70" s="9" t="s">
        <v>62</v>
      </c>
      <c r="C70" s="9" t="s">
        <v>63</v>
      </c>
      <c r="D70" s="9" t="s">
        <v>1051</v>
      </c>
      <c r="E70" s="9" t="s">
        <v>3959</v>
      </c>
      <c r="F70" s="9" t="s">
        <v>3974</v>
      </c>
      <c r="G70" s="9" t="s">
        <v>3373</v>
      </c>
      <c r="H70" s="9" t="s">
        <v>2843</v>
      </c>
      <c r="I70" s="9" t="s">
        <v>589</v>
      </c>
    </row>
    <row r="71" customFormat="false" ht="15" hidden="false" customHeight="false" outlineLevel="0" collapsed="false">
      <c r="A71" s="9" t="s">
        <v>4057</v>
      </c>
      <c r="B71" s="9" t="s">
        <v>47</v>
      </c>
      <c r="C71" s="9" t="s">
        <v>8</v>
      </c>
      <c r="D71" s="9" t="s">
        <v>1316</v>
      </c>
      <c r="E71" s="9" t="s">
        <v>3972</v>
      </c>
      <c r="F71" s="9" t="s">
        <v>3965</v>
      </c>
      <c r="G71" s="9" t="s">
        <v>3368</v>
      </c>
      <c r="H71" s="9" t="s">
        <v>3975</v>
      </c>
      <c r="I71" s="9" t="s">
        <v>301</v>
      </c>
    </row>
    <row r="72" customFormat="false" ht="15" hidden="false" customHeight="false" outlineLevel="0" collapsed="false">
      <c r="A72" s="9" t="s">
        <v>4058</v>
      </c>
      <c r="B72" s="9" t="s">
        <v>47</v>
      </c>
      <c r="C72" s="9" t="s">
        <v>8</v>
      </c>
      <c r="D72" s="9" t="s">
        <v>1959</v>
      </c>
      <c r="E72" s="9" t="s">
        <v>3972</v>
      </c>
      <c r="F72" s="9" t="s">
        <v>3960</v>
      </c>
      <c r="G72" s="9" t="s">
        <v>3373</v>
      </c>
      <c r="H72" s="9" t="s">
        <v>2843</v>
      </c>
      <c r="I72" s="9" t="s">
        <v>550</v>
      </c>
    </row>
    <row r="73" customFormat="false" ht="15" hidden="false" customHeight="false" outlineLevel="0" collapsed="false">
      <c r="A73" s="9" t="s">
        <v>4059</v>
      </c>
      <c r="B73" s="9" t="s">
        <v>47</v>
      </c>
      <c r="C73" s="9" t="s">
        <v>8</v>
      </c>
      <c r="D73" s="9" t="s">
        <v>4060</v>
      </c>
      <c r="E73" s="9" t="s">
        <v>3972</v>
      </c>
      <c r="F73" s="9" t="s">
        <v>3983</v>
      </c>
      <c r="G73" s="9" t="s">
        <v>3368</v>
      </c>
      <c r="H73" s="9" t="s">
        <v>3975</v>
      </c>
      <c r="I73" s="9" t="s">
        <v>377</v>
      </c>
    </row>
    <row r="74" customFormat="false" ht="15" hidden="false" customHeight="false" outlineLevel="0" collapsed="false">
      <c r="A74" s="9" t="s">
        <v>4061</v>
      </c>
      <c r="B74" s="9" t="s">
        <v>66</v>
      </c>
      <c r="C74" s="9" t="s">
        <v>67</v>
      </c>
      <c r="D74" s="9" t="s">
        <v>3595</v>
      </c>
      <c r="E74" s="9" t="s">
        <v>3970</v>
      </c>
      <c r="F74" s="9" t="s">
        <v>3980</v>
      </c>
      <c r="G74" s="9" t="s">
        <v>3368</v>
      </c>
      <c r="H74" s="9" t="s">
        <v>2843</v>
      </c>
      <c r="I74" s="9" t="s">
        <v>665</v>
      </c>
    </row>
    <row r="75" customFormat="false" ht="15" hidden="false" customHeight="false" outlineLevel="0" collapsed="false">
      <c r="A75" s="9" t="s">
        <v>4062</v>
      </c>
      <c r="B75" s="9" t="s">
        <v>70</v>
      </c>
      <c r="C75" s="9" t="s">
        <v>71</v>
      </c>
      <c r="D75" s="9" t="s">
        <v>3707</v>
      </c>
      <c r="E75" s="9" t="s">
        <v>3977</v>
      </c>
      <c r="F75" s="9" t="s">
        <v>3965</v>
      </c>
      <c r="G75" s="9" t="s">
        <v>3373</v>
      </c>
      <c r="H75" s="9" t="s">
        <v>2852</v>
      </c>
      <c r="I75" s="9" t="s">
        <v>208</v>
      </c>
    </row>
    <row r="76" customFormat="false" ht="15" hidden="false" customHeight="false" outlineLevel="0" collapsed="false">
      <c r="A76" s="9" t="s">
        <v>4063</v>
      </c>
      <c r="B76" s="9" t="s">
        <v>74</v>
      </c>
      <c r="C76" s="9" t="s">
        <v>75</v>
      </c>
      <c r="D76" s="9" t="s">
        <v>4064</v>
      </c>
      <c r="E76" s="9" t="s">
        <v>3972</v>
      </c>
      <c r="F76" s="9" t="s">
        <v>3960</v>
      </c>
      <c r="G76" s="9" t="s">
        <v>3391</v>
      </c>
      <c r="H76" s="9" t="s">
        <v>2843</v>
      </c>
      <c r="I76" s="9" t="s">
        <v>405</v>
      </c>
    </row>
    <row r="77" customFormat="false" ht="15" hidden="false" customHeight="false" outlineLevel="0" collapsed="false">
      <c r="A77" s="9" t="s">
        <v>4065</v>
      </c>
      <c r="B77" s="9" t="s">
        <v>78</v>
      </c>
      <c r="C77" s="9" t="s">
        <v>79</v>
      </c>
      <c r="D77" s="9" t="s">
        <v>4066</v>
      </c>
      <c r="E77" s="9" t="s">
        <v>3964</v>
      </c>
      <c r="F77" s="9" t="s">
        <v>3965</v>
      </c>
      <c r="G77" s="9" t="s">
        <v>3368</v>
      </c>
      <c r="H77" s="9" t="s">
        <v>3975</v>
      </c>
      <c r="I77" s="9" t="s">
        <v>80</v>
      </c>
    </row>
    <row r="78" customFormat="false" ht="15" hidden="false" customHeight="false" outlineLevel="0" collapsed="false">
      <c r="A78" s="9" t="s">
        <v>4067</v>
      </c>
      <c r="B78" s="9" t="s">
        <v>82</v>
      </c>
      <c r="C78" s="9" t="s">
        <v>83</v>
      </c>
      <c r="D78" s="9" t="s">
        <v>2170</v>
      </c>
      <c r="E78" s="9" t="s">
        <v>3964</v>
      </c>
      <c r="F78" s="9" t="s">
        <v>3980</v>
      </c>
      <c r="G78" s="9" t="s">
        <v>3391</v>
      </c>
      <c r="H78" s="9" t="s">
        <v>2852</v>
      </c>
      <c r="I78" s="9" t="s">
        <v>487</v>
      </c>
    </row>
    <row r="79" customFormat="false" ht="15" hidden="false" customHeight="false" outlineLevel="0" collapsed="false">
      <c r="A79" s="9" t="s">
        <v>4068</v>
      </c>
      <c r="B79" s="9" t="s">
        <v>70</v>
      </c>
      <c r="C79" s="9" t="s">
        <v>71</v>
      </c>
      <c r="D79" s="9" t="s">
        <v>3555</v>
      </c>
      <c r="E79" s="9" t="s">
        <v>3970</v>
      </c>
      <c r="F79" s="9" t="s">
        <v>3983</v>
      </c>
      <c r="G79" s="9" t="s">
        <v>3391</v>
      </c>
      <c r="H79" s="9" t="s">
        <v>3975</v>
      </c>
      <c r="I79" s="9" t="s">
        <v>538</v>
      </c>
    </row>
    <row r="80" customFormat="false" ht="15" hidden="false" customHeight="false" outlineLevel="0" collapsed="false">
      <c r="A80" s="9" t="s">
        <v>4069</v>
      </c>
      <c r="B80" s="9" t="s">
        <v>51</v>
      </c>
      <c r="C80" s="9" t="s">
        <v>10</v>
      </c>
      <c r="D80" s="9" t="s">
        <v>4070</v>
      </c>
      <c r="E80" s="9" t="s">
        <v>3970</v>
      </c>
      <c r="F80" s="9" t="s">
        <v>3974</v>
      </c>
      <c r="G80" s="9" t="s">
        <v>3368</v>
      </c>
      <c r="H80" s="9" t="s">
        <v>3975</v>
      </c>
      <c r="I80" s="9" t="s">
        <v>458</v>
      </c>
    </row>
    <row r="81" customFormat="false" ht="15" hidden="false" customHeight="false" outlineLevel="0" collapsed="false">
      <c r="A81" s="9" t="s">
        <v>4071</v>
      </c>
      <c r="B81" s="9" t="s">
        <v>82</v>
      </c>
      <c r="C81" s="9" t="s">
        <v>83</v>
      </c>
      <c r="D81" s="9" t="s">
        <v>1537</v>
      </c>
      <c r="E81" s="9" t="s">
        <v>3959</v>
      </c>
      <c r="F81" s="9" t="s">
        <v>3974</v>
      </c>
      <c r="G81" s="9" t="s">
        <v>3388</v>
      </c>
      <c r="H81" s="9" t="s">
        <v>2843</v>
      </c>
      <c r="I81" s="9" t="s">
        <v>181</v>
      </c>
    </row>
    <row r="82" customFormat="false" ht="15" hidden="false" customHeight="false" outlineLevel="0" collapsed="false">
      <c r="A82" s="9" t="s">
        <v>4072</v>
      </c>
      <c r="B82" s="9" t="s">
        <v>66</v>
      </c>
      <c r="C82" s="9" t="s">
        <v>67</v>
      </c>
      <c r="D82" s="9" t="s">
        <v>2383</v>
      </c>
      <c r="E82" s="9" t="s">
        <v>3964</v>
      </c>
      <c r="F82" s="9" t="s">
        <v>3983</v>
      </c>
      <c r="G82" s="9" t="s">
        <v>3388</v>
      </c>
      <c r="H82" s="9" t="s">
        <v>3975</v>
      </c>
      <c r="I82" s="9" t="s">
        <v>321</v>
      </c>
    </row>
    <row r="83" customFormat="false" ht="15" hidden="false" customHeight="false" outlineLevel="0" collapsed="false">
      <c r="A83" s="9" t="s">
        <v>4073</v>
      </c>
      <c r="B83" s="9" t="s">
        <v>62</v>
      </c>
      <c r="C83" s="9" t="s">
        <v>63</v>
      </c>
      <c r="D83" s="9" t="s">
        <v>2163</v>
      </c>
      <c r="E83" s="9" t="s">
        <v>3970</v>
      </c>
      <c r="F83" s="9" t="s">
        <v>3980</v>
      </c>
      <c r="G83" s="9" t="s">
        <v>3373</v>
      </c>
      <c r="H83" s="9" t="s">
        <v>2852</v>
      </c>
      <c r="I83" s="9" t="s">
        <v>469</v>
      </c>
    </row>
    <row r="84" customFormat="false" ht="15" hidden="false" customHeight="false" outlineLevel="0" collapsed="false">
      <c r="A84" s="9" t="s">
        <v>4074</v>
      </c>
      <c r="B84" s="9" t="s">
        <v>62</v>
      </c>
      <c r="C84" s="9" t="s">
        <v>63</v>
      </c>
      <c r="D84" s="9" t="s">
        <v>1624</v>
      </c>
      <c r="E84" s="9" t="s">
        <v>3964</v>
      </c>
      <c r="F84" s="9" t="s">
        <v>3983</v>
      </c>
      <c r="G84" s="9" t="s">
        <v>3368</v>
      </c>
      <c r="H84" s="9" t="s">
        <v>3975</v>
      </c>
      <c r="I84" s="9" t="s">
        <v>278</v>
      </c>
    </row>
    <row r="85" customFormat="false" ht="15" hidden="false" customHeight="false" outlineLevel="0" collapsed="false">
      <c r="A85" s="9" t="s">
        <v>4075</v>
      </c>
      <c r="B85" s="9" t="s">
        <v>62</v>
      </c>
      <c r="C85" s="9" t="s">
        <v>63</v>
      </c>
      <c r="D85" s="9" t="s">
        <v>2260</v>
      </c>
      <c r="E85" s="9" t="s">
        <v>3964</v>
      </c>
      <c r="F85" s="9" t="s">
        <v>3980</v>
      </c>
      <c r="G85" s="9" t="s">
        <v>3388</v>
      </c>
      <c r="H85" s="9" t="s">
        <v>2843</v>
      </c>
      <c r="I85" s="9" t="s">
        <v>238</v>
      </c>
    </row>
    <row r="86" customFormat="false" ht="15" hidden="false" customHeight="false" outlineLevel="0" collapsed="false">
      <c r="A86" s="9" t="s">
        <v>4076</v>
      </c>
      <c r="B86" s="9" t="s">
        <v>59</v>
      </c>
      <c r="C86" s="9" t="s">
        <v>14</v>
      </c>
      <c r="D86" s="9" t="s">
        <v>4077</v>
      </c>
      <c r="E86" s="9" t="s">
        <v>3970</v>
      </c>
      <c r="F86" s="9" t="s">
        <v>3962</v>
      </c>
      <c r="G86" s="9" t="s">
        <v>3373</v>
      </c>
      <c r="H86" s="9" t="s">
        <v>2852</v>
      </c>
      <c r="I86" s="9" t="s">
        <v>274</v>
      </c>
    </row>
    <row r="87" customFormat="false" ht="15" hidden="false" customHeight="false" outlineLevel="0" collapsed="false">
      <c r="A87" s="9" t="s">
        <v>4078</v>
      </c>
      <c r="B87" s="9" t="s">
        <v>82</v>
      </c>
      <c r="C87" s="9" t="s">
        <v>83</v>
      </c>
      <c r="D87" s="9" t="s">
        <v>1838</v>
      </c>
      <c r="E87" s="9" t="s">
        <v>3959</v>
      </c>
      <c r="F87" s="9" t="s">
        <v>3968</v>
      </c>
      <c r="G87" s="9" t="s">
        <v>3373</v>
      </c>
      <c r="H87" s="9" t="s">
        <v>3975</v>
      </c>
      <c r="I87" s="9" t="s">
        <v>585</v>
      </c>
    </row>
    <row r="88" customFormat="false" ht="15" hidden="false" customHeight="false" outlineLevel="0" collapsed="false">
      <c r="A88" s="9" t="s">
        <v>4079</v>
      </c>
      <c r="B88" s="9" t="s">
        <v>74</v>
      </c>
      <c r="C88" s="9" t="s">
        <v>75</v>
      </c>
      <c r="D88" s="9" t="s">
        <v>3991</v>
      </c>
      <c r="E88" s="9" t="s">
        <v>3970</v>
      </c>
      <c r="F88" s="9" t="s">
        <v>3960</v>
      </c>
      <c r="G88" s="9" t="s">
        <v>3373</v>
      </c>
      <c r="H88" s="9" t="s">
        <v>3975</v>
      </c>
      <c r="I88" s="9" t="s">
        <v>639</v>
      </c>
    </row>
    <row r="89" customFormat="false" ht="15" hidden="false" customHeight="false" outlineLevel="0" collapsed="false">
      <c r="A89" s="9" t="s">
        <v>4080</v>
      </c>
      <c r="B89" s="9" t="s">
        <v>55</v>
      </c>
      <c r="C89" s="9" t="s">
        <v>56</v>
      </c>
      <c r="D89" s="9" t="s">
        <v>1049</v>
      </c>
      <c r="E89" s="9" t="s">
        <v>3964</v>
      </c>
      <c r="F89" s="9" t="s">
        <v>3983</v>
      </c>
      <c r="G89" s="9" t="s">
        <v>3373</v>
      </c>
      <c r="H89" s="9" t="s">
        <v>2852</v>
      </c>
      <c r="I89" s="9" t="s">
        <v>616</v>
      </c>
    </row>
    <row r="90" customFormat="false" ht="15" hidden="false" customHeight="false" outlineLevel="0" collapsed="false">
      <c r="A90" s="9" t="s">
        <v>4081</v>
      </c>
      <c r="B90" s="9" t="s">
        <v>62</v>
      </c>
      <c r="C90" s="9" t="s">
        <v>63</v>
      </c>
      <c r="D90" s="9" t="s">
        <v>3630</v>
      </c>
      <c r="E90" s="9" t="s">
        <v>3970</v>
      </c>
      <c r="F90" s="9" t="s">
        <v>3962</v>
      </c>
      <c r="G90" s="9" t="s">
        <v>3388</v>
      </c>
      <c r="H90" s="9" t="s">
        <v>2843</v>
      </c>
      <c r="I90" s="9" t="s">
        <v>647</v>
      </c>
    </row>
    <row r="91" customFormat="false" ht="15" hidden="false" customHeight="false" outlineLevel="0" collapsed="false">
      <c r="A91" s="9" t="s">
        <v>4082</v>
      </c>
      <c r="B91" s="9" t="s">
        <v>78</v>
      </c>
      <c r="C91" s="9" t="s">
        <v>79</v>
      </c>
      <c r="D91" s="9" t="s">
        <v>2643</v>
      </c>
      <c r="E91" s="9" t="s">
        <v>3970</v>
      </c>
      <c r="F91" s="9" t="s">
        <v>3983</v>
      </c>
      <c r="G91" s="9" t="s">
        <v>3388</v>
      </c>
      <c r="H91" s="9" t="s">
        <v>3975</v>
      </c>
      <c r="I91" s="9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8"/>
  </cols>
  <sheetData>
    <row r="1" customFormat="false" ht="23.85" hidden="false" customHeight="false" outlineLevel="0" collapsed="false">
      <c r="A1" s="8" t="s">
        <v>4083</v>
      </c>
      <c r="B1" s="8" t="s">
        <v>41</v>
      </c>
      <c r="C1" s="8" t="s">
        <v>88</v>
      </c>
      <c r="D1" s="8" t="s">
        <v>4084</v>
      </c>
      <c r="E1" s="8" t="s">
        <v>4085</v>
      </c>
      <c r="F1" s="8" t="s">
        <v>4086</v>
      </c>
      <c r="G1" s="8" t="s">
        <v>4087</v>
      </c>
      <c r="H1" s="8" t="s">
        <v>4088</v>
      </c>
      <c r="I1" s="8" t="s">
        <v>4089</v>
      </c>
      <c r="J1" s="8" t="s">
        <v>4090</v>
      </c>
      <c r="K1" s="8" t="s">
        <v>3626</v>
      </c>
      <c r="L1" s="8" t="s">
        <v>4091</v>
      </c>
    </row>
    <row r="2" customFormat="false" ht="15" hidden="false" customHeight="false" outlineLevel="0" collapsed="false">
      <c r="A2" s="9" t="s">
        <v>4092</v>
      </c>
      <c r="B2" s="9" t="s">
        <v>62</v>
      </c>
      <c r="C2" s="9" t="s">
        <v>63</v>
      </c>
      <c r="D2" s="9" t="s">
        <v>4093</v>
      </c>
      <c r="E2" s="9" t="s">
        <v>4094</v>
      </c>
      <c r="F2" s="9" t="n">
        <v>4</v>
      </c>
      <c r="G2" s="9" t="n">
        <v>4</v>
      </c>
      <c r="H2" s="9" t="n">
        <f aca="false">F2*G2</f>
        <v>16</v>
      </c>
      <c r="I2" s="9" t="s">
        <v>4095</v>
      </c>
      <c r="J2" s="9" t="s">
        <v>4071</v>
      </c>
      <c r="K2" s="9"/>
      <c r="L2" s="9" t="s">
        <v>514</v>
      </c>
    </row>
    <row r="3" customFormat="false" ht="15" hidden="false" customHeight="false" outlineLevel="0" collapsed="false">
      <c r="A3" s="9" t="s">
        <v>4096</v>
      </c>
      <c r="B3" s="9" t="s">
        <v>70</v>
      </c>
      <c r="C3" s="9" t="s">
        <v>71</v>
      </c>
      <c r="D3" s="9" t="s">
        <v>4093</v>
      </c>
      <c r="E3" s="9" t="s">
        <v>4097</v>
      </c>
      <c r="F3" s="9" t="n">
        <v>3</v>
      </c>
      <c r="G3" s="9" t="n">
        <v>5</v>
      </c>
      <c r="H3" s="9" t="n">
        <f aca="false">F3*G3</f>
        <v>15</v>
      </c>
      <c r="I3" s="9" t="s">
        <v>4098</v>
      </c>
      <c r="J3" s="9"/>
      <c r="K3" s="9"/>
      <c r="L3" s="9" t="s">
        <v>363</v>
      </c>
    </row>
    <row r="4" customFormat="false" ht="15" hidden="false" customHeight="false" outlineLevel="0" collapsed="false">
      <c r="A4" s="9" t="s">
        <v>4099</v>
      </c>
      <c r="B4" s="9" t="s">
        <v>55</v>
      </c>
      <c r="C4" s="9" t="s">
        <v>56</v>
      </c>
      <c r="D4" s="9" t="s">
        <v>4100</v>
      </c>
      <c r="E4" s="9" t="s">
        <v>4101</v>
      </c>
      <c r="F4" s="9" t="n">
        <v>1</v>
      </c>
      <c r="G4" s="9" t="n">
        <v>1</v>
      </c>
      <c r="H4" s="9" t="n">
        <f aca="false">F4*G4</f>
        <v>1</v>
      </c>
      <c r="I4" s="9" t="s">
        <v>2852</v>
      </c>
      <c r="J4" s="9"/>
      <c r="K4" s="9" t="s">
        <v>1295</v>
      </c>
      <c r="L4" s="9" t="s">
        <v>462</v>
      </c>
    </row>
    <row r="5" customFormat="false" ht="15" hidden="false" customHeight="false" outlineLevel="0" collapsed="false">
      <c r="A5" s="9" t="s">
        <v>4102</v>
      </c>
      <c r="B5" s="9" t="s">
        <v>55</v>
      </c>
      <c r="C5" s="9" t="s">
        <v>56</v>
      </c>
      <c r="D5" s="9" t="s">
        <v>4093</v>
      </c>
      <c r="E5" s="9" t="s">
        <v>4103</v>
      </c>
      <c r="F5" s="9" t="n">
        <v>5</v>
      </c>
      <c r="G5" s="9" t="n">
        <v>4</v>
      </c>
      <c r="H5" s="9" t="n">
        <f aca="false">F5*G5</f>
        <v>20</v>
      </c>
      <c r="I5" s="9" t="s">
        <v>4095</v>
      </c>
      <c r="J5" s="9"/>
      <c r="K5" s="9" t="s">
        <v>1621</v>
      </c>
      <c r="L5" s="9" t="s">
        <v>424</v>
      </c>
    </row>
    <row r="6" customFormat="false" ht="15" hidden="false" customHeight="false" outlineLevel="0" collapsed="false">
      <c r="A6" s="9" t="s">
        <v>4104</v>
      </c>
      <c r="B6" s="9" t="s">
        <v>66</v>
      </c>
      <c r="C6" s="9" t="s">
        <v>67</v>
      </c>
      <c r="D6" s="9" t="s">
        <v>4105</v>
      </c>
      <c r="E6" s="9" t="s">
        <v>4106</v>
      </c>
      <c r="F6" s="9" t="n">
        <v>3</v>
      </c>
      <c r="G6" s="9" t="n">
        <v>5</v>
      </c>
      <c r="H6" s="9" t="n">
        <f aca="false">F6*G6</f>
        <v>15</v>
      </c>
      <c r="I6" s="9" t="s">
        <v>4095</v>
      </c>
      <c r="J6" s="9"/>
      <c r="K6" s="9"/>
      <c r="L6" s="9" t="s">
        <v>593</v>
      </c>
    </row>
    <row r="7" customFormat="false" ht="15" hidden="false" customHeight="false" outlineLevel="0" collapsed="false">
      <c r="A7" s="9" t="s">
        <v>4107</v>
      </c>
      <c r="B7" s="9" t="s">
        <v>74</v>
      </c>
      <c r="C7" s="9" t="s">
        <v>75</v>
      </c>
      <c r="D7" s="9" t="s">
        <v>4108</v>
      </c>
      <c r="E7" s="9" t="s">
        <v>4109</v>
      </c>
      <c r="F7" s="9" t="n">
        <v>2</v>
      </c>
      <c r="G7" s="9" t="n">
        <v>2</v>
      </c>
      <c r="H7" s="9" t="n">
        <f aca="false">F7*G7</f>
        <v>4</v>
      </c>
      <c r="I7" s="9" t="s">
        <v>4098</v>
      </c>
      <c r="J7" s="9"/>
      <c r="K7" s="9" t="s">
        <v>1595</v>
      </c>
      <c r="L7" s="9" t="s">
        <v>502</v>
      </c>
    </row>
    <row r="8" customFormat="false" ht="15" hidden="false" customHeight="false" outlineLevel="0" collapsed="false">
      <c r="A8" s="9" t="s">
        <v>4110</v>
      </c>
      <c r="B8" s="9" t="s">
        <v>55</v>
      </c>
      <c r="C8" s="9" t="s">
        <v>56</v>
      </c>
      <c r="D8" s="9" t="s">
        <v>4105</v>
      </c>
      <c r="E8" s="9" t="s">
        <v>4106</v>
      </c>
      <c r="F8" s="9" t="n">
        <v>4</v>
      </c>
      <c r="G8" s="9" t="n">
        <v>5</v>
      </c>
      <c r="H8" s="9" t="n">
        <f aca="false">F8*G8</f>
        <v>20</v>
      </c>
      <c r="I8" s="9" t="s">
        <v>2852</v>
      </c>
      <c r="J8" s="9"/>
      <c r="K8" s="9"/>
      <c r="L8" s="9" t="s">
        <v>643</v>
      </c>
    </row>
    <row r="9" customFormat="false" ht="15" hidden="false" customHeight="false" outlineLevel="0" collapsed="false">
      <c r="A9" s="9" t="s">
        <v>4111</v>
      </c>
      <c r="B9" s="9" t="s">
        <v>47</v>
      </c>
      <c r="C9" s="9" t="s">
        <v>8</v>
      </c>
      <c r="D9" s="9" t="s">
        <v>4112</v>
      </c>
      <c r="E9" s="9" t="s">
        <v>4113</v>
      </c>
      <c r="F9" s="9" t="n">
        <v>2</v>
      </c>
      <c r="G9" s="9" t="n">
        <v>5</v>
      </c>
      <c r="H9" s="9" t="n">
        <f aca="false">F9*G9</f>
        <v>10</v>
      </c>
      <c r="I9" s="9" t="s">
        <v>4095</v>
      </c>
      <c r="J9" s="9"/>
      <c r="K9" s="9"/>
      <c r="L9" s="9" t="s">
        <v>454</v>
      </c>
    </row>
    <row r="10" customFormat="false" ht="15" hidden="false" customHeight="false" outlineLevel="0" collapsed="false">
      <c r="A10" s="9" t="s">
        <v>4114</v>
      </c>
      <c r="B10" s="9" t="s">
        <v>70</v>
      </c>
      <c r="C10" s="9" t="s">
        <v>71</v>
      </c>
      <c r="D10" s="9" t="s">
        <v>4115</v>
      </c>
      <c r="E10" s="9" t="s">
        <v>4094</v>
      </c>
      <c r="F10" s="9" t="n">
        <v>5</v>
      </c>
      <c r="G10" s="9" t="n">
        <v>2</v>
      </c>
      <c r="H10" s="9" t="n">
        <f aca="false">F10*G10</f>
        <v>10</v>
      </c>
      <c r="I10" s="9" t="s">
        <v>4098</v>
      </c>
      <c r="J10" s="9" t="s">
        <v>4072</v>
      </c>
      <c r="K10" s="9"/>
      <c r="L10" s="9" t="s">
        <v>169</v>
      </c>
    </row>
    <row r="11" customFormat="false" ht="15" hidden="false" customHeight="false" outlineLevel="0" collapsed="false">
      <c r="A11" s="9" t="s">
        <v>4116</v>
      </c>
      <c r="B11" s="9" t="s">
        <v>47</v>
      </c>
      <c r="C11" s="9" t="s">
        <v>8</v>
      </c>
      <c r="D11" s="9" t="s">
        <v>4105</v>
      </c>
      <c r="E11" s="9" t="s">
        <v>4101</v>
      </c>
      <c r="F11" s="9" t="n">
        <v>4</v>
      </c>
      <c r="G11" s="9" t="n">
        <v>5</v>
      </c>
      <c r="H11" s="9" t="n">
        <f aca="false">F11*G11</f>
        <v>20</v>
      </c>
      <c r="I11" s="9" t="s">
        <v>4095</v>
      </c>
      <c r="J11" s="9"/>
      <c r="K11" s="9" t="s">
        <v>1623</v>
      </c>
      <c r="L11" s="9" t="s">
        <v>185</v>
      </c>
    </row>
    <row r="12" customFormat="false" ht="15" hidden="false" customHeight="false" outlineLevel="0" collapsed="false">
      <c r="A12" s="9" t="s">
        <v>4117</v>
      </c>
      <c r="B12" s="9" t="s">
        <v>59</v>
      </c>
      <c r="C12" s="9" t="s">
        <v>14</v>
      </c>
      <c r="D12" s="9" t="s">
        <v>4118</v>
      </c>
      <c r="E12" s="9" t="s">
        <v>4109</v>
      </c>
      <c r="F12" s="9" t="n">
        <v>2</v>
      </c>
      <c r="G12" s="9" t="n">
        <v>3</v>
      </c>
      <c r="H12" s="9" t="n">
        <f aca="false">F12*G12</f>
        <v>6</v>
      </c>
      <c r="I12" s="9" t="s">
        <v>4095</v>
      </c>
      <c r="J12" s="9" t="s">
        <v>3978</v>
      </c>
      <c r="K12" s="9"/>
      <c r="L12" s="9" t="s">
        <v>234</v>
      </c>
    </row>
    <row r="13" customFormat="false" ht="15" hidden="false" customHeight="false" outlineLevel="0" collapsed="false">
      <c r="A13" s="9" t="s">
        <v>4119</v>
      </c>
      <c r="B13" s="9" t="s">
        <v>74</v>
      </c>
      <c r="C13" s="9" t="s">
        <v>75</v>
      </c>
      <c r="D13" s="9" t="s">
        <v>4118</v>
      </c>
      <c r="E13" s="9" t="s">
        <v>4101</v>
      </c>
      <c r="F13" s="9" t="n">
        <v>4</v>
      </c>
      <c r="G13" s="9" t="n">
        <v>2</v>
      </c>
      <c r="H13" s="9" t="n">
        <f aca="false">F13*G13</f>
        <v>8</v>
      </c>
      <c r="I13" s="9" t="s">
        <v>4095</v>
      </c>
      <c r="J13" s="9"/>
      <c r="K13" s="9"/>
      <c r="L13" s="9" t="s">
        <v>654</v>
      </c>
    </row>
    <row r="14" customFormat="false" ht="15" hidden="false" customHeight="false" outlineLevel="0" collapsed="false">
      <c r="A14" s="9" t="s">
        <v>4120</v>
      </c>
      <c r="B14" s="9" t="s">
        <v>82</v>
      </c>
      <c r="C14" s="9" t="s">
        <v>83</v>
      </c>
      <c r="D14" s="9" t="s">
        <v>4093</v>
      </c>
      <c r="E14" s="9" t="s">
        <v>4094</v>
      </c>
      <c r="F14" s="9" t="n">
        <v>2</v>
      </c>
      <c r="G14" s="9" t="n">
        <v>2</v>
      </c>
      <c r="H14" s="9" t="n">
        <f aca="false">F14*G14</f>
        <v>4</v>
      </c>
      <c r="I14" s="9" t="s">
        <v>4098</v>
      </c>
      <c r="J14" s="9"/>
      <c r="K14" s="9"/>
      <c r="L14" s="9" t="s">
        <v>141</v>
      </c>
    </row>
    <row r="15" customFormat="false" ht="15" hidden="false" customHeight="false" outlineLevel="0" collapsed="false">
      <c r="A15" s="9" t="s">
        <v>4121</v>
      </c>
      <c r="B15" s="9" t="s">
        <v>70</v>
      </c>
      <c r="C15" s="9" t="s">
        <v>71</v>
      </c>
      <c r="D15" s="9" t="s">
        <v>4093</v>
      </c>
      <c r="E15" s="9" t="s">
        <v>4122</v>
      </c>
      <c r="F15" s="9" t="n">
        <v>4</v>
      </c>
      <c r="G15" s="9" t="n">
        <v>4</v>
      </c>
      <c r="H15" s="9" t="n">
        <f aca="false">F15*G15</f>
        <v>16</v>
      </c>
      <c r="I15" s="9" t="s">
        <v>4095</v>
      </c>
      <c r="J15" s="9" t="s">
        <v>4038</v>
      </c>
      <c r="K15" s="9"/>
      <c r="L15" s="9" t="s">
        <v>577</v>
      </c>
    </row>
    <row r="16" customFormat="false" ht="15" hidden="false" customHeight="false" outlineLevel="0" collapsed="false">
      <c r="A16" s="9" t="s">
        <v>4123</v>
      </c>
      <c r="B16" s="9" t="s">
        <v>82</v>
      </c>
      <c r="C16" s="9" t="s">
        <v>83</v>
      </c>
      <c r="D16" s="9" t="s">
        <v>4105</v>
      </c>
      <c r="E16" s="9" t="s">
        <v>4122</v>
      </c>
      <c r="F16" s="9" t="n">
        <v>1</v>
      </c>
      <c r="G16" s="9" t="n">
        <v>4</v>
      </c>
      <c r="H16" s="9" t="n">
        <f aca="false">F16*G16</f>
        <v>4</v>
      </c>
      <c r="I16" s="9" t="s">
        <v>4098</v>
      </c>
      <c r="J16" s="9"/>
      <c r="K16" s="9"/>
      <c r="L16" s="9" t="s">
        <v>487</v>
      </c>
    </row>
    <row r="17" customFormat="false" ht="15" hidden="false" customHeight="false" outlineLevel="0" collapsed="false">
      <c r="A17" s="9" t="s">
        <v>4124</v>
      </c>
      <c r="B17" s="9" t="s">
        <v>47</v>
      </c>
      <c r="C17" s="9" t="s">
        <v>8</v>
      </c>
      <c r="D17" s="9" t="s">
        <v>4108</v>
      </c>
      <c r="E17" s="9" t="s">
        <v>4103</v>
      </c>
      <c r="F17" s="9" t="n">
        <v>5</v>
      </c>
      <c r="G17" s="9" t="n">
        <v>4</v>
      </c>
      <c r="H17" s="9" t="n">
        <f aca="false">F17*G17</f>
        <v>20</v>
      </c>
      <c r="I17" s="9" t="s">
        <v>2852</v>
      </c>
      <c r="J17" s="9"/>
      <c r="K17" s="9" t="s">
        <v>1309</v>
      </c>
      <c r="L17" s="9" t="s">
        <v>597</v>
      </c>
    </row>
    <row r="18" customFormat="false" ht="15" hidden="false" customHeight="false" outlineLevel="0" collapsed="false">
      <c r="A18" s="9" t="s">
        <v>4125</v>
      </c>
      <c r="B18" s="9" t="s">
        <v>82</v>
      </c>
      <c r="C18" s="9" t="s">
        <v>83</v>
      </c>
      <c r="D18" s="9" t="s">
        <v>4093</v>
      </c>
      <c r="E18" s="9" t="s">
        <v>4106</v>
      </c>
      <c r="F18" s="9" t="n">
        <v>2</v>
      </c>
      <c r="G18" s="9" t="n">
        <v>3</v>
      </c>
      <c r="H18" s="9" t="n">
        <f aca="false">F18*G18</f>
        <v>6</v>
      </c>
      <c r="I18" s="9" t="s">
        <v>4098</v>
      </c>
      <c r="J18" s="9"/>
      <c r="K18" s="9"/>
      <c r="L18" s="9" t="s">
        <v>412</v>
      </c>
    </row>
    <row r="19" customFormat="false" ht="15" hidden="false" customHeight="false" outlineLevel="0" collapsed="false">
      <c r="A19" s="9" t="s">
        <v>4126</v>
      </c>
      <c r="B19" s="9" t="s">
        <v>59</v>
      </c>
      <c r="C19" s="9" t="s">
        <v>14</v>
      </c>
      <c r="D19" s="9" t="s">
        <v>4108</v>
      </c>
      <c r="E19" s="9" t="s">
        <v>4106</v>
      </c>
      <c r="F19" s="9" t="n">
        <v>3</v>
      </c>
      <c r="G19" s="9" t="n">
        <v>1</v>
      </c>
      <c r="H19" s="9" t="n">
        <f aca="false">F19*G19</f>
        <v>3</v>
      </c>
      <c r="I19" s="9" t="s">
        <v>2852</v>
      </c>
      <c r="J19" s="9"/>
      <c r="K19" s="9"/>
      <c r="L19" s="9" t="s">
        <v>681</v>
      </c>
    </row>
    <row r="20" customFormat="false" ht="15" hidden="false" customHeight="false" outlineLevel="0" collapsed="false">
      <c r="A20" s="9" t="s">
        <v>4127</v>
      </c>
      <c r="B20" s="9" t="s">
        <v>62</v>
      </c>
      <c r="C20" s="9" t="s">
        <v>63</v>
      </c>
      <c r="D20" s="9" t="s">
        <v>4108</v>
      </c>
      <c r="E20" s="9" t="s">
        <v>4128</v>
      </c>
      <c r="F20" s="9" t="n">
        <v>4</v>
      </c>
      <c r="G20" s="9" t="n">
        <v>3</v>
      </c>
      <c r="H20" s="9" t="n">
        <f aca="false">F20*G20</f>
        <v>12</v>
      </c>
      <c r="I20" s="9" t="s">
        <v>4095</v>
      </c>
      <c r="J20" s="9"/>
      <c r="K20" s="9"/>
      <c r="L20" s="9" t="s">
        <v>431</v>
      </c>
    </row>
    <row r="21" customFormat="false" ht="15" hidden="false" customHeight="false" outlineLevel="0" collapsed="false">
      <c r="A21" s="9" t="s">
        <v>4129</v>
      </c>
      <c r="B21" s="9" t="s">
        <v>55</v>
      </c>
      <c r="C21" s="9" t="s">
        <v>56</v>
      </c>
      <c r="D21" s="9" t="s">
        <v>4118</v>
      </c>
      <c r="E21" s="9" t="s">
        <v>4122</v>
      </c>
      <c r="F21" s="9" t="n">
        <v>3</v>
      </c>
      <c r="G21" s="9" t="n">
        <v>1</v>
      </c>
      <c r="H21" s="9" t="n">
        <f aca="false">F21*G21</f>
        <v>3</v>
      </c>
      <c r="I21" s="9" t="s">
        <v>4095</v>
      </c>
      <c r="J21" s="9" t="s">
        <v>4030</v>
      </c>
      <c r="K21" s="9"/>
      <c r="L21" s="9" t="s">
        <v>462</v>
      </c>
    </row>
    <row r="22" customFormat="false" ht="15" hidden="false" customHeight="false" outlineLevel="0" collapsed="false">
      <c r="A22" s="9" t="s">
        <v>4130</v>
      </c>
      <c r="B22" s="9" t="s">
        <v>55</v>
      </c>
      <c r="C22" s="9" t="s">
        <v>56</v>
      </c>
      <c r="D22" s="9" t="s">
        <v>4112</v>
      </c>
      <c r="E22" s="9" t="s">
        <v>4128</v>
      </c>
      <c r="F22" s="9" t="n">
        <v>4</v>
      </c>
      <c r="G22" s="9" t="n">
        <v>4</v>
      </c>
      <c r="H22" s="9" t="n">
        <f aca="false">F22*G22</f>
        <v>16</v>
      </c>
      <c r="I22" s="9" t="s">
        <v>2852</v>
      </c>
      <c r="J22" s="9"/>
      <c r="K22" s="9" t="s">
        <v>1588</v>
      </c>
      <c r="L22" s="9" t="s">
        <v>270</v>
      </c>
    </row>
    <row r="23" customFormat="false" ht="15" hidden="false" customHeight="false" outlineLevel="0" collapsed="false">
      <c r="A23" s="9" t="s">
        <v>4131</v>
      </c>
      <c r="B23" s="9" t="s">
        <v>62</v>
      </c>
      <c r="C23" s="9" t="s">
        <v>63</v>
      </c>
      <c r="D23" s="9" t="s">
        <v>4093</v>
      </c>
      <c r="E23" s="9" t="s">
        <v>4103</v>
      </c>
      <c r="F23" s="9" t="n">
        <v>3</v>
      </c>
      <c r="G23" s="9" t="n">
        <v>2</v>
      </c>
      <c r="H23" s="9" t="n">
        <f aca="false">F23*G23</f>
        <v>6</v>
      </c>
      <c r="I23" s="9" t="s">
        <v>4095</v>
      </c>
      <c r="J23" s="9" t="s">
        <v>4005</v>
      </c>
      <c r="K23" s="9"/>
      <c r="L23" s="9" t="s">
        <v>278</v>
      </c>
    </row>
    <row r="24" customFormat="false" ht="15" hidden="false" customHeight="false" outlineLevel="0" collapsed="false">
      <c r="A24" s="9" t="s">
        <v>4132</v>
      </c>
      <c r="B24" s="9" t="s">
        <v>62</v>
      </c>
      <c r="C24" s="9" t="s">
        <v>63</v>
      </c>
      <c r="D24" s="9" t="s">
        <v>4108</v>
      </c>
      <c r="E24" s="9" t="s">
        <v>4122</v>
      </c>
      <c r="F24" s="9" t="n">
        <v>5</v>
      </c>
      <c r="G24" s="9" t="n">
        <v>4</v>
      </c>
      <c r="H24" s="9" t="n">
        <f aca="false">F24*G24</f>
        <v>20</v>
      </c>
      <c r="I24" s="9" t="s">
        <v>4095</v>
      </c>
      <c r="J24" s="9"/>
      <c r="K24" s="9"/>
      <c r="L24" s="9" t="s">
        <v>514</v>
      </c>
    </row>
    <row r="25" customFormat="false" ht="15" hidden="false" customHeight="false" outlineLevel="0" collapsed="false">
      <c r="A25" s="9" t="s">
        <v>4133</v>
      </c>
      <c r="B25" s="9" t="s">
        <v>82</v>
      </c>
      <c r="C25" s="9" t="s">
        <v>83</v>
      </c>
      <c r="D25" s="9" t="s">
        <v>4093</v>
      </c>
      <c r="E25" s="9" t="s">
        <v>4122</v>
      </c>
      <c r="F25" s="9" t="n">
        <v>3</v>
      </c>
      <c r="G25" s="9" t="n">
        <v>5</v>
      </c>
      <c r="H25" s="9" t="n">
        <f aca="false">F25*G25</f>
        <v>15</v>
      </c>
      <c r="I25" s="9" t="s">
        <v>4095</v>
      </c>
      <c r="J25" s="9"/>
      <c r="K25" s="9"/>
      <c r="L25" s="9" t="s">
        <v>677</v>
      </c>
    </row>
    <row r="26" customFormat="false" ht="15" hidden="false" customHeight="false" outlineLevel="0" collapsed="false">
      <c r="A26" s="9" t="s">
        <v>4134</v>
      </c>
      <c r="B26" s="9" t="s">
        <v>78</v>
      </c>
      <c r="C26" s="9" t="s">
        <v>79</v>
      </c>
      <c r="D26" s="9" t="s">
        <v>4100</v>
      </c>
      <c r="E26" s="9" t="s">
        <v>4135</v>
      </c>
      <c r="F26" s="9" t="n">
        <v>4</v>
      </c>
      <c r="G26" s="9" t="n">
        <v>4</v>
      </c>
      <c r="H26" s="9" t="n">
        <f aca="false">F26*G26</f>
        <v>16</v>
      </c>
      <c r="I26" s="9" t="s">
        <v>2852</v>
      </c>
      <c r="J26" s="9" t="s">
        <v>3978</v>
      </c>
      <c r="K26" s="9"/>
      <c r="L26" s="9" t="s">
        <v>294</v>
      </c>
    </row>
    <row r="27" customFormat="false" ht="15" hidden="false" customHeight="false" outlineLevel="0" collapsed="false">
      <c r="A27" s="9" t="s">
        <v>4136</v>
      </c>
      <c r="B27" s="9" t="s">
        <v>55</v>
      </c>
      <c r="C27" s="9" t="s">
        <v>56</v>
      </c>
      <c r="D27" s="9" t="s">
        <v>4108</v>
      </c>
      <c r="E27" s="9" t="s">
        <v>4101</v>
      </c>
      <c r="F27" s="9" t="n">
        <v>1</v>
      </c>
      <c r="G27" s="9" t="n">
        <v>2</v>
      </c>
      <c r="H27" s="9" t="n">
        <f aca="false">F27*G27</f>
        <v>2</v>
      </c>
      <c r="I27" s="9" t="s">
        <v>4098</v>
      </c>
      <c r="J27" s="9"/>
      <c r="K27" s="9"/>
      <c r="L27" s="9" t="s">
        <v>111</v>
      </c>
    </row>
    <row r="28" customFormat="false" ht="15" hidden="false" customHeight="false" outlineLevel="0" collapsed="false">
      <c r="A28" s="9" t="s">
        <v>4137</v>
      </c>
      <c r="B28" s="9" t="s">
        <v>78</v>
      </c>
      <c r="C28" s="9" t="s">
        <v>79</v>
      </c>
      <c r="D28" s="9" t="s">
        <v>4118</v>
      </c>
      <c r="E28" s="9" t="s">
        <v>4113</v>
      </c>
      <c r="F28" s="9" t="n">
        <v>3</v>
      </c>
      <c r="G28" s="9" t="n">
        <v>1</v>
      </c>
      <c r="H28" s="9" t="n">
        <f aca="false">F28*G28</f>
        <v>3</v>
      </c>
      <c r="I28" s="9" t="s">
        <v>2852</v>
      </c>
      <c r="J28" s="9"/>
      <c r="K28" s="9" t="s">
        <v>1398</v>
      </c>
      <c r="L28" s="9" t="s">
        <v>446</v>
      </c>
    </row>
    <row r="29" customFormat="false" ht="15" hidden="false" customHeight="false" outlineLevel="0" collapsed="false">
      <c r="A29" s="9" t="s">
        <v>4138</v>
      </c>
      <c r="B29" s="9" t="s">
        <v>78</v>
      </c>
      <c r="C29" s="9" t="s">
        <v>79</v>
      </c>
      <c r="D29" s="9" t="s">
        <v>4112</v>
      </c>
      <c r="E29" s="9" t="s">
        <v>4122</v>
      </c>
      <c r="F29" s="9" t="n">
        <v>1</v>
      </c>
      <c r="G29" s="9" t="n">
        <v>1</v>
      </c>
      <c r="H29" s="9" t="n">
        <f aca="false">F29*G29</f>
        <v>1</v>
      </c>
      <c r="I29" s="9" t="s">
        <v>2852</v>
      </c>
      <c r="J29" s="9"/>
      <c r="K29" s="9"/>
      <c r="L29" s="9" t="s">
        <v>254</v>
      </c>
    </row>
    <row r="30" customFormat="false" ht="15" hidden="false" customHeight="false" outlineLevel="0" collapsed="false">
      <c r="A30" s="9" t="s">
        <v>4139</v>
      </c>
      <c r="B30" s="9" t="s">
        <v>55</v>
      </c>
      <c r="C30" s="9" t="s">
        <v>56</v>
      </c>
      <c r="D30" s="9" t="s">
        <v>4105</v>
      </c>
      <c r="E30" s="9" t="s">
        <v>4113</v>
      </c>
      <c r="F30" s="9" t="n">
        <v>2</v>
      </c>
      <c r="G30" s="9" t="n">
        <v>4</v>
      </c>
      <c r="H30" s="9" t="n">
        <f aca="false">F30*G30</f>
        <v>8</v>
      </c>
      <c r="I30" s="9" t="s">
        <v>2852</v>
      </c>
      <c r="J30" s="9" t="s">
        <v>4068</v>
      </c>
      <c r="K30" s="9"/>
      <c r="L30" s="9" t="s">
        <v>424</v>
      </c>
    </row>
    <row r="31" customFormat="false" ht="15" hidden="false" customHeight="false" outlineLevel="0" collapsed="false">
      <c r="A31" s="9" t="s">
        <v>4140</v>
      </c>
      <c r="B31" s="9" t="s">
        <v>59</v>
      </c>
      <c r="C31" s="9" t="s">
        <v>14</v>
      </c>
      <c r="D31" s="9" t="s">
        <v>4105</v>
      </c>
      <c r="E31" s="9" t="s">
        <v>4106</v>
      </c>
      <c r="F31" s="9" t="n">
        <v>2</v>
      </c>
      <c r="G31" s="9" t="n">
        <v>5</v>
      </c>
      <c r="H31" s="9" t="n">
        <f aca="false">F31*G31</f>
        <v>10</v>
      </c>
      <c r="I31" s="9" t="s">
        <v>4095</v>
      </c>
      <c r="J31" s="9" t="s">
        <v>4004</v>
      </c>
      <c r="K31" s="9" t="s">
        <v>1499</v>
      </c>
      <c r="L31" s="9" t="s">
        <v>681</v>
      </c>
    </row>
    <row r="32" customFormat="false" ht="15" hidden="false" customHeight="false" outlineLevel="0" collapsed="false">
      <c r="A32" s="9" t="s">
        <v>4141</v>
      </c>
      <c r="B32" s="9" t="s">
        <v>74</v>
      </c>
      <c r="C32" s="9" t="s">
        <v>75</v>
      </c>
      <c r="D32" s="9" t="s">
        <v>4115</v>
      </c>
      <c r="E32" s="9" t="s">
        <v>4122</v>
      </c>
      <c r="F32" s="9" t="n">
        <v>1</v>
      </c>
      <c r="G32" s="9" t="n">
        <v>3</v>
      </c>
      <c r="H32" s="9" t="n">
        <f aca="false">F32*G32</f>
        <v>3</v>
      </c>
      <c r="I32" s="9" t="s">
        <v>4095</v>
      </c>
      <c r="J32" s="9"/>
      <c r="K32" s="9" t="s">
        <v>1457</v>
      </c>
      <c r="L32" s="9" t="s">
        <v>250</v>
      </c>
    </row>
    <row r="33" customFormat="false" ht="15" hidden="false" customHeight="false" outlineLevel="0" collapsed="false">
      <c r="A33" s="9" t="s">
        <v>4142</v>
      </c>
      <c r="B33" s="9" t="s">
        <v>74</v>
      </c>
      <c r="C33" s="9" t="s">
        <v>75</v>
      </c>
      <c r="D33" s="9" t="s">
        <v>4118</v>
      </c>
      <c r="E33" s="9" t="s">
        <v>4106</v>
      </c>
      <c r="F33" s="9" t="n">
        <v>5</v>
      </c>
      <c r="G33" s="9" t="n">
        <v>5</v>
      </c>
      <c r="H33" s="9" t="n">
        <f aca="false">F33*G33</f>
        <v>25</v>
      </c>
      <c r="I33" s="9" t="s">
        <v>4095</v>
      </c>
      <c r="J33" s="9" t="s">
        <v>4050</v>
      </c>
      <c r="K33" s="9"/>
      <c r="L33" s="9" t="s">
        <v>76</v>
      </c>
    </row>
    <row r="34" customFormat="false" ht="15" hidden="false" customHeight="false" outlineLevel="0" collapsed="false">
      <c r="A34" s="9" t="s">
        <v>4143</v>
      </c>
      <c r="B34" s="9" t="s">
        <v>51</v>
      </c>
      <c r="C34" s="9" t="s">
        <v>10</v>
      </c>
      <c r="D34" s="9" t="s">
        <v>4105</v>
      </c>
      <c r="E34" s="9" t="s">
        <v>4109</v>
      </c>
      <c r="F34" s="9" t="n">
        <v>2</v>
      </c>
      <c r="G34" s="9" t="n">
        <v>5</v>
      </c>
      <c r="H34" s="9" t="n">
        <f aca="false">F34*G34</f>
        <v>10</v>
      </c>
      <c r="I34" s="9" t="s">
        <v>4098</v>
      </c>
      <c r="J34" s="9"/>
      <c r="K34" s="9"/>
      <c r="L34" s="9" t="s">
        <v>562</v>
      </c>
    </row>
    <row r="35" customFormat="false" ht="15" hidden="false" customHeight="false" outlineLevel="0" collapsed="false">
      <c r="A35" s="9" t="s">
        <v>4144</v>
      </c>
      <c r="B35" s="9" t="s">
        <v>62</v>
      </c>
      <c r="C35" s="9" t="s">
        <v>63</v>
      </c>
      <c r="D35" s="9" t="s">
        <v>4093</v>
      </c>
      <c r="E35" s="9" t="s">
        <v>4103</v>
      </c>
      <c r="F35" s="9" t="n">
        <v>5</v>
      </c>
      <c r="G35" s="9" t="n">
        <v>3</v>
      </c>
      <c r="H35" s="9" t="n">
        <f aca="false">F35*G35</f>
        <v>15</v>
      </c>
      <c r="I35" s="9" t="s">
        <v>4095</v>
      </c>
      <c r="J35" s="9"/>
      <c r="K35" s="9" t="s">
        <v>1467</v>
      </c>
      <c r="L35" s="9" t="s">
        <v>647</v>
      </c>
    </row>
    <row r="36" customFormat="false" ht="15" hidden="false" customHeight="false" outlineLevel="0" collapsed="false">
      <c r="A36" s="9" t="s">
        <v>4145</v>
      </c>
      <c r="B36" s="9" t="s">
        <v>62</v>
      </c>
      <c r="C36" s="9" t="s">
        <v>63</v>
      </c>
      <c r="D36" s="9" t="s">
        <v>4108</v>
      </c>
      <c r="E36" s="9" t="s">
        <v>4122</v>
      </c>
      <c r="F36" s="9" t="n">
        <v>2</v>
      </c>
      <c r="G36" s="9" t="n">
        <v>3</v>
      </c>
      <c r="H36" s="9" t="n">
        <f aca="false">F36*G36</f>
        <v>6</v>
      </c>
      <c r="I36" s="9" t="s">
        <v>2852</v>
      </c>
      <c r="J36" s="9" t="s">
        <v>4059</v>
      </c>
      <c r="K36" s="9"/>
      <c r="L36" s="9" t="s">
        <v>632</v>
      </c>
    </row>
    <row r="37" customFormat="false" ht="15" hidden="false" customHeight="false" outlineLevel="0" collapsed="false">
      <c r="A37" s="9" t="s">
        <v>4146</v>
      </c>
      <c r="B37" s="9" t="s">
        <v>55</v>
      </c>
      <c r="C37" s="9" t="s">
        <v>56</v>
      </c>
      <c r="D37" s="9" t="s">
        <v>4100</v>
      </c>
      <c r="E37" s="9" t="s">
        <v>4097</v>
      </c>
      <c r="F37" s="9" t="n">
        <v>3</v>
      </c>
      <c r="G37" s="9" t="n">
        <v>5</v>
      </c>
      <c r="H37" s="9" t="n">
        <f aca="false">F37*G37</f>
        <v>15</v>
      </c>
      <c r="I37" s="9" t="s">
        <v>4098</v>
      </c>
      <c r="J37" s="9"/>
      <c r="K37" s="9" t="s">
        <v>1269</v>
      </c>
      <c r="L37" s="9" t="s">
        <v>643</v>
      </c>
    </row>
    <row r="38" customFormat="false" ht="15" hidden="false" customHeight="false" outlineLevel="0" collapsed="false">
      <c r="A38" s="9" t="s">
        <v>4147</v>
      </c>
      <c r="B38" s="9" t="s">
        <v>51</v>
      </c>
      <c r="C38" s="9" t="s">
        <v>10</v>
      </c>
      <c r="D38" s="9" t="s">
        <v>4093</v>
      </c>
      <c r="E38" s="9" t="s">
        <v>4109</v>
      </c>
      <c r="F38" s="9" t="n">
        <v>3</v>
      </c>
      <c r="G38" s="9" t="n">
        <v>5</v>
      </c>
      <c r="H38" s="9" t="n">
        <f aca="false">F38*G38</f>
        <v>15</v>
      </c>
      <c r="I38" s="9" t="s">
        <v>2852</v>
      </c>
      <c r="J38" s="9"/>
      <c r="K38" s="9" t="s">
        <v>1291</v>
      </c>
      <c r="L38" s="9" t="s">
        <v>381</v>
      </c>
    </row>
    <row r="39" customFormat="false" ht="15" hidden="false" customHeight="false" outlineLevel="0" collapsed="false">
      <c r="A39" s="9" t="s">
        <v>4148</v>
      </c>
      <c r="B39" s="9" t="s">
        <v>78</v>
      </c>
      <c r="C39" s="9" t="s">
        <v>79</v>
      </c>
      <c r="D39" s="9" t="s">
        <v>4108</v>
      </c>
      <c r="E39" s="9" t="s">
        <v>4094</v>
      </c>
      <c r="F39" s="9" t="n">
        <v>5</v>
      </c>
      <c r="G39" s="9" t="n">
        <v>4</v>
      </c>
      <c r="H39" s="9" t="n">
        <f aca="false">F39*G39</f>
        <v>20</v>
      </c>
      <c r="I39" s="9" t="s">
        <v>4095</v>
      </c>
      <c r="J39" s="9" t="s">
        <v>4019</v>
      </c>
      <c r="K39" s="9"/>
      <c r="L39" s="9" t="s">
        <v>254</v>
      </c>
    </row>
    <row r="40" customFormat="false" ht="15" hidden="false" customHeight="false" outlineLevel="0" collapsed="false">
      <c r="A40" s="9" t="s">
        <v>4149</v>
      </c>
      <c r="B40" s="9" t="s">
        <v>55</v>
      </c>
      <c r="C40" s="9" t="s">
        <v>56</v>
      </c>
      <c r="D40" s="9" t="s">
        <v>4108</v>
      </c>
      <c r="E40" s="9" t="s">
        <v>4135</v>
      </c>
      <c r="F40" s="9" t="n">
        <v>2</v>
      </c>
      <c r="G40" s="9" t="n">
        <v>4</v>
      </c>
      <c r="H40" s="9" t="n">
        <f aca="false">F40*G40</f>
        <v>8</v>
      </c>
      <c r="I40" s="9" t="s">
        <v>4095</v>
      </c>
      <c r="J40" s="9"/>
      <c r="K40" s="9"/>
      <c r="L40" s="9" t="s">
        <v>309</v>
      </c>
    </row>
    <row r="41" customFormat="false" ht="15" hidden="false" customHeight="false" outlineLevel="0" collapsed="false">
      <c r="A41" s="9" t="s">
        <v>4150</v>
      </c>
      <c r="B41" s="9" t="s">
        <v>78</v>
      </c>
      <c r="C41" s="9" t="s">
        <v>79</v>
      </c>
      <c r="D41" s="9" t="s">
        <v>4100</v>
      </c>
      <c r="E41" s="9" t="s">
        <v>4101</v>
      </c>
      <c r="F41" s="9" t="n">
        <v>4</v>
      </c>
      <c r="G41" s="9" t="n">
        <v>3</v>
      </c>
      <c r="H41" s="9" t="n">
        <f aca="false">F41*G41</f>
        <v>12</v>
      </c>
      <c r="I41" s="9" t="s">
        <v>4095</v>
      </c>
      <c r="J41" s="9" t="s">
        <v>4012</v>
      </c>
      <c r="K41" s="9"/>
      <c r="L41" s="9" t="s">
        <v>294</v>
      </c>
    </row>
    <row r="42" customFormat="false" ht="15" hidden="false" customHeight="false" outlineLevel="0" collapsed="false">
      <c r="A42" s="9" t="s">
        <v>4151</v>
      </c>
      <c r="B42" s="9" t="s">
        <v>62</v>
      </c>
      <c r="C42" s="9" t="s">
        <v>63</v>
      </c>
      <c r="D42" s="9" t="s">
        <v>4108</v>
      </c>
      <c r="E42" s="9" t="s">
        <v>4094</v>
      </c>
      <c r="F42" s="9" t="n">
        <v>3</v>
      </c>
      <c r="G42" s="9" t="n">
        <v>4</v>
      </c>
      <c r="H42" s="9" t="n">
        <f aca="false">F42*G42</f>
        <v>12</v>
      </c>
      <c r="I42" s="9" t="s">
        <v>2852</v>
      </c>
      <c r="J42" s="9" t="s">
        <v>4061</v>
      </c>
      <c r="K42" s="9"/>
      <c r="L42" s="9" t="s">
        <v>589</v>
      </c>
    </row>
    <row r="43" customFormat="false" ht="15" hidden="false" customHeight="false" outlineLevel="0" collapsed="false">
      <c r="A43" s="9" t="s">
        <v>4152</v>
      </c>
      <c r="B43" s="9" t="s">
        <v>70</v>
      </c>
      <c r="C43" s="9" t="s">
        <v>71</v>
      </c>
      <c r="D43" s="9" t="s">
        <v>4115</v>
      </c>
      <c r="E43" s="9" t="s">
        <v>4103</v>
      </c>
      <c r="F43" s="9" t="n">
        <v>3</v>
      </c>
      <c r="G43" s="9" t="n">
        <v>2</v>
      </c>
      <c r="H43" s="9" t="n">
        <f aca="false">F43*G43</f>
        <v>6</v>
      </c>
      <c r="I43" s="9" t="s">
        <v>4098</v>
      </c>
      <c r="J43" s="9"/>
      <c r="K43" s="9"/>
      <c r="L43" s="9" t="s">
        <v>72</v>
      </c>
    </row>
    <row r="44" customFormat="false" ht="15" hidden="false" customHeight="false" outlineLevel="0" collapsed="false">
      <c r="A44" s="9" t="s">
        <v>4153</v>
      </c>
      <c r="B44" s="9" t="s">
        <v>59</v>
      </c>
      <c r="C44" s="9" t="s">
        <v>14</v>
      </c>
      <c r="D44" s="9" t="s">
        <v>4118</v>
      </c>
      <c r="E44" s="9" t="s">
        <v>4128</v>
      </c>
      <c r="F44" s="9" t="n">
        <v>3</v>
      </c>
      <c r="G44" s="9" t="n">
        <v>3</v>
      </c>
      <c r="H44" s="9" t="n">
        <f aca="false">F44*G44</f>
        <v>9</v>
      </c>
      <c r="I44" s="9" t="s">
        <v>4095</v>
      </c>
      <c r="J44" s="9" t="s">
        <v>4039</v>
      </c>
      <c r="K44" s="9"/>
      <c r="L44" s="9" t="s">
        <v>313</v>
      </c>
    </row>
    <row r="45" customFormat="false" ht="15" hidden="false" customHeight="false" outlineLevel="0" collapsed="false">
      <c r="A45" s="9" t="s">
        <v>4154</v>
      </c>
      <c r="B45" s="9" t="s">
        <v>59</v>
      </c>
      <c r="C45" s="9" t="s">
        <v>14</v>
      </c>
      <c r="D45" s="9" t="s">
        <v>4093</v>
      </c>
      <c r="E45" s="9" t="s">
        <v>4113</v>
      </c>
      <c r="F45" s="9" t="n">
        <v>5</v>
      </c>
      <c r="G45" s="9" t="n">
        <v>5</v>
      </c>
      <c r="H45" s="9" t="n">
        <f aca="false">F45*G45</f>
        <v>25</v>
      </c>
      <c r="I45" s="9" t="s">
        <v>2852</v>
      </c>
      <c r="J45" s="9"/>
      <c r="K45" s="9"/>
      <c r="L45" s="9" t="s">
        <v>156</v>
      </c>
    </row>
    <row r="46" customFormat="false" ht="15" hidden="false" customHeight="false" outlineLevel="0" collapsed="false">
      <c r="A46" s="9" t="s">
        <v>4155</v>
      </c>
      <c r="B46" s="9" t="s">
        <v>66</v>
      </c>
      <c r="C46" s="9" t="s">
        <v>67</v>
      </c>
      <c r="D46" s="9" t="s">
        <v>4105</v>
      </c>
      <c r="E46" s="9" t="s">
        <v>4109</v>
      </c>
      <c r="F46" s="9" t="n">
        <v>5</v>
      </c>
      <c r="G46" s="9" t="n">
        <v>4</v>
      </c>
      <c r="H46" s="9" t="n">
        <f aca="false">F46*G46</f>
        <v>20</v>
      </c>
      <c r="I46" s="9" t="s">
        <v>4098</v>
      </c>
      <c r="J46" s="9"/>
      <c r="K46" s="9"/>
      <c r="L46" s="9" t="s">
        <v>593</v>
      </c>
    </row>
    <row r="47" customFormat="false" ht="15" hidden="false" customHeight="false" outlineLevel="0" collapsed="false">
      <c r="A47" s="9" t="s">
        <v>4156</v>
      </c>
      <c r="B47" s="9" t="s">
        <v>74</v>
      </c>
      <c r="C47" s="9" t="s">
        <v>75</v>
      </c>
      <c r="D47" s="9" t="s">
        <v>4118</v>
      </c>
      <c r="E47" s="9" t="s">
        <v>4128</v>
      </c>
      <c r="F47" s="9" t="n">
        <v>5</v>
      </c>
      <c r="G47" s="9" t="n">
        <v>5</v>
      </c>
      <c r="H47" s="9" t="n">
        <f aca="false">F47*G47</f>
        <v>25</v>
      </c>
      <c r="I47" s="9" t="s">
        <v>2852</v>
      </c>
      <c r="J47" s="9"/>
      <c r="K47" s="9" t="s">
        <v>1522</v>
      </c>
      <c r="L47" s="9" t="s">
        <v>502</v>
      </c>
    </row>
    <row r="48" customFormat="false" ht="15" hidden="false" customHeight="false" outlineLevel="0" collapsed="false">
      <c r="A48" s="9" t="s">
        <v>4157</v>
      </c>
      <c r="B48" s="9" t="s">
        <v>66</v>
      </c>
      <c r="C48" s="9" t="s">
        <v>67</v>
      </c>
      <c r="D48" s="9" t="s">
        <v>4100</v>
      </c>
      <c r="E48" s="9" t="s">
        <v>4128</v>
      </c>
      <c r="F48" s="9" t="n">
        <v>1</v>
      </c>
      <c r="G48" s="9" t="n">
        <v>4</v>
      </c>
      <c r="H48" s="9" t="n">
        <f aca="false">F48*G48</f>
        <v>4</v>
      </c>
      <c r="I48" s="9" t="s">
        <v>4098</v>
      </c>
      <c r="J48" s="9" t="s">
        <v>3979</v>
      </c>
      <c r="K48" s="9"/>
      <c r="L48" s="9" t="s">
        <v>605</v>
      </c>
    </row>
    <row r="49" customFormat="false" ht="15" hidden="false" customHeight="false" outlineLevel="0" collapsed="false">
      <c r="A49" s="9" t="s">
        <v>4158</v>
      </c>
      <c r="B49" s="9" t="s">
        <v>55</v>
      </c>
      <c r="C49" s="9" t="s">
        <v>56</v>
      </c>
      <c r="D49" s="9" t="s">
        <v>4112</v>
      </c>
      <c r="E49" s="9" t="s">
        <v>4128</v>
      </c>
      <c r="F49" s="9" t="n">
        <v>5</v>
      </c>
      <c r="G49" s="9" t="n">
        <v>2</v>
      </c>
      <c r="H49" s="9" t="n">
        <f aca="false">F49*G49</f>
        <v>10</v>
      </c>
      <c r="I49" s="9" t="s">
        <v>4095</v>
      </c>
      <c r="J49" s="9"/>
      <c r="K49" s="9"/>
      <c r="L49" s="9" t="s">
        <v>558</v>
      </c>
    </row>
    <row r="50" customFormat="false" ht="15" hidden="false" customHeight="false" outlineLevel="0" collapsed="false">
      <c r="A50" s="9" t="s">
        <v>4159</v>
      </c>
      <c r="B50" s="9" t="s">
        <v>62</v>
      </c>
      <c r="C50" s="9" t="s">
        <v>63</v>
      </c>
      <c r="D50" s="9" t="s">
        <v>4112</v>
      </c>
      <c r="E50" s="9" t="s">
        <v>4122</v>
      </c>
      <c r="F50" s="9" t="n">
        <v>3</v>
      </c>
      <c r="G50" s="9" t="n">
        <v>1</v>
      </c>
      <c r="H50" s="9" t="n">
        <f aca="false">F50*G50</f>
        <v>3</v>
      </c>
      <c r="I50" s="9" t="s">
        <v>4098</v>
      </c>
      <c r="J50" s="9" t="s">
        <v>3978</v>
      </c>
      <c r="K50" s="9"/>
      <c r="L50" s="9" t="s">
        <v>506</v>
      </c>
    </row>
    <row r="51" customFormat="false" ht="15" hidden="false" customHeight="false" outlineLevel="0" collapsed="false">
      <c r="A51" s="9" t="s">
        <v>4160</v>
      </c>
      <c r="B51" s="9" t="s">
        <v>66</v>
      </c>
      <c r="C51" s="9" t="s">
        <v>67</v>
      </c>
      <c r="D51" s="9" t="s">
        <v>4093</v>
      </c>
      <c r="E51" s="9" t="s">
        <v>4109</v>
      </c>
      <c r="F51" s="9" t="n">
        <v>2</v>
      </c>
      <c r="G51" s="9" t="n">
        <v>2</v>
      </c>
      <c r="H51" s="9" t="n">
        <f aca="false">F51*G51</f>
        <v>4</v>
      </c>
      <c r="I51" s="9" t="s">
        <v>2852</v>
      </c>
      <c r="J51" s="9" t="s">
        <v>4007</v>
      </c>
      <c r="K51" s="9"/>
      <c r="L51" s="9" t="s">
        <v>554</v>
      </c>
    </row>
    <row r="52" customFormat="false" ht="15" hidden="false" customHeight="false" outlineLevel="0" collapsed="false">
      <c r="A52" s="9" t="s">
        <v>4161</v>
      </c>
      <c r="B52" s="9" t="s">
        <v>62</v>
      </c>
      <c r="C52" s="9" t="s">
        <v>63</v>
      </c>
      <c r="D52" s="9" t="s">
        <v>4108</v>
      </c>
      <c r="E52" s="9" t="s">
        <v>4101</v>
      </c>
      <c r="F52" s="9" t="n">
        <v>1</v>
      </c>
      <c r="G52" s="9" t="n">
        <v>2</v>
      </c>
      <c r="H52" s="9" t="n">
        <f aca="false">F52*G52</f>
        <v>2</v>
      </c>
      <c r="I52" s="9" t="s">
        <v>4098</v>
      </c>
      <c r="J52" s="9" t="s">
        <v>4037</v>
      </c>
      <c r="K52" s="9"/>
      <c r="L52" s="9" t="s">
        <v>647</v>
      </c>
    </row>
    <row r="53" customFormat="false" ht="15" hidden="false" customHeight="false" outlineLevel="0" collapsed="false">
      <c r="A53" s="9" t="s">
        <v>4162</v>
      </c>
      <c r="B53" s="9" t="s">
        <v>78</v>
      </c>
      <c r="C53" s="9" t="s">
        <v>79</v>
      </c>
      <c r="D53" s="9" t="s">
        <v>4115</v>
      </c>
      <c r="E53" s="9" t="s">
        <v>4122</v>
      </c>
      <c r="F53" s="9" t="n">
        <v>3</v>
      </c>
      <c r="G53" s="9" t="n">
        <v>1</v>
      </c>
      <c r="H53" s="9" t="n">
        <f aca="false">F53*G53</f>
        <v>3</v>
      </c>
      <c r="I53" s="9" t="s">
        <v>4098</v>
      </c>
      <c r="J53" s="9"/>
      <c r="K53" s="9"/>
      <c r="L53" s="9" t="s">
        <v>446</v>
      </c>
    </row>
    <row r="54" customFormat="false" ht="15" hidden="false" customHeight="false" outlineLevel="0" collapsed="false">
      <c r="A54" s="9" t="s">
        <v>4163</v>
      </c>
      <c r="B54" s="9" t="s">
        <v>66</v>
      </c>
      <c r="C54" s="9" t="s">
        <v>67</v>
      </c>
      <c r="D54" s="9" t="s">
        <v>4093</v>
      </c>
      <c r="E54" s="9" t="s">
        <v>4122</v>
      </c>
      <c r="F54" s="9" t="n">
        <v>4</v>
      </c>
      <c r="G54" s="9" t="n">
        <v>3</v>
      </c>
      <c r="H54" s="9" t="n">
        <f aca="false">F54*G54</f>
        <v>12</v>
      </c>
      <c r="I54" s="9" t="s">
        <v>4095</v>
      </c>
      <c r="J54" s="9"/>
      <c r="K54" s="9"/>
      <c r="L54" s="9" t="s">
        <v>204</v>
      </c>
    </row>
    <row r="55" customFormat="false" ht="15" hidden="false" customHeight="false" outlineLevel="0" collapsed="false">
      <c r="A55" s="9" t="s">
        <v>4164</v>
      </c>
      <c r="B55" s="9" t="s">
        <v>78</v>
      </c>
      <c r="C55" s="9" t="s">
        <v>79</v>
      </c>
      <c r="D55" s="9" t="s">
        <v>4093</v>
      </c>
      <c r="E55" s="9" t="s">
        <v>4106</v>
      </c>
      <c r="F55" s="9" t="n">
        <v>5</v>
      </c>
      <c r="G55" s="9" t="n">
        <v>2</v>
      </c>
      <c r="H55" s="9" t="n">
        <f aca="false">F55*G55</f>
        <v>10</v>
      </c>
      <c r="I55" s="9" t="s">
        <v>4095</v>
      </c>
      <c r="J55" s="9"/>
      <c r="K55" s="9"/>
      <c r="L55" s="9" t="s">
        <v>177</v>
      </c>
    </row>
    <row r="56" customFormat="false" ht="15" hidden="false" customHeight="false" outlineLevel="0" collapsed="false">
      <c r="A56" s="9" t="s">
        <v>4165</v>
      </c>
      <c r="B56" s="9" t="s">
        <v>74</v>
      </c>
      <c r="C56" s="9" t="s">
        <v>75</v>
      </c>
      <c r="D56" s="9" t="s">
        <v>4112</v>
      </c>
      <c r="E56" s="9" t="s">
        <v>4113</v>
      </c>
      <c r="F56" s="9" t="n">
        <v>1</v>
      </c>
      <c r="G56" s="9" t="n">
        <v>4</v>
      </c>
      <c r="H56" s="9" t="n">
        <f aca="false">F56*G56</f>
        <v>4</v>
      </c>
      <c r="I56" s="9" t="s">
        <v>4098</v>
      </c>
      <c r="J56" s="9"/>
      <c r="K56" s="9"/>
      <c r="L56" s="9" t="s">
        <v>290</v>
      </c>
    </row>
    <row r="57" customFormat="false" ht="15" hidden="false" customHeight="false" outlineLevel="0" collapsed="false">
      <c r="A57" s="9" t="s">
        <v>4166</v>
      </c>
      <c r="B57" s="9" t="s">
        <v>51</v>
      </c>
      <c r="C57" s="9" t="s">
        <v>10</v>
      </c>
      <c r="D57" s="9" t="s">
        <v>4118</v>
      </c>
      <c r="E57" s="9" t="s">
        <v>4101</v>
      </c>
      <c r="F57" s="9" t="n">
        <v>3</v>
      </c>
      <c r="G57" s="9" t="n">
        <v>4</v>
      </c>
      <c r="H57" s="9" t="n">
        <f aca="false">F57*G57</f>
        <v>12</v>
      </c>
      <c r="I57" s="9" t="s">
        <v>4098</v>
      </c>
      <c r="J57" s="9"/>
      <c r="K57" s="9"/>
      <c r="L57" s="9" t="s">
        <v>530</v>
      </c>
    </row>
    <row r="58" customFormat="false" ht="15" hidden="false" customHeight="false" outlineLevel="0" collapsed="false">
      <c r="A58" s="9" t="s">
        <v>4167</v>
      </c>
      <c r="B58" s="9" t="s">
        <v>70</v>
      </c>
      <c r="C58" s="9" t="s">
        <v>71</v>
      </c>
      <c r="D58" s="9" t="s">
        <v>4112</v>
      </c>
      <c r="E58" s="9" t="s">
        <v>4128</v>
      </c>
      <c r="F58" s="9" t="n">
        <v>1</v>
      </c>
      <c r="G58" s="9" t="n">
        <v>5</v>
      </c>
      <c r="H58" s="9" t="n">
        <f aca="false">F58*G58</f>
        <v>5</v>
      </c>
      <c r="I58" s="9" t="s">
        <v>4095</v>
      </c>
      <c r="J58" s="9"/>
      <c r="K58" s="9" t="s">
        <v>1349</v>
      </c>
      <c r="L58" s="9" t="s">
        <v>325</v>
      </c>
    </row>
    <row r="59" customFormat="false" ht="15" hidden="false" customHeight="false" outlineLevel="0" collapsed="false">
      <c r="A59" s="9" t="s">
        <v>4168</v>
      </c>
      <c r="B59" s="9" t="s">
        <v>62</v>
      </c>
      <c r="C59" s="9" t="s">
        <v>63</v>
      </c>
      <c r="D59" s="9" t="s">
        <v>4093</v>
      </c>
      <c r="E59" s="9" t="s">
        <v>4113</v>
      </c>
      <c r="F59" s="9" t="n">
        <v>5</v>
      </c>
      <c r="G59" s="9" t="n">
        <v>3</v>
      </c>
      <c r="H59" s="9" t="n">
        <f aca="false">F59*G59</f>
        <v>15</v>
      </c>
      <c r="I59" s="9" t="s">
        <v>4098</v>
      </c>
      <c r="J59" s="9"/>
      <c r="K59" s="9"/>
      <c r="L59" s="9" t="s">
        <v>355</v>
      </c>
    </row>
    <row r="60" customFormat="false" ht="15" hidden="false" customHeight="false" outlineLevel="0" collapsed="false">
      <c r="A60" s="9" t="s">
        <v>4169</v>
      </c>
      <c r="B60" s="9" t="s">
        <v>82</v>
      </c>
      <c r="C60" s="9" t="s">
        <v>83</v>
      </c>
      <c r="D60" s="9" t="s">
        <v>4108</v>
      </c>
      <c r="E60" s="9" t="s">
        <v>4101</v>
      </c>
      <c r="F60" s="9" t="n">
        <v>2</v>
      </c>
      <c r="G60" s="9" t="n">
        <v>2</v>
      </c>
      <c r="H60" s="9" t="n">
        <f aca="false">F60*G60</f>
        <v>4</v>
      </c>
      <c r="I60" s="9" t="s">
        <v>2852</v>
      </c>
      <c r="J60" s="9"/>
      <c r="K60" s="9" t="s">
        <v>1328</v>
      </c>
      <c r="L60" s="9" t="s">
        <v>258</v>
      </c>
    </row>
    <row r="61" customFormat="false" ht="15" hidden="false" customHeight="false" outlineLevel="0" collapsed="false">
      <c r="A61" s="9" t="s">
        <v>4170</v>
      </c>
      <c r="B61" s="9" t="s">
        <v>82</v>
      </c>
      <c r="C61" s="9" t="s">
        <v>83</v>
      </c>
      <c r="D61" s="9" t="s">
        <v>4093</v>
      </c>
      <c r="E61" s="9" t="s">
        <v>4097</v>
      </c>
      <c r="F61" s="9" t="n">
        <v>2</v>
      </c>
      <c r="G61" s="9" t="n">
        <v>5</v>
      </c>
      <c r="H61" s="9" t="n">
        <f aca="false">F61*G61</f>
        <v>10</v>
      </c>
      <c r="I61" s="9" t="s">
        <v>4098</v>
      </c>
      <c r="J61" s="9" t="s">
        <v>3978</v>
      </c>
      <c r="K61" s="9"/>
      <c r="L61" s="9" t="s">
        <v>490</v>
      </c>
    </row>
    <row r="62" customFormat="false" ht="15" hidden="false" customHeight="false" outlineLevel="0" collapsed="false">
      <c r="A62" s="9" t="s">
        <v>4171</v>
      </c>
      <c r="B62" s="9" t="s">
        <v>59</v>
      </c>
      <c r="C62" s="9" t="s">
        <v>14</v>
      </c>
      <c r="D62" s="9" t="s">
        <v>4118</v>
      </c>
      <c r="E62" s="9" t="s">
        <v>4128</v>
      </c>
      <c r="F62" s="9" t="n">
        <v>2</v>
      </c>
      <c r="G62" s="9" t="n">
        <v>4</v>
      </c>
      <c r="H62" s="9" t="n">
        <f aca="false">F62*G62</f>
        <v>8</v>
      </c>
      <c r="I62" s="9" t="s">
        <v>4098</v>
      </c>
      <c r="J62" s="9"/>
      <c r="K62" s="9" t="s">
        <v>1626</v>
      </c>
      <c r="L62" s="9" t="s">
        <v>234</v>
      </c>
    </row>
    <row r="63" customFormat="false" ht="15" hidden="false" customHeight="false" outlineLevel="0" collapsed="false">
      <c r="A63" s="9" t="s">
        <v>4172</v>
      </c>
      <c r="B63" s="9" t="s">
        <v>47</v>
      </c>
      <c r="C63" s="9" t="s">
        <v>8</v>
      </c>
      <c r="D63" s="9" t="s">
        <v>4118</v>
      </c>
      <c r="E63" s="9" t="s">
        <v>4109</v>
      </c>
      <c r="F63" s="9" t="n">
        <v>1</v>
      </c>
      <c r="G63" s="9" t="n">
        <v>4</v>
      </c>
      <c r="H63" s="9" t="n">
        <f aca="false">F63*G63</f>
        <v>4</v>
      </c>
      <c r="I63" s="9" t="s">
        <v>4095</v>
      </c>
      <c r="J63" s="9" t="s">
        <v>4004</v>
      </c>
      <c r="K63" s="9"/>
      <c r="L63" s="9" t="s">
        <v>377</v>
      </c>
    </row>
    <row r="64" customFormat="false" ht="15" hidden="false" customHeight="false" outlineLevel="0" collapsed="false">
      <c r="A64" s="9" t="s">
        <v>4173</v>
      </c>
      <c r="B64" s="9" t="s">
        <v>59</v>
      </c>
      <c r="C64" s="9" t="s">
        <v>14</v>
      </c>
      <c r="D64" s="9" t="s">
        <v>4118</v>
      </c>
      <c r="E64" s="9" t="s">
        <v>4103</v>
      </c>
      <c r="F64" s="9" t="n">
        <v>5</v>
      </c>
      <c r="G64" s="9" t="n">
        <v>1</v>
      </c>
      <c r="H64" s="9" t="n">
        <f aca="false">F64*G64</f>
        <v>5</v>
      </c>
      <c r="I64" s="9" t="s">
        <v>4098</v>
      </c>
      <c r="J64" s="9" t="s">
        <v>3998</v>
      </c>
      <c r="K64" s="9"/>
      <c r="L64" s="9" t="s">
        <v>466</v>
      </c>
    </row>
    <row r="65" customFormat="false" ht="15" hidden="false" customHeight="false" outlineLevel="0" collapsed="false">
      <c r="A65" s="9" t="s">
        <v>4174</v>
      </c>
      <c r="B65" s="9" t="s">
        <v>51</v>
      </c>
      <c r="C65" s="9" t="s">
        <v>10</v>
      </c>
      <c r="D65" s="9" t="s">
        <v>4118</v>
      </c>
      <c r="E65" s="9" t="s">
        <v>4113</v>
      </c>
      <c r="F65" s="9" t="n">
        <v>1</v>
      </c>
      <c r="G65" s="9" t="n">
        <v>4</v>
      </c>
      <c r="H65" s="9" t="n">
        <f aca="false">F65*G65</f>
        <v>4</v>
      </c>
      <c r="I65" s="9" t="s">
        <v>4095</v>
      </c>
      <c r="J65" s="9"/>
      <c r="K65" s="9"/>
      <c r="L65" s="9" t="s">
        <v>498</v>
      </c>
    </row>
    <row r="66" customFormat="false" ht="15" hidden="false" customHeight="false" outlineLevel="0" collapsed="false">
      <c r="A66" s="9" t="s">
        <v>4175</v>
      </c>
      <c r="B66" s="9" t="s">
        <v>59</v>
      </c>
      <c r="C66" s="9" t="s">
        <v>14</v>
      </c>
      <c r="D66" s="9" t="s">
        <v>4115</v>
      </c>
      <c r="E66" s="9" t="s">
        <v>4122</v>
      </c>
      <c r="F66" s="9" t="n">
        <v>3</v>
      </c>
      <c r="G66" s="9" t="n">
        <v>4</v>
      </c>
      <c r="H66" s="9" t="n">
        <f aca="false">F66*G66</f>
        <v>12</v>
      </c>
      <c r="I66" s="9" t="s">
        <v>2852</v>
      </c>
      <c r="J66" s="9" t="s">
        <v>3987</v>
      </c>
      <c r="K66" s="9"/>
      <c r="L66" s="9" t="s">
        <v>60</v>
      </c>
    </row>
    <row r="67" customFormat="false" ht="15" hidden="false" customHeight="false" outlineLevel="0" collapsed="false">
      <c r="A67" s="9" t="s">
        <v>4176</v>
      </c>
      <c r="B67" s="9" t="s">
        <v>70</v>
      </c>
      <c r="C67" s="9" t="s">
        <v>71</v>
      </c>
      <c r="D67" s="9" t="s">
        <v>4100</v>
      </c>
      <c r="E67" s="9" t="s">
        <v>4106</v>
      </c>
      <c r="F67" s="9" t="n">
        <v>3</v>
      </c>
      <c r="G67" s="9" t="n">
        <v>3</v>
      </c>
      <c r="H67" s="9" t="n">
        <f aca="false">F67*G67</f>
        <v>9</v>
      </c>
      <c r="I67" s="9" t="s">
        <v>4098</v>
      </c>
      <c r="J67" s="9"/>
      <c r="K67" s="9"/>
      <c r="L67" s="9" t="s">
        <v>363</v>
      </c>
    </row>
    <row r="68" customFormat="false" ht="15" hidden="false" customHeight="false" outlineLevel="0" collapsed="false">
      <c r="A68" s="9" t="s">
        <v>4177</v>
      </c>
      <c r="B68" s="9" t="s">
        <v>62</v>
      </c>
      <c r="C68" s="9" t="s">
        <v>63</v>
      </c>
      <c r="D68" s="9" t="s">
        <v>4118</v>
      </c>
      <c r="E68" s="9" t="s">
        <v>4106</v>
      </c>
      <c r="F68" s="9" t="n">
        <v>4</v>
      </c>
      <c r="G68" s="9" t="n">
        <v>4</v>
      </c>
      <c r="H68" s="9" t="n">
        <f aca="false">F68*G68</f>
        <v>16</v>
      </c>
      <c r="I68" s="9" t="s">
        <v>2852</v>
      </c>
      <c r="J68" s="9" t="s">
        <v>4015</v>
      </c>
      <c r="K68" s="9"/>
      <c r="L68" s="9" t="s">
        <v>506</v>
      </c>
    </row>
    <row r="69" customFormat="false" ht="15" hidden="false" customHeight="false" outlineLevel="0" collapsed="false">
      <c r="A69" s="9" t="s">
        <v>4178</v>
      </c>
      <c r="B69" s="9" t="s">
        <v>59</v>
      </c>
      <c r="C69" s="9" t="s">
        <v>14</v>
      </c>
      <c r="D69" s="9" t="s">
        <v>4118</v>
      </c>
      <c r="E69" s="9" t="s">
        <v>4101</v>
      </c>
      <c r="F69" s="9" t="n">
        <v>1</v>
      </c>
      <c r="G69" s="9" t="n">
        <v>2</v>
      </c>
      <c r="H69" s="9" t="n">
        <f aca="false">F69*G69</f>
        <v>2</v>
      </c>
      <c r="I69" s="9" t="s">
        <v>2852</v>
      </c>
      <c r="J69" s="9"/>
      <c r="K69" s="9" t="s">
        <v>1454</v>
      </c>
      <c r="L69" s="9" t="s">
        <v>681</v>
      </c>
    </row>
    <row r="70" customFormat="false" ht="15" hidden="false" customHeight="false" outlineLevel="0" collapsed="false">
      <c r="A70" s="9" t="s">
        <v>4179</v>
      </c>
      <c r="B70" s="9" t="s">
        <v>82</v>
      </c>
      <c r="C70" s="9" t="s">
        <v>83</v>
      </c>
      <c r="D70" s="9" t="s">
        <v>4093</v>
      </c>
      <c r="E70" s="9" t="s">
        <v>4113</v>
      </c>
      <c r="F70" s="9" t="n">
        <v>3</v>
      </c>
      <c r="G70" s="9" t="n">
        <v>3</v>
      </c>
      <c r="H70" s="9" t="n">
        <f aca="false">F70*G70</f>
        <v>9</v>
      </c>
      <c r="I70" s="9" t="s">
        <v>2852</v>
      </c>
      <c r="J70" s="9"/>
      <c r="K70" s="9"/>
      <c r="L70" s="9" t="s">
        <v>613</v>
      </c>
    </row>
    <row r="71" customFormat="false" ht="15" hidden="false" customHeight="false" outlineLevel="0" collapsed="false">
      <c r="A71" s="9" t="s">
        <v>4180</v>
      </c>
      <c r="B71" s="9" t="s">
        <v>78</v>
      </c>
      <c r="C71" s="9" t="s">
        <v>79</v>
      </c>
      <c r="D71" s="9" t="s">
        <v>4118</v>
      </c>
      <c r="E71" s="9" t="s">
        <v>4135</v>
      </c>
      <c r="F71" s="9" t="n">
        <v>3</v>
      </c>
      <c r="G71" s="9" t="n">
        <v>1</v>
      </c>
      <c r="H71" s="9" t="n">
        <f aca="false">F71*G71</f>
        <v>3</v>
      </c>
      <c r="I71" s="9" t="s">
        <v>4095</v>
      </c>
      <c r="J71" s="9"/>
      <c r="K71" s="9" t="s">
        <v>1342</v>
      </c>
      <c r="L71" s="9" t="s">
        <v>294</v>
      </c>
    </row>
    <row r="72" customFormat="false" ht="15" hidden="false" customHeight="false" outlineLevel="0" collapsed="false">
      <c r="A72" s="9" t="s">
        <v>4181</v>
      </c>
      <c r="B72" s="9" t="s">
        <v>66</v>
      </c>
      <c r="C72" s="9" t="s">
        <v>67</v>
      </c>
      <c r="D72" s="9" t="s">
        <v>4093</v>
      </c>
      <c r="E72" s="9" t="s">
        <v>4128</v>
      </c>
      <c r="F72" s="9" t="n">
        <v>5</v>
      </c>
      <c r="G72" s="9" t="n">
        <v>3</v>
      </c>
      <c r="H72" s="9" t="n">
        <f aca="false">F72*G72</f>
        <v>15</v>
      </c>
      <c r="I72" s="9" t="s">
        <v>2852</v>
      </c>
      <c r="J72" s="9" t="s">
        <v>3966</v>
      </c>
      <c r="K72" s="9"/>
      <c r="L72" s="9" t="s">
        <v>635</v>
      </c>
    </row>
    <row r="73" customFormat="false" ht="15" hidden="false" customHeight="false" outlineLevel="0" collapsed="false">
      <c r="A73" s="9" t="s">
        <v>4182</v>
      </c>
      <c r="B73" s="9" t="s">
        <v>55</v>
      </c>
      <c r="C73" s="9" t="s">
        <v>56</v>
      </c>
      <c r="D73" s="9" t="s">
        <v>4100</v>
      </c>
      <c r="E73" s="9" t="s">
        <v>4097</v>
      </c>
      <c r="F73" s="9" t="n">
        <v>5</v>
      </c>
      <c r="G73" s="9" t="n">
        <v>4</v>
      </c>
      <c r="H73" s="9" t="n">
        <f aca="false">F73*G73</f>
        <v>20</v>
      </c>
      <c r="I73" s="9" t="s">
        <v>2852</v>
      </c>
      <c r="J73" s="9"/>
      <c r="K73" s="9"/>
      <c r="L73" s="9" t="s">
        <v>309</v>
      </c>
    </row>
    <row r="74" customFormat="false" ht="15" hidden="false" customHeight="false" outlineLevel="0" collapsed="false">
      <c r="A74" s="9" t="s">
        <v>4183</v>
      </c>
      <c r="B74" s="9" t="s">
        <v>47</v>
      </c>
      <c r="C74" s="9" t="s">
        <v>8</v>
      </c>
      <c r="D74" s="9" t="s">
        <v>4108</v>
      </c>
      <c r="E74" s="9" t="s">
        <v>4113</v>
      </c>
      <c r="F74" s="9" t="n">
        <v>1</v>
      </c>
      <c r="G74" s="9" t="n">
        <v>4</v>
      </c>
      <c r="H74" s="9" t="n">
        <f aca="false">F74*G74</f>
        <v>4</v>
      </c>
      <c r="I74" s="9" t="s">
        <v>4098</v>
      </c>
      <c r="J74" s="9"/>
      <c r="K74" s="9" t="s">
        <v>1454</v>
      </c>
      <c r="L74" s="9" t="s">
        <v>377</v>
      </c>
    </row>
    <row r="75" customFormat="false" ht="15" hidden="false" customHeight="false" outlineLevel="0" collapsed="false">
      <c r="A75" s="9" t="s">
        <v>4184</v>
      </c>
      <c r="B75" s="9" t="s">
        <v>78</v>
      </c>
      <c r="C75" s="9" t="s">
        <v>79</v>
      </c>
      <c r="D75" s="9" t="s">
        <v>4100</v>
      </c>
      <c r="E75" s="9" t="s">
        <v>4135</v>
      </c>
      <c r="F75" s="9" t="n">
        <v>5</v>
      </c>
      <c r="G75" s="9" t="n">
        <v>1</v>
      </c>
      <c r="H75" s="9" t="n">
        <f aca="false">F75*G75</f>
        <v>5</v>
      </c>
      <c r="I75" s="9" t="s">
        <v>2852</v>
      </c>
      <c r="J75" s="9" t="s">
        <v>4047</v>
      </c>
      <c r="K75" s="9"/>
      <c r="L75" s="9" t="s">
        <v>294</v>
      </c>
    </row>
    <row r="76" customFormat="false" ht="15" hidden="false" customHeight="false" outlineLevel="0" collapsed="false">
      <c r="A76" s="9" t="s">
        <v>4185</v>
      </c>
      <c r="B76" s="9" t="s">
        <v>78</v>
      </c>
      <c r="C76" s="9" t="s">
        <v>79</v>
      </c>
      <c r="D76" s="9" t="s">
        <v>4108</v>
      </c>
      <c r="E76" s="9" t="s">
        <v>4101</v>
      </c>
      <c r="F76" s="9" t="n">
        <v>1</v>
      </c>
      <c r="G76" s="9" t="n">
        <v>4</v>
      </c>
      <c r="H76" s="9" t="n">
        <f aca="false">F76*G76</f>
        <v>4</v>
      </c>
      <c r="I76" s="9" t="s">
        <v>2852</v>
      </c>
      <c r="J76" s="9"/>
      <c r="K76" s="9"/>
      <c r="L76" s="9" t="s">
        <v>483</v>
      </c>
    </row>
    <row r="77" customFormat="false" ht="15" hidden="false" customHeight="false" outlineLevel="0" collapsed="false">
      <c r="A77" s="9" t="s">
        <v>4186</v>
      </c>
      <c r="B77" s="9" t="s">
        <v>59</v>
      </c>
      <c r="C77" s="9" t="s">
        <v>14</v>
      </c>
      <c r="D77" s="9" t="s">
        <v>4112</v>
      </c>
      <c r="E77" s="9" t="s">
        <v>4135</v>
      </c>
      <c r="F77" s="9" t="n">
        <v>2</v>
      </c>
      <c r="G77" s="9" t="n">
        <v>2</v>
      </c>
      <c r="H77" s="9" t="n">
        <f aca="false">F77*G77</f>
        <v>4</v>
      </c>
      <c r="I77" s="9" t="s">
        <v>4095</v>
      </c>
      <c r="J77" s="9"/>
      <c r="K77" s="9"/>
      <c r="L77" s="9" t="s">
        <v>673</v>
      </c>
    </row>
    <row r="78" customFormat="false" ht="15" hidden="false" customHeight="false" outlineLevel="0" collapsed="false">
      <c r="A78" s="9" t="s">
        <v>4187</v>
      </c>
      <c r="B78" s="9" t="s">
        <v>82</v>
      </c>
      <c r="C78" s="9" t="s">
        <v>83</v>
      </c>
      <c r="D78" s="9" t="s">
        <v>4115</v>
      </c>
      <c r="E78" s="9" t="s">
        <v>4113</v>
      </c>
      <c r="F78" s="9" t="n">
        <v>2</v>
      </c>
      <c r="G78" s="9" t="n">
        <v>3</v>
      </c>
      <c r="H78" s="9" t="n">
        <f aca="false">F78*G78</f>
        <v>6</v>
      </c>
      <c r="I78" s="9" t="s">
        <v>4098</v>
      </c>
      <c r="J78" s="9" t="s">
        <v>4076</v>
      </c>
      <c r="K78" s="9"/>
      <c r="L78" s="9" t="s">
        <v>628</v>
      </c>
    </row>
    <row r="79" customFormat="false" ht="15" hidden="false" customHeight="false" outlineLevel="0" collapsed="false">
      <c r="A79" s="9" t="s">
        <v>4188</v>
      </c>
      <c r="B79" s="9" t="s">
        <v>78</v>
      </c>
      <c r="C79" s="9" t="s">
        <v>79</v>
      </c>
      <c r="D79" s="9" t="s">
        <v>4112</v>
      </c>
      <c r="E79" s="9" t="s">
        <v>4101</v>
      </c>
      <c r="F79" s="9" t="n">
        <v>3</v>
      </c>
      <c r="G79" s="9" t="n">
        <v>2</v>
      </c>
      <c r="H79" s="9" t="n">
        <f aca="false">F79*G79</f>
        <v>6</v>
      </c>
      <c r="I79" s="9" t="s">
        <v>4098</v>
      </c>
      <c r="J79" s="9" t="s">
        <v>4030</v>
      </c>
      <c r="K79" s="9"/>
      <c r="L79" s="9" t="s">
        <v>483</v>
      </c>
    </row>
    <row r="80" customFormat="false" ht="15" hidden="false" customHeight="false" outlineLevel="0" collapsed="false">
      <c r="A80" s="9" t="s">
        <v>4189</v>
      </c>
      <c r="B80" s="9" t="s">
        <v>47</v>
      </c>
      <c r="C80" s="9" t="s">
        <v>8</v>
      </c>
      <c r="D80" s="9" t="s">
        <v>4105</v>
      </c>
      <c r="E80" s="9" t="s">
        <v>4103</v>
      </c>
      <c r="F80" s="9" t="n">
        <v>1</v>
      </c>
      <c r="G80" s="9" t="n">
        <v>2</v>
      </c>
      <c r="H80" s="9" t="n">
        <f aca="false">F80*G80</f>
        <v>2</v>
      </c>
      <c r="I80" s="9" t="s">
        <v>4098</v>
      </c>
      <c r="J80" s="9"/>
      <c r="K80" s="9" t="s">
        <v>1522</v>
      </c>
      <c r="L80" s="9" t="s">
        <v>97</v>
      </c>
    </row>
    <row r="81" customFormat="false" ht="15" hidden="false" customHeight="false" outlineLevel="0" collapsed="false">
      <c r="A81" s="9" t="s">
        <v>4190</v>
      </c>
      <c r="B81" s="9" t="s">
        <v>59</v>
      </c>
      <c r="C81" s="9" t="s">
        <v>14</v>
      </c>
      <c r="D81" s="9" t="s">
        <v>4118</v>
      </c>
      <c r="E81" s="9" t="s">
        <v>4103</v>
      </c>
      <c r="F81" s="9" t="n">
        <v>3</v>
      </c>
      <c r="G81" s="9" t="n">
        <v>1</v>
      </c>
      <c r="H81" s="9" t="n">
        <f aca="false">F81*G81</f>
        <v>3</v>
      </c>
      <c r="I81" s="9" t="s">
        <v>2852</v>
      </c>
      <c r="J81" s="9"/>
      <c r="K81" s="9"/>
      <c r="L81" s="9" t="s">
        <v>313</v>
      </c>
    </row>
    <row r="82" customFormat="false" ht="15" hidden="false" customHeight="false" outlineLevel="0" collapsed="false">
      <c r="A82" s="9" t="s">
        <v>4191</v>
      </c>
      <c r="B82" s="9" t="s">
        <v>82</v>
      </c>
      <c r="C82" s="9" t="s">
        <v>83</v>
      </c>
      <c r="D82" s="9" t="s">
        <v>4100</v>
      </c>
      <c r="E82" s="9" t="s">
        <v>4109</v>
      </c>
      <c r="F82" s="9" t="n">
        <v>2</v>
      </c>
      <c r="G82" s="9" t="n">
        <v>4</v>
      </c>
      <c r="H82" s="9" t="n">
        <f aca="false">F82*G82</f>
        <v>8</v>
      </c>
      <c r="I82" s="9" t="s">
        <v>4098</v>
      </c>
      <c r="J82" s="9"/>
      <c r="K82" s="9"/>
      <c r="L82" s="9" t="s">
        <v>258</v>
      </c>
    </row>
    <row r="83" customFormat="false" ht="15" hidden="false" customHeight="false" outlineLevel="0" collapsed="false">
      <c r="A83" s="9" t="s">
        <v>4192</v>
      </c>
      <c r="B83" s="9" t="s">
        <v>78</v>
      </c>
      <c r="C83" s="9" t="s">
        <v>79</v>
      </c>
      <c r="D83" s="9" t="s">
        <v>4108</v>
      </c>
      <c r="E83" s="9" t="s">
        <v>4094</v>
      </c>
      <c r="F83" s="9" t="n">
        <v>2</v>
      </c>
      <c r="G83" s="9" t="n">
        <v>3</v>
      </c>
      <c r="H83" s="9" t="n">
        <f aca="false">F83*G83</f>
        <v>6</v>
      </c>
      <c r="I83" s="9" t="s">
        <v>4098</v>
      </c>
      <c r="J83" s="9" t="s">
        <v>4050</v>
      </c>
      <c r="K83" s="9"/>
      <c r="L83" s="9" t="s">
        <v>409</v>
      </c>
    </row>
    <row r="84" customFormat="false" ht="15" hidden="false" customHeight="false" outlineLevel="0" collapsed="false">
      <c r="A84" s="9" t="s">
        <v>4193</v>
      </c>
      <c r="B84" s="9" t="s">
        <v>66</v>
      </c>
      <c r="C84" s="9" t="s">
        <v>67</v>
      </c>
      <c r="D84" s="9" t="s">
        <v>4093</v>
      </c>
      <c r="E84" s="9" t="s">
        <v>4122</v>
      </c>
      <c r="F84" s="9" t="n">
        <v>3</v>
      </c>
      <c r="G84" s="9" t="n">
        <v>1</v>
      </c>
      <c r="H84" s="9" t="n">
        <f aca="false">F84*G84</f>
        <v>3</v>
      </c>
      <c r="I84" s="9" t="s">
        <v>4098</v>
      </c>
      <c r="J84" s="9"/>
      <c r="K84" s="9"/>
      <c r="L84" s="9" t="s">
        <v>68</v>
      </c>
    </row>
    <row r="85" customFormat="false" ht="15" hidden="false" customHeight="false" outlineLevel="0" collapsed="false">
      <c r="A85" s="9" t="s">
        <v>4194</v>
      </c>
      <c r="B85" s="9" t="s">
        <v>55</v>
      </c>
      <c r="C85" s="9" t="s">
        <v>56</v>
      </c>
      <c r="D85" s="9" t="s">
        <v>4115</v>
      </c>
      <c r="E85" s="9" t="s">
        <v>4113</v>
      </c>
      <c r="F85" s="9" t="n">
        <v>4</v>
      </c>
      <c r="G85" s="9" t="n">
        <v>1</v>
      </c>
      <c r="H85" s="9" t="n">
        <f aca="false">F85*G85</f>
        <v>4</v>
      </c>
      <c r="I85" s="9" t="s">
        <v>4095</v>
      </c>
      <c r="J85" s="9" t="s">
        <v>4018</v>
      </c>
      <c r="K85" s="9" t="s">
        <v>1404</v>
      </c>
      <c r="L85" s="9" t="s">
        <v>462</v>
      </c>
    </row>
    <row r="86" customFormat="false" ht="15" hidden="false" customHeight="false" outlineLevel="0" collapsed="false">
      <c r="A86" s="9" t="s">
        <v>4195</v>
      </c>
      <c r="B86" s="9" t="s">
        <v>78</v>
      </c>
      <c r="C86" s="9" t="s">
        <v>79</v>
      </c>
      <c r="D86" s="9" t="s">
        <v>4115</v>
      </c>
      <c r="E86" s="9" t="s">
        <v>4122</v>
      </c>
      <c r="F86" s="9" t="n">
        <v>2</v>
      </c>
      <c r="G86" s="9" t="n">
        <v>4</v>
      </c>
      <c r="H86" s="9" t="n">
        <f aca="false">F86*G86</f>
        <v>8</v>
      </c>
      <c r="I86" s="9" t="s">
        <v>2852</v>
      </c>
      <c r="J86" s="9"/>
      <c r="K86" s="9"/>
      <c r="L86" s="9" t="s">
        <v>446</v>
      </c>
    </row>
    <row r="87" customFormat="false" ht="15" hidden="false" customHeight="false" outlineLevel="0" collapsed="false">
      <c r="A87" s="9" t="s">
        <v>4196</v>
      </c>
      <c r="B87" s="9" t="s">
        <v>59</v>
      </c>
      <c r="C87" s="9" t="s">
        <v>14</v>
      </c>
      <c r="D87" s="9" t="s">
        <v>4093</v>
      </c>
      <c r="E87" s="9" t="s">
        <v>4097</v>
      </c>
      <c r="F87" s="9" t="n">
        <v>2</v>
      </c>
      <c r="G87" s="9" t="n">
        <v>3</v>
      </c>
      <c r="H87" s="9" t="n">
        <f aca="false">F87*G87</f>
        <v>6</v>
      </c>
      <c r="I87" s="9" t="s">
        <v>4098</v>
      </c>
      <c r="J87" s="9"/>
      <c r="K87" s="9"/>
      <c r="L87" s="9" t="s">
        <v>466</v>
      </c>
    </row>
    <row r="88" customFormat="false" ht="15" hidden="false" customHeight="false" outlineLevel="0" collapsed="false">
      <c r="A88" s="9" t="s">
        <v>4197</v>
      </c>
      <c r="B88" s="9" t="s">
        <v>78</v>
      </c>
      <c r="C88" s="9" t="s">
        <v>79</v>
      </c>
      <c r="D88" s="9" t="s">
        <v>4115</v>
      </c>
      <c r="E88" s="9" t="s">
        <v>4122</v>
      </c>
      <c r="F88" s="9" t="n">
        <v>3</v>
      </c>
      <c r="G88" s="9" t="n">
        <v>5</v>
      </c>
      <c r="H88" s="9" t="n">
        <f aca="false">F88*G88</f>
        <v>15</v>
      </c>
      <c r="I88" s="9" t="s">
        <v>4098</v>
      </c>
      <c r="J88" s="9" t="s">
        <v>4055</v>
      </c>
      <c r="K88" s="9" t="s">
        <v>1317</v>
      </c>
      <c r="L88" s="9" t="s">
        <v>177</v>
      </c>
    </row>
    <row r="89" customFormat="false" ht="15" hidden="false" customHeight="false" outlineLevel="0" collapsed="false">
      <c r="A89" s="9" t="s">
        <v>4198</v>
      </c>
      <c r="B89" s="9" t="s">
        <v>82</v>
      </c>
      <c r="C89" s="9" t="s">
        <v>83</v>
      </c>
      <c r="D89" s="9" t="s">
        <v>4118</v>
      </c>
      <c r="E89" s="9" t="s">
        <v>4135</v>
      </c>
      <c r="F89" s="9" t="n">
        <v>5</v>
      </c>
      <c r="G89" s="9" t="n">
        <v>5</v>
      </c>
      <c r="H89" s="9" t="n">
        <f aca="false">F89*G89</f>
        <v>25</v>
      </c>
      <c r="I89" s="9" t="s">
        <v>2852</v>
      </c>
      <c r="J89" s="9"/>
      <c r="K89" s="9" t="s">
        <v>1261</v>
      </c>
      <c r="L89" s="9" t="s">
        <v>585</v>
      </c>
    </row>
    <row r="90" customFormat="false" ht="15" hidden="false" customHeight="false" outlineLevel="0" collapsed="false">
      <c r="A90" s="9" t="s">
        <v>4199</v>
      </c>
      <c r="B90" s="9" t="s">
        <v>78</v>
      </c>
      <c r="C90" s="9" t="s">
        <v>79</v>
      </c>
      <c r="D90" s="9" t="s">
        <v>4100</v>
      </c>
      <c r="E90" s="9" t="s">
        <v>4109</v>
      </c>
      <c r="F90" s="9" t="n">
        <v>4</v>
      </c>
      <c r="G90" s="9" t="n">
        <v>3</v>
      </c>
      <c r="H90" s="9" t="n">
        <f aca="false">F90*G90</f>
        <v>12</v>
      </c>
      <c r="I90" s="9" t="s">
        <v>4095</v>
      </c>
      <c r="J90" s="9" t="s">
        <v>4019</v>
      </c>
      <c r="K90" s="9" t="s">
        <v>1364</v>
      </c>
      <c r="L90" s="9" t="s">
        <v>620</v>
      </c>
    </row>
    <row r="91" customFormat="false" ht="15" hidden="false" customHeight="false" outlineLevel="0" collapsed="false">
      <c r="A91" s="9" t="s">
        <v>4200</v>
      </c>
      <c r="B91" s="9" t="s">
        <v>62</v>
      </c>
      <c r="C91" s="9" t="s">
        <v>63</v>
      </c>
      <c r="D91" s="9" t="s">
        <v>4118</v>
      </c>
      <c r="E91" s="9" t="s">
        <v>4101</v>
      </c>
      <c r="F91" s="9" t="n">
        <v>5</v>
      </c>
      <c r="G91" s="9" t="n">
        <v>1</v>
      </c>
      <c r="H91" s="9" t="n">
        <f aca="false">F91*G91</f>
        <v>5</v>
      </c>
      <c r="I91" s="9" t="s">
        <v>4098</v>
      </c>
      <c r="J91" s="9" t="s">
        <v>4037</v>
      </c>
      <c r="K91" s="9" t="s">
        <v>1457</v>
      </c>
      <c r="L91" s="9" t="s">
        <v>317</v>
      </c>
    </row>
    <row r="92" customFormat="false" ht="15" hidden="false" customHeight="false" outlineLevel="0" collapsed="false">
      <c r="A92" s="9" t="s">
        <v>4201</v>
      </c>
      <c r="B92" s="9" t="s">
        <v>59</v>
      </c>
      <c r="C92" s="9" t="s">
        <v>14</v>
      </c>
      <c r="D92" s="9" t="s">
        <v>4100</v>
      </c>
      <c r="E92" s="9" t="s">
        <v>4135</v>
      </c>
      <c r="F92" s="9" t="n">
        <v>4</v>
      </c>
      <c r="G92" s="9" t="n">
        <v>4</v>
      </c>
      <c r="H92" s="9" t="n">
        <f aca="false">F92*G92</f>
        <v>16</v>
      </c>
      <c r="I92" s="9" t="s">
        <v>2852</v>
      </c>
      <c r="J92" s="9"/>
      <c r="K92" s="9" t="s">
        <v>1404</v>
      </c>
      <c r="L92" s="9" t="s">
        <v>156</v>
      </c>
    </row>
    <row r="93" customFormat="false" ht="15" hidden="false" customHeight="false" outlineLevel="0" collapsed="false">
      <c r="A93" s="9" t="s">
        <v>4202</v>
      </c>
      <c r="B93" s="9" t="s">
        <v>62</v>
      </c>
      <c r="C93" s="9" t="s">
        <v>63</v>
      </c>
      <c r="D93" s="9" t="s">
        <v>4118</v>
      </c>
      <c r="E93" s="9" t="s">
        <v>4103</v>
      </c>
      <c r="F93" s="9" t="n">
        <v>1</v>
      </c>
      <c r="G93" s="9" t="n">
        <v>5</v>
      </c>
      <c r="H93" s="9" t="n">
        <f aca="false">F93*G93</f>
        <v>5</v>
      </c>
      <c r="I93" s="9" t="s">
        <v>4098</v>
      </c>
      <c r="J93" s="9"/>
      <c r="K93" s="9" t="s">
        <v>1442</v>
      </c>
      <c r="L93" s="9" t="s">
        <v>278</v>
      </c>
    </row>
    <row r="94" customFormat="false" ht="15" hidden="false" customHeight="false" outlineLevel="0" collapsed="false">
      <c r="A94" s="9" t="s">
        <v>4203</v>
      </c>
      <c r="B94" s="9" t="s">
        <v>66</v>
      </c>
      <c r="C94" s="9" t="s">
        <v>67</v>
      </c>
      <c r="D94" s="9" t="s">
        <v>4115</v>
      </c>
      <c r="E94" s="9" t="s">
        <v>4106</v>
      </c>
      <c r="F94" s="9" t="n">
        <v>5</v>
      </c>
      <c r="G94" s="9" t="n">
        <v>3</v>
      </c>
      <c r="H94" s="9" t="n">
        <f aca="false">F94*G94</f>
        <v>15</v>
      </c>
      <c r="I94" s="9" t="s">
        <v>2852</v>
      </c>
      <c r="J94" s="9"/>
      <c r="K94" s="9"/>
      <c r="L94" s="9" t="s">
        <v>635</v>
      </c>
    </row>
    <row r="95" customFormat="false" ht="15" hidden="false" customHeight="false" outlineLevel="0" collapsed="false">
      <c r="A95" s="9" t="s">
        <v>4204</v>
      </c>
      <c r="B95" s="9" t="s">
        <v>74</v>
      </c>
      <c r="C95" s="9" t="s">
        <v>75</v>
      </c>
      <c r="D95" s="9" t="s">
        <v>4108</v>
      </c>
      <c r="E95" s="9" t="s">
        <v>4106</v>
      </c>
      <c r="F95" s="9" t="n">
        <v>5</v>
      </c>
      <c r="G95" s="9" t="n">
        <v>5</v>
      </c>
      <c r="H95" s="9" t="n">
        <f aca="false">F95*G95</f>
        <v>25</v>
      </c>
      <c r="I95" s="9" t="s">
        <v>4098</v>
      </c>
      <c r="J95" s="9"/>
      <c r="K95" s="9" t="s">
        <v>1565</v>
      </c>
      <c r="L95" s="9" t="s">
        <v>502</v>
      </c>
    </row>
    <row r="96" customFormat="false" ht="15" hidden="false" customHeight="false" outlineLevel="0" collapsed="false">
      <c r="A96" s="9" t="s">
        <v>4205</v>
      </c>
      <c r="B96" s="9" t="s">
        <v>47</v>
      </c>
      <c r="C96" s="9" t="s">
        <v>8</v>
      </c>
      <c r="D96" s="9" t="s">
        <v>4100</v>
      </c>
      <c r="E96" s="9" t="s">
        <v>4128</v>
      </c>
      <c r="F96" s="9" t="n">
        <v>1</v>
      </c>
      <c r="G96" s="9" t="n">
        <v>4</v>
      </c>
      <c r="H96" s="9" t="n">
        <f aca="false">F96*G96</f>
        <v>4</v>
      </c>
      <c r="I96" s="9" t="s">
        <v>4098</v>
      </c>
      <c r="J96" s="9"/>
      <c r="K96" s="9" t="s">
        <v>1549</v>
      </c>
      <c r="L96" s="9" t="s">
        <v>546</v>
      </c>
    </row>
    <row r="97" customFormat="false" ht="15" hidden="false" customHeight="false" outlineLevel="0" collapsed="false">
      <c r="A97" s="9" t="s">
        <v>4206</v>
      </c>
      <c r="B97" s="9" t="s">
        <v>74</v>
      </c>
      <c r="C97" s="9" t="s">
        <v>75</v>
      </c>
      <c r="D97" s="9" t="s">
        <v>4093</v>
      </c>
      <c r="E97" s="9" t="s">
        <v>4128</v>
      </c>
      <c r="F97" s="9" t="n">
        <v>2</v>
      </c>
      <c r="G97" s="9" t="n">
        <v>5</v>
      </c>
      <c r="H97" s="9" t="n">
        <f aca="false">F97*G97</f>
        <v>10</v>
      </c>
      <c r="I97" s="9" t="s">
        <v>2852</v>
      </c>
      <c r="J97" s="9" t="s">
        <v>4068</v>
      </c>
      <c r="K97" s="9"/>
      <c r="L97" s="9" t="s">
        <v>566</v>
      </c>
    </row>
    <row r="98" customFormat="false" ht="15" hidden="false" customHeight="false" outlineLevel="0" collapsed="false">
      <c r="A98" s="9" t="s">
        <v>4207</v>
      </c>
      <c r="B98" s="9" t="s">
        <v>74</v>
      </c>
      <c r="C98" s="9" t="s">
        <v>75</v>
      </c>
      <c r="D98" s="9" t="s">
        <v>4093</v>
      </c>
      <c r="E98" s="9" t="s">
        <v>4103</v>
      </c>
      <c r="F98" s="9" t="n">
        <v>4</v>
      </c>
      <c r="G98" s="9" t="n">
        <v>1</v>
      </c>
      <c r="H98" s="9" t="n">
        <f aca="false">F98*G98</f>
        <v>4</v>
      </c>
      <c r="I98" s="9" t="s">
        <v>4098</v>
      </c>
      <c r="J98" s="9"/>
      <c r="K98" s="9"/>
      <c r="L98" s="9" t="s">
        <v>442</v>
      </c>
    </row>
    <row r="99" customFormat="false" ht="15" hidden="false" customHeight="false" outlineLevel="0" collapsed="false">
      <c r="A99" s="9" t="s">
        <v>4208</v>
      </c>
      <c r="B99" s="9" t="s">
        <v>62</v>
      </c>
      <c r="C99" s="9" t="s">
        <v>63</v>
      </c>
      <c r="D99" s="9" t="s">
        <v>4108</v>
      </c>
      <c r="E99" s="9" t="s">
        <v>4122</v>
      </c>
      <c r="F99" s="9" t="n">
        <v>3</v>
      </c>
      <c r="G99" s="9" t="n">
        <v>4</v>
      </c>
      <c r="H99" s="9" t="n">
        <f aca="false">F99*G99</f>
        <v>12</v>
      </c>
      <c r="I99" s="9" t="s">
        <v>2852</v>
      </c>
      <c r="J99" s="9"/>
      <c r="K99" s="9"/>
      <c r="L99" s="9" t="s">
        <v>514</v>
      </c>
    </row>
    <row r="100" customFormat="false" ht="15" hidden="false" customHeight="false" outlineLevel="0" collapsed="false">
      <c r="A100" s="9" t="s">
        <v>4209</v>
      </c>
      <c r="B100" s="9" t="s">
        <v>51</v>
      </c>
      <c r="C100" s="9" t="s">
        <v>10</v>
      </c>
      <c r="D100" s="9" t="s">
        <v>4105</v>
      </c>
      <c r="E100" s="9" t="s">
        <v>4109</v>
      </c>
      <c r="F100" s="9" t="n">
        <v>2</v>
      </c>
      <c r="G100" s="9" t="n">
        <v>5</v>
      </c>
      <c r="H100" s="9" t="n">
        <f aca="false">F100*G100</f>
        <v>10</v>
      </c>
      <c r="I100" s="9" t="s">
        <v>2852</v>
      </c>
      <c r="J100" s="9"/>
      <c r="K100" s="9"/>
      <c r="L100" s="9" t="s">
        <v>420</v>
      </c>
    </row>
    <row r="101" customFormat="false" ht="15" hidden="false" customHeight="false" outlineLevel="0" collapsed="false">
      <c r="A101" s="9" t="s">
        <v>4210</v>
      </c>
      <c r="B101" s="9" t="s">
        <v>74</v>
      </c>
      <c r="C101" s="9" t="s">
        <v>75</v>
      </c>
      <c r="D101" s="9" t="s">
        <v>4112</v>
      </c>
      <c r="E101" s="9" t="s">
        <v>4101</v>
      </c>
      <c r="F101" s="9" t="n">
        <v>5</v>
      </c>
      <c r="G101" s="9" t="n">
        <v>4</v>
      </c>
      <c r="H101" s="9" t="n">
        <f aca="false">F101*G101</f>
        <v>20</v>
      </c>
      <c r="I101" s="9" t="s">
        <v>2852</v>
      </c>
      <c r="J101" s="9"/>
      <c r="K101" s="9"/>
      <c r="L101" s="9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2026-07-28T12:49:22Z</dcterms:created>
  <dc:creator>openpyxl</dc:creator>
  <dc:description/>
  <dc:language>en-US</dc:language>
  <cp:lastModifiedBy/>
  <dcterms:modified xsi:type="dcterms:W3CDTF">2026-07-28T12:49:23Z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