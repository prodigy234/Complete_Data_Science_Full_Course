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11.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tables/table6.xml" ContentType="application/vnd.openxmlformats-officedocument.spreadsheetml.table+xml"/>
  <Override PartName="/xl/tables/table13.xml" ContentType="application/vnd.openxmlformats-officedocument.spreadsheetml.table+xml"/>
  <Override PartName="/xl/tables/table4.xml" ContentType="application/vnd.openxmlformats-officedocument.spreadsheetml.table+xml"/>
  <Override PartName="/xl/tables/table3.xml" ContentType="application/vnd.openxmlformats-officedocument.spreadsheetml.table+xml"/>
  <Override PartName="/xl/tables/table12.xml" ContentType="application/vnd.openxmlformats-officedocument.spreadsheetml.table+xml"/>
  <Override PartName="/xl/tables/table5.xml" ContentType="application/vnd.openxmlformats-officedocument.spreadsheetml.table+xml"/>
  <Override PartName="/xl/tables/table14.xml" ContentType="application/vnd.openxmlformats-officedocument.spreadsheetml.table+xml"/>
  <Override PartName="/xl/tables/table7.xml" ContentType="application/vnd.openxmlformats-officedocument.spreadsheetml.table+xml"/>
  <Override PartName="/xl/tables/table11.xml" ContentType="application/vnd.openxmlformats-officedocument.spreadsheetml.table+xml"/>
  <Override PartName="/xl/tables/table9.xml" ContentType="application/vnd.openxmlformats-officedocument.spreadsheetml.table+xml"/>
  <Override PartName="/xl/tables/table2.xml" ContentType="application/vnd.openxmlformats-officedocument.spreadsheetml.table+xml"/>
  <Override PartName="/xl/tables/table10.xml" ContentType="application/vnd.openxmlformats-officedocument.spreadsheetml.table+xml"/>
  <Override PartName="/xl/tables/table8.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epartment Master" sheetId="2" state="visible" r:id="rId4"/>
    <sheet name="Location Master" sheetId="3" state="visible" r:id="rId5"/>
    <sheet name="Product Master" sheetId="4" state="visible" r:id="rId6"/>
    <sheet name="Employee Master" sheetId="5" state="visible" r:id="rId7"/>
    <sheet name="Operations" sheetId="6" state="visible" r:id="rId8"/>
    <sheet name="Supply Chain" sheetId="7" state="visible" r:id="rId9"/>
    <sheet name="Legal" sheetId="8" state="visible" r:id="rId10"/>
    <sheet name="Admin" sheetId="9" state="visible" r:id="rId11"/>
    <sheet name="Customer Service" sheetId="10" state="visible" r:id="rId12"/>
    <sheet name="IT" sheetId="11" state="visible" r:id="rId13"/>
    <sheet name="Accounts and Finance" sheetId="12" state="visible" r:id="rId14"/>
    <sheet name="Human Resources" sheetId="13" state="visible" r:id="rId15"/>
    <sheet name="Internal Control" sheetId="14" state="visible" r:id="rId16"/>
    <sheet name="Risk Management and Compliance" sheetId="15" state="visible" r:id="rId1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<sst xmlns="http://schemas.openxmlformats.org/spreadsheetml/2006/main" count="18859" uniqueCount="3194">
  <si>
    <t xml:space="preserve">Coca-Cola Nigeria Limited - Cross-Departmental Training Dataset</t>
  </si>
  <si>
    <t xml:space="preserve">Tableau Dashboard Building - Practice Data Pack</t>
  </si>
  <si>
    <t xml:space="preserve">Prepared for training use by Kajola Gbenga, Data Scientist &amp; AI Engineer</t>
  </si>
  <si>
    <t xml:space="preserve">Purpose</t>
  </si>
  <si>
    <t xml:space="preserve">This workbook is a fictional, training-only dataset built to simulate how the different departments of a large FMCG company such as Coca-Cola Nigeria Limited generate data, and how those departments connect to one another. It is designed for practising the full Tableau workflow: connecting to data, preparing it, building worksheets, designing dashboards and adding interactivity.</t>
  </si>
  <si>
    <t xml:space="preserve">How the sheets connect</t>
  </si>
  <si>
    <t xml:space="preserve">Every transactional sheet carries at least one of the four shared key columns below. In Tableau, these keys are what you will use to build Relationships (or joins) between the sheets on the Data Source page:</t>
  </si>
  <si>
    <t xml:space="preserve">Key: EmployeeID</t>
  </si>
  <si>
    <t xml:space="preserve">Uniquely identifies a staff member. Found on the Employee Master sheet and re-used on every department sheet wherever a person is responsible for, assigned to, or approves a record.</t>
  </si>
  <si>
    <t xml:space="preserve">Key: DeptCode</t>
  </si>
  <si>
    <t xml:space="preserve">A 2-3 letter department code (OPS, LEG, SCM, ADM, CS, IT, FIN, HR, IC, RMC) found on the Department Master sheet and repeated on every fact sheet so records can be rolled up or filtered by department.</t>
  </si>
  <si>
    <t xml:space="preserve">Key: LocationID</t>
  </si>
  <si>
    <t xml:space="preserve">Identifies one of Coca-Cola Nigeria's 8 sites (factories, regional offices and depots), found on the Location Master sheet and repeated on every fact sheet.</t>
  </si>
  <si>
    <t xml:space="preserve">Key: ProductID</t>
  </si>
  <si>
    <t xml:space="preserve">Identifies one of 8 flagship Coca-Cola Nigeria products/brands, found on the Product Master sheet and repeated on sheets where a product is involved (Operations, Supply Chain, Customer Service, Accounts and Finance).</t>
  </si>
  <si>
    <t xml:space="preserve">Sheet list</t>
  </si>
  <si>
    <t xml:space="preserve">1. Employee Master  2. Department Master  3. Location Master  4. Product Master  5. Operations  6. Supply Chain  7. Legal  8. Admin  9. Customer Service  10. IT  11. Accounts and Finance  12. Human Resources  13. Internal Control  14. Risk Management and Compliance</t>
  </si>
  <si>
    <t xml:space="preserve">Data period</t>
  </si>
  <si>
    <t xml:space="preserve">January 2024 to December 2025 (24 months) for all monthly/transactional sheets.</t>
  </si>
  <si>
    <t xml:space="preserve">Disclaimer</t>
  </si>
  <si>
    <t xml:space="preserve">All names, figures, cases, tickets and transactions in this workbook are synthetic and randomly generated for training purposes only. They do not represent real Coca-Cola Nigeria Limited records, employees, financial results or legal matters.</t>
  </si>
  <si>
    <t xml:space="preserve">DeptCode</t>
  </si>
  <si>
    <t xml:space="preserve">Department Name</t>
  </si>
  <si>
    <t xml:space="preserve">Department Head Title</t>
  </si>
  <si>
    <t xml:space="preserve">Headcount (Active)</t>
  </si>
  <si>
    <t xml:space="preserve">OPS</t>
  </si>
  <si>
    <t xml:space="preserve">Operations</t>
  </si>
  <si>
    <t xml:space="preserve">VP Operations</t>
  </si>
  <si>
    <t xml:space="preserve">LEG</t>
  </si>
  <si>
    <t xml:space="preserve">Legal</t>
  </si>
  <si>
    <t xml:space="preserve">General Counsel</t>
  </si>
  <si>
    <t xml:space="preserve">SCM</t>
  </si>
  <si>
    <t xml:space="preserve">Supply Chain</t>
  </si>
  <si>
    <t xml:space="preserve">Supply Chain Director</t>
  </si>
  <si>
    <t xml:space="preserve">ADM</t>
  </si>
  <si>
    <t xml:space="preserve">Admin</t>
  </si>
  <si>
    <t xml:space="preserve">Head, Administration</t>
  </si>
  <si>
    <t xml:space="preserve">CS</t>
  </si>
  <si>
    <t xml:space="preserve">Customer Service</t>
  </si>
  <si>
    <t xml:space="preserve">Head, Customer Service</t>
  </si>
  <si>
    <t xml:space="preserve">IT</t>
  </si>
  <si>
    <t xml:space="preserve">Information Technology</t>
  </si>
  <si>
    <t xml:space="preserve">Chief Information Officer</t>
  </si>
  <si>
    <t xml:space="preserve">FIN</t>
  </si>
  <si>
    <t xml:space="preserve">Accounts and Finance</t>
  </si>
  <si>
    <t xml:space="preserve">Chief Financial Officer</t>
  </si>
  <si>
    <t xml:space="preserve">HR</t>
  </si>
  <si>
    <t xml:space="preserve">Human Resources</t>
  </si>
  <si>
    <t xml:space="preserve">Chief Human Resources Officer</t>
  </si>
  <si>
    <t xml:space="preserve">IC</t>
  </si>
  <si>
    <t xml:space="preserve">Internal Control</t>
  </si>
  <si>
    <t xml:space="preserve">Head, Internal Control</t>
  </si>
  <si>
    <t xml:space="preserve">RMC</t>
  </si>
  <si>
    <t xml:space="preserve">Risk Management and Compliance</t>
  </si>
  <si>
    <t xml:space="preserve">Chief Risk &amp; Compliance Officer</t>
  </si>
  <si>
    <t xml:space="preserve">LocationID</t>
  </si>
  <si>
    <t xml:space="preserve">Location Name</t>
  </si>
  <si>
    <t xml:space="preserve">Region</t>
  </si>
  <si>
    <t xml:space="preserve">State</t>
  </si>
  <si>
    <t xml:space="preserve">Site Type</t>
  </si>
  <si>
    <t xml:space="preserve">LOC01</t>
  </si>
  <si>
    <t xml:space="preserve">Lagos Head Office - Oregun</t>
  </si>
  <si>
    <t xml:space="preserve">South West</t>
  </si>
  <si>
    <t xml:space="preserve">Lagos</t>
  </si>
  <si>
    <t xml:space="preserve">Office</t>
  </si>
  <si>
    <t xml:space="preserve">LOC02</t>
  </si>
  <si>
    <t xml:space="preserve">Ikeja Bottling Plant</t>
  </si>
  <si>
    <t xml:space="preserve">Factory</t>
  </si>
  <si>
    <t xml:space="preserve">LOC03</t>
  </si>
  <si>
    <t xml:space="preserve">Asejire Bottling Plant</t>
  </si>
  <si>
    <t xml:space="preserve">Oyo</t>
  </si>
  <si>
    <t xml:space="preserve">LOC04</t>
  </si>
  <si>
    <t xml:space="preserve">Abuja Regional Office</t>
  </si>
  <si>
    <t xml:space="preserve">North Central</t>
  </si>
  <si>
    <t xml:space="preserve">FCT</t>
  </si>
  <si>
    <t xml:space="preserve">LOC05</t>
  </si>
  <si>
    <t xml:space="preserve">Port Harcourt Bottling Plant</t>
  </si>
  <si>
    <t xml:space="preserve">South South</t>
  </si>
  <si>
    <t xml:space="preserve">Rivers</t>
  </si>
  <si>
    <t xml:space="preserve">LOC06</t>
  </si>
  <si>
    <t xml:space="preserve">Challawa Bottling Plant - Kano</t>
  </si>
  <si>
    <t xml:space="preserve">North West</t>
  </si>
  <si>
    <t xml:space="preserve">Kano</t>
  </si>
  <si>
    <t xml:space="preserve">LOC07</t>
  </si>
  <si>
    <t xml:space="preserve">Benin Distribution Depot</t>
  </si>
  <si>
    <t xml:space="preserve">Edo</t>
  </si>
  <si>
    <t xml:space="preserve">Depot</t>
  </si>
  <si>
    <t xml:space="preserve">LOC08</t>
  </si>
  <si>
    <t xml:space="preserve">Enugu Distribution Depot</t>
  </si>
  <si>
    <t xml:space="preserve">South East</t>
  </si>
  <si>
    <t xml:space="preserve">Enugu</t>
  </si>
  <si>
    <t xml:space="preserve">ProductID</t>
  </si>
  <si>
    <t xml:space="preserve">Product Name</t>
  </si>
  <si>
    <t xml:space="preserve">Category</t>
  </si>
  <si>
    <t xml:space="preserve">Unit of Measure</t>
  </si>
  <si>
    <t xml:space="preserve">P01</t>
  </si>
  <si>
    <t xml:space="preserve">Coca-Cola Original</t>
  </si>
  <si>
    <t xml:space="preserve">Sparkling Soft Drinks</t>
  </si>
  <si>
    <t xml:space="preserve">Pack</t>
  </si>
  <si>
    <t xml:space="preserve">P02</t>
  </si>
  <si>
    <t xml:space="preserve">Fanta Orange</t>
  </si>
  <si>
    <t xml:space="preserve">Crate</t>
  </si>
  <si>
    <t xml:space="preserve">P03</t>
  </si>
  <si>
    <t xml:space="preserve">Sprite</t>
  </si>
  <si>
    <t xml:space="preserve">P04</t>
  </si>
  <si>
    <t xml:space="preserve">Schweppes Chapman</t>
  </si>
  <si>
    <t xml:space="preserve">P05</t>
  </si>
  <si>
    <t xml:space="preserve">Five Alive Pulpy Orange</t>
  </si>
  <si>
    <t xml:space="preserve">Juices</t>
  </si>
  <si>
    <t xml:space="preserve">P06</t>
  </si>
  <si>
    <t xml:space="preserve">Eva Premium Water</t>
  </si>
  <si>
    <t xml:space="preserve">Water</t>
  </si>
  <si>
    <t xml:space="preserve">Carton</t>
  </si>
  <si>
    <t xml:space="preserve">P07</t>
  </si>
  <si>
    <t xml:space="preserve">Limca</t>
  </si>
  <si>
    <t xml:space="preserve">P08</t>
  </si>
  <si>
    <t xml:space="preserve">Predator Energy Drink</t>
  </si>
  <si>
    <t xml:space="preserve">Energy Drinks</t>
  </si>
  <si>
    <t xml:space="preserve">EmployeeID</t>
  </si>
  <si>
    <t xml:space="preserve">FullName</t>
  </si>
  <si>
    <t xml:space="preserve">Department</t>
  </si>
  <si>
    <t xml:space="preserve">LocationName</t>
  </si>
  <si>
    <t xml:space="preserve">Grade</t>
  </si>
  <si>
    <t xml:space="preserve">Gender</t>
  </si>
  <si>
    <t xml:space="preserve">HireDate</t>
  </si>
  <si>
    <t xml:space="preserve">EmploymentStatus</t>
  </si>
  <si>
    <t xml:space="preserve">EMP0001</t>
  </si>
  <si>
    <t xml:space="preserve">Chinedu Adeyemi</t>
  </si>
  <si>
    <t xml:space="preserve">Senior Officer</t>
  </si>
  <si>
    <t xml:space="preserve">Male</t>
  </si>
  <si>
    <t xml:space="preserve">Active</t>
  </si>
  <si>
    <t xml:space="preserve">EMP0002</t>
  </si>
  <si>
    <t xml:space="preserve">Simisola Bello</t>
  </si>
  <si>
    <t xml:space="preserve">Officer</t>
  </si>
  <si>
    <t xml:space="preserve">EMP0003</t>
  </si>
  <si>
    <t xml:space="preserve">Kabiru Uzoma</t>
  </si>
  <si>
    <t xml:space="preserve">Head of Section</t>
  </si>
  <si>
    <t xml:space="preserve">EMP0004</t>
  </si>
  <si>
    <t xml:space="preserve">Hauwa Nwosu</t>
  </si>
  <si>
    <t xml:space="preserve">Female</t>
  </si>
  <si>
    <t xml:space="preserve">EMP0005</t>
  </si>
  <si>
    <t xml:space="preserve">Damilola Chukwu</t>
  </si>
  <si>
    <t xml:space="preserve">EMP0006</t>
  </si>
  <si>
    <t xml:space="preserve">Tunde Okoro</t>
  </si>
  <si>
    <t xml:space="preserve">Assistant Manager</t>
  </si>
  <si>
    <t xml:space="preserve">EMP0007</t>
  </si>
  <si>
    <t xml:space="preserve">Ifeoma Ogunleye</t>
  </si>
  <si>
    <t xml:space="preserve">Manager</t>
  </si>
  <si>
    <t xml:space="preserve">EMP0008</t>
  </si>
  <si>
    <t xml:space="preserve">Wale Garba</t>
  </si>
  <si>
    <t xml:space="preserve">EMP0009</t>
  </si>
  <si>
    <t xml:space="preserve">Halima Idris</t>
  </si>
  <si>
    <t xml:space="preserve">EMP0010</t>
  </si>
  <si>
    <t xml:space="preserve">Ibrahim Adewale</t>
  </si>
  <si>
    <t xml:space="preserve">EMP0011</t>
  </si>
  <si>
    <t xml:space="preserve">Ibrahim Aliyu</t>
  </si>
  <si>
    <t xml:space="preserve">Senior Manager</t>
  </si>
  <si>
    <t xml:space="preserve">EMP0012</t>
  </si>
  <si>
    <t xml:space="preserve">Rukayat Okoro</t>
  </si>
  <si>
    <t xml:space="preserve">EMP0013</t>
  </si>
  <si>
    <t xml:space="preserve">Emeka Nwosu</t>
  </si>
  <si>
    <t xml:space="preserve">EMP0014</t>
  </si>
  <si>
    <t xml:space="preserve">Precious Garba</t>
  </si>
  <si>
    <t xml:space="preserve">EMP0015</t>
  </si>
  <si>
    <t xml:space="preserve">Rukayat Abubakar</t>
  </si>
  <si>
    <t xml:space="preserve">EMP0016</t>
  </si>
  <si>
    <t xml:space="preserve">Grace Ogunleye</t>
  </si>
  <si>
    <t xml:space="preserve">Exited</t>
  </si>
  <si>
    <t xml:space="preserve">EMP0017</t>
  </si>
  <si>
    <t xml:space="preserve">Fatima Musa</t>
  </si>
  <si>
    <t xml:space="preserve">EMP0018</t>
  </si>
  <si>
    <t xml:space="preserve">Bola Onyekachi</t>
  </si>
  <si>
    <t xml:space="preserve">EMP0019</t>
  </si>
  <si>
    <t xml:space="preserve">Rukayat Musa</t>
  </si>
  <si>
    <t xml:space="preserve">EMP0020</t>
  </si>
  <si>
    <t xml:space="preserve">Simisola Idris</t>
  </si>
  <si>
    <t xml:space="preserve">EMP0021</t>
  </si>
  <si>
    <t xml:space="preserve">Rukayat Adeyemi</t>
  </si>
  <si>
    <t xml:space="preserve">EMP0022</t>
  </si>
  <si>
    <t xml:space="preserve">Segun Sanni</t>
  </si>
  <si>
    <t xml:space="preserve">EMP0023</t>
  </si>
  <si>
    <t xml:space="preserve">Ejiro Fashola</t>
  </si>
  <si>
    <t xml:space="preserve">EMP0024</t>
  </si>
  <si>
    <t xml:space="preserve">Musa Garba</t>
  </si>
  <si>
    <t xml:space="preserve">EMP0025</t>
  </si>
  <si>
    <t xml:space="preserve">Tunde Bello</t>
  </si>
  <si>
    <t xml:space="preserve">EMP0026</t>
  </si>
  <si>
    <t xml:space="preserve">Tobi Oyelaran</t>
  </si>
  <si>
    <t xml:space="preserve">EMP0027</t>
  </si>
  <si>
    <t xml:space="preserve">Kelechi Fashola</t>
  </si>
  <si>
    <t xml:space="preserve">EMP0028</t>
  </si>
  <si>
    <t xml:space="preserve">Obinna Garba</t>
  </si>
  <si>
    <t xml:space="preserve">EMP0029</t>
  </si>
  <si>
    <t xml:space="preserve">Oluwaseun Danjuma</t>
  </si>
  <si>
    <t xml:space="preserve">EMP0030</t>
  </si>
  <si>
    <t xml:space="preserve">EMP0031</t>
  </si>
  <si>
    <t xml:space="preserve">Ibrahim Obi</t>
  </si>
  <si>
    <t xml:space="preserve">EMP0032</t>
  </si>
  <si>
    <t xml:space="preserve">Precious Danjuma</t>
  </si>
  <si>
    <t xml:space="preserve">EMP0033</t>
  </si>
  <si>
    <t xml:space="preserve">Blessing Okonkwo</t>
  </si>
  <si>
    <t xml:space="preserve">EMP0034</t>
  </si>
  <si>
    <t xml:space="preserve">Emeka Obi</t>
  </si>
  <si>
    <t xml:space="preserve">EMP0035</t>
  </si>
  <si>
    <t xml:space="preserve">Blessing Nwosu</t>
  </si>
  <si>
    <t xml:space="preserve">EMP0036</t>
  </si>
  <si>
    <t xml:space="preserve">Yusuf Suleiman</t>
  </si>
  <si>
    <t xml:space="preserve">EMP0037</t>
  </si>
  <si>
    <t xml:space="preserve">Abdullahi Okonkwo</t>
  </si>
  <si>
    <t xml:space="preserve">EMP0038</t>
  </si>
  <si>
    <t xml:space="preserve">Femi Eze</t>
  </si>
  <si>
    <t xml:space="preserve">EMP0039</t>
  </si>
  <si>
    <t xml:space="preserve">Emeka Eze</t>
  </si>
  <si>
    <t xml:space="preserve">EMP0040</t>
  </si>
  <si>
    <t xml:space="preserve">Rukayat Afolabi</t>
  </si>
  <si>
    <t xml:space="preserve">EMP0041</t>
  </si>
  <si>
    <t xml:space="preserve">Emeka Danjuma</t>
  </si>
  <si>
    <t xml:space="preserve">EMP0042</t>
  </si>
  <si>
    <t xml:space="preserve">Kabiru Fashola</t>
  </si>
  <si>
    <t xml:space="preserve">EMP0043</t>
  </si>
  <si>
    <t xml:space="preserve">Aisha Uzoma</t>
  </si>
  <si>
    <t xml:space="preserve">EMP0044</t>
  </si>
  <si>
    <t xml:space="preserve">Precious Nwosu</t>
  </si>
  <si>
    <t xml:space="preserve">EMP0045</t>
  </si>
  <si>
    <t xml:space="preserve">Ejiro Chukwu</t>
  </si>
  <si>
    <t xml:space="preserve">EMP0046</t>
  </si>
  <si>
    <t xml:space="preserve">Grace Okoro</t>
  </si>
  <si>
    <t xml:space="preserve">EMP0047</t>
  </si>
  <si>
    <t xml:space="preserve">Aisha Adeyemi</t>
  </si>
  <si>
    <t xml:space="preserve">EMP0048</t>
  </si>
  <si>
    <t xml:space="preserve">Grace Abubakar</t>
  </si>
  <si>
    <t xml:space="preserve">EMP0049</t>
  </si>
  <si>
    <t xml:space="preserve">Obinna Sanni</t>
  </si>
  <si>
    <t xml:space="preserve">EMP0050</t>
  </si>
  <si>
    <t xml:space="preserve">Blessing Garba</t>
  </si>
  <si>
    <t xml:space="preserve">EMP0051</t>
  </si>
  <si>
    <t xml:space="preserve">Abdullahi Abubakar</t>
  </si>
  <si>
    <t xml:space="preserve">EMP0052</t>
  </si>
  <si>
    <t xml:space="preserve">Kelechi Obi</t>
  </si>
  <si>
    <t xml:space="preserve">EMP0053</t>
  </si>
  <si>
    <t xml:space="preserve">Tunde Lawal</t>
  </si>
  <si>
    <t xml:space="preserve">EMP0054</t>
  </si>
  <si>
    <t xml:space="preserve">Fatima Lawal</t>
  </si>
  <si>
    <t xml:space="preserve">EMP0055</t>
  </si>
  <si>
    <t xml:space="preserve">Damilola Oyelaran</t>
  </si>
  <si>
    <t xml:space="preserve">EMP0056</t>
  </si>
  <si>
    <t xml:space="preserve">Ngozi Oyelaran</t>
  </si>
  <si>
    <t xml:space="preserve">EMP0057</t>
  </si>
  <si>
    <t xml:space="preserve">Fatima Okafor</t>
  </si>
  <si>
    <t xml:space="preserve">EMP0058</t>
  </si>
  <si>
    <t xml:space="preserve">Femi Obi</t>
  </si>
  <si>
    <t xml:space="preserve">EMP0059</t>
  </si>
  <si>
    <t xml:space="preserve">Wale Ogunleye</t>
  </si>
  <si>
    <t xml:space="preserve">EMP0060</t>
  </si>
  <si>
    <t xml:space="preserve">Hauwa Adeyemi</t>
  </si>
  <si>
    <t xml:space="preserve">EMP0061</t>
  </si>
  <si>
    <t xml:space="preserve">Femi Suleiman</t>
  </si>
  <si>
    <t xml:space="preserve">EMP0062</t>
  </si>
  <si>
    <t xml:space="preserve">Tobi Nwosu</t>
  </si>
  <si>
    <t xml:space="preserve">EMP0063</t>
  </si>
  <si>
    <t xml:space="preserve">Halima Nwosu</t>
  </si>
  <si>
    <t xml:space="preserve">EMP0064</t>
  </si>
  <si>
    <t xml:space="preserve">Aisha Idris</t>
  </si>
  <si>
    <t xml:space="preserve">EMP0065</t>
  </si>
  <si>
    <t xml:space="preserve">Simisola Chukwu</t>
  </si>
  <si>
    <t xml:space="preserve">EMP0066</t>
  </si>
  <si>
    <t xml:space="preserve">Grace Okafor</t>
  </si>
  <si>
    <t xml:space="preserve">EMP0067</t>
  </si>
  <si>
    <t xml:space="preserve">Damilola Uzoma</t>
  </si>
  <si>
    <t xml:space="preserve">EMP0068</t>
  </si>
  <si>
    <t xml:space="preserve">Damilola Adeyemi</t>
  </si>
  <si>
    <t xml:space="preserve">EMP0069</t>
  </si>
  <si>
    <t xml:space="preserve">Uche Uzoma</t>
  </si>
  <si>
    <t xml:space="preserve">EMP0070</t>
  </si>
  <si>
    <t xml:space="preserve">Segun Obi</t>
  </si>
  <si>
    <t xml:space="preserve">EMP0071</t>
  </si>
  <si>
    <t xml:space="preserve">Fatima Balogun</t>
  </si>
  <si>
    <t xml:space="preserve">EMP0072</t>
  </si>
  <si>
    <t xml:space="preserve">Wale Danjuma</t>
  </si>
  <si>
    <t xml:space="preserve">EMP0073</t>
  </si>
  <si>
    <t xml:space="preserve">Nkechi Balogun</t>
  </si>
  <si>
    <t xml:space="preserve">EMP0074</t>
  </si>
  <si>
    <t xml:space="preserve">Kelechi Musa</t>
  </si>
  <si>
    <t xml:space="preserve">EMP0075</t>
  </si>
  <si>
    <t xml:space="preserve">Wale Chukwu</t>
  </si>
  <si>
    <t xml:space="preserve">EMP0076</t>
  </si>
  <si>
    <t xml:space="preserve">Amaka Abubakar</t>
  </si>
  <si>
    <t xml:space="preserve">EMP0077</t>
  </si>
  <si>
    <t xml:space="preserve">Aisha Adewale</t>
  </si>
  <si>
    <t xml:space="preserve">EMP0078</t>
  </si>
  <si>
    <t xml:space="preserve">Chukwuemeka Nwosu</t>
  </si>
  <si>
    <t xml:space="preserve">EMP0079</t>
  </si>
  <si>
    <t xml:space="preserve">Yusuf Onyekachi</t>
  </si>
  <si>
    <t xml:space="preserve">EMP0080</t>
  </si>
  <si>
    <t xml:space="preserve">Chinedu Adewale</t>
  </si>
  <si>
    <t xml:space="preserve">EMP0081</t>
  </si>
  <si>
    <t xml:space="preserve">Maryam Chukwu</t>
  </si>
  <si>
    <t xml:space="preserve">EMP0082</t>
  </si>
  <si>
    <t xml:space="preserve">Tobi Adewale</t>
  </si>
  <si>
    <t xml:space="preserve">EMP0083</t>
  </si>
  <si>
    <t xml:space="preserve">Chiamaka Lawal</t>
  </si>
  <si>
    <t xml:space="preserve">EMP0084</t>
  </si>
  <si>
    <t xml:space="preserve">EMP0085</t>
  </si>
  <si>
    <t xml:space="preserve">Halima Okoro</t>
  </si>
  <si>
    <t xml:space="preserve">EMP0086</t>
  </si>
  <si>
    <t xml:space="preserve">Simisola Adewale</t>
  </si>
  <si>
    <t xml:space="preserve">EMP0087</t>
  </si>
  <si>
    <t xml:space="preserve">Ikenna Aliyu</t>
  </si>
  <si>
    <t xml:space="preserve">EMP0088</t>
  </si>
  <si>
    <t xml:space="preserve">Segun Idris</t>
  </si>
  <si>
    <t xml:space="preserve">EMP0089</t>
  </si>
  <si>
    <t xml:space="preserve">Maryam Garba</t>
  </si>
  <si>
    <t xml:space="preserve">EMP0090</t>
  </si>
  <si>
    <t xml:space="preserve">Oluwaseun Okoro</t>
  </si>
  <si>
    <t xml:space="preserve">EMP0091</t>
  </si>
  <si>
    <t xml:space="preserve">Fatima Uzoma</t>
  </si>
  <si>
    <t xml:space="preserve">EMP0092</t>
  </si>
  <si>
    <t xml:space="preserve">EMP0093</t>
  </si>
  <si>
    <t xml:space="preserve">Funmilayo Chukwu</t>
  </si>
  <si>
    <t xml:space="preserve">EMP0094</t>
  </si>
  <si>
    <t xml:space="preserve">Funmilayo Suleiman</t>
  </si>
  <si>
    <t xml:space="preserve">EMP0095</t>
  </si>
  <si>
    <t xml:space="preserve">Simisola Okafor</t>
  </si>
  <si>
    <t xml:space="preserve">EMP0096</t>
  </si>
  <si>
    <t xml:space="preserve">Ifeoma Idris</t>
  </si>
  <si>
    <t xml:space="preserve">EMP0097</t>
  </si>
  <si>
    <t xml:space="preserve">Ngozi Nwosu</t>
  </si>
  <si>
    <t xml:space="preserve">EMP0098</t>
  </si>
  <si>
    <t xml:space="preserve">Kelechi Adewale</t>
  </si>
  <si>
    <t xml:space="preserve">EMP0099</t>
  </si>
  <si>
    <t xml:space="preserve">Chinedu Idris</t>
  </si>
  <si>
    <t xml:space="preserve">EMP0100</t>
  </si>
  <si>
    <t xml:space="preserve">Segun Danjuma</t>
  </si>
  <si>
    <t xml:space="preserve">EMP0101</t>
  </si>
  <si>
    <t xml:space="preserve">Femi Okonkwo</t>
  </si>
  <si>
    <t xml:space="preserve">EMP0102</t>
  </si>
  <si>
    <t xml:space="preserve">Simisola Yakubu</t>
  </si>
  <si>
    <t xml:space="preserve">EMP0103</t>
  </si>
  <si>
    <t xml:space="preserve">Hauwa Sanni</t>
  </si>
  <si>
    <t xml:space="preserve">EMP0104</t>
  </si>
  <si>
    <t xml:space="preserve">Rukayat Aliyu</t>
  </si>
  <si>
    <t xml:space="preserve">EMP0105</t>
  </si>
  <si>
    <t xml:space="preserve">Ibrahim Uzoma</t>
  </si>
  <si>
    <t xml:space="preserve">EMP0106</t>
  </si>
  <si>
    <t xml:space="preserve">Ibrahim Chukwu</t>
  </si>
  <si>
    <t xml:space="preserve">EMP0107</t>
  </si>
  <si>
    <t xml:space="preserve">Rukayat Danjuma</t>
  </si>
  <si>
    <t xml:space="preserve">EMP0108</t>
  </si>
  <si>
    <t xml:space="preserve">Yusuf Nnamdi</t>
  </si>
  <si>
    <t xml:space="preserve">EMP0109</t>
  </si>
  <si>
    <t xml:space="preserve">Maryam Aliyu</t>
  </si>
  <si>
    <t xml:space="preserve">EMP0110</t>
  </si>
  <si>
    <t xml:space="preserve">Hauwa Nnamdi</t>
  </si>
  <si>
    <t xml:space="preserve">EMP0111</t>
  </si>
  <si>
    <t xml:space="preserve">Oluwaseun Bello</t>
  </si>
  <si>
    <t xml:space="preserve">EMP0112</t>
  </si>
  <si>
    <t xml:space="preserve">Ikenna Ibrahim</t>
  </si>
  <si>
    <t xml:space="preserve">EMP0113</t>
  </si>
  <si>
    <t xml:space="preserve">Adaeze Aliyu</t>
  </si>
  <si>
    <t xml:space="preserve">EMP0114</t>
  </si>
  <si>
    <t xml:space="preserve">Amaka Chukwu</t>
  </si>
  <si>
    <t xml:space="preserve">EMP0115</t>
  </si>
  <si>
    <t xml:space="preserve">Ibrahim Ogunleye</t>
  </si>
  <si>
    <t xml:space="preserve">EMP0116</t>
  </si>
  <si>
    <t xml:space="preserve">Segun Adeyemi</t>
  </si>
  <si>
    <t xml:space="preserve">EMP0117</t>
  </si>
  <si>
    <t xml:space="preserve">EMP0118</t>
  </si>
  <si>
    <t xml:space="preserve">EMP0119</t>
  </si>
  <si>
    <t xml:space="preserve">Tobi Okonkwo</t>
  </si>
  <si>
    <t xml:space="preserve">EMP0120</t>
  </si>
  <si>
    <t xml:space="preserve">Emeka Abubakar</t>
  </si>
  <si>
    <t xml:space="preserve">EMP0121</t>
  </si>
  <si>
    <t xml:space="preserve">Hauwa Uzoma</t>
  </si>
  <si>
    <t xml:space="preserve">EMP0122</t>
  </si>
  <si>
    <t xml:space="preserve">Ikenna Yakubu</t>
  </si>
  <si>
    <t xml:space="preserve">EMP0123</t>
  </si>
  <si>
    <t xml:space="preserve">Kelechi Lawal</t>
  </si>
  <si>
    <t xml:space="preserve">EMP0124</t>
  </si>
  <si>
    <t xml:space="preserve">Yusuf Oyelaran</t>
  </si>
  <si>
    <t xml:space="preserve">EMP0125</t>
  </si>
  <si>
    <t xml:space="preserve">Maryam Nnamdi</t>
  </si>
  <si>
    <t xml:space="preserve">EMP0126</t>
  </si>
  <si>
    <t xml:space="preserve">Rukayat Bello</t>
  </si>
  <si>
    <t xml:space="preserve">EMP0127</t>
  </si>
  <si>
    <t xml:space="preserve">Amaka Yakubu</t>
  </si>
  <si>
    <t xml:space="preserve">EMP0128</t>
  </si>
  <si>
    <t xml:space="preserve">Ngozi Bello</t>
  </si>
  <si>
    <t xml:space="preserve">EMP0129</t>
  </si>
  <si>
    <t xml:space="preserve">Nkechi Adewale</t>
  </si>
  <si>
    <t xml:space="preserve">EMP0130</t>
  </si>
  <si>
    <t xml:space="preserve">Ibrahim Musa</t>
  </si>
  <si>
    <t xml:space="preserve">EMP0131</t>
  </si>
  <si>
    <t xml:space="preserve">Damilola Ogunleye</t>
  </si>
  <si>
    <t xml:space="preserve">EMP0132</t>
  </si>
  <si>
    <t xml:space="preserve">EMP0133</t>
  </si>
  <si>
    <t xml:space="preserve">EMP0134</t>
  </si>
  <si>
    <t xml:space="preserve">Chiamaka Bello</t>
  </si>
  <si>
    <t xml:space="preserve">EMP0135</t>
  </si>
  <si>
    <t xml:space="preserve">Blessing Ude</t>
  </si>
  <si>
    <t xml:space="preserve">EMP0136</t>
  </si>
  <si>
    <t xml:space="preserve">Chukwuemeka Sanni</t>
  </si>
  <si>
    <t xml:space="preserve">EMP0137</t>
  </si>
  <si>
    <t xml:space="preserve">EMP0138</t>
  </si>
  <si>
    <t xml:space="preserve">Hauwa Okafor</t>
  </si>
  <si>
    <t xml:space="preserve">EMP0139</t>
  </si>
  <si>
    <t xml:space="preserve">Obinna Idris</t>
  </si>
  <si>
    <t xml:space="preserve">EMP0140</t>
  </si>
  <si>
    <t xml:space="preserve">EMP0141</t>
  </si>
  <si>
    <t xml:space="preserve">Femi Aliyu</t>
  </si>
  <si>
    <t xml:space="preserve">EMP0142</t>
  </si>
  <si>
    <t xml:space="preserve">Tunde Nwosu</t>
  </si>
  <si>
    <t xml:space="preserve">EMP0143</t>
  </si>
  <si>
    <t xml:space="preserve">Chiamaka Fashola</t>
  </si>
  <si>
    <t xml:space="preserve">EMP0144</t>
  </si>
  <si>
    <t xml:space="preserve">EMP0145</t>
  </si>
  <si>
    <t xml:space="preserve">Fatima Ude</t>
  </si>
  <si>
    <t xml:space="preserve">EMP0146</t>
  </si>
  <si>
    <t xml:space="preserve">Kabiru Suleiman</t>
  </si>
  <si>
    <t xml:space="preserve">EMP0147</t>
  </si>
  <si>
    <t xml:space="preserve">Ikenna Obi</t>
  </si>
  <si>
    <t xml:space="preserve">EMP0148</t>
  </si>
  <si>
    <t xml:space="preserve">Uche Oyelaran</t>
  </si>
  <si>
    <t xml:space="preserve">EMP0149</t>
  </si>
  <si>
    <t xml:space="preserve">Femi Danjuma</t>
  </si>
  <si>
    <t xml:space="preserve">EMP0150</t>
  </si>
  <si>
    <t xml:space="preserve">Tobi Aliyu</t>
  </si>
  <si>
    <t xml:space="preserve">EMP0151</t>
  </si>
  <si>
    <t xml:space="preserve">Ngozi Nnamdi</t>
  </si>
  <si>
    <t xml:space="preserve">EMP0152</t>
  </si>
  <si>
    <t xml:space="preserve">EMP0153</t>
  </si>
  <si>
    <t xml:space="preserve">Ngozi Yakubu</t>
  </si>
  <si>
    <t xml:space="preserve">EMP0154</t>
  </si>
  <si>
    <t xml:space="preserve">EMP0155</t>
  </si>
  <si>
    <t xml:space="preserve">Simisola Okoro</t>
  </si>
  <si>
    <t xml:space="preserve">EMP0156</t>
  </si>
  <si>
    <t xml:space="preserve">Femi Lawal</t>
  </si>
  <si>
    <t xml:space="preserve">EMP0157</t>
  </si>
  <si>
    <t xml:space="preserve">Blessing Idris</t>
  </si>
  <si>
    <t xml:space="preserve">EMP0158</t>
  </si>
  <si>
    <t xml:space="preserve">Oluwaseun Okafor</t>
  </si>
  <si>
    <t xml:space="preserve">EMP0159</t>
  </si>
  <si>
    <t xml:space="preserve">EMP0160</t>
  </si>
  <si>
    <t xml:space="preserve">Funmilayo Uzoma</t>
  </si>
  <si>
    <t xml:space="preserve">ProductionID</t>
  </si>
  <si>
    <t xml:space="preserve">Date</t>
  </si>
  <si>
    <t xml:space="preserve">ProductionLine</t>
  </si>
  <si>
    <t xml:space="preserve">Shift</t>
  </si>
  <si>
    <t xml:space="preserve">SupervisorEmployeeID</t>
  </si>
  <si>
    <t xml:space="preserve">PlannedOutputCartons</t>
  </si>
  <si>
    <t xml:space="preserve">ActualOutputCartons</t>
  </si>
  <si>
    <t xml:space="preserve">DowntimeHours</t>
  </si>
  <si>
    <t xml:space="preserve">DowntimeReason</t>
  </si>
  <si>
    <t xml:space="preserve">ScrapQtyCartons</t>
  </si>
  <si>
    <t xml:space="preserve">OEE_Percent</t>
  </si>
  <si>
    <t xml:space="preserve">PRD00001</t>
  </si>
  <si>
    <t xml:space="preserve">Line 1</t>
  </si>
  <si>
    <t xml:space="preserve">Night</t>
  </si>
  <si>
    <t xml:space="preserve">Planned Maintenance</t>
  </si>
  <si>
    <t xml:space="preserve">PRD00002</t>
  </si>
  <si>
    <t xml:space="preserve">Line 5</t>
  </si>
  <si>
    <t xml:space="preserve">Afternoon</t>
  </si>
  <si>
    <t xml:space="preserve">Changeover</t>
  </si>
  <si>
    <t xml:space="preserve">PRD00003</t>
  </si>
  <si>
    <t xml:space="preserve">Line 2</t>
  </si>
  <si>
    <t xml:space="preserve">Morning</t>
  </si>
  <si>
    <t xml:space="preserve">PRD00004</t>
  </si>
  <si>
    <t xml:space="preserve">Line 3</t>
  </si>
  <si>
    <t xml:space="preserve">None</t>
  </si>
  <si>
    <t xml:space="preserve">PRD00005</t>
  </si>
  <si>
    <t xml:space="preserve">PRD00006</t>
  </si>
  <si>
    <t xml:space="preserve">Line 6</t>
  </si>
  <si>
    <t xml:space="preserve">Machine Breakdown</t>
  </si>
  <si>
    <t xml:space="preserve">PRD00007</t>
  </si>
  <si>
    <t xml:space="preserve">Power Outage</t>
  </si>
  <si>
    <t xml:space="preserve">PRD00008</t>
  </si>
  <si>
    <t xml:space="preserve">PRD00009</t>
  </si>
  <si>
    <t xml:space="preserve">PRD00010</t>
  </si>
  <si>
    <t xml:space="preserve">Raw Material Shortage</t>
  </si>
  <si>
    <t xml:space="preserve">PRD00011</t>
  </si>
  <si>
    <t xml:space="preserve">PRD00012</t>
  </si>
  <si>
    <t xml:space="preserve">PRD00013</t>
  </si>
  <si>
    <t xml:space="preserve">Line 4</t>
  </si>
  <si>
    <t xml:space="preserve">PRD00014</t>
  </si>
  <si>
    <t xml:space="preserve">PRD00015</t>
  </si>
  <si>
    <t xml:space="preserve">PRD00016</t>
  </si>
  <si>
    <t xml:space="preserve">PRD00017</t>
  </si>
  <si>
    <t xml:space="preserve">PRD00018</t>
  </si>
  <si>
    <t xml:space="preserve">PRD00019</t>
  </si>
  <si>
    <t xml:space="preserve">PRD00020</t>
  </si>
  <si>
    <t xml:space="preserve">PRD00021</t>
  </si>
  <si>
    <t xml:space="preserve">PRD00022</t>
  </si>
  <si>
    <t xml:space="preserve">PRD00023</t>
  </si>
  <si>
    <t xml:space="preserve">PRD00024</t>
  </si>
  <si>
    <t xml:space="preserve">PRD00025</t>
  </si>
  <si>
    <t xml:space="preserve">PRD00026</t>
  </si>
  <si>
    <t xml:space="preserve">PRD00027</t>
  </si>
  <si>
    <t xml:space="preserve">PRD00028</t>
  </si>
  <si>
    <t xml:space="preserve">PRD00029</t>
  </si>
  <si>
    <t xml:space="preserve">PRD00030</t>
  </si>
  <si>
    <t xml:space="preserve">PRD00031</t>
  </si>
  <si>
    <t xml:space="preserve">PRD00032</t>
  </si>
  <si>
    <t xml:space="preserve">PRD00033</t>
  </si>
  <si>
    <t xml:space="preserve">PRD00034</t>
  </si>
  <si>
    <t xml:space="preserve">PRD00035</t>
  </si>
  <si>
    <t xml:space="preserve">PRD00036</t>
  </si>
  <si>
    <t xml:space="preserve">PRD00037</t>
  </si>
  <si>
    <t xml:space="preserve">PRD00038</t>
  </si>
  <si>
    <t xml:space="preserve">PRD00039</t>
  </si>
  <si>
    <t xml:space="preserve">PRD00040</t>
  </si>
  <si>
    <t xml:space="preserve">PRD00041</t>
  </si>
  <si>
    <t xml:space="preserve">PRD00042</t>
  </si>
  <si>
    <t xml:space="preserve">PRD00043</t>
  </si>
  <si>
    <t xml:space="preserve">PRD00044</t>
  </si>
  <si>
    <t xml:space="preserve">PRD00045</t>
  </si>
  <si>
    <t xml:space="preserve">PRD00046</t>
  </si>
  <si>
    <t xml:space="preserve">PRD00047</t>
  </si>
  <si>
    <t xml:space="preserve">PRD00048</t>
  </si>
  <si>
    <t xml:space="preserve">PRD00049</t>
  </si>
  <si>
    <t xml:space="preserve">PRD00050</t>
  </si>
  <si>
    <t xml:space="preserve">PRD00051</t>
  </si>
  <si>
    <t xml:space="preserve">PRD00052</t>
  </si>
  <si>
    <t xml:space="preserve">PRD00053</t>
  </si>
  <si>
    <t xml:space="preserve">PRD00054</t>
  </si>
  <si>
    <t xml:space="preserve">PRD00055</t>
  </si>
  <si>
    <t xml:space="preserve">PRD00056</t>
  </si>
  <si>
    <t xml:space="preserve">PRD00057</t>
  </si>
  <si>
    <t xml:space="preserve">PRD00058</t>
  </si>
  <si>
    <t xml:space="preserve">PRD00059</t>
  </si>
  <si>
    <t xml:space="preserve">PRD00060</t>
  </si>
  <si>
    <t xml:space="preserve">PRD00061</t>
  </si>
  <si>
    <t xml:space="preserve">PRD00062</t>
  </si>
  <si>
    <t xml:space="preserve">PRD00063</t>
  </si>
  <si>
    <t xml:space="preserve">PRD00064</t>
  </si>
  <si>
    <t xml:space="preserve">PRD00065</t>
  </si>
  <si>
    <t xml:space="preserve">PRD00066</t>
  </si>
  <si>
    <t xml:space="preserve">PRD00067</t>
  </si>
  <si>
    <t xml:space="preserve">PRD00068</t>
  </si>
  <si>
    <t xml:space="preserve">PRD00069</t>
  </si>
  <si>
    <t xml:space="preserve">PRD00070</t>
  </si>
  <si>
    <t xml:space="preserve">PRD00071</t>
  </si>
  <si>
    <t xml:space="preserve">PRD00072</t>
  </si>
  <si>
    <t xml:space="preserve">PRD00073</t>
  </si>
  <si>
    <t xml:space="preserve">PRD00074</t>
  </si>
  <si>
    <t xml:space="preserve">PRD00075</t>
  </si>
  <si>
    <t xml:space="preserve">PRD00076</t>
  </si>
  <si>
    <t xml:space="preserve">PRD00077</t>
  </si>
  <si>
    <t xml:space="preserve">PRD00078</t>
  </si>
  <si>
    <t xml:space="preserve">PRD00079</t>
  </si>
  <si>
    <t xml:space="preserve">PRD00080</t>
  </si>
  <si>
    <t xml:space="preserve">PRD00081</t>
  </si>
  <si>
    <t xml:space="preserve">PRD00082</t>
  </si>
  <si>
    <t xml:space="preserve">PRD00083</t>
  </si>
  <si>
    <t xml:space="preserve">PRD00084</t>
  </si>
  <si>
    <t xml:space="preserve">PRD00085</t>
  </si>
  <si>
    <t xml:space="preserve">PRD00086</t>
  </si>
  <si>
    <t xml:space="preserve">PRD00087</t>
  </si>
  <si>
    <t xml:space="preserve">PRD00088</t>
  </si>
  <si>
    <t xml:space="preserve">PRD00089</t>
  </si>
  <si>
    <t xml:space="preserve">PRD00090</t>
  </si>
  <si>
    <t xml:space="preserve">PRD00091</t>
  </si>
  <si>
    <t xml:space="preserve">PRD00092</t>
  </si>
  <si>
    <t xml:space="preserve">PRD00093</t>
  </si>
  <si>
    <t xml:space="preserve">PRD00094</t>
  </si>
  <si>
    <t xml:space="preserve">PRD00095</t>
  </si>
  <si>
    <t xml:space="preserve">PRD00096</t>
  </si>
  <si>
    <t xml:space="preserve">PRD00097</t>
  </si>
  <si>
    <t xml:space="preserve">PRD00098</t>
  </si>
  <si>
    <t xml:space="preserve">PRD00099</t>
  </si>
  <si>
    <t xml:space="preserve">PRD00100</t>
  </si>
  <si>
    <t xml:space="preserve">PRD00101</t>
  </si>
  <si>
    <t xml:space="preserve">PRD00102</t>
  </si>
  <si>
    <t xml:space="preserve">PRD00103</t>
  </si>
  <si>
    <t xml:space="preserve">PRD00104</t>
  </si>
  <si>
    <t xml:space="preserve">PRD00105</t>
  </si>
  <si>
    <t xml:space="preserve">PRD00106</t>
  </si>
  <si>
    <t xml:space="preserve">PRD00107</t>
  </si>
  <si>
    <t xml:space="preserve">PRD00108</t>
  </si>
  <si>
    <t xml:space="preserve">PRD00109</t>
  </si>
  <si>
    <t xml:space="preserve">PRD00110</t>
  </si>
  <si>
    <t xml:space="preserve">PRD00111</t>
  </si>
  <si>
    <t xml:space="preserve">PRD00112</t>
  </si>
  <si>
    <t xml:space="preserve">PRD00113</t>
  </si>
  <si>
    <t xml:space="preserve">PRD00114</t>
  </si>
  <si>
    <t xml:space="preserve">PRD00115</t>
  </si>
  <si>
    <t xml:space="preserve">PRD00116</t>
  </si>
  <si>
    <t xml:space="preserve">PRD00117</t>
  </si>
  <si>
    <t xml:space="preserve">PRD00118</t>
  </si>
  <si>
    <t xml:space="preserve">PRD00119</t>
  </si>
  <si>
    <t xml:space="preserve">PRD00120</t>
  </si>
  <si>
    <t xml:space="preserve">PRD00121</t>
  </si>
  <si>
    <t xml:space="preserve">PRD00122</t>
  </si>
  <si>
    <t xml:space="preserve">PRD00123</t>
  </si>
  <si>
    <t xml:space="preserve">PRD00124</t>
  </si>
  <si>
    <t xml:space="preserve">PRD00125</t>
  </si>
  <si>
    <t xml:space="preserve">PRD00126</t>
  </si>
  <si>
    <t xml:space="preserve">PRD00127</t>
  </si>
  <si>
    <t xml:space="preserve">PRD00128</t>
  </si>
  <si>
    <t xml:space="preserve">PRD00129</t>
  </si>
  <si>
    <t xml:space="preserve">PRD00130</t>
  </si>
  <si>
    <t xml:space="preserve">PRD00131</t>
  </si>
  <si>
    <t xml:space="preserve">PRD00132</t>
  </si>
  <si>
    <t xml:space="preserve">PRD00133</t>
  </si>
  <si>
    <t xml:space="preserve">PRD00134</t>
  </si>
  <si>
    <t xml:space="preserve">PRD00135</t>
  </si>
  <si>
    <t xml:space="preserve">PRD00136</t>
  </si>
  <si>
    <t xml:space="preserve">PRD00137</t>
  </si>
  <si>
    <t xml:space="preserve">PRD00138</t>
  </si>
  <si>
    <t xml:space="preserve">PRD00139</t>
  </si>
  <si>
    <t xml:space="preserve">PRD00140</t>
  </si>
  <si>
    <t xml:space="preserve">PRD00141</t>
  </si>
  <si>
    <t xml:space="preserve">PRD00142</t>
  </si>
  <si>
    <t xml:space="preserve">PRD00143</t>
  </si>
  <si>
    <t xml:space="preserve">PRD00144</t>
  </si>
  <si>
    <t xml:space="preserve">PRD00145</t>
  </si>
  <si>
    <t xml:space="preserve">PRD00146</t>
  </si>
  <si>
    <t xml:space="preserve">PRD00147</t>
  </si>
  <si>
    <t xml:space="preserve">PRD00148</t>
  </si>
  <si>
    <t xml:space="preserve">PRD00149</t>
  </si>
  <si>
    <t xml:space="preserve">PRD00150</t>
  </si>
  <si>
    <t xml:space="preserve">PRD00151</t>
  </si>
  <si>
    <t xml:space="preserve">PRD00152</t>
  </si>
  <si>
    <t xml:space="preserve">PRD00153</t>
  </si>
  <si>
    <t xml:space="preserve">PRD00154</t>
  </si>
  <si>
    <t xml:space="preserve">PRD00155</t>
  </si>
  <si>
    <t xml:space="preserve">PRD00156</t>
  </si>
  <si>
    <t xml:space="preserve">PRD00157</t>
  </si>
  <si>
    <t xml:space="preserve">PRD00158</t>
  </si>
  <si>
    <t xml:space="preserve">PRD00159</t>
  </si>
  <si>
    <t xml:space="preserve">PRD00160</t>
  </si>
  <si>
    <t xml:space="preserve">PRD00161</t>
  </si>
  <si>
    <t xml:space="preserve">PRD00162</t>
  </si>
  <si>
    <t xml:space="preserve">PRD00163</t>
  </si>
  <si>
    <t xml:space="preserve">PRD00164</t>
  </si>
  <si>
    <t xml:space="preserve">PRD00165</t>
  </si>
  <si>
    <t xml:space="preserve">PRD00166</t>
  </si>
  <si>
    <t xml:space="preserve">PRD00167</t>
  </si>
  <si>
    <t xml:space="preserve">PRD00168</t>
  </si>
  <si>
    <t xml:space="preserve">PRD00169</t>
  </si>
  <si>
    <t xml:space="preserve">PRD00170</t>
  </si>
  <si>
    <t xml:space="preserve">PRD00171</t>
  </si>
  <si>
    <t xml:space="preserve">PRD00172</t>
  </si>
  <si>
    <t xml:space="preserve">PRD00173</t>
  </si>
  <si>
    <t xml:space="preserve">PRD00174</t>
  </si>
  <si>
    <t xml:space="preserve">PRD00175</t>
  </si>
  <si>
    <t xml:space="preserve">PRD00176</t>
  </si>
  <si>
    <t xml:space="preserve">PRD00177</t>
  </si>
  <si>
    <t xml:space="preserve">PRD00178</t>
  </si>
  <si>
    <t xml:space="preserve">PRD00179</t>
  </si>
  <si>
    <t xml:space="preserve">PRD00180</t>
  </si>
  <si>
    <t xml:space="preserve">PRD00181</t>
  </si>
  <si>
    <t xml:space="preserve">PRD00182</t>
  </si>
  <si>
    <t xml:space="preserve">PRD00183</t>
  </si>
  <si>
    <t xml:space="preserve">PRD00184</t>
  </si>
  <si>
    <t xml:space="preserve">PRD00185</t>
  </si>
  <si>
    <t xml:space="preserve">PRD00186</t>
  </si>
  <si>
    <t xml:space="preserve">PRD00187</t>
  </si>
  <si>
    <t xml:space="preserve">PRD00188</t>
  </si>
  <si>
    <t xml:space="preserve">PRD00189</t>
  </si>
  <si>
    <t xml:space="preserve">PRD00190</t>
  </si>
  <si>
    <t xml:space="preserve">PRD00191</t>
  </si>
  <si>
    <t xml:space="preserve">PRD00192</t>
  </si>
  <si>
    <t xml:space="preserve">PRD00193</t>
  </si>
  <si>
    <t xml:space="preserve">PRD00194</t>
  </si>
  <si>
    <t xml:space="preserve">PRD00195</t>
  </si>
  <si>
    <t xml:space="preserve">PRD00196</t>
  </si>
  <si>
    <t xml:space="preserve">PRD00197</t>
  </si>
  <si>
    <t xml:space="preserve">PRD00198</t>
  </si>
  <si>
    <t xml:space="preserve">PRD00199</t>
  </si>
  <si>
    <t xml:space="preserve">PRD00200</t>
  </si>
  <si>
    <t xml:space="preserve">PRD00201</t>
  </si>
  <si>
    <t xml:space="preserve">PRD00202</t>
  </si>
  <si>
    <t xml:space="preserve">PRD00203</t>
  </si>
  <si>
    <t xml:space="preserve">PRD00204</t>
  </si>
  <si>
    <t xml:space="preserve">PRD00205</t>
  </si>
  <si>
    <t xml:space="preserve">PRD00206</t>
  </si>
  <si>
    <t xml:space="preserve">PRD00207</t>
  </si>
  <si>
    <t xml:space="preserve">PRD00208</t>
  </si>
  <si>
    <t xml:space="preserve">PRD00209</t>
  </si>
  <si>
    <t xml:space="preserve">PRD00210</t>
  </si>
  <si>
    <t xml:space="preserve">PRD00211</t>
  </si>
  <si>
    <t xml:space="preserve">PRD00212</t>
  </si>
  <si>
    <t xml:space="preserve">PRD00213</t>
  </si>
  <si>
    <t xml:space="preserve">PRD00214</t>
  </si>
  <si>
    <t xml:space="preserve">PRD00215</t>
  </si>
  <si>
    <t xml:space="preserve">PRD00216</t>
  </si>
  <si>
    <t xml:space="preserve">PRD00217</t>
  </si>
  <si>
    <t xml:space="preserve">PRD00218</t>
  </si>
  <si>
    <t xml:space="preserve">PRD00219</t>
  </si>
  <si>
    <t xml:space="preserve">PRD00220</t>
  </si>
  <si>
    <t xml:space="preserve">PRD00221</t>
  </si>
  <si>
    <t xml:space="preserve">PRD00222</t>
  </si>
  <si>
    <t xml:space="preserve">PRD00223</t>
  </si>
  <si>
    <t xml:space="preserve">PRD00224</t>
  </si>
  <si>
    <t xml:space="preserve">PRD00225</t>
  </si>
  <si>
    <t xml:space="preserve">PRD00226</t>
  </si>
  <si>
    <t xml:space="preserve">PRD00227</t>
  </si>
  <si>
    <t xml:space="preserve">PRD00228</t>
  </si>
  <si>
    <t xml:space="preserve">PRD00229</t>
  </si>
  <si>
    <t xml:space="preserve">PRD00230</t>
  </si>
  <si>
    <t xml:space="preserve">PRD00231</t>
  </si>
  <si>
    <t xml:space="preserve">PRD00232</t>
  </si>
  <si>
    <t xml:space="preserve">PRD00233</t>
  </si>
  <si>
    <t xml:space="preserve">PRD00234</t>
  </si>
  <si>
    <t xml:space="preserve">PRD00235</t>
  </si>
  <si>
    <t xml:space="preserve">PRD00236</t>
  </si>
  <si>
    <t xml:space="preserve">PRD00237</t>
  </si>
  <si>
    <t xml:space="preserve">PRD00238</t>
  </si>
  <si>
    <t xml:space="preserve">PRD00239</t>
  </si>
  <si>
    <t xml:space="preserve">PRD00240</t>
  </si>
  <si>
    <t xml:space="preserve">PRD00241</t>
  </si>
  <si>
    <t xml:space="preserve">PRD00242</t>
  </si>
  <si>
    <t xml:space="preserve">PRD00243</t>
  </si>
  <si>
    <t xml:space="preserve">PRD00244</t>
  </si>
  <si>
    <t xml:space="preserve">PRD00245</t>
  </si>
  <si>
    <t xml:space="preserve">PRD00246</t>
  </si>
  <si>
    <t xml:space="preserve">PRD00247</t>
  </si>
  <si>
    <t xml:space="preserve">PRD00248</t>
  </si>
  <si>
    <t xml:space="preserve">PRD00249</t>
  </si>
  <si>
    <t xml:space="preserve">PRD00250</t>
  </si>
  <si>
    <t xml:space="preserve">PRD00251</t>
  </si>
  <si>
    <t xml:space="preserve">PRD00252</t>
  </si>
  <si>
    <t xml:space="preserve">PRD00253</t>
  </si>
  <si>
    <t xml:space="preserve">PRD00254</t>
  </si>
  <si>
    <t xml:space="preserve">PRD00255</t>
  </si>
  <si>
    <t xml:space="preserve">PRD00256</t>
  </si>
  <si>
    <t xml:space="preserve">PRD00257</t>
  </si>
  <si>
    <t xml:space="preserve">PRD00258</t>
  </si>
  <si>
    <t xml:space="preserve">PRD00259</t>
  </si>
  <si>
    <t xml:space="preserve">PRD00260</t>
  </si>
  <si>
    <t xml:space="preserve">POID</t>
  </si>
  <si>
    <t xml:space="preserve">OrderDate</t>
  </si>
  <si>
    <t xml:space="preserve">PromisedDeliveryDate</t>
  </si>
  <si>
    <t xml:space="preserve">ActualDeliveryDate</t>
  </si>
  <si>
    <t xml:space="preserve">Supplier</t>
  </si>
  <si>
    <t xml:space="preserve">OrderQtyCartons</t>
  </si>
  <si>
    <t xml:space="preserve">DeliveredQtyCartons</t>
  </si>
  <si>
    <t xml:space="preserve">UnitCostNGN</t>
  </si>
  <si>
    <t xml:space="preserve">TotalCostNGN</t>
  </si>
  <si>
    <t xml:space="preserve">LeadTimeDays</t>
  </si>
  <si>
    <t xml:space="preserve">OnTimeDelivery</t>
  </si>
  <si>
    <t xml:space="preserve">InventoryLevelCartons</t>
  </si>
  <si>
    <t xml:space="preserve">PO00001</t>
  </si>
  <si>
    <t xml:space="preserve">Interpack Ltd</t>
  </si>
  <si>
    <t xml:space="preserve">PO00002</t>
  </si>
  <si>
    <t xml:space="preserve">Bua Group Supplies</t>
  </si>
  <si>
    <t xml:space="preserve">PO00003</t>
  </si>
  <si>
    <t xml:space="preserve">PO00004</t>
  </si>
  <si>
    <t xml:space="preserve">TGI Distri Ltd</t>
  </si>
  <si>
    <t xml:space="preserve">PO00005</t>
  </si>
  <si>
    <t xml:space="preserve">Nampak Nigeria</t>
  </si>
  <si>
    <t xml:space="preserve">PO00006</t>
  </si>
  <si>
    <t xml:space="preserve">SIFAX Logistics</t>
  </si>
  <si>
    <t xml:space="preserve">PO00007</t>
  </si>
  <si>
    <t xml:space="preserve">GZI Industries</t>
  </si>
  <si>
    <t xml:space="preserve">PO00008</t>
  </si>
  <si>
    <t xml:space="preserve">PO00009</t>
  </si>
  <si>
    <t xml:space="preserve">PO00010</t>
  </si>
  <si>
    <t xml:space="preserve">PO00011</t>
  </si>
  <si>
    <t xml:space="preserve">Dangote Sugar Refinery</t>
  </si>
  <si>
    <t xml:space="preserve">PO00012</t>
  </si>
  <si>
    <t xml:space="preserve">PO00013</t>
  </si>
  <si>
    <t xml:space="preserve">PO00014</t>
  </si>
  <si>
    <t xml:space="preserve">PO00015</t>
  </si>
  <si>
    <t xml:space="preserve">PO00016</t>
  </si>
  <si>
    <t xml:space="preserve">PO00017</t>
  </si>
  <si>
    <t xml:space="preserve">PO00018</t>
  </si>
  <si>
    <t xml:space="preserve">APM Terminals</t>
  </si>
  <si>
    <t xml:space="preserve">PO00019</t>
  </si>
  <si>
    <t xml:space="preserve">PO00020</t>
  </si>
  <si>
    <t xml:space="preserve">PO00021</t>
  </si>
  <si>
    <t xml:space="preserve">PO00022</t>
  </si>
  <si>
    <t xml:space="preserve">Beta Glass Plc</t>
  </si>
  <si>
    <t xml:space="preserve">PO00023</t>
  </si>
  <si>
    <t xml:space="preserve">PO00024</t>
  </si>
  <si>
    <t xml:space="preserve">PO00025</t>
  </si>
  <si>
    <t xml:space="preserve">PO00026</t>
  </si>
  <si>
    <t xml:space="preserve">PO00027</t>
  </si>
  <si>
    <t xml:space="preserve">Alfmann Nigeria</t>
  </si>
  <si>
    <t xml:space="preserve">PO00028</t>
  </si>
  <si>
    <t xml:space="preserve">PO00029</t>
  </si>
  <si>
    <t xml:space="preserve">PO00030</t>
  </si>
  <si>
    <t xml:space="preserve">PO00031</t>
  </si>
  <si>
    <t xml:space="preserve">PO00032</t>
  </si>
  <si>
    <t xml:space="preserve">PO00033</t>
  </si>
  <si>
    <t xml:space="preserve">PO00034</t>
  </si>
  <si>
    <t xml:space="preserve">PO00035</t>
  </si>
  <si>
    <t xml:space="preserve">PO00036</t>
  </si>
  <si>
    <t xml:space="preserve">PO00037</t>
  </si>
  <si>
    <t xml:space="preserve">PO00038</t>
  </si>
  <si>
    <t xml:space="preserve">PO00039</t>
  </si>
  <si>
    <t xml:space="preserve">PO00040</t>
  </si>
  <si>
    <t xml:space="preserve">PO00041</t>
  </si>
  <si>
    <t xml:space="preserve">PO00042</t>
  </si>
  <si>
    <t xml:space="preserve">PO00043</t>
  </si>
  <si>
    <t xml:space="preserve">PO00044</t>
  </si>
  <si>
    <t xml:space="preserve">PO00045</t>
  </si>
  <si>
    <t xml:space="preserve">PO00046</t>
  </si>
  <si>
    <t xml:space="preserve">PO00047</t>
  </si>
  <si>
    <t xml:space="preserve">PO00048</t>
  </si>
  <si>
    <t xml:space="preserve">PO00049</t>
  </si>
  <si>
    <t xml:space="preserve">PO00050</t>
  </si>
  <si>
    <t xml:space="preserve">PO00051</t>
  </si>
  <si>
    <t xml:space="preserve">PO00052</t>
  </si>
  <si>
    <t xml:space="preserve">PO00053</t>
  </si>
  <si>
    <t xml:space="preserve">PO00054</t>
  </si>
  <si>
    <t xml:space="preserve">PO00055</t>
  </si>
  <si>
    <t xml:space="preserve">PO00056</t>
  </si>
  <si>
    <t xml:space="preserve">PO00057</t>
  </si>
  <si>
    <t xml:space="preserve">PO00058</t>
  </si>
  <si>
    <t xml:space="preserve">PO00059</t>
  </si>
  <si>
    <t xml:space="preserve">PO00060</t>
  </si>
  <si>
    <t xml:space="preserve">PO00061</t>
  </si>
  <si>
    <t xml:space="preserve">PO00062</t>
  </si>
  <si>
    <t xml:space="preserve">PO00063</t>
  </si>
  <si>
    <t xml:space="preserve">PO00064</t>
  </si>
  <si>
    <t xml:space="preserve">PO00065</t>
  </si>
  <si>
    <t xml:space="preserve">PO00066</t>
  </si>
  <si>
    <t xml:space="preserve">PO00067</t>
  </si>
  <si>
    <t xml:space="preserve">PO00068</t>
  </si>
  <si>
    <t xml:space="preserve">PO00069</t>
  </si>
  <si>
    <t xml:space="preserve">PO00070</t>
  </si>
  <si>
    <t xml:space="preserve">PO00071</t>
  </si>
  <si>
    <t xml:space="preserve">PO00072</t>
  </si>
  <si>
    <t xml:space="preserve">PO00073</t>
  </si>
  <si>
    <t xml:space="preserve">PO00074</t>
  </si>
  <si>
    <t xml:space="preserve">PO00075</t>
  </si>
  <si>
    <t xml:space="preserve">PO00076</t>
  </si>
  <si>
    <t xml:space="preserve">PO00077</t>
  </si>
  <si>
    <t xml:space="preserve">PO00078</t>
  </si>
  <si>
    <t xml:space="preserve">PO00079</t>
  </si>
  <si>
    <t xml:space="preserve">PO00080</t>
  </si>
  <si>
    <t xml:space="preserve">PO00081</t>
  </si>
  <si>
    <t xml:space="preserve">PO00082</t>
  </si>
  <si>
    <t xml:space="preserve">PO00083</t>
  </si>
  <si>
    <t xml:space="preserve">PO00084</t>
  </si>
  <si>
    <t xml:space="preserve">PO00085</t>
  </si>
  <si>
    <t xml:space="preserve">PO00086</t>
  </si>
  <si>
    <t xml:space="preserve">PO00087</t>
  </si>
  <si>
    <t xml:space="preserve">PO00088</t>
  </si>
  <si>
    <t xml:space="preserve">PO00089</t>
  </si>
  <si>
    <t xml:space="preserve">PO00090</t>
  </si>
  <si>
    <t xml:space="preserve">PO00091</t>
  </si>
  <si>
    <t xml:space="preserve">PO00092</t>
  </si>
  <si>
    <t xml:space="preserve">PO00093</t>
  </si>
  <si>
    <t xml:space="preserve">PO00094</t>
  </si>
  <si>
    <t xml:space="preserve">PO00095</t>
  </si>
  <si>
    <t xml:space="preserve">PO00096</t>
  </si>
  <si>
    <t xml:space="preserve">PO00097</t>
  </si>
  <si>
    <t xml:space="preserve">PO00098</t>
  </si>
  <si>
    <t xml:space="preserve">PO00099</t>
  </si>
  <si>
    <t xml:space="preserve">PO00100</t>
  </si>
  <si>
    <t xml:space="preserve">PO00101</t>
  </si>
  <si>
    <t xml:space="preserve">PO00102</t>
  </si>
  <si>
    <t xml:space="preserve">PO00103</t>
  </si>
  <si>
    <t xml:space="preserve">PO00104</t>
  </si>
  <si>
    <t xml:space="preserve">PO00105</t>
  </si>
  <si>
    <t xml:space="preserve">PO00106</t>
  </si>
  <si>
    <t xml:space="preserve">PO00107</t>
  </si>
  <si>
    <t xml:space="preserve">PO00108</t>
  </si>
  <si>
    <t xml:space="preserve">PO00109</t>
  </si>
  <si>
    <t xml:space="preserve">PO00110</t>
  </si>
  <si>
    <t xml:space="preserve">PO00111</t>
  </si>
  <si>
    <t xml:space="preserve">PO00112</t>
  </si>
  <si>
    <t xml:space="preserve">PO00113</t>
  </si>
  <si>
    <t xml:space="preserve">PO00114</t>
  </si>
  <si>
    <t xml:space="preserve">PO00115</t>
  </si>
  <si>
    <t xml:space="preserve">PO00116</t>
  </si>
  <si>
    <t xml:space="preserve">PO00117</t>
  </si>
  <si>
    <t xml:space="preserve">PO00118</t>
  </si>
  <si>
    <t xml:space="preserve">PO00119</t>
  </si>
  <si>
    <t xml:space="preserve">PO00120</t>
  </si>
  <si>
    <t xml:space="preserve">PO00121</t>
  </si>
  <si>
    <t xml:space="preserve">PO00122</t>
  </si>
  <si>
    <t xml:space="preserve">PO00123</t>
  </si>
  <si>
    <t xml:space="preserve">PO00124</t>
  </si>
  <si>
    <t xml:space="preserve">PO00125</t>
  </si>
  <si>
    <t xml:space="preserve">PO00126</t>
  </si>
  <si>
    <t xml:space="preserve">PO00127</t>
  </si>
  <si>
    <t xml:space="preserve">PO00128</t>
  </si>
  <si>
    <t xml:space="preserve">PO00129</t>
  </si>
  <si>
    <t xml:space="preserve">PO00130</t>
  </si>
  <si>
    <t xml:space="preserve">PO00131</t>
  </si>
  <si>
    <t xml:space="preserve">PO00132</t>
  </si>
  <si>
    <t xml:space="preserve">PO00133</t>
  </si>
  <si>
    <t xml:space="preserve">PO00134</t>
  </si>
  <si>
    <t xml:space="preserve">PO00135</t>
  </si>
  <si>
    <t xml:space="preserve">PO00136</t>
  </si>
  <si>
    <t xml:space="preserve">PO00137</t>
  </si>
  <si>
    <t xml:space="preserve">PO00138</t>
  </si>
  <si>
    <t xml:space="preserve">PO00139</t>
  </si>
  <si>
    <t xml:space="preserve">PO00140</t>
  </si>
  <si>
    <t xml:space="preserve">PO00141</t>
  </si>
  <si>
    <t xml:space="preserve">PO00142</t>
  </si>
  <si>
    <t xml:space="preserve">PO00143</t>
  </si>
  <si>
    <t xml:space="preserve">PO00144</t>
  </si>
  <si>
    <t xml:space="preserve">PO00145</t>
  </si>
  <si>
    <t xml:space="preserve">PO00146</t>
  </si>
  <si>
    <t xml:space="preserve">PO00147</t>
  </si>
  <si>
    <t xml:space="preserve">PO00148</t>
  </si>
  <si>
    <t xml:space="preserve">PO00149</t>
  </si>
  <si>
    <t xml:space="preserve">PO00150</t>
  </si>
  <si>
    <t xml:space="preserve">PO00151</t>
  </si>
  <si>
    <t xml:space="preserve">PO00152</t>
  </si>
  <si>
    <t xml:space="preserve">PO00153</t>
  </si>
  <si>
    <t xml:space="preserve">PO00154</t>
  </si>
  <si>
    <t xml:space="preserve">PO00155</t>
  </si>
  <si>
    <t xml:space="preserve">PO00156</t>
  </si>
  <si>
    <t xml:space="preserve">PO00157</t>
  </si>
  <si>
    <t xml:space="preserve">PO00158</t>
  </si>
  <si>
    <t xml:space="preserve">PO00159</t>
  </si>
  <si>
    <t xml:space="preserve">PO00160</t>
  </si>
  <si>
    <t xml:space="preserve">PO00161</t>
  </si>
  <si>
    <t xml:space="preserve">PO00162</t>
  </si>
  <si>
    <t xml:space="preserve">PO00163</t>
  </si>
  <si>
    <t xml:space="preserve">PO00164</t>
  </si>
  <si>
    <t xml:space="preserve">PO00165</t>
  </si>
  <si>
    <t xml:space="preserve">PO00166</t>
  </si>
  <si>
    <t xml:space="preserve">PO00167</t>
  </si>
  <si>
    <t xml:space="preserve">PO00168</t>
  </si>
  <si>
    <t xml:space="preserve">PO00169</t>
  </si>
  <si>
    <t xml:space="preserve">PO00170</t>
  </si>
  <si>
    <t xml:space="preserve">PO00171</t>
  </si>
  <si>
    <t xml:space="preserve">PO00172</t>
  </si>
  <si>
    <t xml:space="preserve">PO00173</t>
  </si>
  <si>
    <t xml:space="preserve">PO00174</t>
  </si>
  <si>
    <t xml:space="preserve">PO00175</t>
  </si>
  <si>
    <t xml:space="preserve">PO00176</t>
  </si>
  <si>
    <t xml:space="preserve">PO00177</t>
  </si>
  <si>
    <t xml:space="preserve">PO00178</t>
  </si>
  <si>
    <t xml:space="preserve">PO00179</t>
  </si>
  <si>
    <t xml:space="preserve">PO00180</t>
  </si>
  <si>
    <t xml:space="preserve">PO00181</t>
  </si>
  <si>
    <t xml:space="preserve">PO00182</t>
  </si>
  <si>
    <t xml:space="preserve">PO00183</t>
  </si>
  <si>
    <t xml:space="preserve">PO00184</t>
  </si>
  <si>
    <t xml:space="preserve">PO00185</t>
  </si>
  <si>
    <t xml:space="preserve">PO00186</t>
  </si>
  <si>
    <t xml:space="preserve">PO00187</t>
  </si>
  <si>
    <t xml:space="preserve">PO00188</t>
  </si>
  <si>
    <t xml:space="preserve">PO00189</t>
  </si>
  <si>
    <t xml:space="preserve">PO00190</t>
  </si>
  <si>
    <t xml:space="preserve">PO00191</t>
  </si>
  <si>
    <t xml:space="preserve">PO00192</t>
  </si>
  <si>
    <t xml:space="preserve">PO00193</t>
  </si>
  <si>
    <t xml:space="preserve">PO00194</t>
  </si>
  <si>
    <t xml:space="preserve">PO00195</t>
  </si>
  <si>
    <t xml:space="preserve">PO00196</t>
  </si>
  <si>
    <t xml:space="preserve">PO00197</t>
  </si>
  <si>
    <t xml:space="preserve">PO00198</t>
  </si>
  <si>
    <t xml:space="preserve">PO00199</t>
  </si>
  <si>
    <t xml:space="preserve">PO00200</t>
  </si>
  <si>
    <t xml:space="preserve">PO00201</t>
  </si>
  <si>
    <t xml:space="preserve">PO00202</t>
  </si>
  <si>
    <t xml:space="preserve">PO00203</t>
  </si>
  <si>
    <t xml:space="preserve">PO00204</t>
  </si>
  <si>
    <t xml:space="preserve">PO00205</t>
  </si>
  <si>
    <t xml:space="preserve">PO00206</t>
  </si>
  <si>
    <t xml:space="preserve">PO00207</t>
  </si>
  <si>
    <t xml:space="preserve">PO00208</t>
  </si>
  <si>
    <t xml:space="preserve">PO00209</t>
  </si>
  <si>
    <t xml:space="preserve">PO00210</t>
  </si>
  <si>
    <t xml:space="preserve">PO00211</t>
  </si>
  <si>
    <t xml:space="preserve">PO00212</t>
  </si>
  <si>
    <t xml:space="preserve">PO00213</t>
  </si>
  <si>
    <t xml:space="preserve">PO00214</t>
  </si>
  <si>
    <t xml:space="preserve">PO00215</t>
  </si>
  <si>
    <t xml:space="preserve">PO00216</t>
  </si>
  <si>
    <t xml:space="preserve">PO00217</t>
  </si>
  <si>
    <t xml:space="preserve">PO00218</t>
  </si>
  <si>
    <t xml:space="preserve">PO00219</t>
  </si>
  <si>
    <t xml:space="preserve">PO00220</t>
  </si>
  <si>
    <t xml:space="preserve">PO00221</t>
  </si>
  <si>
    <t xml:space="preserve">PO00222</t>
  </si>
  <si>
    <t xml:space="preserve">PO00223</t>
  </si>
  <si>
    <t xml:space="preserve">PO00224</t>
  </si>
  <si>
    <t xml:space="preserve">PO00225</t>
  </si>
  <si>
    <t xml:space="preserve">PO00226</t>
  </si>
  <si>
    <t xml:space="preserve">PO00227</t>
  </si>
  <si>
    <t xml:space="preserve">PO00228</t>
  </si>
  <si>
    <t xml:space="preserve">PO00229</t>
  </si>
  <si>
    <t xml:space="preserve">PO00230</t>
  </si>
  <si>
    <t xml:space="preserve">PO00231</t>
  </si>
  <si>
    <t xml:space="preserve">PO00232</t>
  </si>
  <si>
    <t xml:space="preserve">PO00233</t>
  </si>
  <si>
    <t xml:space="preserve">PO00234</t>
  </si>
  <si>
    <t xml:space="preserve">PO00235</t>
  </si>
  <si>
    <t xml:space="preserve">PO00236</t>
  </si>
  <si>
    <t xml:space="preserve">PO00237</t>
  </si>
  <si>
    <t xml:space="preserve">PO00238</t>
  </si>
  <si>
    <t xml:space="preserve">PO00239</t>
  </si>
  <si>
    <t xml:space="preserve">PO00240</t>
  </si>
  <si>
    <t xml:space="preserve">CaseID</t>
  </si>
  <si>
    <t xml:space="preserve">DateOpened</t>
  </si>
  <si>
    <t xml:space="preserve">CaseType</t>
  </si>
  <si>
    <t xml:space="preserve">DeptCodeInvolved</t>
  </si>
  <si>
    <t xml:space="preserve">AssignedEmployeeID</t>
  </si>
  <si>
    <t xml:space="preserve">RiskLevel</t>
  </si>
  <si>
    <t xml:space="preserve">ExternalCounselUsed</t>
  </si>
  <si>
    <t xml:space="preserve">ExternalCounselCostNGN</t>
  </si>
  <si>
    <t xml:space="preserve">Status</t>
  </si>
  <si>
    <t xml:space="preserve">DateClosed</t>
  </si>
  <si>
    <t xml:space="preserve">DaysOpen</t>
  </si>
  <si>
    <t xml:space="preserve">LEG00001</t>
  </si>
  <si>
    <t xml:space="preserve">Litigation</t>
  </si>
  <si>
    <t xml:space="preserve">Medium</t>
  </si>
  <si>
    <t xml:space="preserve">No</t>
  </si>
  <si>
    <t xml:space="preserve">Closed</t>
  </si>
  <si>
    <t xml:space="preserve">LEG00002</t>
  </si>
  <si>
    <t xml:space="preserve">Employment Dispute</t>
  </si>
  <si>
    <t xml:space="preserve">Low</t>
  </si>
  <si>
    <t xml:space="preserve">LEG00003</t>
  </si>
  <si>
    <t xml:space="preserve">Compliance Advisory</t>
  </si>
  <si>
    <t xml:space="preserve">Yes</t>
  </si>
  <si>
    <t xml:space="preserve">Open</t>
  </si>
  <si>
    <t xml:space="preserve">LEG00004</t>
  </si>
  <si>
    <t xml:space="preserve">Commercial Contract</t>
  </si>
  <si>
    <t xml:space="preserve">LEG00005</t>
  </si>
  <si>
    <t xml:space="preserve">LEG00006</t>
  </si>
  <si>
    <t xml:space="preserve">LEG00007</t>
  </si>
  <si>
    <t xml:space="preserve">Regulatory Filing</t>
  </si>
  <si>
    <t xml:space="preserve">LEG00008</t>
  </si>
  <si>
    <t xml:space="preserve">Intellectual Property</t>
  </si>
  <si>
    <t xml:space="preserve">LEG00009</t>
  </si>
  <si>
    <t xml:space="preserve">LEG00010</t>
  </si>
  <si>
    <t xml:space="preserve">LEG00011</t>
  </si>
  <si>
    <t xml:space="preserve">LEG00012</t>
  </si>
  <si>
    <t xml:space="preserve">High</t>
  </si>
  <si>
    <t xml:space="preserve">LEG00013</t>
  </si>
  <si>
    <t xml:space="preserve">Land/Lease Matter</t>
  </si>
  <si>
    <t xml:space="preserve">LEG00014</t>
  </si>
  <si>
    <t xml:space="preserve">LEG00015</t>
  </si>
  <si>
    <t xml:space="preserve">LEG00016</t>
  </si>
  <si>
    <t xml:space="preserve">LEG00017</t>
  </si>
  <si>
    <t xml:space="preserve">LEG00018</t>
  </si>
  <si>
    <t xml:space="preserve">LEG00019</t>
  </si>
  <si>
    <t xml:space="preserve">LEG00020</t>
  </si>
  <si>
    <t xml:space="preserve">LEG00021</t>
  </si>
  <si>
    <t xml:space="preserve">LEG00022</t>
  </si>
  <si>
    <t xml:space="preserve">LEG00023</t>
  </si>
  <si>
    <t xml:space="preserve">LEG00024</t>
  </si>
  <si>
    <t xml:space="preserve">LEG00025</t>
  </si>
  <si>
    <t xml:space="preserve">LEG00026</t>
  </si>
  <si>
    <t xml:space="preserve">LEG00027</t>
  </si>
  <si>
    <t xml:space="preserve">LEG00028</t>
  </si>
  <si>
    <t xml:space="preserve">LEG00029</t>
  </si>
  <si>
    <t xml:space="preserve">LEG00030</t>
  </si>
  <si>
    <t xml:space="preserve">LEG00031</t>
  </si>
  <si>
    <t xml:space="preserve">LEG00032</t>
  </si>
  <si>
    <t xml:space="preserve">LEG00033</t>
  </si>
  <si>
    <t xml:space="preserve">LEG00034</t>
  </si>
  <si>
    <t xml:space="preserve">LEG00035</t>
  </si>
  <si>
    <t xml:space="preserve">LEG00036</t>
  </si>
  <si>
    <t xml:space="preserve">LEG00037</t>
  </si>
  <si>
    <t xml:space="preserve">LEG00038</t>
  </si>
  <si>
    <t xml:space="preserve">LEG00039</t>
  </si>
  <si>
    <t xml:space="preserve">LEG00040</t>
  </si>
  <si>
    <t xml:space="preserve">LEG00041</t>
  </si>
  <si>
    <t xml:space="preserve">LEG00042</t>
  </si>
  <si>
    <t xml:space="preserve">LEG00043</t>
  </si>
  <si>
    <t xml:space="preserve">LEG00044</t>
  </si>
  <si>
    <t xml:space="preserve">LEG00045</t>
  </si>
  <si>
    <t xml:space="preserve">LEG00046</t>
  </si>
  <si>
    <t xml:space="preserve">LEG00047</t>
  </si>
  <si>
    <t xml:space="preserve">LEG00048</t>
  </si>
  <si>
    <t xml:space="preserve">LEG00049</t>
  </si>
  <si>
    <t xml:space="preserve">LEG00050</t>
  </si>
  <si>
    <t xml:space="preserve">LEG00051</t>
  </si>
  <si>
    <t xml:space="preserve">LEG00052</t>
  </si>
  <si>
    <t xml:space="preserve">LEG00053</t>
  </si>
  <si>
    <t xml:space="preserve">LEG00054</t>
  </si>
  <si>
    <t xml:space="preserve">LEG00055</t>
  </si>
  <si>
    <t xml:space="preserve">LEG00056</t>
  </si>
  <si>
    <t xml:space="preserve">LEG00057</t>
  </si>
  <si>
    <t xml:space="preserve">LEG00058</t>
  </si>
  <si>
    <t xml:space="preserve">LEG00059</t>
  </si>
  <si>
    <t xml:space="preserve">LEG00060</t>
  </si>
  <si>
    <t xml:space="preserve">LEG00061</t>
  </si>
  <si>
    <t xml:space="preserve">LEG00062</t>
  </si>
  <si>
    <t xml:space="preserve">LEG00063</t>
  </si>
  <si>
    <t xml:space="preserve">LEG00064</t>
  </si>
  <si>
    <t xml:space="preserve">LEG00065</t>
  </si>
  <si>
    <t xml:space="preserve">LEG00066</t>
  </si>
  <si>
    <t xml:space="preserve">LEG00067</t>
  </si>
  <si>
    <t xml:space="preserve">LEG00068</t>
  </si>
  <si>
    <t xml:space="preserve">LEG00069</t>
  </si>
  <si>
    <t xml:space="preserve">LEG00070</t>
  </si>
  <si>
    <t xml:space="preserve">LEG00071</t>
  </si>
  <si>
    <t xml:space="preserve">LEG00072</t>
  </si>
  <si>
    <t xml:space="preserve">LEG00073</t>
  </si>
  <si>
    <t xml:space="preserve">LEG00074</t>
  </si>
  <si>
    <t xml:space="preserve">LEG00075</t>
  </si>
  <si>
    <t xml:space="preserve">LEG00076</t>
  </si>
  <si>
    <t xml:space="preserve">LEG00077</t>
  </si>
  <si>
    <t xml:space="preserve">LEG00078</t>
  </si>
  <si>
    <t xml:space="preserve">LEG00079</t>
  </si>
  <si>
    <t xml:space="preserve">LEG00080</t>
  </si>
  <si>
    <t xml:space="preserve">LEG00081</t>
  </si>
  <si>
    <t xml:space="preserve">LEG00082</t>
  </si>
  <si>
    <t xml:space="preserve">LEG00083</t>
  </si>
  <si>
    <t xml:space="preserve">LEG00084</t>
  </si>
  <si>
    <t xml:space="preserve">LEG00085</t>
  </si>
  <si>
    <t xml:space="preserve">LEG00086</t>
  </si>
  <si>
    <t xml:space="preserve">LEG00087</t>
  </si>
  <si>
    <t xml:space="preserve">LEG00088</t>
  </si>
  <si>
    <t xml:space="preserve">LEG00089</t>
  </si>
  <si>
    <t xml:space="preserve">LEG00090</t>
  </si>
  <si>
    <t xml:space="preserve">LEG00091</t>
  </si>
  <si>
    <t xml:space="preserve">LEG00092</t>
  </si>
  <si>
    <t xml:space="preserve">LEG00093</t>
  </si>
  <si>
    <t xml:space="preserve">LEG00094</t>
  </si>
  <si>
    <t xml:space="preserve">LEG00095</t>
  </si>
  <si>
    <t xml:space="preserve">LEG00096</t>
  </si>
  <si>
    <t xml:space="preserve">LEG00097</t>
  </si>
  <si>
    <t xml:space="preserve">LEG00098</t>
  </si>
  <si>
    <t xml:space="preserve">LEG00099</t>
  </si>
  <si>
    <t xml:space="preserve">LEG00100</t>
  </si>
  <si>
    <t xml:space="preserve">LEG00101</t>
  </si>
  <si>
    <t xml:space="preserve">LEG00102</t>
  </si>
  <si>
    <t xml:space="preserve">LEG00103</t>
  </si>
  <si>
    <t xml:space="preserve">LEG00104</t>
  </si>
  <si>
    <t xml:space="preserve">LEG00105</t>
  </si>
  <si>
    <t xml:space="preserve">LEG00106</t>
  </si>
  <si>
    <t xml:space="preserve">LEG00107</t>
  </si>
  <si>
    <t xml:space="preserve">LEG00108</t>
  </si>
  <si>
    <t xml:space="preserve">LEG00109</t>
  </si>
  <si>
    <t xml:space="preserve">LEG00110</t>
  </si>
  <si>
    <t xml:space="preserve">LEG00111</t>
  </si>
  <si>
    <t xml:space="preserve">LEG00112</t>
  </si>
  <si>
    <t xml:space="preserve">LEG00113</t>
  </si>
  <si>
    <t xml:space="preserve">LEG00114</t>
  </si>
  <si>
    <t xml:space="preserve">LEG00115</t>
  </si>
  <si>
    <t xml:space="preserve">LEG00116</t>
  </si>
  <si>
    <t xml:space="preserve">LEG00117</t>
  </si>
  <si>
    <t xml:space="preserve">LEG00118</t>
  </si>
  <si>
    <t xml:space="preserve">LEG00119</t>
  </si>
  <si>
    <t xml:space="preserve">LEG00120</t>
  </si>
  <si>
    <t xml:space="preserve">LEG00121</t>
  </si>
  <si>
    <t xml:space="preserve">LEG00122</t>
  </si>
  <si>
    <t xml:space="preserve">LEG00123</t>
  </si>
  <si>
    <t xml:space="preserve">LEG00124</t>
  </si>
  <si>
    <t xml:space="preserve">LEG00125</t>
  </si>
  <si>
    <t xml:space="preserve">LEG00126</t>
  </si>
  <si>
    <t xml:space="preserve">LEG00127</t>
  </si>
  <si>
    <t xml:space="preserve">LEG00128</t>
  </si>
  <si>
    <t xml:space="preserve">LEG00129</t>
  </si>
  <si>
    <t xml:space="preserve">LEG00130</t>
  </si>
  <si>
    <t xml:space="preserve">LEG00131</t>
  </si>
  <si>
    <t xml:space="preserve">LEG00132</t>
  </si>
  <si>
    <t xml:space="preserve">LEG00133</t>
  </si>
  <si>
    <t xml:space="preserve">LEG00134</t>
  </si>
  <si>
    <t xml:space="preserve">LEG00135</t>
  </si>
  <si>
    <t xml:space="preserve">LEG00136</t>
  </si>
  <si>
    <t xml:space="preserve">LEG00137</t>
  </si>
  <si>
    <t xml:space="preserve">LEG00138</t>
  </si>
  <si>
    <t xml:space="preserve">LEG00139</t>
  </si>
  <si>
    <t xml:space="preserve">LEG00140</t>
  </si>
  <si>
    <t xml:space="preserve">LEG00141</t>
  </si>
  <si>
    <t xml:space="preserve">LEG00142</t>
  </si>
  <si>
    <t xml:space="preserve">LEG00143</t>
  </si>
  <si>
    <t xml:space="preserve">LEG00144</t>
  </si>
  <si>
    <t xml:space="preserve">LEG00145</t>
  </si>
  <si>
    <t xml:space="preserve">LEG00146</t>
  </si>
  <si>
    <t xml:space="preserve">LEG00147</t>
  </si>
  <si>
    <t xml:space="preserve">LEG00148</t>
  </si>
  <si>
    <t xml:space="preserve">LEG00149</t>
  </si>
  <si>
    <t xml:space="preserve">LEG00150</t>
  </si>
  <si>
    <t xml:space="preserve">RequestID</t>
  </si>
  <si>
    <t xml:space="preserve">RequestedByEmployeeID</t>
  </si>
  <si>
    <t xml:space="preserve">Description</t>
  </si>
  <si>
    <t xml:space="preserve">CostNGN</t>
  </si>
  <si>
    <t xml:space="preserve">ApprovalStatus</t>
  </si>
  <si>
    <t xml:space="preserve">CompletionDate</t>
  </si>
  <si>
    <t xml:space="preserve">TurnaroundDays</t>
  </si>
  <si>
    <t xml:space="preserve">ADM00001</t>
  </si>
  <si>
    <t xml:space="preserve">Utility Services</t>
  </si>
  <si>
    <t xml:space="preserve">Utility Services request</t>
  </si>
  <si>
    <t xml:space="preserve">Pending</t>
  </si>
  <si>
    <t xml:space="preserve">ADM00002</t>
  </si>
  <si>
    <t xml:space="preserve">Travel &amp; Logistics</t>
  </si>
  <si>
    <t xml:space="preserve">Travel &amp; Logistics request</t>
  </si>
  <si>
    <t xml:space="preserve">Approved</t>
  </si>
  <si>
    <t xml:space="preserve">ADM00003</t>
  </si>
  <si>
    <t xml:space="preserve">ADM00004</t>
  </si>
  <si>
    <t xml:space="preserve">Event/Protocol</t>
  </si>
  <si>
    <t xml:space="preserve">Event/Protocol request</t>
  </si>
  <si>
    <t xml:space="preserve">ADM00005</t>
  </si>
  <si>
    <t xml:space="preserve">Procurement (Admin)</t>
  </si>
  <si>
    <t xml:space="preserve">Procurement (Admin) request</t>
  </si>
  <si>
    <t xml:space="preserve">Rejected</t>
  </si>
  <si>
    <t xml:space="preserve">ADM00006</t>
  </si>
  <si>
    <t xml:space="preserve">ADM00007</t>
  </si>
  <si>
    <t xml:space="preserve">ADM00008</t>
  </si>
  <si>
    <t xml:space="preserve">Office Supplies</t>
  </si>
  <si>
    <t xml:space="preserve">Office Supplies request</t>
  </si>
  <si>
    <t xml:space="preserve">ADM00009</t>
  </si>
  <si>
    <t xml:space="preserve">ADM00010</t>
  </si>
  <si>
    <t xml:space="preserve">ADM00011</t>
  </si>
  <si>
    <t xml:space="preserve">ADM00012</t>
  </si>
  <si>
    <t xml:space="preserve">ADM00013</t>
  </si>
  <si>
    <t xml:space="preserve">Facility Maintenance</t>
  </si>
  <si>
    <t xml:space="preserve">Facility Maintenance request</t>
  </si>
  <si>
    <t xml:space="preserve">ADM00014</t>
  </si>
  <si>
    <t xml:space="preserve">ADM00015</t>
  </si>
  <si>
    <t xml:space="preserve">Fleet Management</t>
  </si>
  <si>
    <t xml:space="preserve">Fleet Management request</t>
  </si>
  <si>
    <t xml:space="preserve">ADM00016</t>
  </si>
  <si>
    <t xml:space="preserve">ADM00017</t>
  </si>
  <si>
    <t xml:space="preserve">ADM00018</t>
  </si>
  <si>
    <t xml:space="preserve">ADM00019</t>
  </si>
  <si>
    <t xml:space="preserve">ADM00020</t>
  </si>
  <si>
    <t xml:space="preserve">ADM00021</t>
  </si>
  <si>
    <t xml:space="preserve">ADM00022</t>
  </si>
  <si>
    <t xml:space="preserve">ADM00023</t>
  </si>
  <si>
    <t xml:space="preserve">ADM00024</t>
  </si>
  <si>
    <t xml:space="preserve">ADM00025</t>
  </si>
  <si>
    <t xml:space="preserve">ADM00026</t>
  </si>
  <si>
    <t xml:space="preserve">ADM00027</t>
  </si>
  <si>
    <t xml:space="preserve">ADM00028</t>
  </si>
  <si>
    <t xml:space="preserve">ADM00029</t>
  </si>
  <si>
    <t xml:space="preserve">ADM00030</t>
  </si>
  <si>
    <t xml:space="preserve">ADM00031</t>
  </si>
  <si>
    <t xml:space="preserve">ADM00032</t>
  </si>
  <si>
    <t xml:space="preserve">ADM00033</t>
  </si>
  <si>
    <t xml:space="preserve">ADM00034</t>
  </si>
  <si>
    <t xml:space="preserve">ADM00035</t>
  </si>
  <si>
    <t xml:space="preserve">ADM00036</t>
  </si>
  <si>
    <t xml:space="preserve">ADM00037</t>
  </si>
  <si>
    <t xml:space="preserve">ADM00038</t>
  </si>
  <si>
    <t xml:space="preserve">ADM00039</t>
  </si>
  <si>
    <t xml:space="preserve">ADM00040</t>
  </si>
  <si>
    <t xml:space="preserve">ADM00041</t>
  </si>
  <si>
    <t xml:space="preserve">ADM00042</t>
  </si>
  <si>
    <t xml:space="preserve">ADM00043</t>
  </si>
  <si>
    <t xml:space="preserve">ADM00044</t>
  </si>
  <si>
    <t xml:space="preserve">ADM00045</t>
  </si>
  <si>
    <t xml:space="preserve">ADM00046</t>
  </si>
  <si>
    <t xml:space="preserve">ADM00047</t>
  </si>
  <si>
    <t xml:space="preserve">ADM00048</t>
  </si>
  <si>
    <t xml:space="preserve">ADM00049</t>
  </si>
  <si>
    <t xml:space="preserve">ADM00050</t>
  </si>
  <si>
    <t xml:space="preserve">ADM00051</t>
  </si>
  <si>
    <t xml:space="preserve">ADM00052</t>
  </si>
  <si>
    <t xml:space="preserve">ADM00053</t>
  </si>
  <si>
    <t xml:space="preserve">ADM00054</t>
  </si>
  <si>
    <t xml:space="preserve">ADM00055</t>
  </si>
  <si>
    <t xml:space="preserve">ADM00056</t>
  </si>
  <si>
    <t xml:space="preserve">ADM00057</t>
  </si>
  <si>
    <t xml:space="preserve">ADM00058</t>
  </si>
  <si>
    <t xml:space="preserve">ADM00059</t>
  </si>
  <si>
    <t xml:space="preserve">ADM00060</t>
  </si>
  <si>
    <t xml:space="preserve">ADM00061</t>
  </si>
  <si>
    <t xml:space="preserve">ADM00062</t>
  </si>
  <si>
    <t xml:space="preserve">ADM00063</t>
  </si>
  <si>
    <t xml:space="preserve">ADM00064</t>
  </si>
  <si>
    <t xml:space="preserve">ADM00065</t>
  </si>
  <si>
    <t xml:space="preserve">ADM00066</t>
  </si>
  <si>
    <t xml:space="preserve">ADM00067</t>
  </si>
  <si>
    <t xml:space="preserve">ADM00068</t>
  </si>
  <si>
    <t xml:space="preserve">ADM00069</t>
  </si>
  <si>
    <t xml:space="preserve">ADM00070</t>
  </si>
  <si>
    <t xml:space="preserve">ADM00071</t>
  </si>
  <si>
    <t xml:space="preserve">ADM00072</t>
  </si>
  <si>
    <t xml:space="preserve">ADM00073</t>
  </si>
  <si>
    <t xml:space="preserve">ADM00074</t>
  </si>
  <si>
    <t xml:space="preserve">ADM00075</t>
  </si>
  <si>
    <t xml:space="preserve">ADM00076</t>
  </si>
  <si>
    <t xml:space="preserve">ADM00077</t>
  </si>
  <si>
    <t xml:space="preserve">ADM00078</t>
  </si>
  <si>
    <t xml:space="preserve">ADM00079</t>
  </si>
  <si>
    <t xml:space="preserve">ADM00080</t>
  </si>
  <si>
    <t xml:space="preserve">ADM00081</t>
  </si>
  <si>
    <t xml:space="preserve">ADM00082</t>
  </si>
  <si>
    <t xml:space="preserve">ADM00083</t>
  </si>
  <si>
    <t xml:space="preserve">ADM00084</t>
  </si>
  <si>
    <t xml:space="preserve">ADM00085</t>
  </si>
  <si>
    <t xml:space="preserve">ADM00086</t>
  </si>
  <si>
    <t xml:space="preserve">ADM00087</t>
  </si>
  <si>
    <t xml:space="preserve">ADM00088</t>
  </si>
  <si>
    <t xml:space="preserve">ADM00089</t>
  </si>
  <si>
    <t xml:space="preserve">ADM00090</t>
  </si>
  <si>
    <t xml:space="preserve">ADM00091</t>
  </si>
  <si>
    <t xml:space="preserve">ADM00092</t>
  </si>
  <si>
    <t xml:space="preserve">ADM00093</t>
  </si>
  <si>
    <t xml:space="preserve">ADM00094</t>
  </si>
  <si>
    <t xml:space="preserve">ADM00095</t>
  </si>
  <si>
    <t xml:space="preserve">ADM00096</t>
  </si>
  <si>
    <t xml:space="preserve">ADM00097</t>
  </si>
  <si>
    <t xml:space="preserve">ADM00098</t>
  </si>
  <si>
    <t xml:space="preserve">ADM00099</t>
  </si>
  <si>
    <t xml:space="preserve">ADM00100</t>
  </si>
  <si>
    <t xml:space="preserve">ADM00101</t>
  </si>
  <si>
    <t xml:space="preserve">ADM00102</t>
  </si>
  <si>
    <t xml:space="preserve">ADM00103</t>
  </si>
  <si>
    <t xml:space="preserve">ADM00104</t>
  </si>
  <si>
    <t xml:space="preserve">ADM00105</t>
  </si>
  <si>
    <t xml:space="preserve">ADM00106</t>
  </si>
  <si>
    <t xml:space="preserve">ADM00107</t>
  </si>
  <si>
    <t xml:space="preserve">ADM00108</t>
  </si>
  <si>
    <t xml:space="preserve">ADM00109</t>
  </si>
  <si>
    <t xml:space="preserve">ADM00110</t>
  </si>
  <si>
    <t xml:space="preserve">ADM00111</t>
  </si>
  <si>
    <t xml:space="preserve">ADM00112</t>
  </si>
  <si>
    <t xml:space="preserve">ADM00113</t>
  </si>
  <si>
    <t xml:space="preserve">ADM00114</t>
  </si>
  <si>
    <t xml:space="preserve">ADM00115</t>
  </si>
  <si>
    <t xml:space="preserve">ADM00116</t>
  </si>
  <si>
    <t xml:space="preserve">ADM00117</t>
  </si>
  <si>
    <t xml:space="preserve">ADM00118</t>
  </si>
  <si>
    <t xml:space="preserve">ADM00119</t>
  </si>
  <si>
    <t xml:space="preserve">ADM00120</t>
  </si>
  <si>
    <t xml:space="preserve">ADM00121</t>
  </si>
  <si>
    <t xml:space="preserve">ADM00122</t>
  </si>
  <si>
    <t xml:space="preserve">ADM00123</t>
  </si>
  <si>
    <t xml:space="preserve">ADM00124</t>
  </si>
  <si>
    <t xml:space="preserve">ADM00125</t>
  </si>
  <si>
    <t xml:space="preserve">ADM00126</t>
  </si>
  <si>
    <t xml:space="preserve">ADM00127</t>
  </si>
  <si>
    <t xml:space="preserve">ADM00128</t>
  </si>
  <si>
    <t xml:space="preserve">ADM00129</t>
  </si>
  <si>
    <t xml:space="preserve">ADM00130</t>
  </si>
  <si>
    <t xml:space="preserve">ADM00131</t>
  </si>
  <si>
    <t xml:space="preserve">ADM00132</t>
  </si>
  <si>
    <t xml:space="preserve">ADM00133</t>
  </si>
  <si>
    <t xml:space="preserve">ADM00134</t>
  </si>
  <si>
    <t xml:space="preserve">ADM00135</t>
  </si>
  <si>
    <t xml:space="preserve">ADM00136</t>
  </si>
  <si>
    <t xml:space="preserve">ADM00137</t>
  </si>
  <si>
    <t xml:space="preserve">ADM00138</t>
  </si>
  <si>
    <t xml:space="preserve">ADM00139</t>
  </si>
  <si>
    <t xml:space="preserve">ADM00140</t>
  </si>
  <si>
    <t xml:space="preserve">ADM00141</t>
  </si>
  <si>
    <t xml:space="preserve">ADM00142</t>
  </si>
  <si>
    <t xml:space="preserve">ADM00143</t>
  </si>
  <si>
    <t xml:space="preserve">ADM00144</t>
  </si>
  <si>
    <t xml:space="preserve">ADM00145</t>
  </si>
  <si>
    <t xml:space="preserve">ADM00146</t>
  </si>
  <si>
    <t xml:space="preserve">ADM00147</t>
  </si>
  <si>
    <t xml:space="preserve">ADM00148</t>
  </si>
  <si>
    <t xml:space="preserve">ADM00149</t>
  </si>
  <si>
    <t xml:space="preserve">ADM00150</t>
  </si>
  <si>
    <t xml:space="preserve">ADM00151</t>
  </si>
  <si>
    <t xml:space="preserve">ADM00152</t>
  </si>
  <si>
    <t xml:space="preserve">ADM00153</t>
  </si>
  <si>
    <t xml:space="preserve">ADM00154</t>
  </si>
  <si>
    <t xml:space="preserve">ADM00155</t>
  </si>
  <si>
    <t xml:space="preserve">ADM00156</t>
  </si>
  <si>
    <t xml:space="preserve">ADM00157</t>
  </si>
  <si>
    <t xml:space="preserve">ADM00158</t>
  </si>
  <si>
    <t xml:space="preserve">ADM00159</t>
  </si>
  <si>
    <t xml:space="preserve">ADM00160</t>
  </si>
  <si>
    <t xml:space="preserve">ADM00161</t>
  </si>
  <si>
    <t xml:space="preserve">ADM00162</t>
  </si>
  <si>
    <t xml:space="preserve">ADM00163</t>
  </si>
  <si>
    <t xml:space="preserve">ADM00164</t>
  </si>
  <si>
    <t xml:space="preserve">ADM00165</t>
  </si>
  <si>
    <t xml:space="preserve">ADM00166</t>
  </si>
  <si>
    <t xml:space="preserve">ADM00167</t>
  </si>
  <si>
    <t xml:space="preserve">ADM00168</t>
  </si>
  <si>
    <t xml:space="preserve">ADM00169</t>
  </si>
  <si>
    <t xml:space="preserve">ADM00170</t>
  </si>
  <si>
    <t xml:space="preserve">ADM00171</t>
  </si>
  <si>
    <t xml:space="preserve">ADM00172</t>
  </si>
  <si>
    <t xml:space="preserve">ADM00173</t>
  </si>
  <si>
    <t xml:space="preserve">ADM00174</t>
  </si>
  <si>
    <t xml:space="preserve">ADM00175</t>
  </si>
  <si>
    <t xml:space="preserve">ADM00176</t>
  </si>
  <si>
    <t xml:space="preserve">ADM00177</t>
  </si>
  <si>
    <t xml:space="preserve">ADM00178</t>
  </si>
  <si>
    <t xml:space="preserve">ADM00179</t>
  </si>
  <si>
    <t xml:space="preserve">ADM00180</t>
  </si>
  <si>
    <t xml:space="preserve">ADM00181</t>
  </si>
  <si>
    <t xml:space="preserve">ADM00182</t>
  </si>
  <si>
    <t xml:space="preserve">ADM00183</t>
  </si>
  <si>
    <t xml:space="preserve">ADM00184</t>
  </si>
  <si>
    <t xml:space="preserve">ADM00185</t>
  </si>
  <si>
    <t xml:space="preserve">ADM00186</t>
  </si>
  <si>
    <t xml:space="preserve">ADM00187</t>
  </si>
  <si>
    <t xml:space="preserve">ADM00188</t>
  </si>
  <si>
    <t xml:space="preserve">ADM00189</t>
  </si>
  <si>
    <t xml:space="preserve">ADM00190</t>
  </si>
  <si>
    <t xml:space="preserve">ADM00191</t>
  </si>
  <si>
    <t xml:space="preserve">ADM00192</t>
  </si>
  <si>
    <t xml:space="preserve">ADM00193</t>
  </si>
  <si>
    <t xml:space="preserve">ADM00194</t>
  </si>
  <si>
    <t xml:space="preserve">ADM00195</t>
  </si>
  <si>
    <t xml:space="preserve">ADM00196</t>
  </si>
  <si>
    <t xml:space="preserve">ADM00197</t>
  </si>
  <si>
    <t xml:space="preserve">ADM00198</t>
  </si>
  <si>
    <t xml:space="preserve">ADM00199</t>
  </si>
  <si>
    <t xml:space="preserve">ADM00200</t>
  </si>
  <si>
    <t xml:space="preserve">ADM00201</t>
  </si>
  <si>
    <t xml:space="preserve">ADM00202</t>
  </si>
  <si>
    <t xml:space="preserve">ADM00203</t>
  </si>
  <si>
    <t xml:space="preserve">ADM00204</t>
  </si>
  <si>
    <t xml:space="preserve">ADM00205</t>
  </si>
  <si>
    <t xml:space="preserve">ADM00206</t>
  </si>
  <si>
    <t xml:space="preserve">ADM00207</t>
  </si>
  <si>
    <t xml:space="preserve">ADM00208</t>
  </si>
  <si>
    <t xml:space="preserve">ADM00209</t>
  </si>
  <si>
    <t xml:space="preserve">ADM00210</t>
  </si>
  <si>
    <t xml:space="preserve">ADM00211</t>
  </si>
  <si>
    <t xml:space="preserve">ADM00212</t>
  </si>
  <si>
    <t xml:space="preserve">ADM00213</t>
  </si>
  <si>
    <t xml:space="preserve">ADM00214</t>
  </si>
  <si>
    <t xml:space="preserve">ADM00215</t>
  </si>
  <si>
    <t xml:space="preserve">ADM00216</t>
  </si>
  <si>
    <t xml:space="preserve">ADM00217</t>
  </si>
  <si>
    <t xml:space="preserve">ADM00218</t>
  </si>
  <si>
    <t xml:space="preserve">ADM00219</t>
  </si>
  <si>
    <t xml:space="preserve">ADM00220</t>
  </si>
  <si>
    <t xml:space="preserve">TicketID</t>
  </si>
  <si>
    <t xml:space="preserve">Channel</t>
  </si>
  <si>
    <t xml:space="preserve">ComplaintType</t>
  </si>
  <si>
    <t xml:space="preserve">Priority</t>
  </si>
  <si>
    <t xml:space="preserve">ResolutionTimeHours</t>
  </si>
  <si>
    <t xml:space="preserve">CSAT_Score_1to5</t>
  </si>
  <si>
    <t xml:space="preserve">TCK00001</t>
  </si>
  <si>
    <t xml:space="preserve">Website</t>
  </si>
  <si>
    <t xml:space="preserve">General Inquiry</t>
  </si>
  <si>
    <t xml:space="preserve">Resolved</t>
  </si>
  <si>
    <t xml:space="preserve">TCK00002</t>
  </si>
  <si>
    <t xml:space="preserve">Social Media</t>
  </si>
  <si>
    <t xml:space="preserve">Packaging Defect</t>
  </si>
  <si>
    <t xml:space="preserve">TCK00003</t>
  </si>
  <si>
    <t xml:space="preserve">WhatsApp</t>
  </si>
  <si>
    <t xml:space="preserve">TCK00004</t>
  </si>
  <si>
    <t xml:space="preserve">Late Delivery</t>
  </si>
  <si>
    <t xml:space="preserve">TCK00005</t>
  </si>
  <si>
    <t xml:space="preserve">Call Centre</t>
  </si>
  <si>
    <t xml:space="preserve">Product Quality</t>
  </si>
  <si>
    <t xml:space="preserve">TCK00006</t>
  </si>
  <si>
    <t xml:space="preserve">TCK00007</t>
  </si>
  <si>
    <t xml:space="preserve">Email</t>
  </si>
  <si>
    <t xml:space="preserve">Counterfeit Report</t>
  </si>
  <si>
    <t xml:space="preserve">TCK00008</t>
  </si>
  <si>
    <t xml:space="preserve">Walk-in</t>
  </si>
  <si>
    <t xml:space="preserve">Critical</t>
  </si>
  <si>
    <t xml:space="preserve">TCK00009</t>
  </si>
  <si>
    <t xml:space="preserve">TCK00010</t>
  </si>
  <si>
    <t xml:space="preserve">TCK00011</t>
  </si>
  <si>
    <t xml:space="preserve">TCK00012</t>
  </si>
  <si>
    <t xml:space="preserve">Wrong Product Delivered</t>
  </si>
  <si>
    <t xml:space="preserve">Escalated</t>
  </si>
  <si>
    <t xml:space="preserve">TCK00013</t>
  </si>
  <si>
    <t xml:space="preserve">TCK00014</t>
  </si>
  <si>
    <t xml:space="preserve">TCK00015</t>
  </si>
  <si>
    <t xml:space="preserve">TCK00016</t>
  </si>
  <si>
    <t xml:space="preserve">TCK00017</t>
  </si>
  <si>
    <t xml:space="preserve">TCK00018</t>
  </si>
  <si>
    <t xml:space="preserve">TCK00019</t>
  </si>
  <si>
    <t xml:space="preserve">TCK00020</t>
  </si>
  <si>
    <t xml:space="preserve">TCK00021</t>
  </si>
  <si>
    <t xml:space="preserve">TCK00022</t>
  </si>
  <si>
    <t xml:space="preserve">TCK00023</t>
  </si>
  <si>
    <t xml:space="preserve">Pricing Complaint</t>
  </si>
  <si>
    <t xml:space="preserve">TCK00024</t>
  </si>
  <si>
    <t xml:space="preserve">TCK00025</t>
  </si>
  <si>
    <t xml:space="preserve">TCK00026</t>
  </si>
  <si>
    <t xml:space="preserve">TCK00027</t>
  </si>
  <si>
    <t xml:space="preserve">TCK00028</t>
  </si>
  <si>
    <t xml:space="preserve">TCK00029</t>
  </si>
  <si>
    <t xml:space="preserve">TCK00030</t>
  </si>
  <si>
    <t xml:space="preserve">TCK00031</t>
  </si>
  <si>
    <t xml:space="preserve">TCK00032</t>
  </si>
  <si>
    <t xml:space="preserve">TCK00033</t>
  </si>
  <si>
    <t xml:space="preserve">TCK00034</t>
  </si>
  <si>
    <t xml:space="preserve">TCK00035</t>
  </si>
  <si>
    <t xml:space="preserve">TCK00036</t>
  </si>
  <si>
    <t xml:space="preserve">TCK00037</t>
  </si>
  <si>
    <t xml:space="preserve">TCK00038</t>
  </si>
  <si>
    <t xml:space="preserve">TCK00039</t>
  </si>
  <si>
    <t xml:space="preserve">TCK00040</t>
  </si>
  <si>
    <t xml:space="preserve">TCK00041</t>
  </si>
  <si>
    <t xml:space="preserve">TCK00042</t>
  </si>
  <si>
    <t xml:space="preserve">TCK00043</t>
  </si>
  <si>
    <t xml:space="preserve">TCK00044</t>
  </si>
  <si>
    <t xml:space="preserve">TCK00045</t>
  </si>
  <si>
    <t xml:space="preserve">TCK00046</t>
  </si>
  <si>
    <t xml:space="preserve">TCK00047</t>
  </si>
  <si>
    <t xml:space="preserve">TCK00048</t>
  </si>
  <si>
    <t xml:space="preserve">TCK00049</t>
  </si>
  <si>
    <t xml:space="preserve">TCK00050</t>
  </si>
  <si>
    <t xml:space="preserve">TCK00051</t>
  </si>
  <si>
    <t xml:space="preserve">TCK00052</t>
  </si>
  <si>
    <t xml:space="preserve">TCK00053</t>
  </si>
  <si>
    <t xml:space="preserve">TCK00054</t>
  </si>
  <si>
    <t xml:space="preserve">TCK00055</t>
  </si>
  <si>
    <t xml:space="preserve">TCK00056</t>
  </si>
  <si>
    <t xml:space="preserve">TCK00057</t>
  </si>
  <si>
    <t xml:space="preserve">TCK00058</t>
  </si>
  <si>
    <t xml:space="preserve">TCK00059</t>
  </si>
  <si>
    <t xml:space="preserve">TCK00060</t>
  </si>
  <si>
    <t xml:space="preserve">TCK00061</t>
  </si>
  <si>
    <t xml:space="preserve">TCK00062</t>
  </si>
  <si>
    <t xml:space="preserve">TCK00063</t>
  </si>
  <si>
    <t xml:space="preserve">TCK00064</t>
  </si>
  <si>
    <t xml:space="preserve">TCK00065</t>
  </si>
  <si>
    <t xml:space="preserve">TCK00066</t>
  </si>
  <si>
    <t xml:space="preserve">TCK00067</t>
  </si>
  <si>
    <t xml:space="preserve">TCK00068</t>
  </si>
  <si>
    <t xml:space="preserve">TCK00069</t>
  </si>
  <si>
    <t xml:space="preserve">TCK00070</t>
  </si>
  <si>
    <t xml:space="preserve">TCK00071</t>
  </si>
  <si>
    <t xml:space="preserve">TCK00072</t>
  </si>
  <si>
    <t xml:space="preserve">TCK00073</t>
  </si>
  <si>
    <t xml:space="preserve">TCK00074</t>
  </si>
  <si>
    <t xml:space="preserve">TCK00075</t>
  </si>
  <si>
    <t xml:space="preserve">TCK00076</t>
  </si>
  <si>
    <t xml:space="preserve">TCK00077</t>
  </si>
  <si>
    <t xml:space="preserve">TCK00078</t>
  </si>
  <si>
    <t xml:space="preserve">TCK00079</t>
  </si>
  <si>
    <t xml:space="preserve">TCK00080</t>
  </si>
  <si>
    <t xml:space="preserve">TCK00081</t>
  </si>
  <si>
    <t xml:space="preserve">TCK00082</t>
  </si>
  <si>
    <t xml:space="preserve">TCK00083</t>
  </si>
  <si>
    <t xml:space="preserve">TCK00084</t>
  </si>
  <si>
    <t xml:space="preserve">TCK00085</t>
  </si>
  <si>
    <t xml:space="preserve">TCK00086</t>
  </si>
  <si>
    <t xml:space="preserve">TCK00087</t>
  </si>
  <si>
    <t xml:space="preserve">TCK00088</t>
  </si>
  <si>
    <t xml:space="preserve">TCK00089</t>
  </si>
  <si>
    <t xml:space="preserve">TCK00090</t>
  </si>
  <si>
    <t xml:space="preserve">TCK00091</t>
  </si>
  <si>
    <t xml:space="preserve">TCK00092</t>
  </si>
  <si>
    <t xml:space="preserve">TCK00093</t>
  </si>
  <si>
    <t xml:space="preserve">TCK00094</t>
  </si>
  <si>
    <t xml:space="preserve">TCK00095</t>
  </si>
  <si>
    <t xml:space="preserve">TCK00096</t>
  </si>
  <si>
    <t xml:space="preserve">TCK00097</t>
  </si>
  <si>
    <t xml:space="preserve">TCK00098</t>
  </si>
  <si>
    <t xml:space="preserve">TCK00099</t>
  </si>
  <si>
    <t xml:space="preserve">TCK00100</t>
  </si>
  <si>
    <t xml:space="preserve">TCK00101</t>
  </si>
  <si>
    <t xml:space="preserve">TCK00102</t>
  </si>
  <si>
    <t xml:space="preserve">TCK00103</t>
  </si>
  <si>
    <t xml:space="preserve">TCK00104</t>
  </si>
  <si>
    <t xml:space="preserve">TCK00105</t>
  </si>
  <si>
    <t xml:space="preserve">TCK00106</t>
  </si>
  <si>
    <t xml:space="preserve">TCK00107</t>
  </si>
  <si>
    <t xml:space="preserve">TCK00108</t>
  </si>
  <si>
    <t xml:space="preserve">TCK00109</t>
  </si>
  <si>
    <t xml:space="preserve">TCK00110</t>
  </si>
  <si>
    <t xml:space="preserve">TCK00111</t>
  </si>
  <si>
    <t xml:space="preserve">TCK00112</t>
  </si>
  <si>
    <t xml:space="preserve">TCK00113</t>
  </si>
  <si>
    <t xml:space="preserve">TCK00114</t>
  </si>
  <si>
    <t xml:space="preserve">TCK00115</t>
  </si>
  <si>
    <t xml:space="preserve">TCK00116</t>
  </si>
  <si>
    <t xml:space="preserve">TCK00117</t>
  </si>
  <si>
    <t xml:space="preserve">TCK00118</t>
  </si>
  <si>
    <t xml:space="preserve">TCK00119</t>
  </si>
  <si>
    <t xml:space="preserve">TCK00120</t>
  </si>
  <si>
    <t xml:space="preserve">TCK00121</t>
  </si>
  <si>
    <t xml:space="preserve">TCK00122</t>
  </si>
  <si>
    <t xml:space="preserve">TCK00123</t>
  </si>
  <si>
    <t xml:space="preserve">TCK00124</t>
  </si>
  <si>
    <t xml:space="preserve">TCK00125</t>
  </si>
  <si>
    <t xml:space="preserve">TCK00126</t>
  </si>
  <si>
    <t xml:space="preserve">TCK00127</t>
  </si>
  <si>
    <t xml:space="preserve">TCK00128</t>
  </si>
  <si>
    <t xml:space="preserve">TCK00129</t>
  </si>
  <si>
    <t xml:space="preserve">TCK00130</t>
  </si>
  <si>
    <t xml:space="preserve">TCK00131</t>
  </si>
  <si>
    <t xml:space="preserve">TCK00132</t>
  </si>
  <si>
    <t xml:space="preserve">TCK00133</t>
  </si>
  <si>
    <t xml:space="preserve">TCK00134</t>
  </si>
  <si>
    <t xml:space="preserve">TCK00135</t>
  </si>
  <si>
    <t xml:space="preserve">TCK00136</t>
  </si>
  <si>
    <t xml:space="preserve">TCK00137</t>
  </si>
  <si>
    <t xml:space="preserve">TCK00138</t>
  </si>
  <si>
    <t xml:space="preserve">TCK00139</t>
  </si>
  <si>
    <t xml:space="preserve">TCK00140</t>
  </si>
  <si>
    <t xml:space="preserve">TCK00141</t>
  </si>
  <si>
    <t xml:space="preserve">TCK00142</t>
  </si>
  <si>
    <t xml:space="preserve">TCK00143</t>
  </si>
  <si>
    <t xml:space="preserve">TCK00144</t>
  </si>
  <si>
    <t xml:space="preserve">TCK00145</t>
  </si>
  <si>
    <t xml:space="preserve">TCK00146</t>
  </si>
  <si>
    <t xml:space="preserve">TCK00147</t>
  </si>
  <si>
    <t xml:space="preserve">TCK00148</t>
  </si>
  <si>
    <t xml:space="preserve">TCK00149</t>
  </si>
  <si>
    <t xml:space="preserve">TCK00150</t>
  </si>
  <si>
    <t xml:space="preserve">TCK00151</t>
  </si>
  <si>
    <t xml:space="preserve">TCK00152</t>
  </si>
  <si>
    <t xml:space="preserve">TCK00153</t>
  </si>
  <si>
    <t xml:space="preserve">TCK00154</t>
  </si>
  <si>
    <t xml:space="preserve">TCK00155</t>
  </si>
  <si>
    <t xml:space="preserve">TCK00156</t>
  </si>
  <si>
    <t xml:space="preserve">TCK00157</t>
  </si>
  <si>
    <t xml:space="preserve">TCK00158</t>
  </si>
  <si>
    <t xml:space="preserve">TCK00159</t>
  </si>
  <si>
    <t xml:space="preserve">TCK00160</t>
  </si>
  <si>
    <t xml:space="preserve">TCK00161</t>
  </si>
  <si>
    <t xml:space="preserve">TCK00162</t>
  </si>
  <si>
    <t xml:space="preserve">TCK00163</t>
  </si>
  <si>
    <t xml:space="preserve">TCK00164</t>
  </si>
  <si>
    <t xml:space="preserve">TCK00165</t>
  </si>
  <si>
    <t xml:space="preserve">TCK00166</t>
  </si>
  <si>
    <t xml:space="preserve">TCK00167</t>
  </si>
  <si>
    <t xml:space="preserve">TCK00168</t>
  </si>
  <si>
    <t xml:space="preserve">TCK00169</t>
  </si>
  <si>
    <t xml:space="preserve">TCK00170</t>
  </si>
  <si>
    <t xml:space="preserve">TCK00171</t>
  </si>
  <si>
    <t xml:space="preserve">TCK00172</t>
  </si>
  <si>
    <t xml:space="preserve">TCK00173</t>
  </si>
  <si>
    <t xml:space="preserve">TCK00174</t>
  </si>
  <si>
    <t xml:space="preserve">TCK00175</t>
  </si>
  <si>
    <t xml:space="preserve">TCK00176</t>
  </si>
  <si>
    <t xml:space="preserve">TCK00177</t>
  </si>
  <si>
    <t xml:space="preserve">TCK00178</t>
  </si>
  <si>
    <t xml:space="preserve">TCK00179</t>
  </si>
  <si>
    <t xml:space="preserve">TCK00180</t>
  </si>
  <si>
    <t xml:space="preserve">TCK00181</t>
  </si>
  <si>
    <t xml:space="preserve">TCK00182</t>
  </si>
  <si>
    <t xml:space="preserve">TCK00183</t>
  </si>
  <si>
    <t xml:space="preserve">TCK00184</t>
  </si>
  <si>
    <t xml:space="preserve">TCK00185</t>
  </si>
  <si>
    <t xml:space="preserve">TCK00186</t>
  </si>
  <si>
    <t xml:space="preserve">TCK00187</t>
  </si>
  <si>
    <t xml:space="preserve">TCK00188</t>
  </si>
  <si>
    <t xml:space="preserve">TCK00189</t>
  </si>
  <si>
    <t xml:space="preserve">TCK00190</t>
  </si>
  <si>
    <t xml:space="preserve">TCK00191</t>
  </si>
  <si>
    <t xml:space="preserve">TCK00192</t>
  </si>
  <si>
    <t xml:space="preserve">TCK00193</t>
  </si>
  <si>
    <t xml:space="preserve">TCK00194</t>
  </si>
  <si>
    <t xml:space="preserve">TCK00195</t>
  </si>
  <si>
    <t xml:space="preserve">TCK00196</t>
  </si>
  <si>
    <t xml:space="preserve">TCK00197</t>
  </si>
  <si>
    <t xml:space="preserve">TCK00198</t>
  </si>
  <si>
    <t xml:space="preserve">TCK00199</t>
  </si>
  <si>
    <t xml:space="preserve">TCK00200</t>
  </si>
  <si>
    <t xml:space="preserve">TCK00201</t>
  </si>
  <si>
    <t xml:space="preserve">TCK00202</t>
  </si>
  <si>
    <t xml:space="preserve">TCK00203</t>
  </si>
  <si>
    <t xml:space="preserve">TCK00204</t>
  </si>
  <si>
    <t xml:space="preserve">TCK00205</t>
  </si>
  <si>
    <t xml:space="preserve">TCK00206</t>
  </si>
  <si>
    <t xml:space="preserve">TCK00207</t>
  </si>
  <si>
    <t xml:space="preserve">TCK00208</t>
  </si>
  <si>
    <t xml:space="preserve">TCK00209</t>
  </si>
  <si>
    <t xml:space="preserve">TCK00210</t>
  </si>
  <si>
    <t xml:space="preserve">TCK00211</t>
  </si>
  <si>
    <t xml:space="preserve">TCK00212</t>
  </si>
  <si>
    <t xml:space="preserve">TCK00213</t>
  </si>
  <si>
    <t xml:space="preserve">TCK00214</t>
  </si>
  <si>
    <t xml:space="preserve">TCK00215</t>
  </si>
  <si>
    <t xml:space="preserve">TCK00216</t>
  </si>
  <si>
    <t xml:space="preserve">TCK00217</t>
  </si>
  <si>
    <t xml:space="preserve">TCK00218</t>
  </si>
  <si>
    <t xml:space="preserve">TCK00219</t>
  </si>
  <si>
    <t xml:space="preserve">TCK00220</t>
  </si>
  <si>
    <t xml:space="preserve">TCK00221</t>
  </si>
  <si>
    <t xml:space="preserve">TCK00222</t>
  </si>
  <si>
    <t xml:space="preserve">TCK00223</t>
  </si>
  <si>
    <t xml:space="preserve">TCK00224</t>
  </si>
  <si>
    <t xml:space="preserve">TCK00225</t>
  </si>
  <si>
    <t xml:space="preserve">TCK00226</t>
  </si>
  <si>
    <t xml:space="preserve">TCK00227</t>
  </si>
  <si>
    <t xml:space="preserve">TCK00228</t>
  </si>
  <si>
    <t xml:space="preserve">TCK00229</t>
  </si>
  <si>
    <t xml:space="preserve">TCK00230</t>
  </si>
  <si>
    <t xml:space="preserve">TCK00231</t>
  </si>
  <si>
    <t xml:space="preserve">TCK00232</t>
  </si>
  <si>
    <t xml:space="preserve">TCK00233</t>
  </si>
  <si>
    <t xml:space="preserve">TCK00234</t>
  </si>
  <si>
    <t xml:space="preserve">TCK00235</t>
  </si>
  <si>
    <t xml:space="preserve">TCK00236</t>
  </si>
  <si>
    <t xml:space="preserve">TCK00237</t>
  </si>
  <si>
    <t xml:space="preserve">TCK00238</t>
  </si>
  <si>
    <t xml:space="preserve">TCK00239</t>
  </si>
  <si>
    <t xml:space="preserve">TCK00240</t>
  </si>
  <si>
    <t xml:space="preserve">TCK00241</t>
  </si>
  <si>
    <t xml:space="preserve">TCK00242</t>
  </si>
  <si>
    <t xml:space="preserve">TCK00243</t>
  </si>
  <si>
    <t xml:space="preserve">TCK00244</t>
  </si>
  <si>
    <t xml:space="preserve">TCK00245</t>
  </si>
  <si>
    <t xml:space="preserve">TCK00246</t>
  </si>
  <si>
    <t xml:space="preserve">TCK00247</t>
  </si>
  <si>
    <t xml:space="preserve">TCK00248</t>
  </si>
  <si>
    <t xml:space="preserve">TCK00249</t>
  </si>
  <si>
    <t xml:space="preserve">TCK00250</t>
  </si>
  <si>
    <t xml:space="preserve">TCK00251</t>
  </si>
  <si>
    <t xml:space="preserve">TCK00252</t>
  </si>
  <si>
    <t xml:space="preserve">TCK00253</t>
  </si>
  <si>
    <t xml:space="preserve">TCK00254</t>
  </si>
  <si>
    <t xml:space="preserve">TCK00255</t>
  </si>
  <si>
    <t xml:space="preserve">TCK00256</t>
  </si>
  <si>
    <t xml:space="preserve">TCK00257</t>
  </si>
  <si>
    <t xml:space="preserve">TCK00258</t>
  </si>
  <si>
    <t xml:space="preserve">TCK00259</t>
  </si>
  <si>
    <t xml:space="preserve">TCK00260</t>
  </si>
  <si>
    <t xml:space="preserve">TCK00261</t>
  </si>
  <si>
    <t xml:space="preserve">TCK00262</t>
  </si>
  <si>
    <t xml:space="preserve">TCK00263</t>
  </si>
  <si>
    <t xml:space="preserve">TCK00264</t>
  </si>
  <si>
    <t xml:space="preserve">TCK00265</t>
  </si>
  <si>
    <t xml:space="preserve">TCK00266</t>
  </si>
  <si>
    <t xml:space="preserve">TCK00267</t>
  </si>
  <si>
    <t xml:space="preserve">TCK00268</t>
  </si>
  <si>
    <t xml:space="preserve">TCK00269</t>
  </si>
  <si>
    <t xml:space="preserve">TCK00270</t>
  </si>
  <si>
    <t xml:space="preserve">TCK00271</t>
  </si>
  <si>
    <t xml:space="preserve">TCK00272</t>
  </si>
  <si>
    <t xml:space="preserve">TCK00273</t>
  </si>
  <si>
    <t xml:space="preserve">TCK00274</t>
  </si>
  <si>
    <t xml:space="preserve">TCK00275</t>
  </si>
  <si>
    <t xml:space="preserve">TCK00276</t>
  </si>
  <si>
    <t xml:space="preserve">TCK00277</t>
  </si>
  <si>
    <t xml:space="preserve">TCK00278</t>
  </si>
  <si>
    <t xml:space="preserve">TCK00279</t>
  </si>
  <si>
    <t xml:space="preserve">TCK00280</t>
  </si>
  <si>
    <t xml:space="preserve">TCK00281</t>
  </si>
  <si>
    <t xml:space="preserve">TCK00282</t>
  </si>
  <si>
    <t xml:space="preserve">TCK00283</t>
  </si>
  <si>
    <t xml:space="preserve">TCK00284</t>
  </si>
  <si>
    <t xml:space="preserve">TCK00285</t>
  </si>
  <si>
    <t xml:space="preserve">TCK00286</t>
  </si>
  <si>
    <t xml:space="preserve">TCK00287</t>
  </si>
  <si>
    <t xml:space="preserve">TCK00288</t>
  </si>
  <si>
    <t xml:space="preserve">TCK00289</t>
  </si>
  <si>
    <t xml:space="preserve">TCK00290</t>
  </si>
  <si>
    <t xml:space="preserve">TCK00291</t>
  </si>
  <si>
    <t xml:space="preserve">TCK00292</t>
  </si>
  <si>
    <t xml:space="preserve">TCK00293</t>
  </si>
  <si>
    <t xml:space="preserve">TCK00294</t>
  </si>
  <si>
    <t xml:space="preserve">TCK00295</t>
  </si>
  <si>
    <t xml:space="preserve">TCK00296</t>
  </si>
  <si>
    <t xml:space="preserve">TCK00297</t>
  </si>
  <si>
    <t xml:space="preserve">TCK00298</t>
  </si>
  <si>
    <t xml:space="preserve">TCK00299</t>
  </si>
  <si>
    <t xml:space="preserve">TCK00300</t>
  </si>
  <si>
    <t xml:space="preserve">AssignedITEmployeeID</t>
  </si>
  <si>
    <t xml:space="preserve">SLA_TargetHours</t>
  </si>
  <si>
    <t xml:space="preserve">ActualResolutionHours</t>
  </si>
  <si>
    <t xml:space="preserve">SLA_Met</t>
  </si>
  <si>
    <t xml:space="preserve">ITK00001</t>
  </si>
  <si>
    <t xml:space="preserve">Software</t>
  </si>
  <si>
    <t xml:space="preserve">ITK00002</t>
  </si>
  <si>
    <t xml:space="preserve">Network</t>
  </si>
  <si>
    <t xml:space="preserve">ITK00003</t>
  </si>
  <si>
    <t xml:space="preserve">Access Request</t>
  </si>
  <si>
    <t xml:space="preserve">ITK00004</t>
  </si>
  <si>
    <t xml:space="preserve">Security Incident</t>
  </si>
  <si>
    <t xml:space="preserve">ITK00005</t>
  </si>
  <si>
    <t xml:space="preserve">ITK00006</t>
  </si>
  <si>
    <t xml:space="preserve">Hardware</t>
  </si>
  <si>
    <t xml:space="preserve">ITK00007</t>
  </si>
  <si>
    <t xml:space="preserve">ITK00008</t>
  </si>
  <si>
    <t xml:space="preserve">ITK00009</t>
  </si>
  <si>
    <t xml:space="preserve">ITK00010</t>
  </si>
  <si>
    <t xml:space="preserve">ITK00011</t>
  </si>
  <si>
    <t xml:space="preserve">ITK00012</t>
  </si>
  <si>
    <t xml:space="preserve">ITK00013</t>
  </si>
  <si>
    <t xml:space="preserve">ITK00014</t>
  </si>
  <si>
    <t xml:space="preserve">ITK00015</t>
  </si>
  <si>
    <t xml:space="preserve">ITK00016</t>
  </si>
  <si>
    <t xml:space="preserve">ITK00017</t>
  </si>
  <si>
    <t xml:space="preserve">ITK00018</t>
  </si>
  <si>
    <t xml:space="preserve">ITK00019</t>
  </si>
  <si>
    <t xml:space="preserve">ITK00020</t>
  </si>
  <si>
    <t xml:space="preserve">ITK00021</t>
  </si>
  <si>
    <t xml:space="preserve">ITK00022</t>
  </si>
  <si>
    <t xml:space="preserve">ITK00023</t>
  </si>
  <si>
    <t xml:space="preserve">ITK00024</t>
  </si>
  <si>
    <t xml:space="preserve">ITK00025</t>
  </si>
  <si>
    <t xml:space="preserve">ITK00026</t>
  </si>
  <si>
    <t xml:space="preserve">ITK00027</t>
  </si>
  <si>
    <t xml:space="preserve">ITK00028</t>
  </si>
  <si>
    <t xml:space="preserve">ITK00029</t>
  </si>
  <si>
    <t xml:space="preserve">ITK00030</t>
  </si>
  <si>
    <t xml:space="preserve">ITK00031</t>
  </si>
  <si>
    <t xml:space="preserve">ITK00032</t>
  </si>
  <si>
    <t xml:space="preserve">ERP/SAP Support</t>
  </si>
  <si>
    <t xml:space="preserve">ITK00033</t>
  </si>
  <si>
    <t xml:space="preserve">ITK00034</t>
  </si>
  <si>
    <t xml:space="preserve">ITK00035</t>
  </si>
  <si>
    <t xml:space="preserve">ITK00036</t>
  </si>
  <si>
    <t xml:space="preserve">ITK00037</t>
  </si>
  <si>
    <t xml:space="preserve">ITK00038</t>
  </si>
  <si>
    <t xml:space="preserve">ITK00039</t>
  </si>
  <si>
    <t xml:space="preserve">ITK00040</t>
  </si>
  <si>
    <t xml:space="preserve">ITK00041</t>
  </si>
  <si>
    <t xml:space="preserve">ITK00042</t>
  </si>
  <si>
    <t xml:space="preserve">ITK00043</t>
  </si>
  <si>
    <t xml:space="preserve">ITK00044</t>
  </si>
  <si>
    <t xml:space="preserve">ITK00045</t>
  </si>
  <si>
    <t xml:space="preserve">ITK00046</t>
  </si>
  <si>
    <t xml:space="preserve">ITK00047</t>
  </si>
  <si>
    <t xml:space="preserve">ITK00048</t>
  </si>
  <si>
    <t xml:space="preserve">ITK00049</t>
  </si>
  <si>
    <t xml:space="preserve">ITK00050</t>
  </si>
  <si>
    <t xml:space="preserve">ITK00051</t>
  </si>
  <si>
    <t xml:space="preserve">ITK00052</t>
  </si>
  <si>
    <t xml:space="preserve">ITK00053</t>
  </si>
  <si>
    <t xml:space="preserve">ITK00054</t>
  </si>
  <si>
    <t xml:space="preserve">ITK00055</t>
  </si>
  <si>
    <t xml:space="preserve">ITK00056</t>
  </si>
  <si>
    <t xml:space="preserve">ITK00057</t>
  </si>
  <si>
    <t xml:space="preserve">ITK00058</t>
  </si>
  <si>
    <t xml:space="preserve">ITK00059</t>
  </si>
  <si>
    <t xml:space="preserve">ITK00060</t>
  </si>
  <si>
    <t xml:space="preserve">ITK00061</t>
  </si>
  <si>
    <t xml:space="preserve">ITK00062</t>
  </si>
  <si>
    <t xml:space="preserve">ITK00063</t>
  </si>
  <si>
    <t xml:space="preserve">ITK00064</t>
  </si>
  <si>
    <t xml:space="preserve">ITK00065</t>
  </si>
  <si>
    <t xml:space="preserve">ITK00066</t>
  </si>
  <si>
    <t xml:space="preserve">ITK00067</t>
  </si>
  <si>
    <t xml:space="preserve">ITK00068</t>
  </si>
  <si>
    <t xml:space="preserve">ITK00069</t>
  </si>
  <si>
    <t xml:space="preserve">ITK00070</t>
  </si>
  <si>
    <t xml:space="preserve">ITK00071</t>
  </si>
  <si>
    <t xml:space="preserve">ITK00072</t>
  </si>
  <si>
    <t xml:space="preserve">ITK00073</t>
  </si>
  <si>
    <t xml:space="preserve">ITK00074</t>
  </si>
  <si>
    <t xml:space="preserve">ITK00075</t>
  </si>
  <si>
    <t xml:space="preserve">ITK00076</t>
  </si>
  <si>
    <t xml:space="preserve">ITK00077</t>
  </si>
  <si>
    <t xml:space="preserve">ITK00078</t>
  </si>
  <si>
    <t xml:space="preserve">ITK00079</t>
  </si>
  <si>
    <t xml:space="preserve">ITK00080</t>
  </si>
  <si>
    <t xml:space="preserve">ITK00081</t>
  </si>
  <si>
    <t xml:space="preserve">ITK00082</t>
  </si>
  <si>
    <t xml:space="preserve">ITK00083</t>
  </si>
  <si>
    <t xml:space="preserve">ITK00084</t>
  </si>
  <si>
    <t xml:space="preserve">ITK00085</t>
  </si>
  <si>
    <t xml:space="preserve">ITK00086</t>
  </si>
  <si>
    <t xml:space="preserve">ITK00087</t>
  </si>
  <si>
    <t xml:space="preserve">ITK00088</t>
  </si>
  <si>
    <t xml:space="preserve">ITK00089</t>
  </si>
  <si>
    <t xml:space="preserve">ITK00090</t>
  </si>
  <si>
    <t xml:space="preserve">ITK00091</t>
  </si>
  <si>
    <t xml:space="preserve">ITK00092</t>
  </si>
  <si>
    <t xml:space="preserve">ITK00093</t>
  </si>
  <si>
    <t xml:space="preserve">ITK00094</t>
  </si>
  <si>
    <t xml:space="preserve">ITK00095</t>
  </si>
  <si>
    <t xml:space="preserve">ITK00096</t>
  </si>
  <si>
    <t xml:space="preserve">ITK00097</t>
  </si>
  <si>
    <t xml:space="preserve">ITK00098</t>
  </si>
  <si>
    <t xml:space="preserve">ITK00099</t>
  </si>
  <si>
    <t xml:space="preserve">ITK00100</t>
  </si>
  <si>
    <t xml:space="preserve">ITK00101</t>
  </si>
  <si>
    <t xml:space="preserve">ITK00102</t>
  </si>
  <si>
    <t xml:space="preserve">ITK00103</t>
  </si>
  <si>
    <t xml:space="preserve">ITK00104</t>
  </si>
  <si>
    <t xml:space="preserve">ITK00105</t>
  </si>
  <si>
    <t xml:space="preserve">ITK00106</t>
  </si>
  <si>
    <t xml:space="preserve">ITK00107</t>
  </si>
  <si>
    <t xml:space="preserve">ITK00108</t>
  </si>
  <si>
    <t xml:space="preserve">ITK00109</t>
  </si>
  <si>
    <t xml:space="preserve">ITK00110</t>
  </si>
  <si>
    <t xml:space="preserve">ITK00111</t>
  </si>
  <si>
    <t xml:space="preserve">ITK00112</t>
  </si>
  <si>
    <t xml:space="preserve">ITK00113</t>
  </si>
  <si>
    <t xml:space="preserve">ITK00114</t>
  </si>
  <si>
    <t xml:space="preserve">ITK00115</t>
  </si>
  <si>
    <t xml:space="preserve">ITK00116</t>
  </si>
  <si>
    <t xml:space="preserve">ITK00117</t>
  </si>
  <si>
    <t xml:space="preserve">ITK00118</t>
  </si>
  <si>
    <t xml:space="preserve">ITK00119</t>
  </si>
  <si>
    <t xml:space="preserve">ITK00120</t>
  </si>
  <si>
    <t xml:space="preserve">ITK00121</t>
  </si>
  <si>
    <t xml:space="preserve">ITK00122</t>
  </si>
  <si>
    <t xml:space="preserve">ITK00123</t>
  </si>
  <si>
    <t xml:space="preserve">ITK00124</t>
  </si>
  <si>
    <t xml:space="preserve">ITK00125</t>
  </si>
  <si>
    <t xml:space="preserve">ITK00126</t>
  </si>
  <si>
    <t xml:space="preserve">ITK00127</t>
  </si>
  <si>
    <t xml:space="preserve">ITK00128</t>
  </si>
  <si>
    <t xml:space="preserve">ITK00129</t>
  </si>
  <si>
    <t xml:space="preserve">ITK00130</t>
  </si>
  <si>
    <t xml:space="preserve">ITK00131</t>
  </si>
  <si>
    <t xml:space="preserve">ITK00132</t>
  </si>
  <si>
    <t xml:space="preserve">ITK00133</t>
  </si>
  <si>
    <t xml:space="preserve">ITK00134</t>
  </si>
  <si>
    <t xml:space="preserve">ITK00135</t>
  </si>
  <si>
    <t xml:space="preserve">ITK00136</t>
  </si>
  <si>
    <t xml:space="preserve">ITK00137</t>
  </si>
  <si>
    <t xml:space="preserve">ITK00138</t>
  </si>
  <si>
    <t xml:space="preserve">ITK00139</t>
  </si>
  <si>
    <t xml:space="preserve">ITK00140</t>
  </si>
  <si>
    <t xml:space="preserve">ITK00141</t>
  </si>
  <si>
    <t xml:space="preserve">ITK00142</t>
  </si>
  <si>
    <t xml:space="preserve">ITK00143</t>
  </si>
  <si>
    <t xml:space="preserve">ITK00144</t>
  </si>
  <si>
    <t xml:space="preserve">ITK00145</t>
  </si>
  <si>
    <t xml:space="preserve">ITK00146</t>
  </si>
  <si>
    <t xml:space="preserve">ITK00147</t>
  </si>
  <si>
    <t xml:space="preserve">ITK00148</t>
  </si>
  <si>
    <t xml:space="preserve">ITK00149</t>
  </si>
  <si>
    <t xml:space="preserve">ITK00150</t>
  </si>
  <si>
    <t xml:space="preserve">ITK00151</t>
  </si>
  <si>
    <t xml:space="preserve">ITK00152</t>
  </si>
  <si>
    <t xml:space="preserve">ITK00153</t>
  </si>
  <si>
    <t xml:space="preserve">ITK00154</t>
  </si>
  <si>
    <t xml:space="preserve">ITK00155</t>
  </si>
  <si>
    <t xml:space="preserve">ITK00156</t>
  </si>
  <si>
    <t xml:space="preserve">ITK00157</t>
  </si>
  <si>
    <t xml:space="preserve">ITK00158</t>
  </si>
  <si>
    <t xml:space="preserve">ITK00159</t>
  </si>
  <si>
    <t xml:space="preserve">ITK00160</t>
  </si>
  <si>
    <t xml:space="preserve">ITK00161</t>
  </si>
  <si>
    <t xml:space="preserve">ITK00162</t>
  </si>
  <si>
    <t xml:space="preserve">ITK00163</t>
  </si>
  <si>
    <t xml:space="preserve">ITK00164</t>
  </si>
  <si>
    <t xml:space="preserve">ITK00165</t>
  </si>
  <si>
    <t xml:space="preserve">ITK00166</t>
  </si>
  <si>
    <t xml:space="preserve">ITK00167</t>
  </si>
  <si>
    <t xml:space="preserve">ITK00168</t>
  </si>
  <si>
    <t xml:space="preserve">ITK00169</t>
  </si>
  <si>
    <t xml:space="preserve">ITK00170</t>
  </si>
  <si>
    <t xml:space="preserve">ITK00171</t>
  </si>
  <si>
    <t xml:space="preserve">ITK00172</t>
  </si>
  <si>
    <t xml:space="preserve">ITK00173</t>
  </si>
  <si>
    <t xml:space="preserve">ITK00174</t>
  </si>
  <si>
    <t xml:space="preserve">ITK00175</t>
  </si>
  <si>
    <t xml:space="preserve">ITK00176</t>
  </si>
  <si>
    <t xml:space="preserve">ITK00177</t>
  </si>
  <si>
    <t xml:space="preserve">ITK00178</t>
  </si>
  <si>
    <t xml:space="preserve">ITK00179</t>
  </si>
  <si>
    <t xml:space="preserve">ITK00180</t>
  </si>
  <si>
    <t xml:space="preserve">ITK00181</t>
  </si>
  <si>
    <t xml:space="preserve">ITK00182</t>
  </si>
  <si>
    <t xml:space="preserve">ITK00183</t>
  </si>
  <si>
    <t xml:space="preserve">ITK00184</t>
  </si>
  <si>
    <t xml:space="preserve">ITK00185</t>
  </si>
  <si>
    <t xml:space="preserve">ITK00186</t>
  </si>
  <si>
    <t xml:space="preserve">ITK00187</t>
  </si>
  <si>
    <t xml:space="preserve">ITK00188</t>
  </si>
  <si>
    <t xml:space="preserve">ITK00189</t>
  </si>
  <si>
    <t xml:space="preserve">ITK00190</t>
  </si>
  <si>
    <t xml:space="preserve">ITK00191</t>
  </si>
  <si>
    <t xml:space="preserve">ITK00192</t>
  </si>
  <si>
    <t xml:space="preserve">ITK00193</t>
  </si>
  <si>
    <t xml:space="preserve">ITK00194</t>
  </si>
  <si>
    <t xml:space="preserve">ITK00195</t>
  </si>
  <si>
    <t xml:space="preserve">ITK00196</t>
  </si>
  <si>
    <t xml:space="preserve">ITK00197</t>
  </si>
  <si>
    <t xml:space="preserve">ITK00198</t>
  </si>
  <si>
    <t xml:space="preserve">ITK00199</t>
  </si>
  <si>
    <t xml:space="preserve">ITK00200</t>
  </si>
  <si>
    <t xml:space="preserve">ITK00201</t>
  </si>
  <si>
    <t xml:space="preserve">ITK00202</t>
  </si>
  <si>
    <t xml:space="preserve">ITK00203</t>
  </si>
  <si>
    <t xml:space="preserve">ITK00204</t>
  </si>
  <si>
    <t xml:space="preserve">ITK00205</t>
  </si>
  <si>
    <t xml:space="preserve">ITK00206</t>
  </si>
  <si>
    <t xml:space="preserve">ITK00207</t>
  </si>
  <si>
    <t xml:space="preserve">ITK00208</t>
  </si>
  <si>
    <t xml:space="preserve">ITK00209</t>
  </si>
  <si>
    <t xml:space="preserve">ITK00210</t>
  </si>
  <si>
    <t xml:space="preserve">ITK00211</t>
  </si>
  <si>
    <t xml:space="preserve">ITK00212</t>
  </si>
  <si>
    <t xml:space="preserve">ITK00213</t>
  </si>
  <si>
    <t xml:space="preserve">ITK00214</t>
  </si>
  <si>
    <t xml:space="preserve">ITK00215</t>
  </si>
  <si>
    <t xml:space="preserve">ITK00216</t>
  </si>
  <si>
    <t xml:space="preserve">ITK00217</t>
  </si>
  <si>
    <t xml:space="preserve">ITK00218</t>
  </si>
  <si>
    <t xml:space="preserve">ITK00219</t>
  </si>
  <si>
    <t xml:space="preserve">ITK00220</t>
  </si>
  <si>
    <t xml:space="preserve">ITK00221</t>
  </si>
  <si>
    <t xml:space="preserve">ITK00222</t>
  </si>
  <si>
    <t xml:space="preserve">ITK00223</t>
  </si>
  <si>
    <t xml:space="preserve">ITK00224</t>
  </si>
  <si>
    <t xml:space="preserve">ITK00225</t>
  </si>
  <si>
    <t xml:space="preserve">ITK00226</t>
  </si>
  <si>
    <t xml:space="preserve">ITK00227</t>
  </si>
  <si>
    <t xml:space="preserve">ITK00228</t>
  </si>
  <si>
    <t xml:space="preserve">ITK00229</t>
  </si>
  <si>
    <t xml:space="preserve">ITK00230</t>
  </si>
  <si>
    <t xml:space="preserve">ITK00231</t>
  </si>
  <si>
    <t xml:space="preserve">ITK00232</t>
  </si>
  <si>
    <t xml:space="preserve">ITK00233</t>
  </si>
  <si>
    <t xml:space="preserve">ITK00234</t>
  </si>
  <si>
    <t xml:space="preserve">ITK00235</t>
  </si>
  <si>
    <t xml:space="preserve">ITK00236</t>
  </si>
  <si>
    <t xml:space="preserve">ITK00237</t>
  </si>
  <si>
    <t xml:space="preserve">ITK00238</t>
  </si>
  <si>
    <t xml:space="preserve">ITK00239</t>
  </si>
  <si>
    <t xml:space="preserve">ITK00240</t>
  </si>
  <si>
    <t xml:space="preserve">ITK00241</t>
  </si>
  <si>
    <t xml:space="preserve">ITK00242</t>
  </si>
  <si>
    <t xml:space="preserve">ITK00243</t>
  </si>
  <si>
    <t xml:space="preserve">ITK00244</t>
  </si>
  <si>
    <t xml:space="preserve">ITK00245</t>
  </si>
  <si>
    <t xml:space="preserve">ITK00246</t>
  </si>
  <si>
    <t xml:space="preserve">ITK00247</t>
  </si>
  <si>
    <t xml:space="preserve">ITK00248</t>
  </si>
  <si>
    <t xml:space="preserve">ITK00249</t>
  </si>
  <si>
    <t xml:space="preserve">ITK00250</t>
  </si>
  <si>
    <t xml:space="preserve">ITK00251</t>
  </si>
  <si>
    <t xml:space="preserve">ITK00252</t>
  </si>
  <si>
    <t xml:space="preserve">ITK00253</t>
  </si>
  <si>
    <t xml:space="preserve">ITK00254</t>
  </si>
  <si>
    <t xml:space="preserve">ITK00255</t>
  </si>
  <si>
    <t xml:space="preserve">ITK00256</t>
  </si>
  <si>
    <t xml:space="preserve">ITK00257</t>
  </si>
  <si>
    <t xml:space="preserve">ITK00258</t>
  </si>
  <si>
    <t xml:space="preserve">ITK00259</t>
  </si>
  <si>
    <t xml:space="preserve">ITK00260</t>
  </si>
  <si>
    <t xml:space="preserve">TransactionID</t>
  </si>
  <si>
    <t xml:space="preserve">AccountCategory</t>
  </si>
  <si>
    <t xml:space="preserve">DescriptionNarration</t>
  </si>
  <si>
    <t xml:space="preserve">BudgetNGN</t>
  </si>
  <si>
    <t xml:space="preserve">ActualAmountNGN</t>
  </si>
  <si>
    <t xml:space="preserve">VarianceNGN</t>
  </si>
  <si>
    <t xml:space="preserve">Variance_Percent</t>
  </si>
  <si>
    <t xml:space="preserve">ApprovedByEmployeeID</t>
  </si>
  <si>
    <t xml:space="preserve">TXN00001</t>
  </si>
  <si>
    <t xml:space="preserve">Cost of Goods Sold</t>
  </si>
  <si>
    <t xml:space="preserve">Cost of Goods Sold - Jul 2025</t>
  </si>
  <si>
    <t xml:space="preserve">TXN00002</t>
  </si>
  <si>
    <t xml:space="preserve">Revenue</t>
  </si>
  <si>
    <t xml:space="preserve">Revenue - Nov 2024</t>
  </si>
  <si>
    <t xml:space="preserve">TXN00003</t>
  </si>
  <si>
    <t xml:space="preserve">Cost of Goods Sold - Mar 2025</t>
  </si>
  <si>
    <t xml:space="preserve">TXN00004</t>
  </si>
  <si>
    <t xml:space="preserve">Capital Expenditure</t>
  </si>
  <si>
    <t xml:space="preserve">Capital Expenditure - Sep 2024</t>
  </si>
  <si>
    <t xml:space="preserve">TXN00005</t>
  </si>
  <si>
    <t xml:space="preserve">Revenue - Jul 2025</t>
  </si>
  <si>
    <t xml:space="preserve">TXN00006</t>
  </si>
  <si>
    <t xml:space="preserve">Marketing Spend</t>
  </si>
  <si>
    <t xml:space="preserve">Marketing Spend - Jul 2024</t>
  </si>
  <si>
    <t xml:space="preserve">TXN00007</t>
  </si>
  <si>
    <t xml:space="preserve">Cost of Goods Sold - Nov 2025</t>
  </si>
  <si>
    <t xml:space="preserve">TXN00008</t>
  </si>
  <si>
    <t xml:space="preserve">Marketing Spend - Sep 2025</t>
  </si>
  <si>
    <t xml:space="preserve">TXN00009</t>
  </si>
  <si>
    <t xml:space="preserve">Capital Expenditure - Dec 2024</t>
  </si>
  <si>
    <t xml:space="preserve">TXN00010</t>
  </si>
  <si>
    <t xml:space="preserve">Revenue - Sep 2025</t>
  </si>
  <si>
    <t xml:space="preserve">TXN00011</t>
  </si>
  <si>
    <t xml:space="preserve">Marketing Spend - Jul 2025</t>
  </si>
  <si>
    <t xml:space="preserve">TXN00012</t>
  </si>
  <si>
    <t xml:space="preserve">Marketing Spend - Mar 2025</t>
  </si>
  <si>
    <t xml:space="preserve">TXN00013</t>
  </si>
  <si>
    <t xml:space="preserve">Cost of Goods Sold - May 2024</t>
  </si>
  <si>
    <t xml:space="preserve">TXN00014</t>
  </si>
  <si>
    <t xml:space="preserve">Operating Expense</t>
  </si>
  <si>
    <t xml:space="preserve">Operating Expense - Oct 2024</t>
  </si>
  <si>
    <t xml:space="preserve">TXN00015</t>
  </si>
  <si>
    <t xml:space="preserve">Marketing Spend - Dec 2025</t>
  </si>
  <si>
    <t xml:space="preserve">TXN00016</t>
  </si>
  <si>
    <t xml:space="preserve">Operating Expense - Aug 2024</t>
  </si>
  <si>
    <t xml:space="preserve">TXN00017</t>
  </si>
  <si>
    <t xml:space="preserve">TXN00018</t>
  </si>
  <si>
    <t xml:space="preserve">Revenue - May 2024</t>
  </si>
  <si>
    <t xml:space="preserve">TXN00019</t>
  </si>
  <si>
    <t xml:space="preserve">Revenue - Sep 2024</t>
  </si>
  <si>
    <t xml:space="preserve">TXN00020</t>
  </si>
  <si>
    <t xml:space="preserve">Revenue - Aug 2025</t>
  </si>
  <si>
    <t xml:space="preserve">TXN00021</t>
  </si>
  <si>
    <t xml:space="preserve">Logistics Cost</t>
  </si>
  <si>
    <t xml:space="preserve">Logistics Cost - Jan 2025</t>
  </si>
  <si>
    <t xml:space="preserve">TXN00022</t>
  </si>
  <si>
    <t xml:space="preserve">Cost of Goods Sold - Feb 2025</t>
  </si>
  <si>
    <t xml:space="preserve">TXN00023</t>
  </si>
  <si>
    <t xml:space="preserve">Logistics Cost - Nov 2024</t>
  </si>
  <si>
    <t xml:space="preserve">TXN00024</t>
  </si>
  <si>
    <t xml:space="preserve">Operating Expense - Feb 2024</t>
  </si>
  <si>
    <t xml:space="preserve">TXN00025</t>
  </si>
  <si>
    <t xml:space="preserve">TXN00026</t>
  </si>
  <si>
    <t xml:space="preserve">Revenue - Apr 2025</t>
  </si>
  <si>
    <t xml:space="preserve">TXN00027</t>
  </si>
  <si>
    <t xml:space="preserve">Cost of Goods Sold - May 2025</t>
  </si>
  <si>
    <t xml:space="preserve">TXN00028</t>
  </si>
  <si>
    <t xml:space="preserve">Logistics Cost - Jun 2025</t>
  </si>
  <si>
    <t xml:space="preserve">TXN00029</t>
  </si>
  <si>
    <t xml:space="preserve">Logistics Cost - Sep 2024</t>
  </si>
  <si>
    <t xml:space="preserve">TXN00030</t>
  </si>
  <si>
    <t xml:space="preserve">TXN00031</t>
  </si>
  <si>
    <t xml:space="preserve">Marketing Spend - Oct 2024</t>
  </si>
  <si>
    <t xml:space="preserve">TXN00032</t>
  </si>
  <si>
    <t xml:space="preserve">Capital Expenditure - Sep 2025</t>
  </si>
  <si>
    <t xml:space="preserve">TXN00033</t>
  </si>
  <si>
    <t xml:space="preserve">Capital Expenditure - Jun 2025</t>
  </si>
  <si>
    <t xml:space="preserve">TXN00034</t>
  </si>
  <si>
    <t xml:space="preserve">Logistics Cost - Aug 2024</t>
  </si>
  <si>
    <t xml:space="preserve">TXN00035</t>
  </si>
  <si>
    <t xml:space="preserve">Cost of Goods Sold - Sep 2024</t>
  </si>
  <si>
    <t xml:space="preserve">TXN00036</t>
  </si>
  <si>
    <t xml:space="preserve">Revenue - Jun 2025</t>
  </si>
  <si>
    <t xml:space="preserve">TXN00037</t>
  </si>
  <si>
    <t xml:space="preserve">TXN00038</t>
  </si>
  <si>
    <t xml:space="preserve">Marketing Spend - Nov 2025</t>
  </si>
  <si>
    <t xml:space="preserve">TXN00039</t>
  </si>
  <si>
    <t xml:space="preserve">Operating Expense - Mar 2025</t>
  </si>
  <si>
    <t xml:space="preserve">TXN00040</t>
  </si>
  <si>
    <t xml:space="preserve">TXN00041</t>
  </si>
  <si>
    <t xml:space="preserve">TXN00042</t>
  </si>
  <si>
    <t xml:space="preserve">Revenue - Oct 2025</t>
  </si>
  <si>
    <t xml:space="preserve">TXN00043</t>
  </si>
  <si>
    <t xml:space="preserve">Marketing Spend - Jan 2024</t>
  </si>
  <si>
    <t xml:space="preserve">TXN00044</t>
  </si>
  <si>
    <t xml:space="preserve">Marketing Spend - Aug 2024</t>
  </si>
  <si>
    <t xml:space="preserve">TXN00045</t>
  </si>
  <si>
    <t xml:space="preserve">Cost of Goods Sold - Dec 2024</t>
  </si>
  <si>
    <t xml:space="preserve">TXN00046</t>
  </si>
  <si>
    <t xml:space="preserve">TXN00047</t>
  </si>
  <si>
    <t xml:space="preserve">TXN00048</t>
  </si>
  <si>
    <t xml:space="preserve">Operating Expense - May 2024</t>
  </si>
  <si>
    <t xml:space="preserve">TXN00049</t>
  </si>
  <si>
    <t xml:space="preserve">TXN00050</t>
  </si>
  <si>
    <t xml:space="preserve">TXN00051</t>
  </si>
  <si>
    <t xml:space="preserve">Operating Expense - Dec 2025</t>
  </si>
  <si>
    <t xml:space="preserve">TXN00052</t>
  </si>
  <si>
    <t xml:space="preserve">TXN00053</t>
  </si>
  <si>
    <t xml:space="preserve">Logistics Cost - Mar 2024</t>
  </si>
  <si>
    <t xml:space="preserve">TXN00054</t>
  </si>
  <si>
    <t xml:space="preserve">Capital Expenditure - Jun 2024</t>
  </si>
  <si>
    <t xml:space="preserve">TXN00055</t>
  </si>
  <si>
    <t xml:space="preserve">Operating Expense - Jul 2025</t>
  </si>
  <si>
    <t xml:space="preserve">TXN00056</t>
  </si>
  <si>
    <t xml:space="preserve">Revenue - Jul 2024</t>
  </si>
  <si>
    <t xml:space="preserve">TXN00057</t>
  </si>
  <si>
    <t xml:space="preserve">Cost of Goods Sold - Jun 2024</t>
  </si>
  <si>
    <t xml:space="preserve">TXN00058</t>
  </si>
  <si>
    <t xml:space="preserve">TXN00059</t>
  </si>
  <si>
    <t xml:space="preserve">TXN00060</t>
  </si>
  <si>
    <t xml:space="preserve">TXN00061</t>
  </si>
  <si>
    <t xml:space="preserve">Marketing Spend - May 2025</t>
  </si>
  <si>
    <t xml:space="preserve">TXN00062</t>
  </si>
  <si>
    <t xml:space="preserve">Revenue - Mar 2025</t>
  </si>
  <si>
    <t xml:space="preserve">TXN00063</t>
  </si>
  <si>
    <t xml:space="preserve">TXN00064</t>
  </si>
  <si>
    <t xml:space="preserve">Capital Expenditure - Feb 2025</t>
  </si>
  <si>
    <t xml:space="preserve">TXN00065</t>
  </si>
  <si>
    <t xml:space="preserve">Cost of Goods Sold - Feb 2024</t>
  </si>
  <si>
    <t xml:space="preserve">TXN00066</t>
  </si>
  <si>
    <t xml:space="preserve">Cost of Goods Sold - Jan 2024</t>
  </si>
  <si>
    <t xml:space="preserve">TXN00067</t>
  </si>
  <si>
    <t xml:space="preserve">Capital Expenditure - Apr 2024</t>
  </si>
  <si>
    <t xml:space="preserve">TXN00068</t>
  </si>
  <si>
    <t xml:space="preserve">TXN00069</t>
  </si>
  <si>
    <t xml:space="preserve">Cost of Goods Sold - Oct 2025</t>
  </si>
  <si>
    <t xml:space="preserve">TXN00070</t>
  </si>
  <si>
    <t xml:space="preserve">TXN00071</t>
  </si>
  <si>
    <t xml:space="preserve">Capital Expenditure - May 2025</t>
  </si>
  <si>
    <t xml:space="preserve">TXN00072</t>
  </si>
  <si>
    <t xml:space="preserve">Capital Expenditure - Jan 2024</t>
  </si>
  <si>
    <t xml:space="preserve">TXN00073</t>
  </si>
  <si>
    <t xml:space="preserve">Logistics Cost - Nov 2025</t>
  </si>
  <si>
    <t xml:space="preserve">TXN00074</t>
  </si>
  <si>
    <t xml:space="preserve">Cost of Goods Sold - Jan 2025</t>
  </si>
  <si>
    <t xml:space="preserve">TXN00075</t>
  </si>
  <si>
    <t xml:space="preserve">Logistics Cost - Apr 2025</t>
  </si>
  <si>
    <t xml:space="preserve">TXN00076</t>
  </si>
  <si>
    <t xml:space="preserve">TXN00077</t>
  </si>
  <si>
    <t xml:space="preserve">Capital Expenditure - Apr 2025</t>
  </si>
  <si>
    <t xml:space="preserve">TXN00078</t>
  </si>
  <si>
    <t xml:space="preserve">TXN00079</t>
  </si>
  <si>
    <t xml:space="preserve">TXN00080</t>
  </si>
  <si>
    <t xml:space="preserve">Marketing Spend - Apr 2024</t>
  </si>
  <si>
    <t xml:space="preserve">TXN00081</t>
  </si>
  <si>
    <t xml:space="preserve">Operating Expense - Nov 2024</t>
  </si>
  <si>
    <t xml:space="preserve">TXN00082</t>
  </si>
  <si>
    <t xml:space="preserve">Operating Expense - Apr 2025</t>
  </si>
  <si>
    <t xml:space="preserve">TXN00083</t>
  </si>
  <si>
    <t xml:space="preserve">TXN00084</t>
  </si>
  <si>
    <t xml:space="preserve">TXN00085</t>
  </si>
  <si>
    <t xml:space="preserve">TXN00086</t>
  </si>
  <si>
    <t xml:space="preserve">TXN00087</t>
  </si>
  <si>
    <t xml:space="preserve">Logistics Cost - Oct 2024</t>
  </si>
  <si>
    <t xml:space="preserve">TXN00088</t>
  </si>
  <si>
    <t xml:space="preserve">TXN00089</t>
  </si>
  <si>
    <t xml:space="preserve">TXN00090</t>
  </si>
  <si>
    <t xml:space="preserve">Logistics Cost - Sep 2025</t>
  </si>
  <si>
    <t xml:space="preserve">TXN00091</t>
  </si>
  <si>
    <t xml:space="preserve">TXN00092</t>
  </si>
  <si>
    <t xml:space="preserve">Revenue - Dec 2024</t>
  </si>
  <si>
    <t xml:space="preserve">TXN00093</t>
  </si>
  <si>
    <t xml:space="preserve">Marketing Spend - Aug 2025</t>
  </si>
  <si>
    <t xml:space="preserve">TXN00094</t>
  </si>
  <si>
    <t xml:space="preserve">TXN00095</t>
  </si>
  <si>
    <t xml:space="preserve">TXN00096</t>
  </si>
  <si>
    <t xml:space="preserve">Logistics Cost - Aug 2025</t>
  </si>
  <si>
    <t xml:space="preserve">TXN00097</t>
  </si>
  <si>
    <t xml:space="preserve">TXN00098</t>
  </si>
  <si>
    <t xml:space="preserve">Capital Expenditure - Dec 2025</t>
  </si>
  <si>
    <t xml:space="preserve">TXN00099</t>
  </si>
  <si>
    <t xml:space="preserve">TXN00100</t>
  </si>
  <si>
    <t xml:space="preserve">TXN00101</t>
  </si>
  <si>
    <t xml:space="preserve">TXN00102</t>
  </si>
  <si>
    <t xml:space="preserve">TXN00103</t>
  </si>
  <si>
    <t xml:space="preserve">TXN00104</t>
  </si>
  <si>
    <t xml:space="preserve">TXN00105</t>
  </si>
  <si>
    <t xml:space="preserve">TXN00106</t>
  </si>
  <si>
    <t xml:space="preserve">TXN00107</t>
  </si>
  <si>
    <t xml:space="preserve">Logistics Cost - Feb 2024</t>
  </si>
  <si>
    <t xml:space="preserve">TXN00108</t>
  </si>
  <si>
    <t xml:space="preserve">TXN00109</t>
  </si>
  <si>
    <t xml:space="preserve">TXN00110</t>
  </si>
  <si>
    <t xml:space="preserve">TXN00111</t>
  </si>
  <si>
    <t xml:space="preserve">TXN00112</t>
  </si>
  <si>
    <t xml:space="preserve">Marketing Spend - Oct 2025</t>
  </si>
  <si>
    <t xml:space="preserve">TXN00113</t>
  </si>
  <si>
    <t xml:space="preserve">TXN00114</t>
  </si>
  <si>
    <t xml:space="preserve">Capital Expenditure - Jan 2025</t>
  </si>
  <si>
    <t xml:space="preserve">TXN00115</t>
  </si>
  <si>
    <t xml:space="preserve">Logistics Cost - Mar 2025</t>
  </si>
  <si>
    <t xml:space="preserve">TXN00116</t>
  </si>
  <si>
    <t xml:space="preserve">TXN00117</t>
  </si>
  <si>
    <t xml:space="preserve">TXN00118</t>
  </si>
  <si>
    <t xml:space="preserve">TXN00119</t>
  </si>
  <si>
    <t xml:space="preserve">TXN00120</t>
  </si>
  <si>
    <t xml:space="preserve">TXN00121</t>
  </si>
  <si>
    <t xml:space="preserve">Cost of Goods Sold - Apr 2025</t>
  </si>
  <si>
    <t xml:space="preserve">TXN00122</t>
  </si>
  <si>
    <t xml:space="preserve">Marketing Spend - Jun 2024</t>
  </si>
  <si>
    <t xml:space="preserve">TXN00123</t>
  </si>
  <si>
    <t xml:space="preserve">TXN00124</t>
  </si>
  <si>
    <t xml:space="preserve">Capital Expenditure - Mar 2025</t>
  </si>
  <si>
    <t xml:space="preserve">TXN00125</t>
  </si>
  <si>
    <t xml:space="preserve">Operating Expense - Jun 2024</t>
  </si>
  <si>
    <t xml:space="preserve">TXN00126</t>
  </si>
  <si>
    <t xml:space="preserve">TXN00127</t>
  </si>
  <si>
    <t xml:space="preserve">TXN00128</t>
  </si>
  <si>
    <t xml:space="preserve">TXN00129</t>
  </si>
  <si>
    <t xml:space="preserve">Operating Expense - May 2025</t>
  </si>
  <si>
    <t xml:space="preserve">TXN00130</t>
  </si>
  <si>
    <t xml:space="preserve">TXN00131</t>
  </si>
  <si>
    <t xml:space="preserve">TXN00132</t>
  </si>
  <si>
    <t xml:space="preserve">Logistics Cost - Jan 2024</t>
  </si>
  <si>
    <t xml:space="preserve">TXN00133</t>
  </si>
  <si>
    <t xml:space="preserve">Marketing Spend - Feb 2025</t>
  </si>
  <si>
    <t xml:space="preserve">TXN00134</t>
  </si>
  <si>
    <t xml:space="preserve">TXN00135</t>
  </si>
  <si>
    <t xml:space="preserve">Operating Expense - Nov 2025</t>
  </si>
  <si>
    <t xml:space="preserve">TXN00136</t>
  </si>
  <si>
    <t xml:space="preserve">TXN00137</t>
  </si>
  <si>
    <t xml:space="preserve">Cost of Goods Sold - Aug 2025</t>
  </si>
  <si>
    <t xml:space="preserve">TXN00138</t>
  </si>
  <si>
    <t xml:space="preserve">Marketing Spend - Sep 2024</t>
  </si>
  <si>
    <t xml:space="preserve">TXN00139</t>
  </si>
  <si>
    <t xml:space="preserve">TXN00140</t>
  </si>
  <si>
    <t xml:space="preserve">TXN00141</t>
  </si>
  <si>
    <t xml:space="preserve">Cost of Goods Sold - Oct 2024</t>
  </si>
  <si>
    <t xml:space="preserve">TXN00142</t>
  </si>
  <si>
    <t xml:space="preserve">TXN00143</t>
  </si>
  <si>
    <t xml:space="preserve">TXN00144</t>
  </si>
  <si>
    <t xml:space="preserve">Operating Expense - Mar 2024</t>
  </si>
  <si>
    <t xml:space="preserve">TXN00145</t>
  </si>
  <si>
    <t xml:space="preserve">Revenue - Dec 2025</t>
  </si>
  <si>
    <t xml:space="preserve">TXN00146</t>
  </si>
  <si>
    <t xml:space="preserve">TXN00147</t>
  </si>
  <si>
    <t xml:space="preserve">Logistics Cost - Dec 2025</t>
  </si>
  <si>
    <t xml:space="preserve">TXN00148</t>
  </si>
  <si>
    <t xml:space="preserve">TXN00149</t>
  </si>
  <si>
    <t xml:space="preserve">TXN00150</t>
  </si>
  <si>
    <t xml:space="preserve">Operating Expense - Sep 2025</t>
  </si>
  <si>
    <t xml:space="preserve">TXN00151</t>
  </si>
  <si>
    <t xml:space="preserve">TXN00152</t>
  </si>
  <si>
    <t xml:space="preserve">TXN00153</t>
  </si>
  <si>
    <t xml:space="preserve">TXN00154</t>
  </si>
  <si>
    <t xml:space="preserve">Logistics Cost - Feb 2025</t>
  </si>
  <si>
    <t xml:space="preserve">TXN00155</t>
  </si>
  <si>
    <t xml:space="preserve">TXN00156</t>
  </si>
  <si>
    <t xml:space="preserve">TXN00157</t>
  </si>
  <si>
    <t xml:space="preserve">TXN00158</t>
  </si>
  <si>
    <t xml:space="preserve">Cost of Goods Sold - Aug 2024</t>
  </si>
  <si>
    <t xml:space="preserve">TXN00159</t>
  </si>
  <si>
    <t xml:space="preserve">TXN00160</t>
  </si>
  <si>
    <t xml:space="preserve">TXN00161</t>
  </si>
  <si>
    <t xml:space="preserve">TXN00162</t>
  </si>
  <si>
    <t xml:space="preserve">TXN00163</t>
  </si>
  <si>
    <t xml:space="preserve">TXN00164</t>
  </si>
  <si>
    <t xml:space="preserve">Logistics Cost - Apr 2024</t>
  </si>
  <si>
    <t xml:space="preserve">TXN00165</t>
  </si>
  <si>
    <t xml:space="preserve">TXN00166</t>
  </si>
  <si>
    <t xml:space="preserve">Marketing Spend - Dec 2024</t>
  </si>
  <si>
    <t xml:space="preserve">TXN00167</t>
  </si>
  <si>
    <t xml:space="preserve">TXN00168</t>
  </si>
  <si>
    <t xml:space="preserve">TXN00169</t>
  </si>
  <si>
    <t xml:space="preserve">TXN00170</t>
  </si>
  <si>
    <t xml:space="preserve">TXN00171</t>
  </si>
  <si>
    <t xml:space="preserve">Capital Expenditure - Jul 2024</t>
  </si>
  <si>
    <t xml:space="preserve">TXN00172</t>
  </si>
  <si>
    <t xml:space="preserve">TXN00173</t>
  </si>
  <si>
    <t xml:space="preserve">TXN00174</t>
  </si>
  <si>
    <t xml:space="preserve">Capital Expenditure - Oct 2025</t>
  </si>
  <si>
    <t xml:space="preserve">TXN00175</t>
  </si>
  <si>
    <t xml:space="preserve">Revenue - Nov 2025</t>
  </si>
  <si>
    <t xml:space="preserve">TXN00176</t>
  </si>
  <si>
    <t xml:space="preserve">TXN00177</t>
  </si>
  <si>
    <t xml:space="preserve">TXN00178</t>
  </si>
  <si>
    <t xml:space="preserve">TXN00179</t>
  </si>
  <si>
    <t xml:space="preserve">Marketing Spend - Jan 2025</t>
  </si>
  <si>
    <t xml:space="preserve">TXN00180</t>
  </si>
  <si>
    <t xml:space="preserve">Marketing Spend - Nov 2024</t>
  </si>
  <si>
    <t xml:space="preserve">TXN00181</t>
  </si>
  <si>
    <t xml:space="preserve">Cost of Goods Sold - Jul 2024</t>
  </si>
  <si>
    <t xml:space="preserve">TXN00182</t>
  </si>
  <si>
    <t xml:space="preserve">TXN00183</t>
  </si>
  <si>
    <t xml:space="preserve">TXN00184</t>
  </si>
  <si>
    <t xml:space="preserve">TXN00185</t>
  </si>
  <si>
    <t xml:space="preserve">TXN00186</t>
  </si>
  <si>
    <t xml:space="preserve">Capital Expenditure - Jul 2025</t>
  </si>
  <si>
    <t xml:space="preserve">TXN00187</t>
  </si>
  <si>
    <t xml:space="preserve">TXN00188</t>
  </si>
  <si>
    <t xml:space="preserve">TXN00189</t>
  </si>
  <si>
    <t xml:space="preserve">Cost of Goods Sold - Dec 2025</t>
  </si>
  <si>
    <t xml:space="preserve">TXN00190</t>
  </si>
  <si>
    <t xml:space="preserve">TXN00191</t>
  </si>
  <si>
    <t xml:space="preserve">Cost of Goods Sold - Sep 2025</t>
  </si>
  <si>
    <t xml:space="preserve">TXN00192</t>
  </si>
  <si>
    <t xml:space="preserve">TXN00193</t>
  </si>
  <si>
    <t xml:space="preserve">Capital Expenditure - May 2024</t>
  </si>
  <si>
    <t xml:space="preserve">TXN00194</t>
  </si>
  <si>
    <t xml:space="preserve">Operating Expense - Sep 2024</t>
  </si>
  <si>
    <t xml:space="preserve">TXN00195</t>
  </si>
  <si>
    <t xml:space="preserve">TXN00196</t>
  </si>
  <si>
    <t xml:space="preserve">TXN00197</t>
  </si>
  <si>
    <t xml:space="preserve">TXN00198</t>
  </si>
  <si>
    <t xml:space="preserve">TXN00199</t>
  </si>
  <si>
    <t xml:space="preserve">Operating Expense - Jan 2024</t>
  </si>
  <si>
    <t xml:space="preserve">TXN00200</t>
  </si>
  <si>
    <t xml:space="preserve">TXN00201</t>
  </si>
  <si>
    <t xml:space="preserve">Operating Expense - Dec 2024</t>
  </si>
  <si>
    <t xml:space="preserve">TXN00202</t>
  </si>
  <si>
    <t xml:space="preserve">TXN00203</t>
  </si>
  <si>
    <t xml:space="preserve">Capital Expenditure - Nov 2025</t>
  </si>
  <si>
    <t xml:space="preserve">TXN00204</t>
  </si>
  <si>
    <t xml:space="preserve">TXN00205</t>
  </si>
  <si>
    <t xml:space="preserve">TXN00206</t>
  </si>
  <si>
    <t xml:space="preserve">Revenue - Jun 2024</t>
  </si>
  <si>
    <t xml:space="preserve">TXN00207</t>
  </si>
  <si>
    <t xml:space="preserve">Operating Expense - Aug 2025</t>
  </si>
  <si>
    <t xml:space="preserve">TXN00208</t>
  </si>
  <si>
    <t xml:space="preserve">TXN00209</t>
  </si>
  <si>
    <t xml:space="preserve">Revenue - Apr 2024</t>
  </si>
  <si>
    <t xml:space="preserve">TXN00210</t>
  </si>
  <si>
    <t xml:space="preserve">TXN00211</t>
  </si>
  <si>
    <t xml:space="preserve">TXN00212</t>
  </si>
  <si>
    <t xml:space="preserve">Operating Expense - Jan 2025</t>
  </si>
  <si>
    <t xml:space="preserve">TXN00213</t>
  </si>
  <si>
    <t xml:space="preserve">TXN00214</t>
  </si>
  <si>
    <t xml:space="preserve">TXN00215</t>
  </si>
  <si>
    <t xml:space="preserve">TXN00216</t>
  </si>
  <si>
    <t xml:space="preserve">TXN00217</t>
  </si>
  <si>
    <t xml:space="preserve">TXN00218</t>
  </si>
  <si>
    <t xml:space="preserve">TXN00219</t>
  </si>
  <si>
    <t xml:space="preserve">Marketing Spend - Apr 2025</t>
  </si>
  <si>
    <t xml:space="preserve">TXN00220</t>
  </si>
  <si>
    <t xml:space="preserve">TXN00221</t>
  </si>
  <si>
    <t xml:space="preserve">TXN00222</t>
  </si>
  <si>
    <t xml:space="preserve">TXN00223</t>
  </si>
  <si>
    <t xml:space="preserve">TXN00224</t>
  </si>
  <si>
    <t xml:space="preserve">TXN00225</t>
  </si>
  <si>
    <t xml:space="preserve">Operating Expense - Jun 2025</t>
  </si>
  <si>
    <t xml:space="preserve">TXN00226</t>
  </si>
  <si>
    <t xml:space="preserve">Revenue - Jan 2025</t>
  </si>
  <si>
    <t xml:space="preserve">TXN00227</t>
  </si>
  <si>
    <t xml:space="preserve">TXN00228</t>
  </si>
  <si>
    <t xml:space="preserve">TXN00229</t>
  </si>
  <si>
    <t xml:space="preserve">TXN00230</t>
  </si>
  <si>
    <t xml:space="preserve">TXN00231</t>
  </si>
  <si>
    <t xml:space="preserve">TXN00232</t>
  </si>
  <si>
    <t xml:space="preserve">Revenue - Feb 2024</t>
  </si>
  <si>
    <t xml:space="preserve">TXN00233</t>
  </si>
  <si>
    <t xml:space="preserve">TXN00234</t>
  </si>
  <si>
    <t xml:space="preserve">TXN00235</t>
  </si>
  <si>
    <t xml:space="preserve">Capital Expenditure - Mar 2024</t>
  </si>
  <si>
    <t xml:space="preserve">TXN00236</t>
  </si>
  <si>
    <t xml:space="preserve">TXN00237</t>
  </si>
  <si>
    <t xml:space="preserve">TXN00238</t>
  </si>
  <si>
    <t xml:space="preserve">TXN00239</t>
  </si>
  <si>
    <t xml:space="preserve">TXN00240</t>
  </si>
  <si>
    <t xml:space="preserve">TXN00241</t>
  </si>
  <si>
    <t xml:space="preserve">Logistics Cost - Dec 2024</t>
  </si>
  <si>
    <t xml:space="preserve">TXN00242</t>
  </si>
  <si>
    <t xml:space="preserve">TXN00243</t>
  </si>
  <si>
    <t xml:space="preserve">TXN00244</t>
  </si>
  <si>
    <t xml:space="preserve">TXN00245</t>
  </si>
  <si>
    <t xml:space="preserve">TXN00246</t>
  </si>
  <si>
    <t xml:space="preserve">TXN00247</t>
  </si>
  <si>
    <t xml:space="preserve">Capital Expenditure - Feb 2024</t>
  </si>
  <si>
    <t xml:space="preserve">TXN00248</t>
  </si>
  <si>
    <t xml:space="preserve">TXN00249</t>
  </si>
  <si>
    <t xml:space="preserve">TXN00250</t>
  </si>
  <si>
    <t xml:space="preserve">TXN00251</t>
  </si>
  <si>
    <t xml:space="preserve">TXN00252</t>
  </si>
  <si>
    <t xml:space="preserve">TXN00253</t>
  </si>
  <si>
    <t xml:space="preserve">TXN00254</t>
  </si>
  <si>
    <t xml:space="preserve">TXN00255</t>
  </si>
  <si>
    <t xml:space="preserve">TXN00256</t>
  </si>
  <si>
    <t xml:space="preserve">TXN00257</t>
  </si>
  <si>
    <t xml:space="preserve">TXN00258</t>
  </si>
  <si>
    <t xml:space="preserve">TXN00259</t>
  </si>
  <si>
    <t xml:space="preserve">TXN00260</t>
  </si>
  <si>
    <t xml:space="preserve">TXN00261</t>
  </si>
  <si>
    <t xml:space="preserve">TXN00262</t>
  </si>
  <si>
    <t xml:space="preserve">TXN00263</t>
  </si>
  <si>
    <t xml:space="preserve">TXN00264</t>
  </si>
  <si>
    <t xml:space="preserve">Cost of Goods Sold - Jun 2025</t>
  </si>
  <si>
    <t xml:space="preserve">TXN00265</t>
  </si>
  <si>
    <t xml:space="preserve">TXN00266</t>
  </si>
  <si>
    <t xml:space="preserve">TXN00267</t>
  </si>
  <si>
    <t xml:space="preserve">Capital Expenditure - Aug 2025</t>
  </si>
  <si>
    <t xml:space="preserve">TXN00268</t>
  </si>
  <si>
    <t xml:space="preserve">TXN00269</t>
  </si>
  <si>
    <t xml:space="preserve">Marketing Spend - May 2024</t>
  </si>
  <si>
    <t xml:space="preserve">TXN00270</t>
  </si>
  <si>
    <t xml:space="preserve">TXN00271</t>
  </si>
  <si>
    <t xml:space="preserve">TXN00272</t>
  </si>
  <si>
    <t xml:space="preserve">TXN00273</t>
  </si>
  <si>
    <t xml:space="preserve">TXN00274</t>
  </si>
  <si>
    <t xml:space="preserve">TXN00275</t>
  </si>
  <si>
    <t xml:space="preserve">TXN00276</t>
  </si>
  <si>
    <t xml:space="preserve">Capital Expenditure - Aug 2024</t>
  </si>
  <si>
    <t xml:space="preserve">TXN00277</t>
  </si>
  <si>
    <t xml:space="preserve">TXN00278</t>
  </si>
  <si>
    <t xml:space="preserve">TXN00279</t>
  </si>
  <si>
    <t xml:space="preserve">TXN00280</t>
  </si>
  <si>
    <t xml:space="preserve">TXN00281</t>
  </si>
  <si>
    <t xml:space="preserve">TXN00282</t>
  </si>
  <si>
    <t xml:space="preserve">Operating Expense - Jul 2024</t>
  </si>
  <si>
    <t xml:space="preserve">TXN00283</t>
  </si>
  <si>
    <t xml:space="preserve">TXN00284</t>
  </si>
  <si>
    <t xml:space="preserve">Revenue - Feb 2025</t>
  </si>
  <si>
    <t xml:space="preserve">TXN00285</t>
  </si>
  <si>
    <t xml:space="preserve">Logistics Cost - Jul 2024</t>
  </si>
  <si>
    <t xml:space="preserve">TXN00286</t>
  </si>
  <si>
    <t xml:space="preserve">TXN00287</t>
  </si>
  <si>
    <t xml:space="preserve">TXN00288</t>
  </si>
  <si>
    <t xml:space="preserve">TXN00289</t>
  </si>
  <si>
    <t xml:space="preserve">TXN00290</t>
  </si>
  <si>
    <t xml:space="preserve">TXN00291</t>
  </si>
  <si>
    <t xml:space="preserve">TXN00292</t>
  </si>
  <si>
    <t xml:space="preserve">TXN00293</t>
  </si>
  <si>
    <t xml:space="preserve">TXN00294</t>
  </si>
  <si>
    <t xml:space="preserve">TXN00295</t>
  </si>
  <si>
    <t xml:space="preserve">TXN00296</t>
  </si>
  <si>
    <t xml:space="preserve">TXN00297</t>
  </si>
  <si>
    <t xml:space="preserve">Revenue - Jan 2024</t>
  </si>
  <si>
    <t xml:space="preserve">TXN00298</t>
  </si>
  <si>
    <t xml:space="preserve">TXN00299</t>
  </si>
  <si>
    <t xml:space="preserve">Revenue - Aug 2024</t>
  </si>
  <si>
    <t xml:space="preserve">TXN00300</t>
  </si>
  <si>
    <t xml:space="preserve">TrainingID</t>
  </si>
  <si>
    <t xml:space="preserve">TrainingType</t>
  </si>
  <si>
    <t xml:space="preserve">TrainingHours</t>
  </si>
  <si>
    <t xml:space="preserve">TrainingCostNGN</t>
  </si>
  <si>
    <t xml:space="preserve">PerformanceRating_1to5</t>
  </si>
  <si>
    <t xml:space="preserve">LeaveDaysTakenYTD</t>
  </si>
  <si>
    <t xml:space="preserve">AttritionFlag</t>
  </si>
  <si>
    <t xml:space="preserve">TRN00001</t>
  </si>
  <si>
    <t xml:space="preserve">Health &amp; Safety</t>
  </si>
  <si>
    <t xml:space="preserve">TRN00002</t>
  </si>
  <si>
    <t xml:space="preserve">Tableau/Data Analytics</t>
  </si>
  <si>
    <t xml:space="preserve">TRN00003</t>
  </si>
  <si>
    <t xml:space="preserve">Technical Skills</t>
  </si>
  <si>
    <t xml:space="preserve">TRN00004</t>
  </si>
  <si>
    <t xml:space="preserve">TRN00005</t>
  </si>
  <si>
    <t xml:space="preserve">TRN00006</t>
  </si>
  <si>
    <t xml:space="preserve">TRN00007</t>
  </si>
  <si>
    <t xml:space="preserve">Customer Excellence</t>
  </si>
  <si>
    <t xml:space="preserve">TRN00008</t>
  </si>
  <si>
    <t xml:space="preserve">Compliance Refresher</t>
  </si>
  <si>
    <t xml:space="preserve">TRN00009</t>
  </si>
  <si>
    <t xml:space="preserve">TRN00010</t>
  </si>
  <si>
    <t xml:space="preserve">Onboarding</t>
  </si>
  <si>
    <t xml:space="preserve">TRN00011</t>
  </si>
  <si>
    <t xml:space="preserve">Leadership Development</t>
  </si>
  <si>
    <t xml:space="preserve">TRN00012</t>
  </si>
  <si>
    <t xml:space="preserve">TRN00013</t>
  </si>
  <si>
    <t xml:space="preserve">TRN00014</t>
  </si>
  <si>
    <t xml:space="preserve">TRN00015</t>
  </si>
  <si>
    <t xml:space="preserve">TRN00016</t>
  </si>
  <si>
    <t xml:space="preserve">TRN00017</t>
  </si>
  <si>
    <t xml:space="preserve">TRN00018</t>
  </si>
  <si>
    <t xml:space="preserve">TRN00019</t>
  </si>
  <si>
    <t xml:space="preserve">TRN00020</t>
  </si>
  <si>
    <t xml:space="preserve">TRN00021</t>
  </si>
  <si>
    <t xml:space="preserve">TRN00022</t>
  </si>
  <si>
    <t xml:space="preserve">TRN00023</t>
  </si>
  <si>
    <t xml:space="preserve">TRN00024</t>
  </si>
  <si>
    <t xml:space="preserve">TRN00025</t>
  </si>
  <si>
    <t xml:space="preserve">TRN00026</t>
  </si>
  <si>
    <t xml:space="preserve">TRN00027</t>
  </si>
  <si>
    <t xml:space="preserve">TRN00028</t>
  </si>
  <si>
    <t xml:space="preserve">TRN00029</t>
  </si>
  <si>
    <t xml:space="preserve">TRN00030</t>
  </si>
  <si>
    <t xml:space="preserve">TRN00031</t>
  </si>
  <si>
    <t xml:space="preserve">TRN00032</t>
  </si>
  <si>
    <t xml:space="preserve">TRN00033</t>
  </si>
  <si>
    <t xml:space="preserve">TRN00034</t>
  </si>
  <si>
    <t xml:space="preserve">TRN00035</t>
  </si>
  <si>
    <t xml:space="preserve">TRN00036</t>
  </si>
  <si>
    <t xml:space="preserve">TRN00037</t>
  </si>
  <si>
    <t xml:space="preserve">TRN00038</t>
  </si>
  <si>
    <t xml:space="preserve">TRN00039</t>
  </si>
  <si>
    <t xml:space="preserve">TRN00040</t>
  </si>
  <si>
    <t xml:space="preserve">TRN00041</t>
  </si>
  <si>
    <t xml:space="preserve">TRN00042</t>
  </si>
  <si>
    <t xml:space="preserve">TRN00043</t>
  </si>
  <si>
    <t xml:space="preserve">TRN00044</t>
  </si>
  <si>
    <t xml:space="preserve">TRN00045</t>
  </si>
  <si>
    <t xml:space="preserve">TRN00046</t>
  </si>
  <si>
    <t xml:space="preserve">TRN00047</t>
  </si>
  <si>
    <t xml:space="preserve">TRN00048</t>
  </si>
  <si>
    <t xml:space="preserve">TRN00049</t>
  </si>
  <si>
    <t xml:space="preserve">TRN00050</t>
  </si>
  <si>
    <t xml:space="preserve">TRN00051</t>
  </si>
  <si>
    <t xml:space="preserve">TRN00052</t>
  </si>
  <si>
    <t xml:space="preserve">TRN00053</t>
  </si>
  <si>
    <t xml:space="preserve">TRN00054</t>
  </si>
  <si>
    <t xml:space="preserve">TRN00055</t>
  </si>
  <si>
    <t xml:space="preserve">TRN00056</t>
  </si>
  <si>
    <t xml:space="preserve">TRN00057</t>
  </si>
  <si>
    <t xml:space="preserve">TRN00058</t>
  </si>
  <si>
    <t xml:space="preserve">TRN00059</t>
  </si>
  <si>
    <t xml:space="preserve">TRN00060</t>
  </si>
  <si>
    <t xml:space="preserve">TRN00061</t>
  </si>
  <si>
    <t xml:space="preserve">TRN00062</t>
  </si>
  <si>
    <t xml:space="preserve">TRN00063</t>
  </si>
  <si>
    <t xml:space="preserve">TRN00064</t>
  </si>
  <si>
    <t xml:space="preserve">TRN00065</t>
  </si>
  <si>
    <t xml:space="preserve">TRN00066</t>
  </si>
  <si>
    <t xml:space="preserve">TRN00067</t>
  </si>
  <si>
    <t xml:space="preserve">TRN00068</t>
  </si>
  <si>
    <t xml:space="preserve">TRN00069</t>
  </si>
  <si>
    <t xml:space="preserve">TRN00070</t>
  </si>
  <si>
    <t xml:space="preserve">TRN00071</t>
  </si>
  <si>
    <t xml:space="preserve">TRN00072</t>
  </si>
  <si>
    <t xml:space="preserve">TRN00073</t>
  </si>
  <si>
    <t xml:space="preserve">TRN00074</t>
  </si>
  <si>
    <t xml:space="preserve">TRN00075</t>
  </si>
  <si>
    <t xml:space="preserve">TRN00076</t>
  </si>
  <si>
    <t xml:space="preserve">TRN00077</t>
  </si>
  <si>
    <t xml:space="preserve">TRN00078</t>
  </si>
  <si>
    <t xml:space="preserve">TRN00079</t>
  </si>
  <si>
    <t xml:space="preserve">TRN00080</t>
  </si>
  <si>
    <t xml:space="preserve">TRN00081</t>
  </si>
  <si>
    <t xml:space="preserve">TRN00082</t>
  </si>
  <si>
    <t xml:space="preserve">TRN00083</t>
  </si>
  <si>
    <t xml:space="preserve">TRN00084</t>
  </si>
  <si>
    <t xml:space="preserve">TRN00085</t>
  </si>
  <si>
    <t xml:space="preserve">TRN00086</t>
  </si>
  <si>
    <t xml:space="preserve">TRN00087</t>
  </si>
  <si>
    <t xml:space="preserve">TRN00088</t>
  </si>
  <si>
    <t xml:space="preserve">TRN00089</t>
  </si>
  <si>
    <t xml:space="preserve">TRN00090</t>
  </si>
  <si>
    <t xml:space="preserve">TRN00091</t>
  </si>
  <si>
    <t xml:space="preserve">TRN00092</t>
  </si>
  <si>
    <t xml:space="preserve">TRN00093</t>
  </si>
  <si>
    <t xml:space="preserve">TRN00094</t>
  </si>
  <si>
    <t xml:space="preserve">TRN00095</t>
  </si>
  <si>
    <t xml:space="preserve">TRN00096</t>
  </si>
  <si>
    <t xml:space="preserve">TRN00097</t>
  </si>
  <si>
    <t xml:space="preserve">TRN00098</t>
  </si>
  <si>
    <t xml:space="preserve">TRN00099</t>
  </si>
  <si>
    <t xml:space="preserve">TRN00100</t>
  </si>
  <si>
    <t xml:space="preserve">TRN00101</t>
  </si>
  <si>
    <t xml:space="preserve">TRN00102</t>
  </si>
  <si>
    <t xml:space="preserve">TRN00103</t>
  </si>
  <si>
    <t xml:space="preserve">TRN00104</t>
  </si>
  <si>
    <t xml:space="preserve">TRN00105</t>
  </si>
  <si>
    <t xml:space="preserve">TRN00106</t>
  </si>
  <si>
    <t xml:space="preserve">TRN00107</t>
  </si>
  <si>
    <t xml:space="preserve">TRN00108</t>
  </si>
  <si>
    <t xml:space="preserve">TRN00109</t>
  </si>
  <si>
    <t xml:space="preserve">TRN00110</t>
  </si>
  <si>
    <t xml:space="preserve">TRN00111</t>
  </si>
  <si>
    <t xml:space="preserve">TRN00112</t>
  </si>
  <si>
    <t xml:space="preserve">TRN00113</t>
  </si>
  <si>
    <t xml:space="preserve">TRN00114</t>
  </si>
  <si>
    <t xml:space="preserve">TRN00115</t>
  </si>
  <si>
    <t xml:space="preserve">TRN00116</t>
  </si>
  <si>
    <t xml:space="preserve">TRN00117</t>
  </si>
  <si>
    <t xml:space="preserve">TRN00118</t>
  </si>
  <si>
    <t xml:space="preserve">TRN00119</t>
  </si>
  <si>
    <t xml:space="preserve">TRN00120</t>
  </si>
  <si>
    <t xml:space="preserve">TRN00121</t>
  </si>
  <si>
    <t xml:space="preserve">TRN00122</t>
  </si>
  <si>
    <t xml:space="preserve">TRN00123</t>
  </si>
  <si>
    <t xml:space="preserve">TRN00124</t>
  </si>
  <si>
    <t xml:space="preserve">TRN00125</t>
  </si>
  <si>
    <t xml:space="preserve">TRN00126</t>
  </si>
  <si>
    <t xml:space="preserve">TRN00127</t>
  </si>
  <si>
    <t xml:space="preserve">TRN00128</t>
  </si>
  <si>
    <t xml:space="preserve">TRN00129</t>
  </si>
  <si>
    <t xml:space="preserve">TRN00130</t>
  </si>
  <si>
    <t xml:space="preserve">TRN00131</t>
  </si>
  <si>
    <t xml:space="preserve">TRN00132</t>
  </si>
  <si>
    <t xml:space="preserve">TRN00133</t>
  </si>
  <si>
    <t xml:space="preserve">TRN00134</t>
  </si>
  <si>
    <t xml:space="preserve">TRN00135</t>
  </si>
  <si>
    <t xml:space="preserve">TRN00136</t>
  </si>
  <si>
    <t xml:space="preserve">TRN00137</t>
  </si>
  <si>
    <t xml:space="preserve">TRN00138</t>
  </si>
  <si>
    <t xml:space="preserve">TRN00139</t>
  </si>
  <si>
    <t xml:space="preserve">TRN00140</t>
  </si>
  <si>
    <t xml:space="preserve">TRN00141</t>
  </si>
  <si>
    <t xml:space="preserve">TRN00142</t>
  </si>
  <si>
    <t xml:space="preserve">TRN00143</t>
  </si>
  <si>
    <t xml:space="preserve">TRN00144</t>
  </si>
  <si>
    <t xml:space="preserve">TRN00145</t>
  </si>
  <si>
    <t xml:space="preserve">TRN00146</t>
  </si>
  <si>
    <t xml:space="preserve">TRN00147</t>
  </si>
  <si>
    <t xml:space="preserve">TRN00148</t>
  </si>
  <si>
    <t xml:space="preserve">TRN00149</t>
  </si>
  <si>
    <t xml:space="preserve">TRN00150</t>
  </si>
  <si>
    <t xml:space="preserve">TRN00151</t>
  </si>
  <si>
    <t xml:space="preserve">TRN00152</t>
  </si>
  <si>
    <t xml:space="preserve">TRN00153</t>
  </si>
  <si>
    <t xml:space="preserve">TRN00154</t>
  </si>
  <si>
    <t xml:space="preserve">TRN00155</t>
  </si>
  <si>
    <t xml:space="preserve">TRN00156</t>
  </si>
  <si>
    <t xml:space="preserve">TRN00157</t>
  </si>
  <si>
    <t xml:space="preserve">TRN00158</t>
  </si>
  <si>
    <t xml:space="preserve">TRN00159</t>
  </si>
  <si>
    <t xml:space="preserve">TRN00160</t>
  </si>
  <si>
    <t xml:space="preserve">TRN00161</t>
  </si>
  <si>
    <t xml:space="preserve">TRN00162</t>
  </si>
  <si>
    <t xml:space="preserve">TRN00163</t>
  </si>
  <si>
    <t xml:space="preserve">TRN00164</t>
  </si>
  <si>
    <t xml:space="preserve">TRN00165</t>
  </si>
  <si>
    <t xml:space="preserve">TRN00166</t>
  </si>
  <si>
    <t xml:space="preserve">TRN00167</t>
  </si>
  <si>
    <t xml:space="preserve">TRN00168</t>
  </si>
  <si>
    <t xml:space="preserve">TRN00169</t>
  </si>
  <si>
    <t xml:space="preserve">TRN00170</t>
  </si>
  <si>
    <t xml:space="preserve">TRN00171</t>
  </si>
  <si>
    <t xml:space="preserve">TRN00172</t>
  </si>
  <si>
    <t xml:space="preserve">TRN00173</t>
  </si>
  <si>
    <t xml:space="preserve">TRN00174</t>
  </si>
  <si>
    <t xml:space="preserve">TRN00175</t>
  </si>
  <si>
    <t xml:space="preserve">TRN00176</t>
  </si>
  <si>
    <t xml:space="preserve">TRN00177</t>
  </si>
  <si>
    <t xml:space="preserve">TRN00178</t>
  </si>
  <si>
    <t xml:space="preserve">TRN00179</t>
  </si>
  <si>
    <t xml:space="preserve">TRN00180</t>
  </si>
  <si>
    <t xml:space="preserve">TRN00181</t>
  </si>
  <si>
    <t xml:space="preserve">TRN00182</t>
  </si>
  <si>
    <t xml:space="preserve">TRN00183</t>
  </si>
  <si>
    <t xml:space="preserve">TRN00184</t>
  </si>
  <si>
    <t xml:space="preserve">TRN00185</t>
  </si>
  <si>
    <t xml:space="preserve">TRN00186</t>
  </si>
  <si>
    <t xml:space="preserve">TRN00187</t>
  </si>
  <si>
    <t xml:space="preserve">TRN00188</t>
  </si>
  <si>
    <t xml:space="preserve">TRN00189</t>
  </si>
  <si>
    <t xml:space="preserve">TRN00190</t>
  </si>
  <si>
    <t xml:space="preserve">TRN00191</t>
  </si>
  <si>
    <t xml:space="preserve">TRN00192</t>
  </si>
  <si>
    <t xml:space="preserve">TRN00193</t>
  </si>
  <si>
    <t xml:space="preserve">TRN00194</t>
  </si>
  <si>
    <t xml:space="preserve">TRN00195</t>
  </si>
  <si>
    <t xml:space="preserve">TRN00196</t>
  </si>
  <si>
    <t xml:space="preserve">TRN00197</t>
  </si>
  <si>
    <t xml:space="preserve">TRN00198</t>
  </si>
  <si>
    <t xml:space="preserve">TRN00199</t>
  </si>
  <si>
    <t xml:space="preserve">TRN00200</t>
  </si>
  <si>
    <t xml:space="preserve">TRN00201</t>
  </si>
  <si>
    <t xml:space="preserve">TRN00202</t>
  </si>
  <si>
    <t xml:space="preserve">TRN00203</t>
  </si>
  <si>
    <t xml:space="preserve">TRN00204</t>
  </si>
  <si>
    <t xml:space="preserve">TRN00205</t>
  </si>
  <si>
    <t xml:space="preserve">TRN00206</t>
  </si>
  <si>
    <t xml:space="preserve">TRN00207</t>
  </si>
  <si>
    <t xml:space="preserve">TRN00208</t>
  </si>
  <si>
    <t xml:space="preserve">TRN00209</t>
  </si>
  <si>
    <t xml:space="preserve">TRN00210</t>
  </si>
  <si>
    <t xml:space="preserve">TRN00211</t>
  </si>
  <si>
    <t xml:space="preserve">TRN00212</t>
  </si>
  <si>
    <t xml:space="preserve">TRN00213</t>
  </si>
  <si>
    <t xml:space="preserve">TRN00214</t>
  </si>
  <si>
    <t xml:space="preserve">TRN00215</t>
  </si>
  <si>
    <t xml:space="preserve">TRN00216</t>
  </si>
  <si>
    <t xml:space="preserve">TRN00217</t>
  </si>
  <si>
    <t xml:space="preserve">TRN00218</t>
  </si>
  <si>
    <t xml:space="preserve">TRN00219</t>
  </si>
  <si>
    <t xml:space="preserve">TRN00220</t>
  </si>
  <si>
    <t xml:space="preserve">TRN00221</t>
  </si>
  <si>
    <t xml:space="preserve">TRN00222</t>
  </si>
  <si>
    <t xml:space="preserve">TRN00223</t>
  </si>
  <si>
    <t xml:space="preserve">TRN00224</t>
  </si>
  <si>
    <t xml:space="preserve">TRN00225</t>
  </si>
  <si>
    <t xml:space="preserve">TRN00226</t>
  </si>
  <si>
    <t xml:space="preserve">TRN00227</t>
  </si>
  <si>
    <t xml:space="preserve">TRN00228</t>
  </si>
  <si>
    <t xml:space="preserve">TRN00229</t>
  </si>
  <si>
    <t xml:space="preserve">TRN00230</t>
  </si>
  <si>
    <t xml:space="preserve">TRN00231</t>
  </si>
  <si>
    <t xml:space="preserve">TRN00232</t>
  </si>
  <si>
    <t xml:space="preserve">TRN00233</t>
  </si>
  <si>
    <t xml:space="preserve">TRN00234</t>
  </si>
  <si>
    <t xml:space="preserve">TRN00235</t>
  </si>
  <si>
    <t xml:space="preserve">TRN00236</t>
  </si>
  <si>
    <t xml:space="preserve">TRN00237</t>
  </si>
  <si>
    <t xml:space="preserve">TRN00238</t>
  </si>
  <si>
    <t xml:space="preserve">TRN00239</t>
  </si>
  <si>
    <t xml:space="preserve">TRN00240</t>
  </si>
  <si>
    <t xml:space="preserve">TRN00241</t>
  </si>
  <si>
    <t xml:space="preserve">TRN00242</t>
  </si>
  <si>
    <t xml:space="preserve">TRN00243</t>
  </si>
  <si>
    <t xml:space="preserve">TRN00244</t>
  </si>
  <si>
    <t xml:space="preserve">TRN00245</t>
  </si>
  <si>
    <t xml:space="preserve">TRN00246</t>
  </si>
  <si>
    <t xml:space="preserve">TRN00247</t>
  </si>
  <si>
    <t xml:space="preserve">TRN00248</t>
  </si>
  <si>
    <t xml:space="preserve">TRN00249</t>
  </si>
  <si>
    <t xml:space="preserve">TRN00250</t>
  </si>
  <si>
    <t xml:space="preserve">TRN00251</t>
  </si>
  <si>
    <t xml:space="preserve">TRN00252</t>
  </si>
  <si>
    <t xml:space="preserve">TRN00253</t>
  </si>
  <si>
    <t xml:space="preserve">TRN00254</t>
  </si>
  <si>
    <t xml:space="preserve">TRN00255</t>
  </si>
  <si>
    <t xml:space="preserve">TRN00256</t>
  </si>
  <si>
    <t xml:space="preserve">TRN00257</t>
  </si>
  <si>
    <t xml:space="preserve">TRN00258</t>
  </si>
  <si>
    <t xml:space="preserve">TRN00259</t>
  </si>
  <si>
    <t xml:space="preserve">TRN00260</t>
  </si>
  <si>
    <t xml:space="preserve">TRN00261</t>
  </si>
  <si>
    <t xml:space="preserve">TRN00262</t>
  </si>
  <si>
    <t xml:space="preserve">TRN00263</t>
  </si>
  <si>
    <t xml:space="preserve">TRN00264</t>
  </si>
  <si>
    <t xml:space="preserve">TRN00265</t>
  </si>
  <si>
    <t xml:space="preserve">TRN00266</t>
  </si>
  <si>
    <t xml:space="preserve">TRN00267</t>
  </si>
  <si>
    <t xml:space="preserve">TRN00268</t>
  </si>
  <si>
    <t xml:space="preserve">TRN00269</t>
  </si>
  <si>
    <t xml:space="preserve">TRN00270</t>
  </si>
  <si>
    <t xml:space="preserve">TRN00271</t>
  </si>
  <si>
    <t xml:space="preserve">TRN00272</t>
  </si>
  <si>
    <t xml:space="preserve">TRN00273</t>
  </si>
  <si>
    <t xml:space="preserve">TRN00274</t>
  </si>
  <si>
    <t xml:space="preserve">TRN00275</t>
  </si>
  <si>
    <t xml:space="preserve">TRN00276</t>
  </si>
  <si>
    <t xml:space="preserve">TRN00277</t>
  </si>
  <si>
    <t xml:space="preserve">TRN00278</t>
  </si>
  <si>
    <t xml:space="preserve">TRN00279</t>
  </si>
  <si>
    <t xml:space="preserve">TRN00280</t>
  </si>
  <si>
    <t xml:space="preserve">AuditID</t>
  </si>
  <si>
    <t xml:space="preserve">DeptCodeAudited</t>
  </si>
  <si>
    <t xml:space="preserve">ControlArea</t>
  </si>
  <si>
    <t xml:space="preserve">Finding</t>
  </si>
  <si>
    <t xml:space="preserve">Severity</t>
  </si>
  <si>
    <t xml:space="preserve">ResponsibleEmployeeID</t>
  </si>
  <si>
    <t xml:space="preserve">TargetRemediationDate</t>
  </si>
  <si>
    <t xml:space="preserve">DaysToRemediate</t>
  </si>
  <si>
    <t xml:space="preserve">AUD00001</t>
  </si>
  <si>
    <t xml:space="preserve">Cash Management</t>
  </si>
  <si>
    <t xml:space="preserve">Approval Threshold Breach</t>
  </si>
  <si>
    <t xml:space="preserve">AUD00002</t>
  </si>
  <si>
    <t xml:space="preserve">Procurement Compliance</t>
  </si>
  <si>
    <t xml:space="preserve">Minor Documentation Gap</t>
  </si>
  <si>
    <t xml:space="preserve">AUD00003</t>
  </si>
  <si>
    <t xml:space="preserve">Payroll Controls</t>
  </si>
  <si>
    <t xml:space="preserve">No Exception Noted</t>
  </si>
  <si>
    <t xml:space="preserve">AUD00004</t>
  </si>
  <si>
    <t xml:space="preserve">Expense Authorization</t>
  </si>
  <si>
    <t xml:space="preserve">Reconciliation Delay</t>
  </si>
  <si>
    <t xml:space="preserve">AUD00005</t>
  </si>
  <si>
    <t xml:space="preserve">Segregation of Duties Weakness</t>
  </si>
  <si>
    <t xml:space="preserve">AUD00006</t>
  </si>
  <si>
    <t xml:space="preserve">In Progress</t>
  </si>
  <si>
    <t xml:space="preserve">AUD00007</t>
  </si>
  <si>
    <t xml:space="preserve">IT Access Controls</t>
  </si>
  <si>
    <t xml:space="preserve">AUD00008</t>
  </si>
  <si>
    <t xml:space="preserve">AUD00009</t>
  </si>
  <si>
    <t xml:space="preserve">Inventory Controls</t>
  </si>
  <si>
    <t xml:space="preserve">AUD00010</t>
  </si>
  <si>
    <t xml:space="preserve">AUD00011</t>
  </si>
  <si>
    <t xml:space="preserve">AUD00012</t>
  </si>
  <si>
    <t xml:space="preserve">Revenue Assurance</t>
  </si>
  <si>
    <t xml:space="preserve">Unauthorized Access Identified</t>
  </si>
  <si>
    <t xml:space="preserve">AUD00013</t>
  </si>
  <si>
    <t xml:space="preserve">Overdue</t>
  </si>
  <si>
    <t xml:space="preserve">AUD00014</t>
  </si>
  <si>
    <t xml:space="preserve">AUD00015</t>
  </si>
  <si>
    <t xml:space="preserve">AUD00016</t>
  </si>
  <si>
    <t xml:space="preserve">Fixed Assets</t>
  </si>
  <si>
    <t xml:space="preserve">AUD00017</t>
  </si>
  <si>
    <t xml:space="preserve">AUD00018</t>
  </si>
  <si>
    <t xml:space="preserve">AUD00019</t>
  </si>
  <si>
    <t xml:space="preserve">AUD00020</t>
  </si>
  <si>
    <t xml:space="preserve">AUD00021</t>
  </si>
  <si>
    <t xml:space="preserve">AUD00022</t>
  </si>
  <si>
    <t xml:space="preserve">AUD00023</t>
  </si>
  <si>
    <t xml:space="preserve">AUD00024</t>
  </si>
  <si>
    <t xml:space="preserve">AUD00025</t>
  </si>
  <si>
    <t xml:space="preserve">AUD00026</t>
  </si>
  <si>
    <t xml:space="preserve">AUD00027</t>
  </si>
  <si>
    <t xml:space="preserve">AUD00028</t>
  </si>
  <si>
    <t xml:space="preserve">AUD00029</t>
  </si>
  <si>
    <t xml:space="preserve">AUD00030</t>
  </si>
  <si>
    <t xml:space="preserve">AUD00031</t>
  </si>
  <si>
    <t xml:space="preserve">AUD00032</t>
  </si>
  <si>
    <t xml:space="preserve">AUD00033</t>
  </si>
  <si>
    <t xml:space="preserve">AUD00034</t>
  </si>
  <si>
    <t xml:space="preserve">AUD00035</t>
  </si>
  <si>
    <t xml:space="preserve">AUD00036</t>
  </si>
  <si>
    <t xml:space="preserve">AUD00037</t>
  </si>
  <si>
    <t xml:space="preserve">AUD00038</t>
  </si>
  <si>
    <t xml:space="preserve">AUD00039</t>
  </si>
  <si>
    <t xml:space="preserve">AUD00040</t>
  </si>
  <si>
    <t xml:space="preserve">AUD00041</t>
  </si>
  <si>
    <t xml:space="preserve">AUD00042</t>
  </si>
  <si>
    <t xml:space="preserve">AUD00043</t>
  </si>
  <si>
    <t xml:space="preserve">AUD00044</t>
  </si>
  <si>
    <t xml:space="preserve">AUD00045</t>
  </si>
  <si>
    <t xml:space="preserve">AUD00046</t>
  </si>
  <si>
    <t xml:space="preserve">AUD00047</t>
  </si>
  <si>
    <t xml:space="preserve">AUD00048</t>
  </si>
  <si>
    <t xml:space="preserve">AUD00049</t>
  </si>
  <si>
    <t xml:space="preserve">AUD00050</t>
  </si>
  <si>
    <t xml:space="preserve">AUD00051</t>
  </si>
  <si>
    <t xml:space="preserve">AUD00052</t>
  </si>
  <si>
    <t xml:space="preserve">AUD00053</t>
  </si>
  <si>
    <t xml:space="preserve">AUD00054</t>
  </si>
  <si>
    <t xml:space="preserve">AUD00055</t>
  </si>
  <si>
    <t xml:space="preserve">AUD00056</t>
  </si>
  <si>
    <t xml:space="preserve">AUD00057</t>
  </si>
  <si>
    <t xml:space="preserve">AUD00058</t>
  </si>
  <si>
    <t xml:space="preserve">AUD00059</t>
  </si>
  <si>
    <t xml:space="preserve">AUD00060</t>
  </si>
  <si>
    <t xml:space="preserve">AUD00061</t>
  </si>
  <si>
    <t xml:space="preserve">AUD00062</t>
  </si>
  <si>
    <t xml:space="preserve">AUD00063</t>
  </si>
  <si>
    <t xml:space="preserve">AUD00064</t>
  </si>
  <si>
    <t xml:space="preserve">AUD00065</t>
  </si>
  <si>
    <t xml:space="preserve">AUD00066</t>
  </si>
  <si>
    <t xml:space="preserve">AUD00067</t>
  </si>
  <si>
    <t xml:space="preserve">AUD00068</t>
  </si>
  <si>
    <t xml:space="preserve">AUD00069</t>
  </si>
  <si>
    <t xml:space="preserve">AUD00070</t>
  </si>
  <si>
    <t xml:space="preserve">AUD00071</t>
  </si>
  <si>
    <t xml:space="preserve">AUD00072</t>
  </si>
  <si>
    <t xml:space="preserve">AUD00073</t>
  </si>
  <si>
    <t xml:space="preserve">AUD00074</t>
  </si>
  <si>
    <t xml:space="preserve">AUD00075</t>
  </si>
  <si>
    <t xml:space="preserve">AUD00076</t>
  </si>
  <si>
    <t xml:space="preserve">AUD00077</t>
  </si>
  <si>
    <t xml:space="preserve">AUD00078</t>
  </si>
  <si>
    <t xml:space="preserve">AUD00079</t>
  </si>
  <si>
    <t xml:space="preserve">AUD00080</t>
  </si>
  <si>
    <t xml:space="preserve">AUD00081</t>
  </si>
  <si>
    <t xml:space="preserve">AUD00082</t>
  </si>
  <si>
    <t xml:space="preserve">AUD00083</t>
  </si>
  <si>
    <t xml:space="preserve">AUD00084</t>
  </si>
  <si>
    <t xml:space="preserve">AUD00085</t>
  </si>
  <si>
    <t xml:space="preserve">AUD00086</t>
  </si>
  <si>
    <t xml:space="preserve">AUD00087</t>
  </si>
  <si>
    <t xml:space="preserve">AUD00088</t>
  </si>
  <si>
    <t xml:space="preserve">AUD00089</t>
  </si>
  <si>
    <t xml:space="preserve">AUD00090</t>
  </si>
  <si>
    <t xml:space="preserve">AUD00091</t>
  </si>
  <si>
    <t xml:space="preserve">AUD00092</t>
  </si>
  <si>
    <t xml:space="preserve">AUD00093</t>
  </si>
  <si>
    <t xml:space="preserve">AUD00094</t>
  </si>
  <si>
    <t xml:space="preserve">AUD00095</t>
  </si>
  <si>
    <t xml:space="preserve">AUD00096</t>
  </si>
  <si>
    <t xml:space="preserve">AUD00097</t>
  </si>
  <si>
    <t xml:space="preserve">AUD00098</t>
  </si>
  <si>
    <t xml:space="preserve">AUD00099</t>
  </si>
  <si>
    <t xml:space="preserve">AUD00100</t>
  </si>
  <si>
    <t xml:space="preserve">AUD00101</t>
  </si>
  <si>
    <t xml:space="preserve">AUD00102</t>
  </si>
  <si>
    <t xml:space="preserve">AUD00103</t>
  </si>
  <si>
    <t xml:space="preserve">AUD00104</t>
  </si>
  <si>
    <t xml:space="preserve">AUD00105</t>
  </si>
  <si>
    <t xml:space="preserve">AUD00106</t>
  </si>
  <si>
    <t xml:space="preserve">AUD00107</t>
  </si>
  <si>
    <t xml:space="preserve">AUD00108</t>
  </si>
  <si>
    <t xml:space="preserve">AUD00109</t>
  </si>
  <si>
    <t xml:space="preserve">AUD00110</t>
  </si>
  <si>
    <t xml:space="preserve">AUD00111</t>
  </si>
  <si>
    <t xml:space="preserve">AUD00112</t>
  </si>
  <si>
    <t xml:space="preserve">AUD00113</t>
  </si>
  <si>
    <t xml:space="preserve">AUD00114</t>
  </si>
  <si>
    <t xml:space="preserve">AUD00115</t>
  </si>
  <si>
    <t xml:space="preserve">AUD00116</t>
  </si>
  <si>
    <t xml:space="preserve">AUD00117</t>
  </si>
  <si>
    <t xml:space="preserve">AUD00118</t>
  </si>
  <si>
    <t xml:space="preserve">AUD00119</t>
  </si>
  <si>
    <t xml:space="preserve">AUD00120</t>
  </si>
  <si>
    <t xml:space="preserve">AUD00121</t>
  </si>
  <si>
    <t xml:space="preserve">AUD00122</t>
  </si>
  <si>
    <t xml:space="preserve">AUD00123</t>
  </si>
  <si>
    <t xml:space="preserve">AUD00124</t>
  </si>
  <si>
    <t xml:space="preserve">AUD00125</t>
  </si>
  <si>
    <t xml:space="preserve">AUD00126</t>
  </si>
  <si>
    <t xml:space="preserve">AUD00127</t>
  </si>
  <si>
    <t xml:space="preserve">AUD00128</t>
  </si>
  <si>
    <t xml:space="preserve">AUD00129</t>
  </si>
  <si>
    <t xml:space="preserve">AUD00130</t>
  </si>
  <si>
    <t xml:space="preserve">AUD00131</t>
  </si>
  <si>
    <t xml:space="preserve">AUD00132</t>
  </si>
  <si>
    <t xml:space="preserve">AUD00133</t>
  </si>
  <si>
    <t xml:space="preserve">AUD00134</t>
  </si>
  <si>
    <t xml:space="preserve">AUD00135</t>
  </si>
  <si>
    <t xml:space="preserve">AUD00136</t>
  </si>
  <si>
    <t xml:space="preserve">AUD00137</t>
  </si>
  <si>
    <t xml:space="preserve">AUD00138</t>
  </si>
  <si>
    <t xml:space="preserve">AUD00139</t>
  </si>
  <si>
    <t xml:space="preserve">AUD00140</t>
  </si>
  <si>
    <t xml:space="preserve">AUD00141</t>
  </si>
  <si>
    <t xml:space="preserve">AUD00142</t>
  </si>
  <si>
    <t xml:space="preserve">AUD00143</t>
  </si>
  <si>
    <t xml:space="preserve">AUD00144</t>
  </si>
  <si>
    <t xml:space="preserve">AUD00145</t>
  </si>
  <si>
    <t xml:space="preserve">AUD00146</t>
  </si>
  <si>
    <t xml:space="preserve">AUD00147</t>
  </si>
  <si>
    <t xml:space="preserve">AUD00148</t>
  </si>
  <si>
    <t xml:space="preserve">AUD00149</t>
  </si>
  <si>
    <t xml:space="preserve">AUD00150</t>
  </si>
  <si>
    <t xml:space="preserve">AUD00151</t>
  </si>
  <si>
    <t xml:space="preserve">AUD00152</t>
  </si>
  <si>
    <t xml:space="preserve">AUD00153</t>
  </si>
  <si>
    <t xml:space="preserve">AUD00154</t>
  </si>
  <si>
    <t xml:space="preserve">AUD00155</t>
  </si>
  <si>
    <t xml:space="preserve">AUD00156</t>
  </si>
  <si>
    <t xml:space="preserve">AUD00157</t>
  </si>
  <si>
    <t xml:space="preserve">AUD00158</t>
  </si>
  <si>
    <t xml:space="preserve">AUD00159</t>
  </si>
  <si>
    <t xml:space="preserve">AUD00160</t>
  </si>
  <si>
    <t xml:space="preserve">AUD00161</t>
  </si>
  <si>
    <t xml:space="preserve">AUD00162</t>
  </si>
  <si>
    <t xml:space="preserve">AUD00163</t>
  </si>
  <si>
    <t xml:space="preserve">AUD00164</t>
  </si>
  <si>
    <t xml:space="preserve">AUD00165</t>
  </si>
  <si>
    <t xml:space="preserve">AUD00166</t>
  </si>
  <si>
    <t xml:space="preserve">AUD00167</t>
  </si>
  <si>
    <t xml:space="preserve">AUD00168</t>
  </si>
  <si>
    <t xml:space="preserve">AUD00169</t>
  </si>
  <si>
    <t xml:space="preserve">AUD00170</t>
  </si>
  <si>
    <t xml:space="preserve">AUD00171</t>
  </si>
  <si>
    <t xml:space="preserve">AUD00172</t>
  </si>
  <si>
    <t xml:space="preserve">AUD00173</t>
  </si>
  <si>
    <t xml:space="preserve">AUD00174</t>
  </si>
  <si>
    <t xml:space="preserve">AUD00175</t>
  </si>
  <si>
    <t xml:space="preserve">AUD00176</t>
  </si>
  <si>
    <t xml:space="preserve">AUD00177</t>
  </si>
  <si>
    <t xml:space="preserve">AUD00178</t>
  </si>
  <si>
    <t xml:space="preserve">AUD00179</t>
  </si>
  <si>
    <t xml:space="preserve">AUD00180</t>
  </si>
  <si>
    <t xml:space="preserve">RiskID</t>
  </si>
  <si>
    <t xml:space="preserve">DateIdentified</t>
  </si>
  <si>
    <t xml:space="preserve">RiskCategory</t>
  </si>
  <si>
    <t xml:space="preserve">RiskDescription</t>
  </si>
  <si>
    <t xml:space="preserve">Likelihood_1to5</t>
  </si>
  <si>
    <t xml:space="preserve">Impact_1to5</t>
  </si>
  <si>
    <t xml:space="preserve">RiskScore</t>
  </si>
  <si>
    <t xml:space="preserve">ComplianceRegulation</t>
  </si>
  <si>
    <t xml:space="preserve">MitigationStatus</t>
  </si>
  <si>
    <t xml:space="preserve">RiskOwnerEmployeeID</t>
  </si>
  <si>
    <t xml:space="preserve">RSK00001</t>
  </si>
  <si>
    <t xml:space="preserve">Cybersecurity Risk</t>
  </si>
  <si>
    <t xml:space="preserve">Cybersecurity Risk identified in FIN function</t>
  </si>
  <si>
    <t xml:space="preserve">NDPR Data Protection</t>
  </si>
  <si>
    <t xml:space="preserve">Mitigated</t>
  </si>
  <si>
    <t xml:space="preserve">RSK00002</t>
  </si>
  <si>
    <t xml:space="preserve">Health &amp; Safety Risk</t>
  </si>
  <si>
    <t xml:space="preserve">Health &amp; Safety Risk identified in HR function</t>
  </si>
  <si>
    <t xml:space="preserve">FIRS Tax Compliance</t>
  </si>
  <si>
    <t xml:space="preserve">RSK00003</t>
  </si>
  <si>
    <t xml:space="preserve">Operational Risk</t>
  </si>
  <si>
    <t xml:space="preserve">Operational Risk identified in RMC function</t>
  </si>
  <si>
    <t xml:space="preserve">Nigeria Labour Act</t>
  </si>
  <si>
    <t xml:space="preserve">RSK00004</t>
  </si>
  <si>
    <t xml:space="preserve">Fraud Risk</t>
  </si>
  <si>
    <t xml:space="preserve">Fraud Risk identified in CS function</t>
  </si>
  <si>
    <t xml:space="preserve">Not Applicable</t>
  </si>
  <si>
    <t xml:space="preserve">RSK00005</t>
  </si>
  <si>
    <t xml:space="preserve">Financial Risk</t>
  </si>
  <si>
    <t xml:space="preserve">Financial Risk identified in ADM function</t>
  </si>
  <si>
    <t xml:space="preserve">RSK00006</t>
  </si>
  <si>
    <t xml:space="preserve">Health &amp; Safety Risk identified in IT function</t>
  </si>
  <si>
    <t xml:space="preserve">RSK00007</t>
  </si>
  <si>
    <t xml:space="preserve">Cybersecurity Risk identified in RMC function</t>
  </si>
  <si>
    <t xml:space="preserve">RSK00008</t>
  </si>
  <si>
    <t xml:space="preserve">Operational Risk identified in ADM function</t>
  </si>
  <si>
    <t xml:space="preserve">RSK00009</t>
  </si>
  <si>
    <t xml:space="preserve">Reputational Risk</t>
  </si>
  <si>
    <t xml:space="preserve">Reputational Risk identified in FIN function</t>
  </si>
  <si>
    <t xml:space="preserve">SON Standards Compliance</t>
  </si>
  <si>
    <t xml:space="preserve">Not Started</t>
  </si>
  <si>
    <t xml:space="preserve">RSK00010</t>
  </si>
  <si>
    <t xml:space="preserve">Financial Risk identified in SCM function</t>
  </si>
  <si>
    <t xml:space="preserve">RSK00011</t>
  </si>
  <si>
    <t xml:space="preserve">NAFDAC Food Safety Regulation</t>
  </si>
  <si>
    <t xml:space="preserve">RSK00012</t>
  </si>
  <si>
    <t xml:space="preserve">Fraud Risk identified in IC function</t>
  </si>
  <si>
    <t xml:space="preserve">RSK00013</t>
  </si>
  <si>
    <t xml:space="preserve">Environmental (NESREA) Regulation</t>
  </si>
  <si>
    <t xml:space="preserve">RSK00014</t>
  </si>
  <si>
    <t xml:space="preserve">RSK00015</t>
  </si>
  <si>
    <t xml:space="preserve">Cybersecurity Risk identified in IC function</t>
  </si>
  <si>
    <t xml:space="preserve">RSK00016</t>
  </si>
  <si>
    <t xml:space="preserve">RSK00017</t>
  </si>
  <si>
    <t xml:space="preserve">RSK00018</t>
  </si>
  <si>
    <t xml:space="preserve">Supply Chain Risk</t>
  </si>
  <si>
    <t xml:space="preserve">Supply Chain Risk identified in OPS function</t>
  </si>
  <si>
    <t xml:space="preserve">RSK00019</t>
  </si>
  <si>
    <t xml:space="preserve">Operational Risk identified in IT function</t>
  </si>
  <si>
    <t xml:space="preserve">RSK00020</t>
  </si>
  <si>
    <t xml:space="preserve">RSK00021</t>
  </si>
  <si>
    <t xml:space="preserve">Supply Chain Risk identified in IC function</t>
  </si>
  <si>
    <t xml:space="preserve">RSK00022</t>
  </si>
  <si>
    <t xml:space="preserve">Regulatory/Compliance Risk</t>
  </si>
  <si>
    <t xml:space="preserve">Regulatory/Compliance Risk identified in RMC function</t>
  </si>
  <si>
    <t xml:space="preserve">RSK00023</t>
  </si>
  <si>
    <t xml:space="preserve">Operational Risk identified in CS function</t>
  </si>
  <si>
    <t xml:space="preserve">RSK00024</t>
  </si>
  <si>
    <t xml:space="preserve">Health &amp; Safety Risk identified in RMC function</t>
  </si>
  <si>
    <t xml:space="preserve">RSK00025</t>
  </si>
  <si>
    <t xml:space="preserve">Reputational Risk identified in RMC function</t>
  </si>
  <si>
    <t xml:space="preserve">RSK00026</t>
  </si>
  <si>
    <t xml:space="preserve">Fraud Risk identified in OPS function</t>
  </si>
  <si>
    <t xml:space="preserve">RSK00027</t>
  </si>
  <si>
    <t xml:space="preserve">Fraud Risk identified in SCM function</t>
  </si>
  <si>
    <t xml:space="preserve">RSK00028</t>
  </si>
  <si>
    <t xml:space="preserve">Cybersecurity Risk identified in HR function</t>
  </si>
  <si>
    <t xml:space="preserve">RSK00029</t>
  </si>
  <si>
    <t xml:space="preserve">Regulatory/Compliance Risk identified in CS function</t>
  </si>
  <si>
    <t xml:space="preserve">RSK00030</t>
  </si>
  <si>
    <t xml:space="preserve">Financial Risk identified in HR function</t>
  </si>
  <si>
    <t xml:space="preserve">RSK00031</t>
  </si>
  <si>
    <t xml:space="preserve">Reputational Risk identified in CS function</t>
  </si>
  <si>
    <t xml:space="preserve">RSK00032</t>
  </si>
  <si>
    <t xml:space="preserve">Regulatory/Compliance Risk identified in FIN function</t>
  </si>
  <si>
    <t xml:space="preserve">RSK00033</t>
  </si>
  <si>
    <t xml:space="preserve">Financial Risk identified in OPS function</t>
  </si>
  <si>
    <t xml:space="preserve">RSK00034</t>
  </si>
  <si>
    <t xml:space="preserve">Reputational Risk identified in SCM function</t>
  </si>
  <si>
    <t xml:space="preserve">RSK00035</t>
  </si>
  <si>
    <t xml:space="preserve">Financial Risk identified in IC function</t>
  </si>
  <si>
    <t xml:space="preserve">RSK00036</t>
  </si>
  <si>
    <t xml:space="preserve">RSK00037</t>
  </si>
  <si>
    <t xml:space="preserve">Operational Risk identified in FIN function</t>
  </si>
  <si>
    <t xml:space="preserve">RSK00038</t>
  </si>
  <si>
    <t xml:space="preserve">Health &amp; Safety Risk identified in FIN function</t>
  </si>
  <si>
    <t xml:space="preserve">RSK00039</t>
  </si>
  <si>
    <t xml:space="preserve">RSK00040</t>
  </si>
  <si>
    <t xml:space="preserve">RSK00041</t>
  </si>
  <si>
    <t xml:space="preserve">RSK00042</t>
  </si>
  <si>
    <t xml:space="preserve">RSK00043</t>
  </si>
  <si>
    <t xml:space="preserve">Reputational Risk identified in HR function</t>
  </si>
  <si>
    <t xml:space="preserve">RSK00044</t>
  </si>
  <si>
    <t xml:space="preserve">RSK00045</t>
  </si>
  <si>
    <t xml:space="preserve">RSK00046</t>
  </si>
  <si>
    <t xml:space="preserve">RSK00047</t>
  </si>
  <si>
    <t xml:space="preserve">Financial Risk identified in IT function</t>
  </si>
  <si>
    <t xml:space="preserve">RSK00048</t>
  </si>
  <si>
    <t xml:space="preserve">Supply Chain Risk identified in SCM function</t>
  </si>
  <si>
    <t xml:space="preserve">RSK00049</t>
  </si>
  <si>
    <t xml:space="preserve">RSK00050</t>
  </si>
  <si>
    <t xml:space="preserve">Reputational Risk identified in IC function</t>
  </si>
  <si>
    <t xml:space="preserve">RSK00051</t>
  </si>
  <si>
    <t xml:space="preserve">RSK00052</t>
  </si>
  <si>
    <t xml:space="preserve">RSK00053</t>
  </si>
  <si>
    <t xml:space="preserve">Cybersecurity Risk identified in ADM function</t>
  </si>
  <si>
    <t xml:space="preserve">RSK00054</t>
  </si>
  <si>
    <t xml:space="preserve">RSK00055</t>
  </si>
  <si>
    <t xml:space="preserve">Supply Chain Risk identified in RMC function</t>
  </si>
  <si>
    <t xml:space="preserve">RSK00056</t>
  </si>
  <si>
    <t xml:space="preserve">Supply Chain Risk identified in ADM function</t>
  </si>
  <si>
    <t xml:space="preserve">RSK00057</t>
  </si>
  <si>
    <t xml:space="preserve">Operational Risk identified in HR function</t>
  </si>
  <si>
    <t xml:space="preserve">RSK00058</t>
  </si>
  <si>
    <t xml:space="preserve">RSK00059</t>
  </si>
  <si>
    <t xml:space="preserve">Financial Risk identified in CS function</t>
  </si>
  <si>
    <t xml:space="preserve">RSK00060</t>
  </si>
  <si>
    <t xml:space="preserve">RSK00061</t>
  </si>
  <si>
    <t xml:space="preserve">Reputational Risk identified in IT function</t>
  </si>
  <si>
    <t xml:space="preserve">RSK00062</t>
  </si>
  <si>
    <t xml:space="preserve">RSK00063</t>
  </si>
  <si>
    <t xml:space="preserve">RSK00064</t>
  </si>
  <si>
    <t xml:space="preserve">RSK00065</t>
  </si>
  <si>
    <t xml:space="preserve">RSK00066</t>
  </si>
  <si>
    <t xml:space="preserve">Cybersecurity Risk identified in SCM function</t>
  </si>
  <si>
    <t xml:space="preserve">RSK00067</t>
  </si>
  <si>
    <t xml:space="preserve">Health &amp; Safety Risk identified in IC function</t>
  </si>
  <si>
    <t xml:space="preserve">RSK00068</t>
  </si>
  <si>
    <t xml:space="preserve">Regulatory/Compliance Risk identified in OPS function</t>
  </si>
  <si>
    <t xml:space="preserve">RSK00069</t>
  </si>
  <si>
    <t xml:space="preserve">Regulatory/Compliance Risk identified in IT function</t>
  </si>
  <si>
    <t xml:space="preserve">RSK00070</t>
  </si>
  <si>
    <t xml:space="preserve">Regulatory/Compliance Risk identified in IC function</t>
  </si>
  <si>
    <t xml:space="preserve">RSK00071</t>
  </si>
  <si>
    <t xml:space="preserve">RSK00072</t>
  </si>
  <si>
    <t xml:space="preserve">RSK00073</t>
  </si>
  <si>
    <t xml:space="preserve">Supply Chain Risk identified in HR function</t>
  </si>
  <si>
    <t xml:space="preserve">RSK00074</t>
  </si>
  <si>
    <t xml:space="preserve">Reputational Risk identified in ADM function</t>
  </si>
  <si>
    <t xml:space="preserve">RSK00075</t>
  </si>
  <si>
    <t xml:space="preserve">RSK00076</t>
  </si>
  <si>
    <t xml:space="preserve">Fraud Risk identified in HR function</t>
  </si>
  <si>
    <t xml:space="preserve">RSK00077</t>
  </si>
  <si>
    <t xml:space="preserve">Financial Risk identified in FIN function</t>
  </si>
  <si>
    <t xml:space="preserve">RSK00078</t>
  </si>
  <si>
    <t xml:space="preserve">RSK00079</t>
  </si>
  <si>
    <t xml:space="preserve">RSK00080</t>
  </si>
  <si>
    <t xml:space="preserve">RSK00081</t>
  </si>
  <si>
    <t xml:space="preserve">RSK00082</t>
  </si>
  <si>
    <t xml:space="preserve">RSK00083</t>
  </si>
  <si>
    <t xml:space="preserve">Operational Risk identified in SCM function</t>
  </si>
  <si>
    <t xml:space="preserve">RSK00084</t>
  </si>
  <si>
    <t xml:space="preserve">RSK00085</t>
  </si>
  <si>
    <t xml:space="preserve">RSK00086</t>
  </si>
  <si>
    <t xml:space="preserve">RSK00087</t>
  </si>
  <si>
    <t xml:space="preserve">Regulatory/Compliance Risk identified in SCM function</t>
  </si>
  <si>
    <t xml:space="preserve">RSK00088</t>
  </si>
  <si>
    <t xml:space="preserve">Health &amp; Safety Risk identified in SCM function</t>
  </si>
  <si>
    <t xml:space="preserve">RSK00089</t>
  </si>
  <si>
    <t xml:space="preserve">RSK00090</t>
  </si>
  <si>
    <t xml:space="preserve">RSK00091</t>
  </si>
  <si>
    <t xml:space="preserve">RSK00092</t>
  </si>
  <si>
    <t xml:space="preserve">RSK00093</t>
  </si>
  <si>
    <t xml:space="preserve">Cybersecurity Risk identified in CS function</t>
  </si>
  <si>
    <t xml:space="preserve">RSK00094</t>
  </si>
  <si>
    <t xml:space="preserve">RSK00095</t>
  </si>
  <si>
    <t xml:space="preserve">Fraud Risk identified in ADM function</t>
  </si>
  <si>
    <t xml:space="preserve">RSK00096</t>
  </si>
  <si>
    <t xml:space="preserve">RSK00097</t>
  </si>
  <si>
    <t xml:space="preserve">Financial Risk identified in RMC function</t>
  </si>
  <si>
    <t xml:space="preserve">RSK00098</t>
  </si>
  <si>
    <t xml:space="preserve">RSK00099</t>
  </si>
  <si>
    <t xml:space="preserve">RSK00100</t>
  </si>
  <si>
    <t xml:space="preserve">RSK00101</t>
  </si>
  <si>
    <t xml:space="preserve">RSK00102</t>
  </si>
  <si>
    <t xml:space="preserve">Regulatory/Compliance Risk identified in ADM function</t>
  </si>
  <si>
    <t xml:space="preserve">RSK00103</t>
  </si>
  <si>
    <t xml:space="preserve">Fraud Risk identified in RMC function</t>
  </si>
  <si>
    <t xml:space="preserve">RSK00104</t>
  </si>
  <si>
    <t xml:space="preserve">RSK00105</t>
  </si>
  <si>
    <t xml:space="preserve">RSK00106</t>
  </si>
  <si>
    <t xml:space="preserve">Fraud Risk identified in IT function</t>
  </si>
  <si>
    <t xml:space="preserve">RSK00107</t>
  </si>
  <si>
    <t xml:space="preserve">Fraud Risk identified in FIN function</t>
  </si>
  <si>
    <t xml:space="preserve">RSK00108</t>
  </si>
  <si>
    <t xml:space="preserve">RSK00109</t>
  </si>
  <si>
    <t xml:space="preserve">RSK00110</t>
  </si>
  <si>
    <t xml:space="preserve">RSK00111</t>
  </si>
  <si>
    <t xml:space="preserve">Health &amp; Safety Risk identified in ADM function</t>
  </si>
  <si>
    <t xml:space="preserve">RSK00112</t>
  </si>
  <si>
    <t xml:space="preserve">RSK00113</t>
  </si>
  <si>
    <t xml:space="preserve">RSK00114</t>
  </si>
  <si>
    <t xml:space="preserve">Operational Risk identified in OPS function</t>
  </si>
  <si>
    <t xml:space="preserve">RSK00115</t>
  </si>
  <si>
    <t xml:space="preserve">RSK00116</t>
  </si>
  <si>
    <t xml:space="preserve">RSK00117</t>
  </si>
  <si>
    <t xml:space="preserve">Cybersecurity Risk identified in IT function</t>
  </si>
  <si>
    <t xml:space="preserve">RSK00118</t>
  </si>
  <si>
    <t xml:space="preserve">RSK00119</t>
  </si>
  <si>
    <t xml:space="preserve">RSK00120</t>
  </si>
  <si>
    <t xml:space="preserve">RSK00121</t>
  </si>
  <si>
    <t xml:space="preserve">RSK00122</t>
  </si>
  <si>
    <t xml:space="preserve">Health &amp; Safety Risk identified in CS function</t>
  </si>
  <si>
    <t xml:space="preserve">RSK00123</t>
  </si>
  <si>
    <t xml:space="preserve">RSK00124</t>
  </si>
  <si>
    <t xml:space="preserve">RSK00125</t>
  </si>
  <si>
    <t xml:space="preserve">RSK00126</t>
  </si>
  <si>
    <t xml:space="preserve">RSK00127</t>
  </si>
  <si>
    <t xml:space="preserve">RSK00128</t>
  </si>
  <si>
    <t xml:space="preserve">RSK00129</t>
  </si>
  <si>
    <t xml:space="preserve">RSK00130</t>
  </si>
  <si>
    <t xml:space="preserve">RSK00131</t>
  </si>
  <si>
    <t xml:space="preserve">RSK00132</t>
  </si>
  <si>
    <t xml:space="preserve">RSK00133</t>
  </si>
  <si>
    <t xml:space="preserve">RSK00134</t>
  </si>
  <si>
    <t xml:space="preserve">Health &amp; Safety Risk identified in OPS function</t>
  </si>
  <si>
    <t xml:space="preserve">RSK00135</t>
  </si>
  <si>
    <t xml:space="preserve">Supply Chain Risk identified in FIN function</t>
  </si>
  <si>
    <t xml:space="preserve">RSK00136</t>
  </si>
  <si>
    <t xml:space="preserve">RSK00137</t>
  </si>
  <si>
    <t xml:space="preserve">RSK00138</t>
  </si>
  <si>
    <t xml:space="preserve">RSK00139</t>
  </si>
  <si>
    <t xml:space="preserve">RSK00140</t>
  </si>
  <si>
    <t xml:space="preserve">RSK00141</t>
  </si>
  <si>
    <t xml:space="preserve">RSK00142</t>
  </si>
  <si>
    <t xml:space="preserve">RSK00143</t>
  </si>
  <si>
    <t xml:space="preserve">Cybersecurity Risk identified in OPS function</t>
  </si>
  <si>
    <t xml:space="preserve">RSK00144</t>
  </si>
  <si>
    <t xml:space="preserve">RSK00145</t>
  </si>
  <si>
    <t xml:space="preserve">RSK00146</t>
  </si>
  <si>
    <t xml:space="preserve">Reputational Risk identified in OPS function</t>
  </si>
  <si>
    <t xml:space="preserve">RSK00147</t>
  </si>
  <si>
    <t xml:space="preserve">RSK00148</t>
  </si>
  <si>
    <t xml:space="preserve">RSK00149</t>
  </si>
  <si>
    <t xml:space="preserve">RSK00150</t>
  </si>
  <si>
    <t xml:space="preserve">RSK00151</t>
  </si>
  <si>
    <t xml:space="preserve">RSK00152</t>
  </si>
  <si>
    <t xml:space="preserve">RSK00153</t>
  </si>
  <si>
    <t xml:space="preserve">RSK00154</t>
  </si>
  <si>
    <t xml:space="preserve">RSK00155</t>
  </si>
  <si>
    <t xml:space="preserve">RSK00156</t>
  </si>
  <si>
    <t xml:space="preserve">RSK00157</t>
  </si>
  <si>
    <t xml:space="preserve">RSK00158</t>
  </si>
  <si>
    <t xml:space="preserve">RSK00159</t>
  </si>
  <si>
    <t xml:space="preserve">RSK00160</t>
  </si>
</sst>
</file>

<file path=xl/styles.xml><?xml version="1.0" encoding="utf-8"?>
<styleSheet xmlns="http://schemas.openxmlformats.org/spreadsheetml/2006/main">
  <numFmts count="5">
    <numFmt numFmtId="164" formatCode="General"/>
    <numFmt numFmtId="165" formatCode="dd\-mmm\-yyyy"/>
    <numFmt numFmtId="166" formatCode="0.0%"/>
    <numFmt numFmtId="167" formatCode="#,##0.00"/>
    <numFmt numFmtId="168" formatCode="#,##0"/>
  </numFmts>
  <fonts count="10">
    <font>
      <sz val="11"/>
      <color theme="1"/>
      <name val="Calibri"/>
      <family val="2"/>
      <charset val="1"/>
    </font>
    <font>
      <sz val="10"/>
      <name val="Arial"/>
      <family val="0"/>
    </font>
    <font>
      <sz val="10"/>
      <name val="Arial"/>
      <family val="0"/>
    </font>
    <font>
      <sz val="10"/>
      <name val="Arial"/>
      <family val="0"/>
    </font>
    <font>
      <b val="true"/>
      <sz val="16"/>
      <color rgb="FFA6192E"/>
      <name val="Arial"/>
      <family val="0"/>
      <charset val="1"/>
    </font>
    <font>
      <i val="true"/>
      <sz val="11"/>
      <name val="Arial"/>
      <family val="0"/>
      <charset val="1"/>
    </font>
    <font>
      <b val="true"/>
      <sz val="10"/>
      <name val="Arial"/>
      <family val="0"/>
      <charset val="1"/>
    </font>
    <font>
      <b val="true"/>
      <sz val="10"/>
      <color rgb="FFA6192E"/>
      <name val="Arial"/>
      <family val="0"/>
      <charset val="1"/>
    </font>
    <font>
      <sz val="10"/>
      <name val="Arial"/>
      <family val="0"/>
      <charset val="1"/>
    </font>
    <font>
      <b val="true"/>
      <sz val="10"/>
      <color rgb="FFFFFFFF"/>
      <name val="Arial"/>
      <family val="0"/>
      <charset val="1"/>
    </font>
  </fonts>
  <fills count="3">
    <fill>
      <patternFill patternType="none"/>
    </fill>
    <fill>
      <patternFill patternType="gray125"/>
    </fill>
    <fill>
      <patternFill patternType="solid">
        <fgColor rgb="FFA6192E"/>
        <bgColor rgb="FF99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5" fontId="8" fillId="0" borderId="1" xfId="0" applyFont="true" applyBorder="true" applyAlignment="true" applyProtection="false">
      <alignment horizontal="left" vertical="center" textRotation="0" wrapText="false" indent="0" shrinkToFit="false"/>
      <protection locked="true" hidden="false"/>
    </xf>
    <xf numFmtId="166" fontId="8" fillId="0" borderId="1" xfId="0" applyFont="true" applyBorder="true" applyAlignment="true" applyProtection="false">
      <alignment horizontal="left" vertical="center" textRotation="0" wrapText="false" indent="0" shrinkToFit="false"/>
      <protection locked="true" hidden="false"/>
    </xf>
    <xf numFmtId="167" fontId="8" fillId="0" borderId="1" xfId="0" applyFont="true" applyBorder="true" applyAlignment="true" applyProtection="false">
      <alignment horizontal="left" vertical="center" textRotation="0" wrapText="false" indent="0" shrinkToFit="false"/>
      <protection locked="true" hidden="false"/>
    </xf>
    <xf numFmtId="168" fontId="8" fillId="0" borderId="1"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A6192E"/>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A6192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ables/table1.xml><?xml version="1.0" encoding="utf-8"?>
<table xmlns="http://schemas.openxmlformats.org/spreadsheetml/2006/main" id="1" name="Tbl_Accounts_and_Finance" displayName="Tbl_Accounts_and_Finance" ref="A1:L301" headerRowCount="1" totalsRowCount="0" totalsRowShown="0">
  <autoFilter ref="A1:L301"/>
  <tableColumns count="12">
    <tableColumn id="1" name="TransactionID"/>
    <tableColumn id="2" name="Date"/>
    <tableColumn id="3" name="DeptCode"/>
    <tableColumn id="4" name="LocationID"/>
    <tableColumn id="5" name="AccountCategory"/>
    <tableColumn id="6" name="ProductID"/>
    <tableColumn id="7" name="DescriptionNarration"/>
    <tableColumn id="8" name="BudgetNGN"/>
    <tableColumn id="9" name="ActualAmountNGN"/>
    <tableColumn id="10" name="VarianceNGN"/>
    <tableColumn id="11" name="Variance_Percent"/>
    <tableColumn id="12" name="ApprovedByEmployeeID"/>
  </tableColumns>
</table>
</file>

<file path=xl/tables/table2.xml><?xml version="1.0" encoding="utf-8"?>
<table xmlns="http://schemas.openxmlformats.org/spreadsheetml/2006/main" id="2" name="Tbl_Admin" displayName="Tbl_Admin" ref="A1:K221" headerRowCount="1" totalsRowCount="0" totalsRowShown="0">
  <autoFilter ref="A1:K221"/>
  <tableColumns count="11">
    <tableColumn id="1" name="RequestID"/>
    <tableColumn id="2" name="Date"/>
    <tableColumn id="3" name="LocationID"/>
    <tableColumn id="4" name="DeptCode"/>
    <tableColumn id="5" name="Category"/>
    <tableColumn id="6" name="RequestedByEmployeeID"/>
    <tableColumn id="7" name="Description"/>
    <tableColumn id="8" name="CostNGN"/>
    <tableColumn id="9" name="ApprovalStatus"/>
    <tableColumn id="10" name="CompletionDate"/>
    <tableColumn id="11" name="TurnaroundDays"/>
  </tableColumns>
</table>
</file>

<file path=xl/tables/table3.xml><?xml version="1.0" encoding="utf-8"?>
<table xmlns="http://schemas.openxmlformats.org/spreadsheetml/2006/main" id="3" name="Tbl_Customer_Service" displayName="Tbl_Customer_Service" ref="A1:L301" headerRowCount="1" totalsRowCount="0" totalsRowShown="0">
  <autoFilter ref="A1:L301"/>
  <tableColumns count="12">
    <tableColumn id="1" name="TicketID"/>
    <tableColumn id="2" name="Date"/>
    <tableColumn id="3" name="Channel"/>
    <tableColumn id="4" name="ProductID"/>
    <tableColumn id="5" name="LocationID"/>
    <tableColumn id="6" name="DeptCode"/>
    <tableColumn id="7" name="ComplaintType"/>
    <tableColumn id="8" name="Priority"/>
    <tableColumn id="9" name="AssignedEmployeeID"/>
    <tableColumn id="10" name="ResolutionTimeHours"/>
    <tableColumn id="11" name="CSAT_Score_1to5"/>
    <tableColumn id="12" name="Status"/>
  </tableColumns>
</table>
</file>

<file path=xl/tables/table4.xml><?xml version="1.0" encoding="utf-8"?>
<table xmlns="http://schemas.openxmlformats.org/spreadsheetml/2006/main" id="4" name="Tbl_Department_Master" displayName="Tbl_Department_Master" ref="A1:D11" headerRowCount="1" totalsRowCount="0" totalsRowShown="0">
  <autoFilter ref="A1:D11"/>
  <tableColumns count="4">
    <tableColumn id="1" name="DeptCode"/>
    <tableColumn id="2" name="Department Name"/>
    <tableColumn id="3" name="Department Head Title"/>
    <tableColumn id="4" name="Headcount (Active)"/>
  </tableColumns>
</table>
</file>

<file path=xl/tables/table5.xml><?xml version="1.0" encoding="utf-8"?>
<table xmlns="http://schemas.openxmlformats.org/spreadsheetml/2006/main" id="5" name="Tbl_Employee_Master" displayName="Tbl_Employee_Master" ref="A1:J161" headerRowCount="1" totalsRowCount="0" totalsRowShown="0">
  <autoFilter ref="A1:J161"/>
  <tableColumns count="10">
    <tableColumn id="1" name="EmployeeID"/>
    <tableColumn id="2" name="FullName"/>
    <tableColumn id="3" name="DeptCode"/>
    <tableColumn id="4" name="Department"/>
    <tableColumn id="5" name="LocationID"/>
    <tableColumn id="6" name="LocationName"/>
    <tableColumn id="7" name="Grade"/>
    <tableColumn id="8" name="Gender"/>
    <tableColumn id="9" name="HireDate"/>
    <tableColumn id="10" name="EmploymentStatus"/>
  </tableColumns>
</table>
</file>

<file path=xl/tables/table6.xml><?xml version="1.0" encoding="utf-8"?>
<table xmlns="http://schemas.openxmlformats.org/spreadsheetml/2006/main" id="6" name="Tbl_Human_Resources" displayName="Tbl_Human_Resources" ref="A1:K281" headerRowCount="1" totalsRowCount="0" totalsRowShown="0">
  <autoFilter ref="A1:K281"/>
  <tableColumns count="11">
    <tableColumn id="1" name="TrainingID"/>
    <tableColumn id="2" name="Date"/>
    <tableColumn id="3" name="EmployeeID"/>
    <tableColumn id="4" name="DeptCode"/>
    <tableColumn id="5" name="LocationID"/>
    <tableColumn id="6" name="TrainingType"/>
    <tableColumn id="7" name="TrainingHours"/>
    <tableColumn id="8" name="TrainingCostNGN"/>
    <tableColumn id="9" name="PerformanceRating_1to5"/>
    <tableColumn id="10" name="LeaveDaysTakenYTD"/>
    <tableColumn id="11" name="AttritionFlag"/>
  </tableColumns>
</table>
</file>

<file path=xl/tables/table7.xml><?xml version="1.0" encoding="utf-8"?>
<table xmlns="http://schemas.openxmlformats.org/spreadsheetml/2006/main" id="7" name="Tbl_Internal_Control" displayName="Tbl_Internal_Control" ref="A1:K181" headerRowCount="1" totalsRowCount="0" totalsRowShown="0">
  <autoFilter ref="A1:K181"/>
  <tableColumns count="11">
    <tableColumn id="1" name="AuditID"/>
    <tableColumn id="2" name="Date"/>
    <tableColumn id="3" name="DeptCodeAudited"/>
    <tableColumn id="4" name="LocationID"/>
    <tableColumn id="5" name="ControlArea"/>
    <tableColumn id="6" name="Finding"/>
    <tableColumn id="7" name="Severity"/>
    <tableColumn id="8" name="ResponsibleEmployeeID"/>
    <tableColumn id="9" name="Status"/>
    <tableColumn id="10" name="TargetRemediationDate"/>
    <tableColumn id="11" name="DaysToRemediate"/>
  </tableColumns>
</table>
</file>

<file path=xl/tables/table8.xml><?xml version="1.0" encoding="utf-8"?>
<table xmlns="http://schemas.openxmlformats.org/spreadsheetml/2006/main" id="8" name="Tbl_IT" displayName="Tbl_IT" ref="A1:L261" headerRowCount="1" totalsRowCount="0" totalsRowShown="0">
  <autoFilter ref="A1:L261"/>
  <tableColumns count="12">
    <tableColumn id="1" name="TicketID"/>
    <tableColumn id="2" name="Date"/>
    <tableColumn id="3" name="LocationID"/>
    <tableColumn id="4" name="DeptCode"/>
    <tableColumn id="5" name="Category"/>
    <tableColumn id="6" name="Priority"/>
    <tableColumn id="7" name="RequestedByEmployeeID"/>
    <tableColumn id="8" name="AssignedITEmployeeID"/>
    <tableColumn id="9" name="SLA_TargetHours"/>
    <tableColumn id="10" name="ActualResolutionHours"/>
    <tableColumn id="11" name="SLA_Met"/>
    <tableColumn id="12" name="Status"/>
  </tableColumns>
</table>
</file>

<file path=xl/tables/table9.xml><?xml version="1.0" encoding="utf-8"?>
<table xmlns="http://schemas.openxmlformats.org/spreadsheetml/2006/main" id="9" name="Tbl_Legal" displayName="Tbl_Legal" ref="A1:L151" headerRowCount="1" totalsRowCount="0" totalsRowShown="0">
  <autoFilter ref="A1:L151"/>
  <tableColumns count="12">
    <tableColumn id="1" name="CaseID"/>
    <tableColumn id="2" name="DateOpened"/>
    <tableColumn id="3" name="CaseType"/>
    <tableColumn id="4" name="DeptCodeInvolved"/>
    <tableColumn id="5" name="LocationID"/>
    <tableColumn id="6" name="AssignedEmployeeID"/>
    <tableColumn id="7" name="RiskLevel"/>
    <tableColumn id="8" name="ExternalCounselUsed"/>
    <tableColumn id="9" name="ExternalCounselCostNGN"/>
    <tableColumn id="10" name="Status"/>
    <tableColumn id="11" name="DateClosed"/>
    <tableColumn id="12" name="DaysOpen"/>
  </tableColumns>
</table>
</file>

<file path=xl/tables/table10.xml><?xml version="1.0" encoding="utf-8"?>
<table xmlns="http://schemas.openxmlformats.org/spreadsheetml/2006/main" id="10" name="Tbl_Location_Master" displayName="Tbl_Location_Master" ref="A1:E9" headerRowCount="1" totalsRowCount="0" totalsRowShown="0">
  <autoFilter ref="A1:E9"/>
  <tableColumns count="5">
    <tableColumn id="1" name="LocationID"/>
    <tableColumn id="2" name="Location Name"/>
    <tableColumn id="3" name="Region"/>
    <tableColumn id="4" name="State"/>
    <tableColumn id="5" name="Site Type"/>
  </tableColumns>
</table>
</file>

<file path=xl/tables/table11.xml><?xml version="1.0" encoding="utf-8"?>
<table xmlns="http://schemas.openxmlformats.org/spreadsheetml/2006/main" id="11" name="Tbl_Operations" displayName="Tbl_Operations" ref="A1:N261" headerRowCount="1" totalsRowCount="0" totalsRowShown="0">
  <autoFilter ref="A1:N261"/>
  <tableColumns count="14">
    <tableColumn id="1" name="ProductionID"/>
    <tableColumn id="2" name="Date"/>
    <tableColumn id="3" name="LocationID"/>
    <tableColumn id="4" name="ProductID"/>
    <tableColumn id="5" name="ProductionLine"/>
    <tableColumn id="6" name="Shift"/>
    <tableColumn id="7" name="DeptCode"/>
    <tableColumn id="8" name="SupervisorEmployeeID"/>
    <tableColumn id="9" name="PlannedOutputCartons"/>
    <tableColumn id="10" name="ActualOutputCartons"/>
    <tableColumn id="11" name="DowntimeHours"/>
    <tableColumn id="12" name="DowntimeReason"/>
    <tableColumn id="13" name="ScrapQtyCartons"/>
    <tableColumn id="14" name="OEE_Percent"/>
  </tableColumns>
</table>
</file>

<file path=xl/tables/table12.xml><?xml version="1.0" encoding="utf-8"?>
<table xmlns="http://schemas.openxmlformats.org/spreadsheetml/2006/main" id="12" name="Tbl_Product_Master" displayName="Tbl_Product_Master" ref="A1:D9" headerRowCount="1" totalsRowCount="0" totalsRowShown="0">
  <autoFilter ref="A1:D9"/>
  <tableColumns count="4">
    <tableColumn id="1" name="ProductID"/>
    <tableColumn id="2" name="Product Name"/>
    <tableColumn id="3" name="Category"/>
    <tableColumn id="4" name="Unit of Measure"/>
  </tableColumns>
</table>
</file>

<file path=xl/tables/table13.xml><?xml version="1.0" encoding="utf-8"?>
<table xmlns="http://schemas.openxmlformats.org/spreadsheetml/2006/main" id="13" name="Tbl_Risk_Management_and_" displayName="Tbl_Risk_Management_and_" ref="A1:L161" headerRowCount="1" totalsRowCount="0" totalsRowShown="0">
  <autoFilter ref="A1:L161"/>
  <tableColumns count="12">
    <tableColumn id="1" name="RiskID"/>
    <tableColumn id="2" name="DateIdentified"/>
    <tableColumn id="3" name="DeptCode"/>
    <tableColumn id="4" name="LocationID"/>
    <tableColumn id="5" name="RiskCategory"/>
    <tableColumn id="6" name="RiskDescription"/>
    <tableColumn id="7" name="Likelihood_1to5"/>
    <tableColumn id="8" name="Impact_1to5"/>
    <tableColumn id="9" name="RiskScore"/>
    <tableColumn id="10" name="ComplianceRegulation"/>
    <tableColumn id="11" name="MitigationStatus"/>
    <tableColumn id="12" name="RiskOwnerEmployeeID"/>
  </tableColumns>
</table>
</file>

<file path=xl/tables/table14.xml><?xml version="1.0" encoding="utf-8"?>
<table xmlns="http://schemas.openxmlformats.org/spreadsheetml/2006/main" id="14" name="Tbl_Supply_Chain" displayName="Tbl_Supply_Chain" ref="A1:O241" headerRowCount="1" totalsRowCount="0" totalsRowShown="0">
  <autoFilter ref="A1:O241"/>
  <tableColumns count="15">
    <tableColumn id="1" name="POID"/>
    <tableColumn id="2" name="OrderDate"/>
    <tableColumn id="3" name="PromisedDeliveryDate"/>
    <tableColumn id="4" name="ActualDeliveryDate"/>
    <tableColumn id="5" name="Supplier"/>
    <tableColumn id="6" name="ProductID"/>
    <tableColumn id="7" name="LocationID"/>
    <tableColumn id="8" name="DeptCode"/>
    <tableColumn id="9" name="OrderQtyCartons"/>
    <tableColumn id="10" name="DeliveredQtyCartons"/>
    <tableColumn id="11" name="UnitCostNGN"/>
    <tableColumn id="12" name="TotalCostNGN"/>
    <tableColumn id="13" name="LeadTimeDays"/>
    <tableColumn id="14" name="OnTimeDelivery"/>
    <tableColumn id="15" name="InventoryLevelCarton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4.xml"/>
</Relationships>
</file>

<file path=xl/worksheets/_rels/sheet3.xml.rels><?xml version="1.0" encoding="UTF-8"?>
<Relationships xmlns="http://schemas.openxmlformats.org/package/2006/relationships"><Relationship Id="rId1" Type="http://schemas.openxmlformats.org/officeDocument/2006/relationships/table" Target="../tables/table10.xml"/>
</Relationships>
</file>

<file path=xl/worksheets/_rels/sheet4.xml.rels><?xml version="1.0" encoding="UTF-8"?>
<Relationships xmlns="http://schemas.openxmlformats.org/package/2006/relationships"><Relationship Id="rId1" Type="http://schemas.openxmlformats.org/officeDocument/2006/relationships/table" Target="../tables/table12.xml"/>
</Relationships>
</file>

<file path=xl/worksheets/_rels/sheet5.xml.rels><?xml version="1.0" encoding="UTF-8"?>
<Relationships xmlns="http://schemas.openxmlformats.org/package/2006/relationships"><Relationship Id="rId1" Type="http://schemas.openxmlformats.org/officeDocument/2006/relationships/table" Target="../tables/table5.xml"/>
</Relationships>
</file>

<file path=xl/worksheets/_rels/sheet6.xml.rels><?xml version="1.0" encoding="UTF-8"?>
<Relationships xmlns="http://schemas.openxmlformats.org/package/2006/relationships"><Relationship Id="rId1" Type="http://schemas.openxmlformats.org/officeDocument/2006/relationships/table" Target="../tables/table11.xml"/>
</Relationships>
</file>

<file path=xl/worksheets/_rels/sheet7.xml.rels><?xml version="1.0" encoding="UTF-8"?>
<Relationships xmlns="http://schemas.openxmlformats.org/package/2006/relationships"><Relationship Id="rId1" Type="http://schemas.openxmlformats.org/officeDocument/2006/relationships/table" Target="../tables/table14.xml"/>
</Relationships>
</file>

<file path=xl/worksheets/_rels/sheet8.xml.rels><?xml version="1.0" encoding="UTF-8"?>
<Relationships xmlns="http://schemas.openxmlformats.org/package/2006/relationships"><Relationship Id="rId1" Type="http://schemas.openxmlformats.org/officeDocument/2006/relationships/table" Target="../tables/table9.xml"/>
</Relationships>
</file>

<file path=xl/worksheets/_rels/sheet9.xml.rels><?xml version="1.0" encoding="UTF-8"?>
<Relationships xmlns="http://schemas.openxmlformats.org/package/2006/relationships"><Relationship Id="rId1" Type="http://schemas.openxmlformats.org/officeDocument/2006/relationships/table" Target="../tables/table2.xml"/>
</Relationships>
</file>

<file path=xl/worksheets/_rels/sheet10.xml.rels><?xml version="1.0" encoding="UTF-8"?>
<Relationships xmlns="http://schemas.openxmlformats.org/package/2006/relationships"><Relationship Id="rId1" Type="http://schemas.openxmlformats.org/officeDocument/2006/relationships/table" Target="../tables/table3.xml"/>
</Relationships>
</file>

<file path=xl/worksheets/_rels/sheet11.xml.rels><?xml version="1.0" encoding="UTF-8"?>
<Relationships xmlns="http://schemas.openxmlformats.org/package/2006/relationships"><Relationship Id="rId1" Type="http://schemas.openxmlformats.org/officeDocument/2006/relationships/table" Target="../tables/table8.xml"/>
</Relationships>
</file>

<file path=xl/worksheets/_rels/sheet12.xml.rels><?xml version="1.0" encoding="UTF-8"?>
<Relationships xmlns="http://schemas.openxmlformats.org/package/2006/relationships"><Relationship Id="rId1" Type="http://schemas.openxmlformats.org/officeDocument/2006/relationships/table" Target="../tables/table1.xml"/>
</Relationships>
</file>

<file path=xl/worksheets/_rels/sheet13.xml.rels><?xml version="1.0" encoding="UTF-8"?>
<Relationships xmlns="http://schemas.openxmlformats.org/package/2006/relationships"><Relationship Id="rId1" Type="http://schemas.openxmlformats.org/officeDocument/2006/relationships/table" Target="../tables/table6.xml"/>
</Relationships>
</file>

<file path=xl/worksheets/_rels/sheet14.xml.rels><?xml version="1.0" encoding="UTF-8"?>
<Relationships xmlns="http://schemas.openxmlformats.org/package/2006/relationships"><Relationship Id="rId1" Type="http://schemas.openxmlformats.org/officeDocument/2006/relationships/table" Target="../tables/table7.xml"/>
</Relationships>
</file>

<file path=xl/worksheets/_rels/sheet15.xml.rels><?xml version="1.0" encoding="UTF-8"?>
<Relationships xmlns="http://schemas.openxmlformats.org/package/2006/relationships"><Relationship Id="rId1" Type="http://schemas.openxmlformats.org/officeDocument/2006/relationships/table" Target="../tables/table1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10"/>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45.75" hidden="false" customHeight="true" outlineLevel="0" collapsed="false">
      <c r="A5" s="4" t="s">
        <v>3</v>
      </c>
      <c r="B5" s="5" t="s">
        <v>4</v>
      </c>
    </row>
    <row r="7" customFormat="false" ht="45.75" hidden="false" customHeight="true" outlineLevel="0" collapsed="false">
      <c r="A7" s="4" t="s">
        <v>5</v>
      </c>
      <c r="B7" s="5" t="s">
        <v>6</v>
      </c>
    </row>
    <row r="9" customFormat="false" ht="45.75" hidden="false" customHeight="true" outlineLevel="0" collapsed="false">
      <c r="A9" s="4" t="s">
        <v>7</v>
      </c>
      <c r="B9" s="5" t="s">
        <v>8</v>
      </c>
    </row>
    <row r="11" customFormat="false" ht="45.75" hidden="false" customHeight="true" outlineLevel="0" collapsed="false">
      <c r="A11" s="4" t="s">
        <v>9</v>
      </c>
      <c r="B11" s="5" t="s">
        <v>10</v>
      </c>
    </row>
    <row r="13" customFormat="false" ht="45.75" hidden="false" customHeight="true" outlineLevel="0" collapsed="false">
      <c r="A13" s="4" t="s">
        <v>11</v>
      </c>
      <c r="B13" s="5" t="s">
        <v>12</v>
      </c>
    </row>
    <row r="15" customFormat="false" ht="45.75" hidden="false" customHeight="true" outlineLevel="0" collapsed="false">
      <c r="A15" s="4" t="s">
        <v>13</v>
      </c>
      <c r="B15" s="5" t="s">
        <v>14</v>
      </c>
    </row>
    <row r="17" customFormat="false" ht="45.75" hidden="false" customHeight="true" outlineLevel="0" collapsed="false">
      <c r="A17" s="4" t="s">
        <v>15</v>
      </c>
      <c r="B17" s="5" t="s">
        <v>16</v>
      </c>
    </row>
    <row r="19" customFormat="false" ht="45.75" hidden="false" customHeight="true" outlineLevel="0" collapsed="false">
      <c r="A19" s="4" t="s">
        <v>17</v>
      </c>
      <c r="B19" s="5" t="s">
        <v>18</v>
      </c>
    </row>
    <row r="21" customFormat="false" ht="45.75" hidden="false" customHeight="true" outlineLevel="0" collapsed="false">
      <c r="A21" s="4" t="s">
        <v>19</v>
      </c>
      <c r="B21" s="5"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28"/>
    <col collapsed="false" customWidth="true" hidden="false" outlineLevel="0" max="4" min="4" style="0" width="20"/>
  </cols>
  <sheetData>
    <row r="1" customFormat="false" ht="15" hidden="false" customHeight="false" outlineLevel="0" collapsed="false">
      <c r="A1" s="6" t="s">
        <v>21</v>
      </c>
      <c r="B1" s="6" t="s">
        <v>22</v>
      </c>
      <c r="C1" s="6" t="s">
        <v>23</v>
      </c>
      <c r="D1" s="6" t="s">
        <v>24</v>
      </c>
    </row>
    <row r="2" customFormat="false" ht="15" hidden="false" customHeight="false" outlineLevel="0" collapsed="false">
      <c r="A2" s="7" t="s">
        <v>25</v>
      </c>
      <c r="B2" s="7" t="s">
        <v>26</v>
      </c>
      <c r="C2" s="7" t="s">
        <v>27</v>
      </c>
      <c r="D2" s="7" t="n">
        <v>16</v>
      </c>
    </row>
    <row r="3" customFormat="false" ht="15" hidden="false" customHeight="false" outlineLevel="0" collapsed="false">
      <c r="A3" s="7" t="s">
        <v>28</v>
      </c>
      <c r="B3" s="7" t="s">
        <v>29</v>
      </c>
      <c r="C3" s="7" t="s">
        <v>30</v>
      </c>
      <c r="D3" s="7" t="n">
        <v>17</v>
      </c>
    </row>
    <row r="4" customFormat="false" ht="15" hidden="false" customHeight="false" outlineLevel="0" collapsed="false">
      <c r="A4" s="7" t="s">
        <v>31</v>
      </c>
      <c r="B4" s="7" t="s">
        <v>32</v>
      </c>
      <c r="C4" s="7" t="s">
        <v>33</v>
      </c>
      <c r="D4" s="7" t="n">
        <v>14</v>
      </c>
    </row>
    <row r="5" customFormat="false" ht="15" hidden="false" customHeight="false" outlineLevel="0" collapsed="false">
      <c r="A5" s="7" t="s">
        <v>34</v>
      </c>
      <c r="B5" s="7" t="s">
        <v>35</v>
      </c>
      <c r="C5" s="7" t="s">
        <v>36</v>
      </c>
      <c r="D5" s="7" t="n">
        <v>12</v>
      </c>
    </row>
    <row r="6" customFormat="false" ht="15" hidden="false" customHeight="false" outlineLevel="0" collapsed="false">
      <c r="A6" s="7" t="s">
        <v>37</v>
      </c>
      <c r="B6" s="7" t="s">
        <v>38</v>
      </c>
      <c r="C6" s="7" t="s">
        <v>39</v>
      </c>
      <c r="D6" s="7" t="n">
        <v>13</v>
      </c>
    </row>
    <row r="7" customFormat="false" ht="15" hidden="false" customHeight="false" outlineLevel="0" collapsed="false">
      <c r="A7" s="7" t="s">
        <v>40</v>
      </c>
      <c r="B7" s="7" t="s">
        <v>41</v>
      </c>
      <c r="C7" s="7" t="s">
        <v>42</v>
      </c>
      <c r="D7" s="7" t="n">
        <v>15</v>
      </c>
    </row>
    <row r="8" customFormat="false" ht="15" hidden="false" customHeight="false" outlineLevel="0" collapsed="false">
      <c r="A8" s="7" t="s">
        <v>43</v>
      </c>
      <c r="B8" s="7" t="s">
        <v>44</v>
      </c>
      <c r="C8" s="7" t="s">
        <v>45</v>
      </c>
      <c r="D8" s="7" t="n">
        <v>17</v>
      </c>
    </row>
    <row r="9" customFormat="false" ht="15" hidden="false" customHeight="false" outlineLevel="0" collapsed="false">
      <c r="A9" s="7" t="s">
        <v>46</v>
      </c>
      <c r="B9" s="7" t="s">
        <v>47</v>
      </c>
      <c r="C9" s="7" t="s">
        <v>48</v>
      </c>
      <c r="D9" s="7" t="n">
        <v>11</v>
      </c>
    </row>
    <row r="10" customFormat="false" ht="15" hidden="false" customHeight="false" outlineLevel="0" collapsed="false">
      <c r="A10" s="7" t="s">
        <v>49</v>
      </c>
      <c r="B10" s="7" t="s">
        <v>50</v>
      </c>
      <c r="C10" s="7" t="s">
        <v>51</v>
      </c>
      <c r="D10" s="7" t="n">
        <v>15</v>
      </c>
    </row>
    <row r="11" customFormat="false" ht="15" hidden="false" customHeight="false" outlineLevel="0" collapsed="false">
      <c r="A11" s="7" t="s">
        <v>52</v>
      </c>
      <c r="B11" s="7" t="s">
        <v>53</v>
      </c>
      <c r="C11" s="7" t="s">
        <v>54</v>
      </c>
      <c r="D11" s="7" t="n">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2"/>
    <col collapsed="false" customWidth="true" hidden="false" outlineLevel="0" max="3" min="3" style="0" width="16"/>
    <col collapsed="false" customWidth="true" hidden="false" outlineLevel="0" max="4" min="4" style="0" width="12"/>
    <col collapsed="false" customWidth="true" hidden="false" outlineLevel="0" max="5" min="5" style="0" width="14"/>
  </cols>
  <sheetData>
    <row r="1" customFormat="false" ht="23.85" hidden="false" customHeight="false" outlineLevel="0" collapsed="false">
      <c r="A1" s="6" t="s">
        <v>55</v>
      </c>
      <c r="B1" s="6" t="s">
        <v>56</v>
      </c>
      <c r="C1" s="6" t="s">
        <v>57</v>
      </c>
      <c r="D1" s="6" t="s">
        <v>58</v>
      </c>
      <c r="E1" s="6" t="s">
        <v>59</v>
      </c>
    </row>
    <row r="2" customFormat="false" ht="15" hidden="false" customHeight="false" outlineLevel="0" collapsed="false">
      <c r="A2" s="7" t="s">
        <v>60</v>
      </c>
      <c r="B2" s="7" t="s">
        <v>61</v>
      </c>
      <c r="C2" s="7" t="s">
        <v>62</v>
      </c>
      <c r="D2" s="7" t="s">
        <v>63</v>
      </c>
      <c r="E2" s="7" t="s">
        <v>64</v>
      </c>
    </row>
    <row r="3" customFormat="false" ht="15" hidden="false" customHeight="false" outlineLevel="0" collapsed="false">
      <c r="A3" s="7" t="s">
        <v>65</v>
      </c>
      <c r="B3" s="7" t="s">
        <v>66</v>
      </c>
      <c r="C3" s="7" t="s">
        <v>62</v>
      </c>
      <c r="D3" s="7" t="s">
        <v>63</v>
      </c>
      <c r="E3" s="7" t="s">
        <v>67</v>
      </c>
    </row>
    <row r="4" customFormat="false" ht="15" hidden="false" customHeight="false" outlineLevel="0" collapsed="false">
      <c r="A4" s="7" t="s">
        <v>68</v>
      </c>
      <c r="B4" s="7" t="s">
        <v>69</v>
      </c>
      <c r="C4" s="7" t="s">
        <v>62</v>
      </c>
      <c r="D4" s="7" t="s">
        <v>70</v>
      </c>
      <c r="E4" s="7" t="s">
        <v>67</v>
      </c>
    </row>
    <row r="5" customFormat="false" ht="15" hidden="false" customHeight="false" outlineLevel="0" collapsed="false">
      <c r="A5" s="7" t="s">
        <v>71</v>
      </c>
      <c r="B5" s="7" t="s">
        <v>72</v>
      </c>
      <c r="C5" s="7" t="s">
        <v>73</v>
      </c>
      <c r="D5" s="7" t="s">
        <v>74</v>
      </c>
      <c r="E5" s="7" t="s">
        <v>64</v>
      </c>
    </row>
    <row r="6" customFormat="false" ht="15" hidden="false" customHeight="false" outlineLevel="0" collapsed="false">
      <c r="A6" s="7" t="s">
        <v>75</v>
      </c>
      <c r="B6" s="7" t="s">
        <v>76</v>
      </c>
      <c r="C6" s="7" t="s">
        <v>77</v>
      </c>
      <c r="D6" s="7" t="s">
        <v>78</v>
      </c>
      <c r="E6" s="7" t="s">
        <v>67</v>
      </c>
    </row>
    <row r="7" customFormat="false" ht="15" hidden="false" customHeight="false" outlineLevel="0" collapsed="false">
      <c r="A7" s="7" t="s">
        <v>79</v>
      </c>
      <c r="B7" s="7" t="s">
        <v>80</v>
      </c>
      <c r="C7" s="7" t="s">
        <v>81</v>
      </c>
      <c r="D7" s="7" t="s">
        <v>82</v>
      </c>
      <c r="E7" s="7" t="s">
        <v>67</v>
      </c>
    </row>
    <row r="8" customFormat="false" ht="15" hidden="false" customHeight="false" outlineLevel="0" collapsed="false">
      <c r="A8" s="7" t="s">
        <v>83</v>
      </c>
      <c r="B8" s="7" t="s">
        <v>84</v>
      </c>
      <c r="C8" s="7" t="s">
        <v>77</v>
      </c>
      <c r="D8" s="7" t="s">
        <v>85</v>
      </c>
      <c r="E8" s="7" t="s">
        <v>86</v>
      </c>
    </row>
    <row r="9" customFormat="false" ht="15" hidden="false" customHeight="false" outlineLevel="0" collapsed="false">
      <c r="A9" s="7" t="s">
        <v>87</v>
      </c>
      <c r="B9" s="7" t="s">
        <v>88</v>
      </c>
      <c r="C9" s="7" t="s">
        <v>89</v>
      </c>
      <c r="D9" s="7" t="s">
        <v>90</v>
      </c>
      <c r="E9" s="7" t="s">
        <v>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18"/>
    <col collapsed="false" customWidth="true" hidden="false" outlineLevel="0" max="4" min="4" style="0" width="16"/>
  </cols>
  <sheetData>
    <row r="1" customFormat="false" ht="15" hidden="false" customHeight="false" outlineLevel="0" collapsed="false">
      <c r="A1" s="6" t="s">
        <v>91</v>
      </c>
      <c r="B1" s="6" t="s">
        <v>92</v>
      </c>
      <c r="C1" s="6" t="s">
        <v>93</v>
      </c>
      <c r="D1" s="6" t="s">
        <v>94</v>
      </c>
    </row>
    <row r="2" customFormat="false" ht="15" hidden="false" customHeight="false" outlineLevel="0" collapsed="false">
      <c r="A2" s="7" t="s">
        <v>95</v>
      </c>
      <c r="B2" s="7" t="s">
        <v>96</v>
      </c>
      <c r="C2" s="7" t="s">
        <v>97</v>
      </c>
      <c r="D2" s="7" t="s">
        <v>98</v>
      </c>
    </row>
    <row r="3" customFormat="false" ht="15" hidden="false" customHeight="false" outlineLevel="0" collapsed="false">
      <c r="A3" s="7" t="s">
        <v>99</v>
      </c>
      <c r="B3" s="7" t="s">
        <v>100</v>
      </c>
      <c r="C3" s="7" t="s">
        <v>97</v>
      </c>
      <c r="D3" s="7" t="s">
        <v>101</v>
      </c>
    </row>
    <row r="4" customFormat="false" ht="15" hidden="false" customHeight="false" outlineLevel="0" collapsed="false">
      <c r="A4" s="7" t="s">
        <v>102</v>
      </c>
      <c r="B4" s="7" t="s">
        <v>103</v>
      </c>
      <c r="C4" s="7" t="s">
        <v>97</v>
      </c>
      <c r="D4" s="7" t="s">
        <v>101</v>
      </c>
    </row>
    <row r="5" customFormat="false" ht="15" hidden="false" customHeight="false" outlineLevel="0" collapsed="false">
      <c r="A5" s="7" t="s">
        <v>104</v>
      </c>
      <c r="B5" s="7" t="s">
        <v>105</v>
      </c>
      <c r="C5" s="7" t="s">
        <v>97</v>
      </c>
      <c r="D5" s="7" t="s">
        <v>101</v>
      </c>
    </row>
    <row r="6" customFormat="false" ht="15" hidden="false" customHeight="false" outlineLevel="0" collapsed="false">
      <c r="A6" s="7" t="s">
        <v>106</v>
      </c>
      <c r="B6" s="7" t="s">
        <v>107</v>
      </c>
      <c r="C6" s="7" t="s">
        <v>108</v>
      </c>
      <c r="D6" s="7" t="s">
        <v>98</v>
      </c>
    </row>
    <row r="7" customFormat="false" ht="15" hidden="false" customHeight="false" outlineLevel="0" collapsed="false">
      <c r="A7" s="7" t="s">
        <v>109</v>
      </c>
      <c r="B7" s="7" t="s">
        <v>110</v>
      </c>
      <c r="C7" s="7" t="s">
        <v>111</v>
      </c>
      <c r="D7" s="7" t="s">
        <v>112</v>
      </c>
    </row>
    <row r="8" customFormat="false" ht="15" hidden="false" customHeight="false" outlineLevel="0" collapsed="false">
      <c r="A8" s="7" t="s">
        <v>113</v>
      </c>
      <c r="B8" s="7" t="s">
        <v>114</v>
      </c>
      <c r="C8" s="7" t="s">
        <v>97</v>
      </c>
      <c r="D8" s="7" t="s">
        <v>101</v>
      </c>
    </row>
    <row r="9" customFormat="false" ht="15" hidden="false" customHeight="false" outlineLevel="0" collapsed="false">
      <c r="A9" s="7" t="s">
        <v>115</v>
      </c>
      <c r="B9" s="7" t="s">
        <v>116</v>
      </c>
      <c r="C9" s="7" t="s">
        <v>117</v>
      </c>
      <c r="D9" s="7" t="s">
        <v>101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10"/>
    <col collapsed="false" customWidth="true" hidden="false" outlineLevel="0" max="4" min="4" style="0" width="24"/>
    <col collapsed="false" customWidth="true" hidden="false" outlineLevel="0" max="5" min="5" style="0" width="10"/>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12"/>
    <col collapsed="false" customWidth="true" hidden="false" outlineLevel="0" max="10" min="10" style="0" width="16"/>
  </cols>
  <sheetData>
    <row r="1" customFormat="false" ht="23.85" hidden="false" customHeight="false" outlineLevel="0" collapsed="false">
      <c r="A1" s="6" t="s">
        <v>118</v>
      </c>
      <c r="B1" s="6" t="s">
        <v>119</v>
      </c>
      <c r="C1" s="6" t="s">
        <v>21</v>
      </c>
      <c r="D1" s="6" t="s">
        <v>120</v>
      </c>
      <c r="E1" s="6" t="s">
        <v>55</v>
      </c>
      <c r="F1" s="6" t="s">
        <v>121</v>
      </c>
      <c r="G1" s="6" t="s">
        <v>122</v>
      </c>
      <c r="H1" s="6" t="s">
        <v>123</v>
      </c>
      <c r="I1" s="6" t="s">
        <v>124</v>
      </c>
      <c r="J1" s="6" t="s">
        <v>125</v>
      </c>
    </row>
    <row r="2" customFormat="false" ht="15" hidden="false" customHeight="false" outlineLevel="0" collapsed="false">
      <c r="A2" s="7" t="s">
        <v>126</v>
      </c>
      <c r="B2" s="7" t="s">
        <v>127</v>
      </c>
      <c r="C2" s="7" t="s">
        <v>25</v>
      </c>
      <c r="D2" s="7" t="s">
        <v>26</v>
      </c>
      <c r="E2" s="7" t="s">
        <v>75</v>
      </c>
      <c r="F2" s="7" t="s">
        <v>76</v>
      </c>
      <c r="G2" s="7" t="s">
        <v>128</v>
      </c>
      <c r="H2" s="7" t="s">
        <v>129</v>
      </c>
      <c r="I2" s="8" t="n">
        <v>42576</v>
      </c>
      <c r="J2" s="7" t="s">
        <v>130</v>
      </c>
    </row>
    <row r="3" customFormat="false" ht="15" hidden="false" customHeight="false" outlineLevel="0" collapsed="false">
      <c r="A3" s="7" t="s">
        <v>131</v>
      </c>
      <c r="B3" s="7" t="s">
        <v>132</v>
      </c>
      <c r="C3" s="7" t="s">
        <v>25</v>
      </c>
      <c r="D3" s="7" t="s">
        <v>26</v>
      </c>
      <c r="E3" s="7" t="s">
        <v>83</v>
      </c>
      <c r="F3" s="7" t="s">
        <v>84</v>
      </c>
      <c r="G3" s="7" t="s">
        <v>133</v>
      </c>
      <c r="H3" s="7" t="s">
        <v>129</v>
      </c>
      <c r="I3" s="8" t="n">
        <v>42388</v>
      </c>
      <c r="J3" s="7" t="s">
        <v>130</v>
      </c>
    </row>
    <row r="4" customFormat="false" ht="15" hidden="false" customHeight="false" outlineLevel="0" collapsed="false">
      <c r="A4" s="7" t="s">
        <v>134</v>
      </c>
      <c r="B4" s="7" t="s">
        <v>135</v>
      </c>
      <c r="C4" s="7" t="s">
        <v>25</v>
      </c>
      <c r="D4" s="7" t="s">
        <v>26</v>
      </c>
      <c r="E4" s="7" t="s">
        <v>60</v>
      </c>
      <c r="F4" s="7" t="s">
        <v>61</v>
      </c>
      <c r="G4" s="7" t="s">
        <v>136</v>
      </c>
      <c r="H4" s="7" t="s">
        <v>129</v>
      </c>
      <c r="I4" s="8" t="n">
        <v>44666</v>
      </c>
      <c r="J4" s="7" t="s">
        <v>130</v>
      </c>
    </row>
    <row r="5" customFormat="false" ht="15" hidden="false" customHeight="false" outlineLevel="0" collapsed="false">
      <c r="A5" s="7" t="s">
        <v>137</v>
      </c>
      <c r="B5" s="7" t="s">
        <v>138</v>
      </c>
      <c r="C5" s="7" t="s">
        <v>25</v>
      </c>
      <c r="D5" s="7" t="s">
        <v>26</v>
      </c>
      <c r="E5" s="7" t="s">
        <v>87</v>
      </c>
      <c r="F5" s="7" t="s">
        <v>88</v>
      </c>
      <c r="G5" s="7" t="s">
        <v>133</v>
      </c>
      <c r="H5" s="7" t="s">
        <v>139</v>
      </c>
      <c r="I5" s="8" t="n">
        <v>45113</v>
      </c>
      <c r="J5" s="7" t="s">
        <v>130</v>
      </c>
    </row>
    <row r="6" customFormat="false" ht="15" hidden="false" customHeight="false" outlineLevel="0" collapsed="false">
      <c r="A6" s="7" t="s">
        <v>140</v>
      </c>
      <c r="B6" s="7" t="s">
        <v>141</v>
      </c>
      <c r="C6" s="7" t="s">
        <v>25</v>
      </c>
      <c r="D6" s="7" t="s">
        <v>26</v>
      </c>
      <c r="E6" s="7" t="s">
        <v>75</v>
      </c>
      <c r="F6" s="7" t="s">
        <v>76</v>
      </c>
      <c r="G6" s="7" t="s">
        <v>128</v>
      </c>
      <c r="H6" s="7" t="s">
        <v>129</v>
      </c>
      <c r="I6" s="8" t="n">
        <v>45132</v>
      </c>
      <c r="J6" s="7" t="s">
        <v>130</v>
      </c>
    </row>
    <row r="7" customFormat="false" ht="15" hidden="false" customHeight="false" outlineLevel="0" collapsed="false">
      <c r="A7" s="7" t="s">
        <v>142</v>
      </c>
      <c r="B7" s="7" t="s">
        <v>143</v>
      </c>
      <c r="C7" s="7" t="s">
        <v>25</v>
      </c>
      <c r="D7" s="7" t="s">
        <v>26</v>
      </c>
      <c r="E7" s="7" t="s">
        <v>65</v>
      </c>
      <c r="F7" s="7" t="s">
        <v>66</v>
      </c>
      <c r="G7" s="7" t="s">
        <v>144</v>
      </c>
      <c r="H7" s="7" t="s">
        <v>139</v>
      </c>
      <c r="I7" s="8" t="n">
        <v>44477</v>
      </c>
      <c r="J7" s="7" t="s">
        <v>130</v>
      </c>
    </row>
    <row r="8" customFormat="false" ht="15" hidden="false" customHeight="false" outlineLevel="0" collapsed="false">
      <c r="A8" s="7" t="s">
        <v>145</v>
      </c>
      <c r="B8" s="7" t="s">
        <v>146</v>
      </c>
      <c r="C8" s="7" t="s">
        <v>25</v>
      </c>
      <c r="D8" s="7" t="s">
        <v>26</v>
      </c>
      <c r="E8" s="7" t="s">
        <v>87</v>
      </c>
      <c r="F8" s="7" t="s">
        <v>88</v>
      </c>
      <c r="G8" s="7" t="s">
        <v>147</v>
      </c>
      <c r="H8" s="7" t="s">
        <v>129</v>
      </c>
      <c r="I8" s="8" t="n">
        <v>42327</v>
      </c>
      <c r="J8" s="7" t="s">
        <v>130</v>
      </c>
    </row>
    <row r="9" customFormat="false" ht="15" hidden="false" customHeight="false" outlineLevel="0" collapsed="false">
      <c r="A9" s="7" t="s">
        <v>148</v>
      </c>
      <c r="B9" s="7" t="s">
        <v>149</v>
      </c>
      <c r="C9" s="7" t="s">
        <v>25</v>
      </c>
      <c r="D9" s="7" t="s">
        <v>26</v>
      </c>
      <c r="E9" s="7" t="s">
        <v>79</v>
      </c>
      <c r="F9" s="7" t="s">
        <v>80</v>
      </c>
      <c r="G9" s="7" t="s">
        <v>136</v>
      </c>
      <c r="H9" s="7" t="s">
        <v>129</v>
      </c>
      <c r="I9" s="8" t="n">
        <v>42289</v>
      </c>
      <c r="J9" s="7" t="s">
        <v>130</v>
      </c>
    </row>
    <row r="10" customFormat="false" ht="15" hidden="false" customHeight="false" outlineLevel="0" collapsed="false">
      <c r="A10" s="7" t="s">
        <v>150</v>
      </c>
      <c r="B10" s="7" t="s">
        <v>151</v>
      </c>
      <c r="C10" s="7" t="s">
        <v>25</v>
      </c>
      <c r="D10" s="7" t="s">
        <v>26</v>
      </c>
      <c r="E10" s="7" t="s">
        <v>75</v>
      </c>
      <c r="F10" s="7" t="s">
        <v>76</v>
      </c>
      <c r="G10" s="7" t="s">
        <v>128</v>
      </c>
      <c r="H10" s="7" t="s">
        <v>129</v>
      </c>
      <c r="I10" s="8" t="n">
        <v>45554</v>
      </c>
      <c r="J10" s="7" t="s">
        <v>130</v>
      </c>
    </row>
    <row r="11" customFormat="false" ht="15" hidden="false" customHeight="false" outlineLevel="0" collapsed="false">
      <c r="A11" s="7" t="s">
        <v>152</v>
      </c>
      <c r="B11" s="7" t="s">
        <v>153</v>
      </c>
      <c r="C11" s="7" t="s">
        <v>25</v>
      </c>
      <c r="D11" s="7" t="s">
        <v>26</v>
      </c>
      <c r="E11" s="7" t="s">
        <v>79</v>
      </c>
      <c r="F11" s="7" t="s">
        <v>80</v>
      </c>
      <c r="G11" s="7" t="s">
        <v>144</v>
      </c>
      <c r="H11" s="7" t="s">
        <v>129</v>
      </c>
      <c r="I11" s="8" t="n">
        <v>43460</v>
      </c>
      <c r="J11" s="7" t="s">
        <v>130</v>
      </c>
    </row>
    <row r="12" customFormat="false" ht="15" hidden="false" customHeight="false" outlineLevel="0" collapsed="false">
      <c r="A12" s="7" t="s">
        <v>154</v>
      </c>
      <c r="B12" s="7" t="s">
        <v>155</v>
      </c>
      <c r="C12" s="7" t="s">
        <v>25</v>
      </c>
      <c r="D12" s="7" t="s">
        <v>26</v>
      </c>
      <c r="E12" s="7" t="s">
        <v>65</v>
      </c>
      <c r="F12" s="7" t="s">
        <v>66</v>
      </c>
      <c r="G12" s="7" t="s">
        <v>156</v>
      </c>
      <c r="H12" s="7" t="s">
        <v>129</v>
      </c>
      <c r="I12" s="8" t="n">
        <v>44991</v>
      </c>
      <c r="J12" s="7" t="s">
        <v>130</v>
      </c>
    </row>
    <row r="13" customFormat="false" ht="15" hidden="false" customHeight="false" outlineLevel="0" collapsed="false">
      <c r="A13" s="7" t="s">
        <v>157</v>
      </c>
      <c r="B13" s="7" t="s">
        <v>158</v>
      </c>
      <c r="C13" s="7" t="s">
        <v>25</v>
      </c>
      <c r="D13" s="7" t="s">
        <v>26</v>
      </c>
      <c r="E13" s="7" t="s">
        <v>75</v>
      </c>
      <c r="F13" s="7" t="s">
        <v>76</v>
      </c>
      <c r="G13" s="7" t="s">
        <v>136</v>
      </c>
      <c r="H13" s="7" t="s">
        <v>129</v>
      </c>
      <c r="I13" s="8" t="n">
        <v>43333</v>
      </c>
      <c r="J13" s="7" t="s">
        <v>130</v>
      </c>
    </row>
    <row r="14" customFormat="false" ht="15" hidden="false" customHeight="false" outlineLevel="0" collapsed="false">
      <c r="A14" s="7" t="s">
        <v>159</v>
      </c>
      <c r="B14" s="7" t="s">
        <v>160</v>
      </c>
      <c r="C14" s="7" t="s">
        <v>25</v>
      </c>
      <c r="D14" s="7" t="s">
        <v>26</v>
      </c>
      <c r="E14" s="7" t="s">
        <v>60</v>
      </c>
      <c r="F14" s="7" t="s">
        <v>61</v>
      </c>
      <c r="G14" s="7" t="s">
        <v>147</v>
      </c>
      <c r="H14" s="7" t="s">
        <v>139</v>
      </c>
      <c r="I14" s="8" t="n">
        <v>43101</v>
      </c>
      <c r="J14" s="7" t="s">
        <v>130</v>
      </c>
    </row>
    <row r="15" customFormat="false" ht="15" hidden="false" customHeight="false" outlineLevel="0" collapsed="false">
      <c r="A15" s="7" t="s">
        <v>161</v>
      </c>
      <c r="B15" s="7" t="s">
        <v>162</v>
      </c>
      <c r="C15" s="7" t="s">
        <v>25</v>
      </c>
      <c r="D15" s="7" t="s">
        <v>26</v>
      </c>
      <c r="E15" s="7" t="s">
        <v>79</v>
      </c>
      <c r="F15" s="7" t="s">
        <v>80</v>
      </c>
      <c r="G15" s="7" t="s">
        <v>136</v>
      </c>
      <c r="H15" s="7" t="s">
        <v>129</v>
      </c>
      <c r="I15" s="8" t="n">
        <v>44049</v>
      </c>
      <c r="J15" s="7" t="s">
        <v>130</v>
      </c>
    </row>
    <row r="16" customFormat="false" ht="15" hidden="false" customHeight="false" outlineLevel="0" collapsed="false">
      <c r="A16" s="7" t="s">
        <v>163</v>
      </c>
      <c r="B16" s="7" t="s">
        <v>164</v>
      </c>
      <c r="C16" s="7" t="s">
        <v>25</v>
      </c>
      <c r="D16" s="7" t="s">
        <v>26</v>
      </c>
      <c r="E16" s="7" t="s">
        <v>75</v>
      </c>
      <c r="F16" s="7" t="s">
        <v>76</v>
      </c>
      <c r="G16" s="7" t="s">
        <v>128</v>
      </c>
      <c r="H16" s="7" t="s">
        <v>129</v>
      </c>
      <c r="I16" s="8" t="n">
        <v>45056</v>
      </c>
      <c r="J16" s="7" t="s">
        <v>130</v>
      </c>
    </row>
    <row r="17" customFormat="false" ht="15" hidden="false" customHeight="false" outlineLevel="0" collapsed="false">
      <c r="A17" s="7" t="s">
        <v>165</v>
      </c>
      <c r="B17" s="7" t="s">
        <v>166</v>
      </c>
      <c r="C17" s="7" t="s">
        <v>25</v>
      </c>
      <c r="D17" s="7" t="s">
        <v>26</v>
      </c>
      <c r="E17" s="7" t="s">
        <v>83</v>
      </c>
      <c r="F17" s="7" t="s">
        <v>84</v>
      </c>
      <c r="G17" s="7" t="s">
        <v>144</v>
      </c>
      <c r="H17" s="7" t="s">
        <v>139</v>
      </c>
      <c r="I17" s="8" t="n">
        <v>42903</v>
      </c>
      <c r="J17" s="7" t="s">
        <v>167</v>
      </c>
    </row>
    <row r="18" customFormat="false" ht="15" hidden="false" customHeight="false" outlineLevel="0" collapsed="false">
      <c r="A18" s="7" t="s">
        <v>168</v>
      </c>
      <c r="B18" s="7" t="s">
        <v>169</v>
      </c>
      <c r="C18" s="7" t="s">
        <v>25</v>
      </c>
      <c r="D18" s="7" t="s">
        <v>26</v>
      </c>
      <c r="E18" s="7" t="s">
        <v>87</v>
      </c>
      <c r="F18" s="7" t="s">
        <v>88</v>
      </c>
      <c r="G18" s="7" t="s">
        <v>133</v>
      </c>
      <c r="H18" s="7" t="s">
        <v>129</v>
      </c>
      <c r="I18" s="8" t="n">
        <v>45532</v>
      </c>
      <c r="J18" s="7" t="s">
        <v>130</v>
      </c>
    </row>
    <row r="19" customFormat="false" ht="15" hidden="false" customHeight="false" outlineLevel="0" collapsed="false">
      <c r="A19" s="7" t="s">
        <v>170</v>
      </c>
      <c r="B19" s="7" t="s">
        <v>171</v>
      </c>
      <c r="C19" s="7" t="s">
        <v>28</v>
      </c>
      <c r="D19" s="7" t="s">
        <v>29</v>
      </c>
      <c r="E19" s="7" t="s">
        <v>83</v>
      </c>
      <c r="F19" s="7" t="s">
        <v>84</v>
      </c>
      <c r="G19" s="7" t="s">
        <v>147</v>
      </c>
      <c r="H19" s="7" t="s">
        <v>129</v>
      </c>
      <c r="I19" s="8" t="n">
        <v>43568</v>
      </c>
      <c r="J19" s="7" t="s">
        <v>130</v>
      </c>
    </row>
    <row r="20" customFormat="false" ht="15" hidden="false" customHeight="false" outlineLevel="0" collapsed="false">
      <c r="A20" s="7" t="s">
        <v>172</v>
      </c>
      <c r="B20" s="7" t="s">
        <v>173</v>
      </c>
      <c r="C20" s="7" t="s">
        <v>28</v>
      </c>
      <c r="D20" s="7" t="s">
        <v>29</v>
      </c>
      <c r="E20" s="7" t="s">
        <v>75</v>
      </c>
      <c r="F20" s="7" t="s">
        <v>76</v>
      </c>
      <c r="G20" s="7" t="s">
        <v>136</v>
      </c>
      <c r="H20" s="7" t="s">
        <v>129</v>
      </c>
      <c r="I20" s="8" t="n">
        <v>44957</v>
      </c>
      <c r="J20" s="7" t="s">
        <v>130</v>
      </c>
    </row>
    <row r="21" customFormat="false" ht="15" hidden="false" customHeight="false" outlineLevel="0" collapsed="false">
      <c r="A21" s="7" t="s">
        <v>174</v>
      </c>
      <c r="B21" s="7" t="s">
        <v>175</v>
      </c>
      <c r="C21" s="7" t="s">
        <v>28</v>
      </c>
      <c r="D21" s="7" t="s">
        <v>29</v>
      </c>
      <c r="E21" s="7" t="s">
        <v>75</v>
      </c>
      <c r="F21" s="7" t="s">
        <v>76</v>
      </c>
      <c r="G21" s="7" t="s">
        <v>133</v>
      </c>
      <c r="H21" s="7" t="s">
        <v>139</v>
      </c>
      <c r="I21" s="8" t="n">
        <v>43207</v>
      </c>
      <c r="J21" s="7" t="s">
        <v>130</v>
      </c>
    </row>
    <row r="22" customFormat="false" ht="15" hidden="false" customHeight="false" outlineLevel="0" collapsed="false">
      <c r="A22" s="7" t="s">
        <v>176</v>
      </c>
      <c r="B22" s="7" t="s">
        <v>177</v>
      </c>
      <c r="C22" s="7" t="s">
        <v>28</v>
      </c>
      <c r="D22" s="7" t="s">
        <v>29</v>
      </c>
      <c r="E22" s="7" t="s">
        <v>75</v>
      </c>
      <c r="F22" s="7" t="s">
        <v>76</v>
      </c>
      <c r="G22" s="7" t="s">
        <v>156</v>
      </c>
      <c r="H22" s="7" t="s">
        <v>129</v>
      </c>
      <c r="I22" s="8" t="n">
        <v>45743</v>
      </c>
      <c r="J22" s="7" t="s">
        <v>130</v>
      </c>
    </row>
    <row r="23" customFormat="false" ht="15" hidden="false" customHeight="false" outlineLevel="0" collapsed="false">
      <c r="A23" s="7" t="s">
        <v>178</v>
      </c>
      <c r="B23" s="7" t="s">
        <v>179</v>
      </c>
      <c r="C23" s="7" t="s">
        <v>28</v>
      </c>
      <c r="D23" s="7" t="s">
        <v>29</v>
      </c>
      <c r="E23" s="7" t="s">
        <v>71</v>
      </c>
      <c r="F23" s="7" t="s">
        <v>72</v>
      </c>
      <c r="G23" s="7" t="s">
        <v>144</v>
      </c>
      <c r="H23" s="7" t="s">
        <v>129</v>
      </c>
      <c r="I23" s="8" t="n">
        <v>45128</v>
      </c>
      <c r="J23" s="7" t="s">
        <v>130</v>
      </c>
    </row>
    <row r="24" customFormat="false" ht="15" hidden="false" customHeight="false" outlineLevel="0" collapsed="false">
      <c r="A24" s="7" t="s">
        <v>180</v>
      </c>
      <c r="B24" s="7" t="s">
        <v>181</v>
      </c>
      <c r="C24" s="7" t="s">
        <v>28</v>
      </c>
      <c r="D24" s="7" t="s">
        <v>29</v>
      </c>
      <c r="E24" s="7" t="s">
        <v>60</v>
      </c>
      <c r="F24" s="7" t="s">
        <v>61</v>
      </c>
      <c r="G24" s="7" t="s">
        <v>147</v>
      </c>
      <c r="H24" s="7" t="s">
        <v>139</v>
      </c>
      <c r="I24" s="8" t="n">
        <v>42084</v>
      </c>
      <c r="J24" s="7" t="s">
        <v>130</v>
      </c>
    </row>
    <row r="25" customFormat="false" ht="15" hidden="false" customHeight="false" outlineLevel="0" collapsed="false">
      <c r="A25" s="7" t="s">
        <v>182</v>
      </c>
      <c r="B25" s="7" t="s">
        <v>183</v>
      </c>
      <c r="C25" s="7" t="s">
        <v>28</v>
      </c>
      <c r="D25" s="7" t="s">
        <v>29</v>
      </c>
      <c r="E25" s="7" t="s">
        <v>75</v>
      </c>
      <c r="F25" s="7" t="s">
        <v>76</v>
      </c>
      <c r="G25" s="7" t="s">
        <v>133</v>
      </c>
      <c r="H25" s="7" t="s">
        <v>129</v>
      </c>
      <c r="I25" s="8" t="n">
        <v>42991</v>
      </c>
      <c r="J25" s="7" t="s">
        <v>130</v>
      </c>
    </row>
    <row r="26" customFormat="false" ht="15" hidden="false" customHeight="false" outlineLevel="0" collapsed="false">
      <c r="A26" s="7" t="s">
        <v>184</v>
      </c>
      <c r="B26" s="7" t="s">
        <v>185</v>
      </c>
      <c r="C26" s="7" t="s">
        <v>28</v>
      </c>
      <c r="D26" s="7" t="s">
        <v>29</v>
      </c>
      <c r="E26" s="7" t="s">
        <v>87</v>
      </c>
      <c r="F26" s="7" t="s">
        <v>88</v>
      </c>
      <c r="G26" s="7" t="s">
        <v>156</v>
      </c>
      <c r="H26" s="7" t="s">
        <v>129</v>
      </c>
      <c r="I26" s="8" t="n">
        <v>45141</v>
      </c>
      <c r="J26" s="7" t="s">
        <v>130</v>
      </c>
    </row>
    <row r="27" customFormat="false" ht="15" hidden="false" customHeight="false" outlineLevel="0" collapsed="false">
      <c r="A27" s="7" t="s">
        <v>186</v>
      </c>
      <c r="B27" s="7" t="s">
        <v>187</v>
      </c>
      <c r="C27" s="7" t="s">
        <v>28</v>
      </c>
      <c r="D27" s="7" t="s">
        <v>29</v>
      </c>
      <c r="E27" s="7" t="s">
        <v>68</v>
      </c>
      <c r="F27" s="7" t="s">
        <v>69</v>
      </c>
      <c r="G27" s="7" t="s">
        <v>156</v>
      </c>
      <c r="H27" s="7" t="s">
        <v>139</v>
      </c>
      <c r="I27" s="8" t="n">
        <v>45578</v>
      </c>
      <c r="J27" s="7" t="s">
        <v>130</v>
      </c>
    </row>
    <row r="28" customFormat="false" ht="15" hidden="false" customHeight="false" outlineLevel="0" collapsed="false">
      <c r="A28" s="7" t="s">
        <v>188</v>
      </c>
      <c r="B28" s="7" t="s">
        <v>189</v>
      </c>
      <c r="C28" s="7" t="s">
        <v>28</v>
      </c>
      <c r="D28" s="7" t="s">
        <v>29</v>
      </c>
      <c r="E28" s="7" t="s">
        <v>71</v>
      </c>
      <c r="F28" s="7" t="s">
        <v>72</v>
      </c>
      <c r="G28" s="7" t="s">
        <v>147</v>
      </c>
      <c r="H28" s="7" t="s">
        <v>139</v>
      </c>
      <c r="I28" s="8" t="n">
        <v>44756</v>
      </c>
      <c r="J28" s="7" t="s">
        <v>130</v>
      </c>
    </row>
    <row r="29" customFormat="false" ht="15" hidden="false" customHeight="false" outlineLevel="0" collapsed="false">
      <c r="A29" s="7" t="s">
        <v>190</v>
      </c>
      <c r="B29" s="7" t="s">
        <v>191</v>
      </c>
      <c r="C29" s="7" t="s">
        <v>28</v>
      </c>
      <c r="D29" s="7" t="s">
        <v>29</v>
      </c>
      <c r="E29" s="7" t="s">
        <v>87</v>
      </c>
      <c r="F29" s="7" t="s">
        <v>88</v>
      </c>
      <c r="G29" s="7" t="s">
        <v>128</v>
      </c>
      <c r="H29" s="7" t="s">
        <v>129</v>
      </c>
      <c r="I29" s="8" t="n">
        <v>42925</v>
      </c>
      <c r="J29" s="7" t="s">
        <v>130</v>
      </c>
    </row>
    <row r="30" customFormat="false" ht="15" hidden="false" customHeight="false" outlineLevel="0" collapsed="false">
      <c r="A30" s="7" t="s">
        <v>192</v>
      </c>
      <c r="B30" s="7" t="s">
        <v>193</v>
      </c>
      <c r="C30" s="7" t="s">
        <v>28</v>
      </c>
      <c r="D30" s="7" t="s">
        <v>29</v>
      </c>
      <c r="E30" s="7" t="s">
        <v>71</v>
      </c>
      <c r="F30" s="7" t="s">
        <v>72</v>
      </c>
      <c r="G30" s="7" t="s">
        <v>133</v>
      </c>
      <c r="H30" s="7" t="s">
        <v>129</v>
      </c>
      <c r="I30" s="8" t="n">
        <v>42295</v>
      </c>
      <c r="J30" s="7" t="s">
        <v>130</v>
      </c>
    </row>
    <row r="31" customFormat="false" ht="15" hidden="false" customHeight="false" outlineLevel="0" collapsed="false">
      <c r="A31" s="7" t="s">
        <v>194</v>
      </c>
      <c r="B31" s="7" t="s">
        <v>160</v>
      </c>
      <c r="C31" s="7" t="s">
        <v>28</v>
      </c>
      <c r="D31" s="7" t="s">
        <v>29</v>
      </c>
      <c r="E31" s="7" t="s">
        <v>65</v>
      </c>
      <c r="F31" s="7" t="s">
        <v>66</v>
      </c>
      <c r="G31" s="7" t="s">
        <v>144</v>
      </c>
      <c r="H31" s="7" t="s">
        <v>129</v>
      </c>
      <c r="I31" s="8" t="n">
        <v>42295</v>
      </c>
      <c r="J31" s="7" t="s">
        <v>130</v>
      </c>
    </row>
    <row r="32" customFormat="false" ht="15" hidden="false" customHeight="false" outlineLevel="0" collapsed="false">
      <c r="A32" s="7" t="s">
        <v>195</v>
      </c>
      <c r="B32" s="7" t="s">
        <v>196</v>
      </c>
      <c r="C32" s="7" t="s">
        <v>28</v>
      </c>
      <c r="D32" s="7" t="s">
        <v>29</v>
      </c>
      <c r="E32" s="7" t="s">
        <v>87</v>
      </c>
      <c r="F32" s="7" t="s">
        <v>88</v>
      </c>
      <c r="G32" s="7" t="s">
        <v>156</v>
      </c>
      <c r="H32" s="7" t="s">
        <v>129</v>
      </c>
      <c r="I32" s="8" t="n">
        <v>42546</v>
      </c>
      <c r="J32" s="7" t="s">
        <v>130</v>
      </c>
    </row>
    <row r="33" customFormat="false" ht="15" hidden="false" customHeight="false" outlineLevel="0" collapsed="false">
      <c r="A33" s="7" t="s">
        <v>197</v>
      </c>
      <c r="B33" s="7" t="s">
        <v>198</v>
      </c>
      <c r="C33" s="7" t="s">
        <v>28</v>
      </c>
      <c r="D33" s="7" t="s">
        <v>29</v>
      </c>
      <c r="E33" s="7" t="s">
        <v>87</v>
      </c>
      <c r="F33" s="7" t="s">
        <v>88</v>
      </c>
      <c r="G33" s="7" t="s">
        <v>147</v>
      </c>
      <c r="H33" s="7" t="s">
        <v>129</v>
      </c>
      <c r="I33" s="8" t="n">
        <v>45312</v>
      </c>
      <c r="J33" s="7" t="s">
        <v>130</v>
      </c>
    </row>
    <row r="34" customFormat="false" ht="15" hidden="false" customHeight="false" outlineLevel="0" collapsed="false">
      <c r="A34" s="7" t="s">
        <v>199</v>
      </c>
      <c r="B34" s="7" t="s">
        <v>200</v>
      </c>
      <c r="C34" s="7" t="s">
        <v>28</v>
      </c>
      <c r="D34" s="7" t="s">
        <v>29</v>
      </c>
      <c r="E34" s="7" t="s">
        <v>83</v>
      </c>
      <c r="F34" s="7" t="s">
        <v>84</v>
      </c>
      <c r="G34" s="7" t="s">
        <v>147</v>
      </c>
      <c r="H34" s="7" t="s">
        <v>139</v>
      </c>
      <c r="I34" s="8" t="n">
        <v>43688</v>
      </c>
      <c r="J34" s="7" t="s">
        <v>130</v>
      </c>
    </row>
    <row r="35" customFormat="false" ht="15" hidden="false" customHeight="false" outlineLevel="0" collapsed="false">
      <c r="A35" s="7" t="s">
        <v>201</v>
      </c>
      <c r="B35" s="7" t="s">
        <v>202</v>
      </c>
      <c r="C35" s="7" t="s">
        <v>28</v>
      </c>
      <c r="D35" s="7" t="s">
        <v>29</v>
      </c>
      <c r="E35" s="7" t="s">
        <v>65</v>
      </c>
      <c r="F35" s="7" t="s">
        <v>66</v>
      </c>
      <c r="G35" s="7" t="s">
        <v>147</v>
      </c>
      <c r="H35" s="7" t="s">
        <v>129</v>
      </c>
      <c r="I35" s="8" t="n">
        <v>44987</v>
      </c>
      <c r="J35" s="7" t="s">
        <v>130</v>
      </c>
    </row>
    <row r="36" customFormat="false" ht="15" hidden="false" customHeight="false" outlineLevel="0" collapsed="false">
      <c r="A36" s="7" t="s">
        <v>203</v>
      </c>
      <c r="B36" s="7" t="s">
        <v>204</v>
      </c>
      <c r="C36" s="7" t="s">
        <v>31</v>
      </c>
      <c r="D36" s="7" t="s">
        <v>32</v>
      </c>
      <c r="E36" s="7" t="s">
        <v>71</v>
      </c>
      <c r="F36" s="7" t="s">
        <v>72</v>
      </c>
      <c r="G36" s="7" t="s">
        <v>156</v>
      </c>
      <c r="H36" s="7" t="s">
        <v>129</v>
      </c>
      <c r="I36" s="8" t="n">
        <v>43842</v>
      </c>
      <c r="J36" s="7" t="s">
        <v>130</v>
      </c>
    </row>
    <row r="37" customFormat="false" ht="15" hidden="false" customHeight="false" outlineLevel="0" collapsed="false">
      <c r="A37" s="7" t="s">
        <v>205</v>
      </c>
      <c r="B37" s="7" t="s">
        <v>206</v>
      </c>
      <c r="C37" s="7" t="s">
        <v>31</v>
      </c>
      <c r="D37" s="7" t="s">
        <v>32</v>
      </c>
      <c r="E37" s="7" t="s">
        <v>87</v>
      </c>
      <c r="F37" s="7" t="s">
        <v>88</v>
      </c>
      <c r="G37" s="7" t="s">
        <v>133</v>
      </c>
      <c r="H37" s="7" t="s">
        <v>129</v>
      </c>
      <c r="I37" s="8" t="n">
        <v>43820</v>
      </c>
      <c r="J37" s="7" t="s">
        <v>130</v>
      </c>
    </row>
    <row r="38" customFormat="false" ht="15" hidden="false" customHeight="false" outlineLevel="0" collapsed="false">
      <c r="A38" s="7" t="s">
        <v>207</v>
      </c>
      <c r="B38" s="7" t="s">
        <v>208</v>
      </c>
      <c r="C38" s="7" t="s">
        <v>31</v>
      </c>
      <c r="D38" s="7" t="s">
        <v>32</v>
      </c>
      <c r="E38" s="7" t="s">
        <v>60</v>
      </c>
      <c r="F38" s="7" t="s">
        <v>61</v>
      </c>
      <c r="G38" s="7" t="s">
        <v>133</v>
      </c>
      <c r="H38" s="7" t="s">
        <v>129</v>
      </c>
      <c r="I38" s="8" t="n">
        <v>45799</v>
      </c>
      <c r="J38" s="7" t="s">
        <v>130</v>
      </c>
    </row>
    <row r="39" customFormat="false" ht="15" hidden="false" customHeight="false" outlineLevel="0" collapsed="false">
      <c r="A39" s="7" t="s">
        <v>209</v>
      </c>
      <c r="B39" s="7" t="s">
        <v>210</v>
      </c>
      <c r="C39" s="7" t="s">
        <v>31</v>
      </c>
      <c r="D39" s="7" t="s">
        <v>32</v>
      </c>
      <c r="E39" s="7" t="s">
        <v>83</v>
      </c>
      <c r="F39" s="7" t="s">
        <v>84</v>
      </c>
      <c r="G39" s="7" t="s">
        <v>147</v>
      </c>
      <c r="H39" s="7" t="s">
        <v>139</v>
      </c>
      <c r="I39" s="8" t="n">
        <v>42880</v>
      </c>
      <c r="J39" s="7" t="s">
        <v>130</v>
      </c>
    </row>
    <row r="40" customFormat="false" ht="15" hidden="false" customHeight="false" outlineLevel="0" collapsed="false">
      <c r="A40" s="7" t="s">
        <v>211</v>
      </c>
      <c r="B40" s="7" t="s">
        <v>212</v>
      </c>
      <c r="C40" s="7" t="s">
        <v>31</v>
      </c>
      <c r="D40" s="7" t="s">
        <v>32</v>
      </c>
      <c r="E40" s="7" t="s">
        <v>83</v>
      </c>
      <c r="F40" s="7" t="s">
        <v>84</v>
      </c>
      <c r="G40" s="7" t="s">
        <v>147</v>
      </c>
      <c r="H40" s="7" t="s">
        <v>129</v>
      </c>
      <c r="I40" s="8" t="n">
        <v>43091</v>
      </c>
      <c r="J40" s="7" t="s">
        <v>167</v>
      </c>
    </row>
    <row r="41" customFormat="false" ht="15" hidden="false" customHeight="false" outlineLevel="0" collapsed="false">
      <c r="A41" s="7" t="s">
        <v>213</v>
      </c>
      <c r="B41" s="7" t="s">
        <v>214</v>
      </c>
      <c r="C41" s="7" t="s">
        <v>31</v>
      </c>
      <c r="D41" s="7" t="s">
        <v>32</v>
      </c>
      <c r="E41" s="7" t="s">
        <v>83</v>
      </c>
      <c r="F41" s="7" t="s">
        <v>84</v>
      </c>
      <c r="G41" s="7" t="s">
        <v>128</v>
      </c>
      <c r="H41" s="7" t="s">
        <v>139</v>
      </c>
      <c r="I41" s="8" t="n">
        <v>42782</v>
      </c>
      <c r="J41" s="7" t="s">
        <v>130</v>
      </c>
    </row>
    <row r="42" customFormat="false" ht="15" hidden="false" customHeight="false" outlineLevel="0" collapsed="false">
      <c r="A42" s="7" t="s">
        <v>215</v>
      </c>
      <c r="B42" s="7" t="s">
        <v>216</v>
      </c>
      <c r="C42" s="7" t="s">
        <v>31</v>
      </c>
      <c r="D42" s="7" t="s">
        <v>32</v>
      </c>
      <c r="E42" s="7" t="s">
        <v>60</v>
      </c>
      <c r="F42" s="7" t="s">
        <v>61</v>
      </c>
      <c r="G42" s="7" t="s">
        <v>133</v>
      </c>
      <c r="H42" s="7" t="s">
        <v>139</v>
      </c>
      <c r="I42" s="8" t="n">
        <v>42210</v>
      </c>
      <c r="J42" s="7" t="s">
        <v>130</v>
      </c>
    </row>
    <row r="43" customFormat="false" ht="15" hidden="false" customHeight="false" outlineLevel="0" collapsed="false">
      <c r="A43" s="7" t="s">
        <v>217</v>
      </c>
      <c r="B43" s="7" t="s">
        <v>218</v>
      </c>
      <c r="C43" s="7" t="s">
        <v>31</v>
      </c>
      <c r="D43" s="7" t="s">
        <v>32</v>
      </c>
      <c r="E43" s="7" t="s">
        <v>68</v>
      </c>
      <c r="F43" s="7" t="s">
        <v>69</v>
      </c>
      <c r="G43" s="7" t="s">
        <v>156</v>
      </c>
      <c r="H43" s="7" t="s">
        <v>129</v>
      </c>
      <c r="I43" s="8" t="n">
        <v>42333</v>
      </c>
      <c r="J43" s="7" t="s">
        <v>130</v>
      </c>
    </row>
    <row r="44" customFormat="false" ht="15" hidden="false" customHeight="false" outlineLevel="0" collapsed="false">
      <c r="A44" s="7" t="s">
        <v>219</v>
      </c>
      <c r="B44" s="7" t="s">
        <v>220</v>
      </c>
      <c r="C44" s="7" t="s">
        <v>31</v>
      </c>
      <c r="D44" s="7" t="s">
        <v>32</v>
      </c>
      <c r="E44" s="7" t="s">
        <v>65</v>
      </c>
      <c r="F44" s="7" t="s">
        <v>66</v>
      </c>
      <c r="G44" s="7" t="s">
        <v>147</v>
      </c>
      <c r="H44" s="7" t="s">
        <v>129</v>
      </c>
      <c r="I44" s="8" t="n">
        <v>42496</v>
      </c>
      <c r="J44" s="7" t="s">
        <v>167</v>
      </c>
    </row>
    <row r="45" customFormat="false" ht="15" hidden="false" customHeight="false" outlineLevel="0" collapsed="false">
      <c r="A45" s="7" t="s">
        <v>221</v>
      </c>
      <c r="B45" s="7" t="s">
        <v>222</v>
      </c>
      <c r="C45" s="7" t="s">
        <v>31</v>
      </c>
      <c r="D45" s="7" t="s">
        <v>32</v>
      </c>
      <c r="E45" s="7" t="s">
        <v>60</v>
      </c>
      <c r="F45" s="7" t="s">
        <v>61</v>
      </c>
      <c r="G45" s="7" t="s">
        <v>147</v>
      </c>
      <c r="H45" s="7" t="s">
        <v>129</v>
      </c>
      <c r="I45" s="8" t="n">
        <v>44697</v>
      </c>
      <c r="J45" s="7" t="s">
        <v>130</v>
      </c>
    </row>
    <row r="46" customFormat="false" ht="15" hidden="false" customHeight="false" outlineLevel="0" collapsed="false">
      <c r="A46" s="7" t="s">
        <v>223</v>
      </c>
      <c r="B46" s="7" t="s">
        <v>224</v>
      </c>
      <c r="C46" s="7" t="s">
        <v>31</v>
      </c>
      <c r="D46" s="7" t="s">
        <v>32</v>
      </c>
      <c r="E46" s="7" t="s">
        <v>75</v>
      </c>
      <c r="F46" s="7" t="s">
        <v>76</v>
      </c>
      <c r="G46" s="7" t="s">
        <v>136</v>
      </c>
      <c r="H46" s="7" t="s">
        <v>129</v>
      </c>
      <c r="I46" s="8" t="n">
        <v>44938</v>
      </c>
      <c r="J46" s="7" t="s">
        <v>130</v>
      </c>
    </row>
    <row r="47" customFormat="false" ht="15" hidden="false" customHeight="false" outlineLevel="0" collapsed="false">
      <c r="A47" s="7" t="s">
        <v>225</v>
      </c>
      <c r="B47" s="7" t="s">
        <v>226</v>
      </c>
      <c r="C47" s="7" t="s">
        <v>31</v>
      </c>
      <c r="D47" s="7" t="s">
        <v>32</v>
      </c>
      <c r="E47" s="7" t="s">
        <v>68</v>
      </c>
      <c r="F47" s="7" t="s">
        <v>69</v>
      </c>
      <c r="G47" s="7" t="s">
        <v>147</v>
      </c>
      <c r="H47" s="7" t="s">
        <v>139</v>
      </c>
      <c r="I47" s="8" t="n">
        <v>43300</v>
      </c>
      <c r="J47" s="7" t="s">
        <v>167</v>
      </c>
    </row>
    <row r="48" customFormat="false" ht="15" hidden="false" customHeight="false" outlineLevel="0" collapsed="false">
      <c r="A48" s="7" t="s">
        <v>227</v>
      </c>
      <c r="B48" s="7" t="s">
        <v>228</v>
      </c>
      <c r="C48" s="7" t="s">
        <v>31</v>
      </c>
      <c r="D48" s="7" t="s">
        <v>32</v>
      </c>
      <c r="E48" s="7" t="s">
        <v>87</v>
      </c>
      <c r="F48" s="7" t="s">
        <v>88</v>
      </c>
      <c r="G48" s="7" t="s">
        <v>133</v>
      </c>
      <c r="H48" s="7" t="s">
        <v>129</v>
      </c>
      <c r="I48" s="8" t="n">
        <v>44207</v>
      </c>
      <c r="J48" s="7" t="s">
        <v>130</v>
      </c>
    </row>
    <row r="49" customFormat="false" ht="15" hidden="false" customHeight="false" outlineLevel="0" collapsed="false">
      <c r="A49" s="7" t="s">
        <v>229</v>
      </c>
      <c r="B49" s="7" t="s">
        <v>230</v>
      </c>
      <c r="C49" s="7" t="s">
        <v>31</v>
      </c>
      <c r="D49" s="7" t="s">
        <v>32</v>
      </c>
      <c r="E49" s="7" t="s">
        <v>79</v>
      </c>
      <c r="F49" s="7" t="s">
        <v>80</v>
      </c>
      <c r="G49" s="7" t="s">
        <v>128</v>
      </c>
      <c r="H49" s="7" t="s">
        <v>129</v>
      </c>
      <c r="I49" s="8" t="n">
        <v>43518</v>
      </c>
      <c r="J49" s="7" t="s">
        <v>130</v>
      </c>
    </row>
    <row r="50" customFormat="false" ht="15" hidden="false" customHeight="false" outlineLevel="0" collapsed="false">
      <c r="A50" s="7" t="s">
        <v>231</v>
      </c>
      <c r="B50" s="7" t="s">
        <v>232</v>
      </c>
      <c r="C50" s="7" t="s">
        <v>31</v>
      </c>
      <c r="D50" s="7" t="s">
        <v>32</v>
      </c>
      <c r="E50" s="7" t="s">
        <v>75</v>
      </c>
      <c r="F50" s="7" t="s">
        <v>76</v>
      </c>
      <c r="G50" s="7" t="s">
        <v>136</v>
      </c>
      <c r="H50" s="7" t="s">
        <v>129</v>
      </c>
      <c r="I50" s="8" t="n">
        <v>45351</v>
      </c>
      <c r="J50" s="7" t="s">
        <v>130</v>
      </c>
    </row>
    <row r="51" customFormat="false" ht="15" hidden="false" customHeight="false" outlineLevel="0" collapsed="false">
      <c r="A51" s="7" t="s">
        <v>233</v>
      </c>
      <c r="B51" s="7" t="s">
        <v>234</v>
      </c>
      <c r="C51" s="7" t="s">
        <v>31</v>
      </c>
      <c r="D51" s="7" t="s">
        <v>32</v>
      </c>
      <c r="E51" s="7" t="s">
        <v>68</v>
      </c>
      <c r="F51" s="7" t="s">
        <v>69</v>
      </c>
      <c r="G51" s="7" t="s">
        <v>133</v>
      </c>
      <c r="H51" s="7" t="s">
        <v>139</v>
      </c>
      <c r="I51" s="8" t="n">
        <v>45649</v>
      </c>
      <c r="J51" s="7" t="s">
        <v>130</v>
      </c>
    </row>
    <row r="52" customFormat="false" ht="15" hidden="false" customHeight="false" outlineLevel="0" collapsed="false">
      <c r="A52" s="7" t="s">
        <v>235</v>
      </c>
      <c r="B52" s="7" t="s">
        <v>236</v>
      </c>
      <c r="C52" s="7" t="s">
        <v>31</v>
      </c>
      <c r="D52" s="7" t="s">
        <v>32</v>
      </c>
      <c r="E52" s="7" t="s">
        <v>75</v>
      </c>
      <c r="F52" s="7" t="s">
        <v>76</v>
      </c>
      <c r="G52" s="7" t="s">
        <v>156</v>
      </c>
      <c r="H52" s="7" t="s">
        <v>139</v>
      </c>
      <c r="I52" s="8" t="n">
        <v>42867</v>
      </c>
      <c r="J52" s="7" t="s">
        <v>130</v>
      </c>
    </row>
    <row r="53" customFormat="false" ht="15" hidden="false" customHeight="false" outlineLevel="0" collapsed="false">
      <c r="A53" s="7" t="s">
        <v>237</v>
      </c>
      <c r="B53" s="7" t="s">
        <v>238</v>
      </c>
      <c r="C53" s="7" t="s">
        <v>31</v>
      </c>
      <c r="D53" s="7" t="s">
        <v>32</v>
      </c>
      <c r="E53" s="7" t="s">
        <v>75</v>
      </c>
      <c r="F53" s="7" t="s">
        <v>76</v>
      </c>
      <c r="G53" s="7" t="s">
        <v>144</v>
      </c>
      <c r="H53" s="7" t="s">
        <v>139</v>
      </c>
      <c r="I53" s="8" t="n">
        <v>45713</v>
      </c>
      <c r="J53" s="7" t="s">
        <v>167</v>
      </c>
    </row>
    <row r="54" customFormat="false" ht="15" hidden="false" customHeight="false" outlineLevel="0" collapsed="false">
      <c r="A54" s="7" t="s">
        <v>239</v>
      </c>
      <c r="B54" s="7" t="s">
        <v>240</v>
      </c>
      <c r="C54" s="7" t="s">
        <v>34</v>
      </c>
      <c r="D54" s="7" t="s">
        <v>35</v>
      </c>
      <c r="E54" s="7" t="s">
        <v>83</v>
      </c>
      <c r="F54" s="7" t="s">
        <v>84</v>
      </c>
      <c r="G54" s="7" t="s">
        <v>133</v>
      </c>
      <c r="H54" s="7" t="s">
        <v>139</v>
      </c>
      <c r="I54" s="8" t="n">
        <v>42019</v>
      </c>
      <c r="J54" s="7" t="s">
        <v>130</v>
      </c>
    </row>
    <row r="55" customFormat="false" ht="15" hidden="false" customHeight="false" outlineLevel="0" collapsed="false">
      <c r="A55" s="7" t="s">
        <v>241</v>
      </c>
      <c r="B55" s="7" t="s">
        <v>242</v>
      </c>
      <c r="C55" s="7" t="s">
        <v>34</v>
      </c>
      <c r="D55" s="7" t="s">
        <v>35</v>
      </c>
      <c r="E55" s="7" t="s">
        <v>75</v>
      </c>
      <c r="F55" s="7" t="s">
        <v>76</v>
      </c>
      <c r="G55" s="7" t="s">
        <v>136</v>
      </c>
      <c r="H55" s="7" t="s">
        <v>129</v>
      </c>
      <c r="I55" s="8" t="n">
        <v>43814</v>
      </c>
      <c r="J55" s="7" t="s">
        <v>130</v>
      </c>
    </row>
    <row r="56" customFormat="false" ht="15" hidden="false" customHeight="false" outlineLevel="0" collapsed="false">
      <c r="A56" s="7" t="s">
        <v>243</v>
      </c>
      <c r="B56" s="7" t="s">
        <v>244</v>
      </c>
      <c r="C56" s="7" t="s">
        <v>34</v>
      </c>
      <c r="D56" s="7" t="s">
        <v>35</v>
      </c>
      <c r="E56" s="7" t="s">
        <v>60</v>
      </c>
      <c r="F56" s="7" t="s">
        <v>61</v>
      </c>
      <c r="G56" s="7" t="s">
        <v>133</v>
      </c>
      <c r="H56" s="7" t="s">
        <v>129</v>
      </c>
      <c r="I56" s="8" t="n">
        <v>45622</v>
      </c>
      <c r="J56" s="7" t="s">
        <v>130</v>
      </c>
    </row>
    <row r="57" customFormat="false" ht="15" hidden="false" customHeight="false" outlineLevel="0" collapsed="false">
      <c r="A57" s="7" t="s">
        <v>245</v>
      </c>
      <c r="B57" s="7" t="s">
        <v>246</v>
      </c>
      <c r="C57" s="7" t="s">
        <v>34</v>
      </c>
      <c r="D57" s="7" t="s">
        <v>35</v>
      </c>
      <c r="E57" s="7" t="s">
        <v>60</v>
      </c>
      <c r="F57" s="7" t="s">
        <v>61</v>
      </c>
      <c r="G57" s="7" t="s">
        <v>156</v>
      </c>
      <c r="H57" s="7" t="s">
        <v>139</v>
      </c>
      <c r="I57" s="8" t="n">
        <v>44268</v>
      </c>
      <c r="J57" s="7" t="s">
        <v>130</v>
      </c>
    </row>
    <row r="58" customFormat="false" ht="15" hidden="false" customHeight="false" outlineLevel="0" collapsed="false">
      <c r="A58" s="7" t="s">
        <v>247</v>
      </c>
      <c r="B58" s="7" t="s">
        <v>248</v>
      </c>
      <c r="C58" s="7" t="s">
        <v>34</v>
      </c>
      <c r="D58" s="7" t="s">
        <v>35</v>
      </c>
      <c r="E58" s="7" t="s">
        <v>75</v>
      </c>
      <c r="F58" s="7" t="s">
        <v>76</v>
      </c>
      <c r="G58" s="7" t="s">
        <v>133</v>
      </c>
      <c r="H58" s="7" t="s">
        <v>139</v>
      </c>
      <c r="I58" s="8" t="n">
        <v>45686</v>
      </c>
      <c r="J58" s="7" t="s">
        <v>130</v>
      </c>
    </row>
    <row r="59" customFormat="false" ht="15" hidden="false" customHeight="false" outlineLevel="0" collapsed="false">
      <c r="A59" s="7" t="s">
        <v>249</v>
      </c>
      <c r="B59" s="7" t="s">
        <v>250</v>
      </c>
      <c r="C59" s="7" t="s">
        <v>34</v>
      </c>
      <c r="D59" s="7" t="s">
        <v>35</v>
      </c>
      <c r="E59" s="7" t="s">
        <v>65</v>
      </c>
      <c r="F59" s="7" t="s">
        <v>66</v>
      </c>
      <c r="G59" s="7" t="s">
        <v>156</v>
      </c>
      <c r="H59" s="7" t="s">
        <v>139</v>
      </c>
      <c r="I59" s="8" t="n">
        <v>45626</v>
      </c>
      <c r="J59" s="7" t="s">
        <v>130</v>
      </c>
    </row>
    <row r="60" customFormat="false" ht="15" hidden="false" customHeight="false" outlineLevel="0" collapsed="false">
      <c r="A60" s="7" t="s">
        <v>251</v>
      </c>
      <c r="B60" s="7" t="s">
        <v>252</v>
      </c>
      <c r="C60" s="7" t="s">
        <v>34</v>
      </c>
      <c r="D60" s="7" t="s">
        <v>35</v>
      </c>
      <c r="E60" s="7" t="s">
        <v>68</v>
      </c>
      <c r="F60" s="7" t="s">
        <v>69</v>
      </c>
      <c r="G60" s="7" t="s">
        <v>128</v>
      </c>
      <c r="H60" s="7" t="s">
        <v>129</v>
      </c>
      <c r="I60" s="8" t="n">
        <v>45281</v>
      </c>
      <c r="J60" s="7" t="s">
        <v>130</v>
      </c>
    </row>
    <row r="61" customFormat="false" ht="15" hidden="false" customHeight="false" outlineLevel="0" collapsed="false">
      <c r="A61" s="7" t="s">
        <v>253</v>
      </c>
      <c r="B61" s="7" t="s">
        <v>254</v>
      </c>
      <c r="C61" s="7" t="s">
        <v>34</v>
      </c>
      <c r="D61" s="7" t="s">
        <v>35</v>
      </c>
      <c r="E61" s="7" t="s">
        <v>68</v>
      </c>
      <c r="F61" s="7" t="s">
        <v>69</v>
      </c>
      <c r="G61" s="7" t="s">
        <v>147</v>
      </c>
      <c r="H61" s="7" t="s">
        <v>139</v>
      </c>
      <c r="I61" s="8" t="n">
        <v>45290</v>
      </c>
      <c r="J61" s="7" t="s">
        <v>130</v>
      </c>
    </row>
    <row r="62" customFormat="false" ht="15" hidden="false" customHeight="false" outlineLevel="0" collapsed="false">
      <c r="A62" s="7" t="s">
        <v>255</v>
      </c>
      <c r="B62" s="7" t="s">
        <v>256</v>
      </c>
      <c r="C62" s="7" t="s">
        <v>34</v>
      </c>
      <c r="D62" s="7" t="s">
        <v>35</v>
      </c>
      <c r="E62" s="7" t="s">
        <v>68</v>
      </c>
      <c r="F62" s="7" t="s">
        <v>69</v>
      </c>
      <c r="G62" s="7" t="s">
        <v>147</v>
      </c>
      <c r="H62" s="7" t="s">
        <v>129</v>
      </c>
      <c r="I62" s="8" t="n">
        <v>45577</v>
      </c>
      <c r="J62" s="7" t="s">
        <v>130</v>
      </c>
    </row>
    <row r="63" customFormat="false" ht="15" hidden="false" customHeight="false" outlineLevel="0" collapsed="false">
      <c r="A63" s="7" t="s">
        <v>257</v>
      </c>
      <c r="B63" s="7" t="s">
        <v>258</v>
      </c>
      <c r="C63" s="7" t="s">
        <v>34</v>
      </c>
      <c r="D63" s="7" t="s">
        <v>35</v>
      </c>
      <c r="E63" s="7" t="s">
        <v>71</v>
      </c>
      <c r="F63" s="7" t="s">
        <v>72</v>
      </c>
      <c r="G63" s="7" t="s">
        <v>144</v>
      </c>
      <c r="H63" s="7" t="s">
        <v>139</v>
      </c>
      <c r="I63" s="8" t="n">
        <v>43255</v>
      </c>
      <c r="J63" s="7" t="s">
        <v>130</v>
      </c>
    </row>
    <row r="64" customFormat="false" ht="15" hidden="false" customHeight="false" outlineLevel="0" collapsed="false">
      <c r="A64" s="7" t="s">
        <v>259</v>
      </c>
      <c r="B64" s="7" t="s">
        <v>260</v>
      </c>
      <c r="C64" s="7" t="s">
        <v>34</v>
      </c>
      <c r="D64" s="7" t="s">
        <v>35</v>
      </c>
      <c r="E64" s="7" t="s">
        <v>60</v>
      </c>
      <c r="F64" s="7" t="s">
        <v>61</v>
      </c>
      <c r="G64" s="7" t="s">
        <v>147</v>
      </c>
      <c r="H64" s="7" t="s">
        <v>129</v>
      </c>
      <c r="I64" s="8" t="n">
        <v>43349</v>
      </c>
      <c r="J64" s="7" t="s">
        <v>130</v>
      </c>
    </row>
    <row r="65" customFormat="false" ht="15" hidden="false" customHeight="false" outlineLevel="0" collapsed="false">
      <c r="A65" s="7" t="s">
        <v>261</v>
      </c>
      <c r="B65" s="7" t="s">
        <v>262</v>
      </c>
      <c r="C65" s="7" t="s">
        <v>34</v>
      </c>
      <c r="D65" s="7" t="s">
        <v>35</v>
      </c>
      <c r="E65" s="7" t="s">
        <v>75</v>
      </c>
      <c r="F65" s="7" t="s">
        <v>76</v>
      </c>
      <c r="G65" s="7" t="s">
        <v>136</v>
      </c>
      <c r="H65" s="7" t="s">
        <v>139</v>
      </c>
      <c r="I65" s="8" t="n">
        <v>44091</v>
      </c>
      <c r="J65" s="7" t="s">
        <v>130</v>
      </c>
    </row>
    <row r="66" customFormat="false" ht="15" hidden="false" customHeight="false" outlineLevel="0" collapsed="false">
      <c r="A66" s="7" t="s">
        <v>263</v>
      </c>
      <c r="B66" s="7" t="s">
        <v>264</v>
      </c>
      <c r="C66" s="7" t="s">
        <v>37</v>
      </c>
      <c r="D66" s="7" t="s">
        <v>38</v>
      </c>
      <c r="E66" s="7" t="s">
        <v>60</v>
      </c>
      <c r="F66" s="7" t="s">
        <v>61</v>
      </c>
      <c r="G66" s="7" t="s">
        <v>144</v>
      </c>
      <c r="H66" s="7" t="s">
        <v>129</v>
      </c>
      <c r="I66" s="8" t="n">
        <v>42736</v>
      </c>
      <c r="J66" s="7" t="s">
        <v>130</v>
      </c>
    </row>
    <row r="67" customFormat="false" ht="15" hidden="false" customHeight="false" outlineLevel="0" collapsed="false">
      <c r="A67" s="7" t="s">
        <v>265</v>
      </c>
      <c r="B67" s="7" t="s">
        <v>266</v>
      </c>
      <c r="C67" s="7" t="s">
        <v>37</v>
      </c>
      <c r="D67" s="7" t="s">
        <v>38</v>
      </c>
      <c r="E67" s="7" t="s">
        <v>65</v>
      </c>
      <c r="F67" s="7" t="s">
        <v>66</v>
      </c>
      <c r="G67" s="7" t="s">
        <v>144</v>
      </c>
      <c r="H67" s="7" t="s">
        <v>139</v>
      </c>
      <c r="I67" s="8" t="n">
        <v>44989</v>
      </c>
      <c r="J67" s="7" t="s">
        <v>130</v>
      </c>
    </row>
    <row r="68" customFormat="false" ht="15" hidden="false" customHeight="false" outlineLevel="0" collapsed="false">
      <c r="A68" s="7" t="s">
        <v>267</v>
      </c>
      <c r="B68" s="7" t="s">
        <v>268</v>
      </c>
      <c r="C68" s="7" t="s">
        <v>37</v>
      </c>
      <c r="D68" s="7" t="s">
        <v>38</v>
      </c>
      <c r="E68" s="7" t="s">
        <v>65</v>
      </c>
      <c r="F68" s="7" t="s">
        <v>66</v>
      </c>
      <c r="G68" s="7" t="s">
        <v>156</v>
      </c>
      <c r="H68" s="7" t="s">
        <v>139</v>
      </c>
      <c r="I68" s="8" t="n">
        <v>42783</v>
      </c>
      <c r="J68" s="7" t="s">
        <v>130</v>
      </c>
    </row>
    <row r="69" customFormat="false" ht="15" hidden="false" customHeight="false" outlineLevel="0" collapsed="false">
      <c r="A69" s="7" t="s">
        <v>269</v>
      </c>
      <c r="B69" s="7" t="s">
        <v>270</v>
      </c>
      <c r="C69" s="7" t="s">
        <v>37</v>
      </c>
      <c r="D69" s="7" t="s">
        <v>38</v>
      </c>
      <c r="E69" s="7" t="s">
        <v>71</v>
      </c>
      <c r="F69" s="7" t="s">
        <v>72</v>
      </c>
      <c r="G69" s="7" t="s">
        <v>147</v>
      </c>
      <c r="H69" s="7" t="s">
        <v>139</v>
      </c>
      <c r="I69" s="8" t="n">
        <v>42291</v>
      </c>
      <c r="J69" s="7" t="s">
        <v>167</v>
      </c>
    </row>
    <row r="70" customFormat="false" ht="15" hidden="false" customHeight="false" outlineLevel="0" collapsed="false">
      <c r="A70" s="7" t="s">
        <v>271</v>
      </c>
      <c r="B70" s="7" t="s">
        <v>272</v>
      </c>
      <c r="C70" s="7" t="s">
        <v>37</v>
      </c>
      <c r="D70" s="7" t="s">
        <v>38</v>
      </c>
      <c r="E70" s="7" t="s">
        <v>79</v>
      </c>
      <c r="F70" s="7" t="s">
        <v>80</v>
      </c>
      <c r="G70" s="7" t="s">
        <v>136</v>
      </c>
      <c r="H70" s="7" t="s">
        <v>129</v>
      </c>
      <c r="I70" s="8" t="n">
        <v>45691</v>
      </c>
      <c r="J70" s="7" t="s">
        <v>130</v>
      </c>
    </row>
    <row r="71" customFormat="false" ht="15" hidden="false" customHeight="false" outlineLevel="0" collapsed="false">
      <c r="A71" s="7" t="s">
        <v>273</v>
      </c>
      <c r="B71" s="7" t="s">
        <v>274</v>
      </c>
      <c r="C71" s="7" t="s">
        <v>37</v>
      </c>
      <c r="D71" s="7" t="s">
        <v>38</v>
      </c>
      <c r="E71" s="7" t="s">
        <v>83</v>
      </c>
      <c r="F71" s="7" t="s">
        <v>84</v>
      </c>
      <c r="G71" s="7" t="s">
        <v>147</v>
      </c>
      <c r="H71" s="7" t="s">
        <v>139</v>
      </c>
      <c r="I71" s="8" t="n">
        <v>44860</v>
      </c>
      <c r="J71" s="7" t="s">
        <v>130</v>
      </c>
    </row>
    <row r="72" customFormat="false" ht="15" hidden="false" customHeight="false" outlineLevel="0" collapsed="false">
      <c r="A72" s="7" t="s">
        <v>275</v>
      </c>
      <c r="B72" s="7" t="s">
        <v>276</v>
      </c>
      <c r="C72" s="7" t="s">
        <v>37</v>
      </c>
      <c r="D72" s="7" t="s">
        <v>38</v>
      </c>
      <c r="E72" s="7" t="s">
        <v>83</v>
      </c>
      <c r="F72" s="7" t="s">
        <v>84</v>
      </c>
      <c r="G72" s="7" t="s">
        <v>136</v>
      </c>
      <c r="H72" s="7" t="s">
        <v>139</v>
      </c>
      <c r="I72" s="8" t="n">
        <v>45069</v>
      </c>
      <c r="J72" s="7" t="s">
        <v>167</v>
      </c>
    </row>
    <row r="73" customFormat="false" ht="15" hidden="false" customHeight="false" outlineLevel="0" collapsed="false">
      <c r="A73" s="7" t="s">
        <v>277</v>
      </c>
      <c r="B73" s="7" t="s">
        <v>278</v>
      </c>
      <c r="C73" s="7" t="s">
        <v>37</v>
      </c>
      <c r="D73" s="7" t="s">
        <v>38</v>
      </c>
      <c r="E73" s="7" t="s">
        <v>75</v>
      </c>
      <c r="F73" s="7" t="s">
        <v>76</v>
      </c>
      <c r="G73" s="7" t="s">
        <v>156</v>
      </c>
      <c r="H73" s="7" t="s">
        <v>139</v>
      </c>
      <c r="I73" s="8" t="n">
        <v>45419</v>
      </c>
      <c r="J73" s="7" t="s">
        <v>130</v>
      </c>
    </row>
    <row r="74" customFormat="false" ht="15" hidden="false" customHeight="false" outlineLevel="0" collapsed="false">
      <c r="A74" s="7" t="s">
        <v>279</v>
      </c>
      <c r="B74" s="7" t="s">
        <v>280</v>
      </c>
      <c r="C74" s="7" t="s">
        <v>37</v>
      </c>
      <c r="D74" s="7" t="s">
        <v>38</v>
      </c>
      <c r="E74" s="7" t="s">
        <v>83</v>
      </c>
      <c r="F74" s="7" t="s">
        <v>84</v>
      </c>
      <c r="G74" s="7" t="s">
        <v>147</v>
      </c>
      <c r="H74" s="7" t="s">
        <v>139</v>
      </c>
      <c r="I74" s="8" t="n">
        <v>43814</v>
      </c>
      <c r="J74" s="7" t="s">
        <v>130</v>
      </c>
    </row>
    <row r="75" customFormat="false" ht="15" hidden="false" customHeight="false" outlineLevel="0" collapsed="false">
      <c r="A75" s="7" t="s">
        <v>281</v>
      </c>
      <c r="B75" s="7" t="s">
        <v>282</v>
      </c>
      <c r="C75" s="7" t="s">
        <v>37</v>
      </c>
      <c r="D75" s="7" t="s">
        <v>38</v>
      </c>
      <c r="E75" s="7" t="s">
        <v>87</v>
      </c>
      <c r="F75" s="7" t="s">
        <v>88</v>
      </c>
      <c r="G75" s="7" t="s">
        <v>136</v>
      </c>
      <c r="H75" s="7" t="s">
        <v>129</v>
      </c>
      <c r="I75" s="8" t="n">
        <v>42352</v>
      </c>
      <c r="J75" s="7" t="s">
        <v>130</v>
      </c>
    </row>
    <row r="76" customFormat="false" ht="15" hidden="false" customHeight="false" outlineLevel="0" collapsed="false">
      <c r="A76" s="7" t="s">
        <v>283</v>
      </c>
      <c r="B76" s="7" t="s">
        <v>284</v>
      </c>
      <c r="C76" s="7" t="s">
        <v>37</v>
      </c>
      <c r="D76" s="7" t="s">
        <v>38</v>
      </c>
      <c r="E76" s="7" t="s">
        <v>65</v>
      </c>
      <c r="F76" s="7" t="s">
        <v>66</v>
      </c>
      <c r="G76" s="7" t="s">
        <v>136</v>
      </c>
      <c r="H76" s="7" t="s">
        <v>129</v>
      </c>
      <c r="I76" s="8" t="n">
        <v>43276</v>
      </c>
      <c r="J76" s="7" t="s">
        <v>130</v>
      </c>
    </row>
    <row r="77" customFormat="false" ht="15" hidden="false" customHeight="false" outlineLevel="0" collapsed="false">
      <c r="A77" s="7" t="s">
        <v>285</v>
      </c>
      <c r="B77" s="7" t="s">
        <v>286</v>
      </c>
      <c r="C77" s="7" t="s">
        <v>37</v>
      </c>
      <c r="D77" s="7" t="s">
        <v>38</v>
      </c>
      <c r="E77" s="7" t="s">
        <v>60</v>
      </c>
      <c r="F77" s="7" t="s">
        <v>61</v>
      </c>
      <c r="G77" s="7" t="s">
        <v>128</v>
      </c>
      <c r="H77" s="7" t="s">
        <v>129</v>
      </c>
      <c r="I77" s="8" t="n">
        <v>43951</v>
      </c>
      <c r="J77" s="7" t="s">
        <v>130</v>
      </c>
    </row>
    <row r="78" customFormat="false" ht="15" hidden="false" customHeight="false" outlineLevel="0" collapsed="false">
      <c r="A78" s="7" t="s">
        <v>287</v>
      </c>
      <c r="B78" s="7" t="s">
        <v>288</v>
      </c>
      <c r="C78" s="7" t="s">
        <v>37</v>
      </c>
      <c r="D78" s="7" t="s">
        <v>38</v>
      </c>
      <c r="E78" s="7" t="s">
        <v>83</v>
      </c>
      <c r="F78" s="7" t="s">
        <v>84</v>
      </c>
      <c r="G78" s="7" t="s">
        <v>136</v>
      </c>
      <c r="H78" s="7" t="s">
        <v>129</v>
      </c>
      <c r="I78" s="8" t="n">
        <v>44857</v>
      </c>
      <c r="J78" s="7" t="s">
        <v>130</v>
      </c>
    </row>
    <row r="79" customFormat="false" ht="15" hidden="false" customHeight="false" outlineLevel="0" collapsed="false">
      <c r="A79" s="7" t="s">
        <v>289</v>
      </c>
      <c r="B79" s="7" t="s">
        <v>290</v>
      </c>
      <c r="C79" s="7" t="s">
        <v>37</v>
      </c>
      <c r="D79" s="7" t="s">
        <v>38</v>
      </c>
      <c r="E79" s="7" t="s">
        <v>68</v>
      </c>
      <c r="F79" s="7" t="s">
        <v>69</v>
      </c>
      <c r="G79" s="7" t="s">
        <v>133</v>
      </c>
      <c r="H79" s="7" t="s">
        <v>129</v>
      </c>
      <c r="I79" s="8" t="n">
        <v>45193</v>
      </c>
      <c r="J79" s="7" t="s">
        <v>130</v>
      </c>
    </row>
    <row r="80" customFormat="false" ht="15" hidden="false" customHeight="false" outlineLevel="0" collapsed="false">
      <c r="A80" s="7" t="s">
        <v>291</v>
      </c>
      <c r="B80" s="7" t="s">
        <v>292</v>
      </c>
      <c r="C80" s="7" t="s">
        <v>37</v>
      </c>
      <c r="D80" s="7" t="s">
        <v>38</v>
      </c>
      <c r="E80" s="7" t="s">
        <v>87</v>
      </c>
      <c r="F80" s="7" t="s">
        <v>88</v>
      </c>
      <c r="G80" s="7" t="s">
        <v>156</v>
      </c>
      <c r="H80" s="7" t="s">
        <v>129</v>
      </c>
      <c r="I80" s="8" t="n">
        <v>43025</v>
      </c>
      <c r="J80" s="7" t="s">
        <v>167</v>
      </c>
    </row>
    <row r="81" customFormat="false" ht="15" hidden="false" customHeight="false" outlineLevel="0" collapsed="false">
      <c r="A81" s="7" t="s">
        <v>293</v>
      </c>
      <c r="B81" s="7" t="s">
        <v>294</v>
      </c>
      <c r="C81" s="7" t="s">
        <v>37</v>
      </c>
      <c r="D81" s="7" t="s">
        <v>38</v>
      </c>
      <c r="E81" s="7" t="s">
        <v>68</v>
      </c>
      <c r="F81" s="7" t="s">
        <v>69</v>
      </c>
      <c r="G81" s="7" t="s">
        <v>136</v>
      </c>
      <c r="H81" s="7" t="s">
        <v>139</v>
      </c>
      <c r="I81" s="8" t="n">
        <v>44180</v>
      </c>
      <c r="J81" s="7" t="s">
        <v>167</v>
      </c>
    </row>
    <row r="82" customFormat="false" ht="15" hidden="false" customHeight="false" outlineLevel="0" collapsed="false">
      <c r="A82" s="7" t="s">
        <v>295</v>
      </c>
      <c r="B82" s="7" t="s">
        <v>296</v>
      </c>
      <c r="C82" s="7" t="s">
        <v>37</v>
      </c>
      <c r="D82" s="7" t="s">
        <v>38</v>
      </c>
      <c r="E82" s="7" t="s">
        <v>87</v>
      </c>
      <c r="F82" s="7" t="s">
        <v>88</v>
      </c>
      <c r="G82" s="7" t="s">
        <v>156</v>
      </c>
      <c r="H82" s="7" t="s">
        <v>139</v>
      </c>
      <c r="I82" s="8" t="n">
        <v>43831</v>
      </c>
      <c r="J82" s="7" t="s">
        <v>167</v>
      </c>
    </row>
    <row r="83" customFormat="false" ht="15" hidden="false" customHeight="false" outlineLevel="0" collapsed="false">
      <c r="A83" s="7" t="s">
        <v>297</v>
      </c>
      <c r="B83" s="7" t="s">
        <v>298</v>
      </c>
      <c r="C83" s="7" t="s">
        <v>37</v>
      </c>
      <c r="D83" s="7" t="s">
        <v>38</v>
      </c>
      <c r="E83" s="7" t="s">
        <v>75</v>
      </c>
      <c r="F83" s="7" t="s">
        <v>76</v>
      </c>
      <c r="G83" s="7" t="s">
        <v>136</v>
      </c>
      <c r="H83" s="7" t="s">
        <v>129</v>
      </c>
      <c r="I83" s="8" t="n">
        <v>43140</v>
      </c>
      <c r="J83" s="7" t="s">
        <v>130</v>
      </c>
    </row>
    <row r="84" customFormat="false" ht="15" hidden="false" customHeight="false" outlineLevel="0" collapsed="false">
      <c r="A84" s="7" t="s">
        <v>299</v>
      </c>
      <c r="B84" s="7" t="s">
        <v>300</v>
      </c>
      <c r="C84" s="7" t="s">
        <v>40</v>
      </c>
      <c r="D84" s="7" t="s">
        <v>41</v>
      </c>
      <c r="E84" s="7" t="s">
        <v>71</v>
      </c>
      <c r="F84" s="7" t="s">
        <v>72</v>
      </c>
      <c r="G84" s="7" t="s">
        <v>147</v>
      </c>
      <c r="H84" s="7" t="s">
        <v>139</v>
      </c>
      <c r="I84" s="8" t="n">
        <v>42322</v>
      </c>
      <c r="J84" s="7" t="s">
        <v>130</v>
      </c>
    </row>
    <row r="85" customFormat="false" ht="15" hidden="false" customHeight="false" outlineLevel="0" collapsed="false">
      <c r="A85" s="7" t="s">
        <v>301</v>
      </c>
      <c r="B85" s="7" t="s">
        <v>256</v>
      </c>
      <c r="C85" s="7" t="s">
        <v>40</v>
      </c>
      <c r="D85" s="7" t="s">
        <v>41</v>
      </c>
      <c r="E85" s="7" t="s">
        <v>79</v>
      </c>
      <c r="F85" s="7" t="s">
        <v>80</v>
      </c>
      <c r="G85" s="7" t="s">
        <v>156</v>
      </c>
      <c r="H85" s="7" t="s">
        <v>139</v>
      </c>
      <c r="I85" s="8" t="n">
        <v>42335</v>
      </c>
      <c r="J85" s="7" t="s">
        <v>130</v>
      </c>
    </row>
    <row r="86" customFormat="false" ht="15" hidden="false" customHeight="false" outlineLevel="0" collapsed="false">
      <c r="A86" s="7" t="s">
        <v>302</v>
      </c>
      <c r="B86" s="7" t="s">
        <v>303</v>
      </c>
      <c r="C86" s="7" t="s">
        <v>40</v>
      </c>
      <c r="D86" s="7" t="s">
        <v>41</v>
      </c>
      <c r="E86" s="7" t="s">
        <v>68</v>
      </c>
      <c r="F86" s="7" t="s">
        <v>69</v>
      </c>
      <c r="G86" s="7" t="s">
        <v>133</v>
      </c>
      <c r="H86" s="7" t="s">
        <v>129</v>
      </c>
      <c r="I86" s="8" t="n">
        <v>43704</v>
      </c>
      <c r="J86" s="7" t="s">
        <v>130</v>
      </c>
    </row>
    <row r="87" customFormat="false" ht="15" hidden="false" customHeight="false" outlineLevel="0" collapsed="false">
      <c r="A87" s="7" t="s">
        <v>304</v>
      </c>
      <c r="B87" s="7" t="s">
        <v>305</v>
      </c>
      <c r="C87" s="7" t="s">
        <v>40</v>
      </c>
      <c r="D87" s="7" t="s">
        <v>41</v>
      </c>
      <c r="E87" s="7" t="s">
        <v>83</v>
      </c>
      <c r="F87" s="7" t="s">
        <v>84</v>
      </c>
      <c r="G87" s="7" t="s">
        <v>128</v>
      </c>
      <c r="H87" s="7" t="s">
        <v>129</v>
      </c>
      <c r="I87" s="8" t="n">
        <v>45416</v>
      </c>
      <c r="J87" s="7" t="s">
        <v>130</v>
      </c>
    </row>
    <row r="88" customFormat="false" ht="15" hidden="false" customHeight="false" outlineLevel="0" collapsed="false">
      <c r="A88" s="7" t="s">
        <v>306</v>
      </c>
      <c r="B88" s="7" t="s">
        <v>307</v>
      </c>
      <c r="C88" s="7" t="s">
        <v>40</v>
      </c>
      <c r="D88" s="7" t="s">
        <v>41</v>
      </c>
      <c r="E88" s="7" t="s">
        <v>60</v>
      </c>
      <c r="F88" s="7" t="s">
        <v>61</v>
      </c>
      <c r="G88" s="7" t="s">
        <v>147</v>
      </c>
      <c r="H88" s="7" t="s">
        <v>139</v>
      </c>
      <c r="I88" s="8" t="n">
        <v>42029</v>
      </c>
      <c r="J88" s="7" t="s">
        <v>167</v>
      </c>
    </row>
    <row r="89" customFormat="false" ht="15" hidden="false" customHeight="false" outlineLevel="0" collapsed="false">
      <c r="A89" s="7" t="s">
        <v>308</v>
      </c>
      <c r="B89" s="7" t="s">
        <v>309</v>
      </c>
      <c r="C89" s="7" t="s">
        <v>40</v>
      </c>
      <c r="D89" s="7" t="s">
        <v>41</v>
      </c>
      <c r="E89" s="7" t="s">
        <v>83</v>
      </c>
      <c r="F89" s="7" t="s">
        <v>84</v>
      </c>
      <c r="G89" s="7" t="s">
        <v>156</v>
      </c>
      <c r="H89" s="7" t="s">
        <v>139</v>
      </c>
      <c r="I89" s="8" t="n">
        <v>45066</v>
      </c>
      <c r="J89" s="7" t="s">
        <v>130</v>
      </c>
    </row>
    <row r="90" customFormat="false" ht="15" hidden="false" customHeight="false" outlineLevel="0" collapsed="false">
      <c r="A90" s="7" t="s">
        <v>310</v>
      </c>
      <c r="B90" s="7" t="s">
        <v>311</v>
      </c>
      <c r="C90" s="7" t="s">
        <v>40</v>
      </c>
      <c r="D90" s="7" t="s">
        <v>41</v>
      </c>
      <c r="E90" s="7" t="s">
        <v>71</v>
      </c>
      <c r="F90" s="7" t="s">
        <v>72</v>
      </c>
      <c r="G90" s="7" t="s">
        <v>128</v>
      </c>
      <c r="H90" s="7" t="s">
        <v>139</v>
      </c>
      <c r="I90" s="8" t="n">
        <v>43122</v>
      </c>
      <c r="J90" s="7" t="s">
        <v>130</v>
      </c>
    </row>
    <row r="91" customFormat="false" ht="15" hidden="false" customHeight="false" outlineLevel="0" collapsed="false">
      <c r="A91" s="7" t="s">
        <v>312</v>
      </c>
      <c r="B91" s="7" t="s">
        <v>313</v>
      </c>
      <c r="C91" s="7" t="s">
        <v>40</v>
      </c>
      <c r="D91" s="7" t="s">
        <v>41</v>
      </c>
      <c r="E91" s="7" t="s">
        <v>79</v>
      </c>
      <c r="F91" s="7" t="s">
        <v>80</v>
      </c>
      <c r="G91" s="7" t="s">
        <v>136</v>
      </c>
      <c r="H91" s="7" t="s">
        <v>139</v>
      </c>
      <c r="I91" s="8" t="n">
        <v>42681</v>
      </c>
      <c r="J91" s="7" t="s">
        <v>130</v>
      </c>
    </row>
    <row r="92" customFormat="false" ht="15" hidden="false" customHeight="false" outlineLevel="0" collapsed="false">
      <c r="A92" s="7" t="s">
        <v>314</v>
      </c>
      <c r="B92" s="7" t="s">
        <v>315</v>
      </c>
      <c r="C92" s="7" t="s">
        <v>40</v>
      </c>
      <c r="D92" s="7" t="s">
        <v>41</v>
      </c>
      <c r="E92" s="7" t="s">
        <v>60</v>
      </c>
      <c r="F92" s="7" t="s">
        <v>61</v>
      </c>
      <c r="G92" s="7" t="s">
        <v>156</v>
      </c>
      <c r="H92" s="7" t="s">
        <v>139</v>
      </c>
      <c r="I92" s="8" t="n">
        <v>44316</v>
      </c>
      <c r="J92" s="7" t="s">
        <v>130</v>
      </c>
    </row>
    <row r="93" customFormat="false" ht="15" hidden="false" customHeight="false" outlineLevel="0" collapsed="false">
      <c r="A93" s="7" t="s">
        <v>316</v>
      </c>
      <c r="B93" s="7" t="s">
        <v>240</v>
      </c>
      <c r="C93" s="7" t="s">
        <v>40</v>
      </c>
      <c r="D93" s="7" t="s">
        <v>41</v>
      </c>
      <c r="E93" s="7" t="s">
        <v>83</v>
      </c>
      <c r="F93" s="7" t="s">
        <v>84</v>
      </c>
      <c r="G93" s="7" t="s">
        <v>147</v>
      </c>
      <c r="H93" s="7" t="s">
        <v>129</v>
      </c>
      <c r="I93" s="8" t="n">
        <v>42749</v>
      </c>
      <c r="J93" s="7" t="s">
        <v>130</v>
      </c>
    </row>
    <row r="94" customFormat="false" ht="15" hidden="false" customHeight="false" outlineLevel="0" collapsed="false">
      <c r="A94" s="7" t="s">
        <v>317</v>
      </c>
      <c r="B94" s="7" t="s">
        <v>318</v>
      </c>
      <c r="C94" s="7" t="s">
        <v>40</v>
      </c>
      <c r="D94" s="7" t="s">
        <v>41</v>
      </c>
      <c r="E94" s="7" t="s">
        <v>71</v>
      </c>
      <c r="F94" s="7" t="s">
        <v>72</v>
      </c>
      <c r="G94" s="7" t="s">
        <v>144</v>
      </c>
      <c r="H94" s="7" t="s">
        <v>139</v>
      </c>
      <c r="I94" s="8" t="n">
        <v>43387</v>
      </c>
      <c r="J94" s="7" t="s">
        <v>130</v>
      </c>
    </row>
    <row r="95" customFormat="false" ht="15" hidden="false" customHeight="false" outlineLevel="0" collapsed="false">
      <c r="A95" s="7" t="s">
        <v>319</v>
      </c>
      <c r="B95" s="7" t="s">
        <v>320</v>
      </c>
      <c r="C95" s="7" t="s">
        <v>40</v>
      </c>
      <c r="D95" s="7" t="s">
        <v>41</v>
      </c>
      <c r="E95" s="7" t="s">
        <v>83</v>
      </c>
      <c r="F95" s="7" t="s">
        <v>84</v>
      </c>
      <c r="G95" s="7" t="s">
        <v>133</v>
      </c>
      <c r="H95" s="7" t="s">
        <v>139</v>
      </c>
      <c r="I95" s="8" t="n">
        <v>43931</v>
      </c>
      <c r="J95" s="7" t="s">
        <v>130</v>
      </c>
    </row>
    <row r="96" customFormat="false" ht="15" hidden="false" customHeight="false" outlineLevel="0" collapsed="false">
      <c r="A96" s="7" t="s">
        <v>321</v>
      </c>
      <c r="B96" s="7" t="s">
        <v>322</v>
      </c>
      <c r="C96" s="7" t="s">
        <v>40</v>
      </c>
      <c r="D96" s="7" t="s">
        <v>41</v>
      </c>
      <c r="E96" s="7" t="s">
        <v>79</v>
      </c>
      <c r="F96" s="7" t="s">
        <v>80</v>
      </c>
      <c r="G96" s="7" t="s">
        <v>136</v>
      </c>
      <c r="H96" s="7" t="s">
        <v>129</v>
      </c>
      <c r="I96" s="8" t="n">
        <v>42286</v>
      </c>
      <c r="J96" s="7" t="s">
        <v>130</v>
      </c>
    </row>
    <row r="97" customFormat="false" ht="15" hidden="false" customHeight="false" outlineLevel="0" collapsed="false">
      <c r="A97" s="7" t="s">
        <v>323</v>
      </c>
      <c r="B97" s="7" t="s">
        <v>324</v>
      </c>
      <c r="C97" s="7" t="s">
        <v>40</v>
      </c>
      <c r="D97" s="7" t="s">
        <v>41</v>
      </c>
      <c r="E97" s="7" t="s">
        <v>60</v>
      </c>
      <c r="F97" s="7" t="s">
        <v>61</v>
      </c>
      <c r="G97" s="7" t="s">
        <v>128</v>
      </c>
      <c r="H97" s="7" t="s">
        <v>129</v>
      </c>
      <c r="I97" s="8" t="n">
        <v>45442</v>
      </c>
      <c r="J97" s="7" t="s">
        <v>130</v>
      </c>
    </row>
    <row r="98" customFormat="false" ht="15" hidden="false" customHeight="false" outlineLevel="0" collapsed="false">
      <c r="A98" s="7" t="s">
        <v>325</v>
      </c>
      <c r="B98" s="7" t="s">
        <v>326</v>
      </c>
      <c r="C98" s="7" t="s">
        <v>40</v>
      </c>
      <c r="D98" s="7" t="s">
        <v>41</v>
      </c>
      <c r="E98" s="7" t="s">
        <v>68</v>
      </c>
      <c r="F98" s="7" t="s">
        <v>69</v>
      </c>
      <c r="G98" s="7" t="s">
        <v>136</v>
      </c>
      <c r="H98" s="7" t="s">
        <v>139</v>
      </c>
      <c r="I98" s="8" t="n">
        <v>42473</v>
      </c>
      <c r="J98" s="7" t="s">
        <v>130</v>
      </c>
    </row>
    <row r="99" customFormat="false" ht="15" hidden="false" customHeight="false" outlineLevel="0" collapsed="false">
      <c r="A99" s="7" t="s">
        <v>327</v>
      </c>
      <c r="B99" s="7" t="s">
        <v>328</v>
      </c>
      <c r="C99" s="7" t="s">
        <v>40</v>
      </c>
      <c r="D99" s="7" t="s">
        <v>41</v>
      </c>
      <c r="E99" s="7" t="s">
        <v>75</v>
      </c>
      <c r="F99" s="7" t="s">
        <v>76</v>
      </c>
      <c r="G99" s="7" t="s">
        <v>128</v>
      </c>
      <c r="H99" s="7" t="s">
        <v>139</v>
      </c>
      <c r="I99" s="8" t="n">
        <v>44486</v>
      </c>
      <c r="J99" s="7" t="s">
        <v>130</v>
      </c>
    </row>
    <row r="100" customFormat="false" ht="15" hidden="false" customHeight="false" outlineLevel="0" collapsed="false">
      <c r="A100" s="7" t="s">
        <v>329</v>
      </c>
      <c r="B100" s="7" t="s">
        <v>330</v>
      </c>
      <c r="C100" s="7" t="s">
        <v>43</v>
      </c>
      <c r="D100" s="7" t="s">
        <v>44</v>
      </c>
      <c r="E100" s="7" t="s">
        <v>68</v>
      </c>
      <c r="F100" s="7" t="s">
        <v>69</v>
      </c>
      <c r="G100" s="7" t="s">
        <v>133</v>
      </c>
      <c r="H100" s="7" t="s">
        <v>139</v>
      </c>
      <c r="I100" s="8" t="n">
        <v>44375</v>
      </c>
      <c r="J100" s="7" t="s">
        <v>130</v>
      </c>
    </row>
    <row r="101" customFormat="false" ht="15" hidden="false" customHeight="false" outlineLevel="0" collapsed="false">
      <c r="A101" s="7" t="s">
        <v>331</v>
      </c>
      <c r="B101" s="7" t="s">
        <v>332</v>
      </c>
      <c r="C101" s="7" t="s">
        <v>43</v>
      </c>
      <c r="D101" s="7" t="s">
        <v>44</v>
      </c>
      <c r="E101" s="7" t="s">
        <v>83</v>
      </c>
      <c r="F101" s="7" t="s">
        <v>84</v>
      </c>
      <c r="G101" s="7" t="s">
        <v>136</v>
      </c>
      <c r="H101" s="7" t="s">
        <v>139</v>
      </c>
      <c r="I101" s="8" t="n">
        <v>42817</v>
      </c>
      <c r="J101" s="7" t="s">
        <v>130</v>
      </c>
    </row>
    <row r="102" customFormat="false" ht="15" hidden="false" customHeight="false" outlineLevel="0" collapsed="false">
      <c r="A102" s="7" t="s">
        <v>333</v>
      </c>
      <c r="B102" s="7" t="s">
        <v>334</v>
      </c>
      <c r="C102" s="7" t="s">
        <v>43</v>
      </c>
      <c r="D102" s="7" t="s">
        <v>44</v>
      </c>
      <c r="E102" s="7" t="s">
        <v>75</v>
      </c>
      <c r="F102" s="7" t="s">
        <v>76</v>
      </c>
      <c r="G102" s="7" t="s">
        <v>156</v>
      </c>
      <c r="H102" s="7" t="s">
        <v>129</v>
      </c>
      <c r="I102" s="8" t="n">
        <v>45210</v>
      </c>
      <c r="J102" s="7" t="s">
        <v>130</v>
      </c>
    </row>
    <row r="103" customFormat="false" ht="15" hidden="false" customHeight="false" outlineLevel="0" collapsed="false">
      <c r="A103" s="7" t="s">
        <v>335</v>
      </c>
      <c r="B103" s="7" t="s">
        <v>336</v>
      </c>
      <c r="C103" s="7" t="s">
        <v>43</v>
      </c>
      <c r="D103" s="7" t="s">
        <v>44</v>
      </c>
      <c r="E103" s="7" t="s">
        <v>79</v>
      </c>
      <c r="F103" s="7" t="s">
        <v>80</v>
      </c>
      <c r="G103" s="7" t="s">
        <v>156</v>
      </c>
      <c r="H103" s="7" t="s">
        <v>129</v>
      </c>
      <c r="I103" s="8" t="n">
        <v>44657</v>
      </c>
      <c r="J103" s="7" t="s">
        <v>130</v>
      </c>
    </row>
    <row r="104" customFormat="false" ht="15" hidden="false" customHeight="false" outlineLevel="0" collapsed="false">
      <c r="A104" s="7" t="s">
        <v>337</v>
      </c>
      <c r="B104" s="7" t="s">
        <v>338</v>
      </c>
      <c r="C104" s="7" t="s">
        <v>43</v>
      </c>
      <c r="D104" s="7" t="s">
        <v>44</v>
      </c>
      <c r="E104" s="7" t="s">
        <v>87</v>
      </c>
      <c r="F104" s="7" t="s">
        <v>88</v>
      </c>
      <c r="G104" s="7" t="s">
        <v>147</v>
      </c>
      <c r="H104" s="7" t="s">
        <v>129</v>
      </c>
      <c r="I104" s="8" t="n">
        <v>43488</v>
      </c>
      <c r="J104" s="7" t="s">
        <v>130</v>
      </c>
    </row>
    <row r="105" customFormat="false" ht="15" hidden="false" customHeight="false" outlineLevel="0" collapsed="false">
      <c r="A105" s="7" t="s">
        <v>339</v>
      </c>
      <c r="B105" s="7" t="s">
        <v>340</v>
      </c>
      <c r="C105" s="7" t="s">
        <v>43</v>
      </c>
      <c r="D105" s="7" t="s">
        <v>44</v>
      </c>
      <c r="E105" s="7" t="s">
        <v>68</v>
      </c>
      <c r="F105" s="7" t="s">
        <v>69</v>
      </c>
      <c r="G105" s="7" t="s">
        <v>128</v>
      </c>
      <c r="H105" s="7" t="s">
        <v>139</v>
      </c>
      <c r="I105" s="8" t="n">
        <v>45010</v>
      </c>
      <c r="J105" s="7" t="s">
        <v>130</v>
      </c>
    </row>
    <row r="106" customFormat="false" ht="15" hidden="false" customHeight="false" outlineLevel="0" collapsed="false">
      <c r="A106" s="7" t="s">
        <v>341</v>
      </c>
      <c r="B106" s="7" t="s">
        <v>342</v>
      </c>
      <c r="C106" s="7" t="s">
        <v>43</v>
      </c>
      <c r="D106" s="7" t="s">
        <v>44</v>
      </c>
      <c r="E106" s="7" t="s">
        <v>87</v>
      </c>
      <c r="F106" s="7" t="s">
        <v>88</v>
      </c>
      <c r="G106" s="7" t="s">
        <v>147</v>
      </c>
      <c r="H106" s="7" t="s">
        <v>139</v>
      </c>
      <c r="I106" s="8" t="n">
        <v>45387</v>
      </c>
      <c r="J106" s="7" t="s">
        <v>130</v>
      </c>
    </row>
    <row r="107" customFormat="false" ht="15" hidden="false" customHeight="false" outlineLevel="0" collapsed="false">
      <c r="A107" s="7" t="s">
        <v>343</v>
      </c>
      <c r="B107" s="7" t="s">
        <v>344</v>
      </c>
      <c r="C107" s="7" t="s">
        <v>43</v>
      </c>
      <c r="D107" s="7" t="s">
        <v>44</v>
      </c>
      <c r="E107" s="7" t="s">
        <v>71</v>
      </c>
      <c r="F107" s="7" t="s">
        <v>72</v>
      </c>
      <c r="G107" s="7" t="s">
        <v>144</v>
      </c>
      <c r="H107" s="7" t="s">
        <v>129</v>
      </c>
      <c r="I107" s="8" t="n">
        <v>45616</v>
      </c>
      <c r="J107" s="7" t="s">
        <v>130</v>
      </c>
    </row>
    <row r="108" customFormat="false" ht="15" hidden="false" customHeight="false" outlineLevel="0" collapsed="false">
      <c r="A108" s="7" t="s">
        <v>345</v>
      </c>
      <c r="B108" s="7" t="s">
        <v>346</v>
      </c>
      <c r="C108" s="7" t="s">
        <v>43</v>
      </c>
      <c r="D108" s="7" t="s">
        <v>44</v>
      </c>
      <c r="E108" s="7" t="s">
        <v>83</v>
      </c>
      <c r="F108" s="7" t="s">
        <v>84</v>
      </c>
      <c r="G108" s="7" t="s">
        <v>133</v>
      </c>
      <c r="H108" s="7" t="s">
        <v>139</v>
      </c>
      <c r="I108" s="8" t="n">
        <v>44029</v>
      </c>
      <c r="J108" s="7" t="s">
        <v>130</v>
      </c>
    </row>
    <row r="109" customFormat="false" ht="15" hidden="false" customHeight="false" outlineLevel="0" collapsed="false">
      <c r="A109" s="7" t="s">
        <v>347</v>
      </c>
      <c r="B109" s="7" t="s">
        <v>348</v>
      </c>
      <c r="C109" s="7" t="s">
        <v>43</v>
      </c>
      <c r="D109" s="7" t="s">
        <v>44</v>
      </c>
      <c r="E109" s="7" t="s">
        <v>71</v>
      </c>
      <c r="F109" s="7" t="s">
        <v>72</v>
      </c>
      <c r="G109" s="7" t="s">
        <v>144</v>
      </c>
      <c r="H109" s="7" t="s">
        <v>139</v>
      </c>
      <c r="I109" s="8" t="n">
        <v>43399</v>
      </c>
      <c r="J109" s="7" t="s">
        <v>130</v>
      </c>
    </row>
    <row r="110" customFormat="false" ht="15" hidden="false" customHeight="false" outlineLevel="0" collapsed="false">
      <c r="A110" s="7" t="s">
        <v>349</v>
      </c>
      <c r="B110" s="7" t="s">
        <v>350</v>
      </c>
      <c r="C110" s="7" t="s">
        <v>43</v>
      </c>
      <c r="D110" s="7" t="s">
        <v>44</v>
      </c>
      <c r="E110" s="7" t="s">
        <v>75</v>
      </c>
      <c r="F110" s="7" t="s">
        <v>76</v>
      </c>
      <c r="G110" s="7" t="s">
        <v>156</v>
      </c>
      <c r="H110" s="7" t="s">
        <v>129</v>
      </c>
      <c r="I110" s="8" t="n">
        <v>42787</v>
      </c>
      <c r="J110" s="7" t="s">
        <v>130</v>
      </c>
    </row>
    <row r="111" customFormat="false" ht="15" hidden="false" customHeight="false" outlineLevel="0" collapsed="false">
      <c r="A111" s="7" t="s">
        <v>351</v>
      </c>
      <c r="B111" s="7" t="s">
        <v>352</v>
      </c>
      <c r="C111" s="7" t="s">
        <v>43</v>
      </c>
      <c r="D111" s="7" t="s">
        <v>44</v>
      </c>
      <c r="E111" s="7" t="s">
        <v>71</v>
      </c>
      <c r="F111" s="7" t="s">
        <v>72</v>
      </c>
      <c r="G111" s="7" t="s">
        <v>136</v>
      </c>
      <c r="H111" s="7" t="s">
        <v>139</v>
      </c>
      <c r="I111" s="8" t="n">
        <v>44920</v>
      </c>
      <c r="J111" s="7" t="s">
        <v>130</v>
      </c>
    </row>
    <row r="112" customFormat="false" ht="15" hidden="false" customHeight="false" outlineLevel="0" collapsed="false">
      <c r="A112" s="7" t="s">
        <v>353</v>
      </c>
      <c r="B112" s="7" t="s">
        <v>354</v>
      </c>
      <c r="C112" s="7" t="s">
        <v>43</v>
      </c>
      <c r="D112" s="7" t="s">
        <v>44</v>
      </c>
      <c r="E112" s="7" t="s">
        <v>75</v>
      </c>
      <c r="F112" s="7" t="s">
        <v>76</v>
      </c>
      <c r="G112" s="7" t="s">
        <v>147</v>
      </c>
      <c r="H112" s="7" t="s">
        <v>129</v>
      </c>
      <c r="I112" s="8" t="n">
        <v>44838</v>
      </c>
      <c r="J112" s="7" t="s">
        <v>130</v>
      </c>
    </row>
    <row r="113" customFormat="false" ht="15" hidden="false" customHeight="false" outlineLevel="0" collapsed="false">
      <c r="A113" s="7" t="s">
        <v>355</v>
      </c>
      <c r="B113" s="7" t="s">
        <v>356</v>
      </c>
      <c r="C113" s="7" t="s">
        <v>43</v>
      </c>
      <c r="D113" s="7" t="s">
        <v>44</v>
      </c>
      <c r="E113" s="7" t="s">
        <v>87</v>
      </c>
      <c r="F113" s="7" t="s">
        <v>88</v>
      </c>
      <c r="G113" s="7" t="s">
        <v>147</v>
      </c>
      <c r="H113" s="7" t="s">
        <v>139</v>
      </c>
      <c r="I113" s="8" t="n">
        <v>45060</v>
      </c>
      <c r="J113" s="7" t="s">
        <v>130</v>
      </c>
    </row>
    <row r="114" customFormat="false" ht="15" hidden="false" customHeight="false" outlineLevel="0" collapsed="false">
      <c r="A114" s="7" t="s">
        <v>357</v>
      </c>
      <c r="B114" s="7" t="s">
        <v>358</v>
      </c>
      <c r="C114" s="7" t="s">
        <v>43</v>
      </c>
      <c r="D114" s="7" t="s">
        <v>44</v>
      </c>
      <c r="E114" s="7" t="s">
        <v>87</v>
      </c>
      <c r="F114" s="7" t="s">
        <v>88</v>
      </c>
      <c r="G114" s="7" t="s">
        <v>144</v>
      </c>
      <c r="H114" s="7" t="s">
        <v>139</v>
      </c>
      <c r="I114" s="8" t="n">
        <v>43034</v>
      </c>
      <c r="J114" s="7" t="s">
        <v>130</v>
      </c>
    </row>
    <row r="115" customFormat="false" ht="15" hidden="false" customHeight="false" outlineLevel="0" collapsed="false">
      <c r="A115" s="7" t="s">
        <v>359</v>
      </c>
      <c r="B115" s="7" t="s">
        <v>360</v>
      </c>
      <c r="C115" s="7" t="s">
        <v>43</v>
      </c>
      <c r="D115" s="7" t="s">
        <v>44</v>
      </c>
      <c r="E115" s="7" t="s">
        <v>65</v>
      </c>
      <c r="F115" s="7" t="s">
        <v>66</v>
      </c>
      <c r="G115" s="7" t="s">
        <v>128</v>
      </c>
      <c r="H115" s="7" t="s">
        <v>129</v>
      </c>
      <c r="I115" s="8" t="n">
        <v>42891</v>
      </c>
      <c r="J115" s="7" t="s">
        <v>130</v>
      </c>
    </row>
    <row r="116" customFormat="false" ht="15" hidden="false" customHeight="false" outlineLevel="0" collapsed="false">
      <c r="A116" s="7" t="s">
        <v>361</v>
      </c>
      <c r="B116" s="7" t="s">
        <v>362</v>
      </c>
      <c r="C116" s="7" t="s">
        <v>43</v>
      </c>
      <c r="D116" s="7" t="s">
        <v>44</v>
      </c>
      <c r="E116" s="7" t="s">
        <v>75</v>
      </c>
      <c r="F116" s="7" t="s">
        <v>76</v>
      </c>
      <c r="G116" s="7" t="s">
        <v>128</v>
      </c>
      <c r="H116" s="7" t="s">
        <v>129</v>
      </c>
      <c r="I116" s="8" t="n">
        <v>43218</v>
      </c>
      <c r="J116" s="7" t="s">
        <v>130</v>
      </c>
    </row>
    <row r="117" customFormat="false" ht="15" hidden="false" customHeight="false" outlineLevel="0" collapsed="false">
      <c r="A117" s="7" t="s">
        <v>363</v>
      </c>
      <c r="B117" s="7" t="s">
        <v>364</v>
      </c>
      <c r="C117" s="7" t="s">
        <v>46</v>
      </c>
      <c r="D117" s="7" t="s">
        <v>47</v>
      </c>
      <c r="E117" s="7" t="s">
        <v>68</v>
      </c>
      <c r="F117" s="7" t="s">
        <v>69</v>
      </c>
      <c r="G117" s="7" t="s">
        <v>133</v>
      </c>
      <c r="H117" s="7" t="s">
        <v>139</v>
      </c>
      <c r="I117" s="8" t="n">
        <v>42228</v>
      </c>
      <c r="J117" s="7" t="s">
        <v>130</v>
      </c>
    </row>
    <row r="118" customFormat="false" ht="15" hidden="false" customHeight="false" outlineLevel="0" collapsed="false">
      <c r="A118" s="7" t="s">
        <v>365</v>
      </c>
      <c r="B118" s="7" t="s">
        <v>242</v>
      </c>
      <c r="C118" s="7" t="s">
        <v>46</v>
      </c>
      <c r="D118" s="7" t="s">
        <v>47</v>
      </c>
      <c r="E118" s="7" t="s">
        <v>87</v>
      </c>
      <c r="F118" s="7" t="s">
        <v>88</v>
      </c>
      <c r="G118" s="7" t="s">
        <v>133</v>
      </c>
      <c r="H118" s="7" t="s">
        <v>129</v>
      </c>
      <c r="I118" s="8" t="n">
        <v>44356</v>
      </c>
      <c r="J118" s="7" t="s">
        <v>130</v>
      </c>
    </row>
    <row r="119" customFormat="false" ht="15" hidden="false" customHeight="false" outlineLevel="0" collapsed="false">
      <c r="A119" s="7" t="s">
        <v>366</v>
      </c>
      <c r="B119" s="7" t="s">
        <v>298</v>
      </c>
      <c r="C119" s="7" t="s">
        <v>46</v>
      </c>
      <c r="D119" s="7" t="s">
        <v>47</v>
      </c>
      <c r="E119" s="7" t="s">
        <v>79</v>
      </c>
      <c r="F119" s="7" t="s">
        <v>80</v>
      </c>
      <c r="G119" s="7" t="s">
        <v>133</v>
      </c>
      <c r="H119" s="7" t="s">
        <v>129</v>
      </c>
      <c r="I119" s="8" t="n">
        <v>43039</v>
      </c>
      <c r="J119" s="7" t="s">
        <v>167</v>
      </c>
    </row>
    <row r="120" customFormat="false" ht="15" hidden="false" customHeight="false" outlineLevel="0" collapsed="false">
      <c r="A120" s="7" t="s">
        <v>367</v>
      </c>
      <c r="B120" s="7" t="s">
        <v>368</v>
      </c>
      <c r="C120" s="7" t="s">
        <v>46</v>
      </c>
      <c r="D120" s="7" t="s">
        <v>47</v>
      </c>
      <c r="E120" s="7" t="s">
        <v>65</v>
      </c>
      <c r="F120" s="7" t="s">
        <v>66</v>
      </c>
      <c r="G120" s="7" t="s">
        <v>147</v>
      </c>
      <c r="H120" s="7" t="s">
        <v>139</v>
      </c>
      <c r="I120" s="8" t="n">
        <v>42308</v>
      </c>
      <c r="J120" s="7" t="s">
        <v>130</v>
      </c>
    </row>
    <row r="121" customFormat="false" ht="15" hidden="false" customHeight="false" outlineLevel="0" collapsed="false">
      <c r="A121" s="7" t="s">
        <v>369</v>
      </c>
      <c r="B121" s="7" t="s">
        <v>370</v>
      </c>
      <c r="C121" s="7" t="s">
        <v>46</v>
      </c>
      <c r="D121" s="7" t="s">
        <v>47</v>
      </c>
      <c r="E121" s="7" t="s">
        <v>68</v>
      </c>
      <c r="F121" s="7" t="s">
        <v>69</v>
      </c>
      <c r="G121" s="7" t="s">
        <v>133</v>
      </c>
      <c r="H121" s="7" t="s">
        <v>139</v>
      </c>
      <c r="I121" s="8" t="n">
        <v>43021</v>
      </c>
      <c r="J121" s="7" t="s">
        <v>130</v>
      </c>
    </row>
    <row r="122" customFormat="false" ht="15" hidden="false" customHeight="false" outlineLevel="0" collapsed="false">
      <c r="A122" s="7" t="s">
        <v>371</v>
      </c>
      <c r="B122" s="7" t="s">
        <v>372</v>
      </c>
      <c r="C122" s="7" t="s">
        <v>46</v>
      </c>
      <c r="D122" s="7" t="s">
        <v>47</v>
      </c>
      <c r="E122" s="7" t="s">
        <v>71</v>
      </c>
      <c r="F122" s="7" t="s">
        <v>72</v>
      </c>
      <c r="G122" s="7" t="s">
        <v>147</v>
      </c>
      <c r="H122" s="7" t="s">
        <v>139</v>
      </c>
      <c r="I122" s="8" t="n">
        <v>45726</v>
      </c>
      <c r="J122" s="7" t="s">
        <v>130</v>
      </c>
    </row>
    <row r="123" customFormat="false" ht="15" hidden="false" customHeight="false" outlineLevel="0" collapsed="false">
      <c r="A123" s="7" t="s">
        <v>373</v>
      </c>
      <c r="B123" s="7" t="s">
        <v>374</v>
      </c>
      <c r="C123" s="7" t="s">
        <v>46</v>
      </c>
      <c r="D123" s="7" t="s">
        <v>47</v>
      </c>
      <c r="E123" s="7" t="s">
        <v>75</v>
      </c>
      <c r="F123" s="7" t="s">
        <v>76</v>
      </c>
      <c r="G123" s="7" t="s">
        <v>156</v>
      </c>
      <c r="H123" s="7" t="s">
        <v>129</v>
      </c>
      <c r="I123" s="8" t="n">
        <v>45036</v>
      </c>
      <c r="J123" s="7" t="s">
        <v>130</v>
      </c>
    </row>
    <row r="124" customFormat="false" ht="15" hidden="false" customHeight="false" outlineLevel="0" collapsed="false">
      <c r="A124" s="7" t="s">
        <v>375</v>
      </c>
      <c r="B124" s="7" t="s">
        <v>376</v>
      </c>
      <c r="C124" s="7" t="s">
        <v>46</v>
      </c>
      <c r="D124" s="7" t="s">
        <v>47</v>
      </c>
      <c r="E124" s="7" t="s">
        <v>71</v>
      </c>
      <c r="F124" s="7" t="s">
        <v>72</v>
      </c>
      <c r="G124" s="7" t="s">
        <v>136</v>
      </c>
      <c r="H124" s="7" t="s">
        <v>139</v>
      </c>
      <c r="I124" s="8" t="n">
        <v>42337</v>
      </c>
      <c r="J124" s="7" t="s">
        <v>130</v>
      </c>
    </row>
    <row r="125" customFormat="false" ht="15" hidden="false" customHeight="false" outlineLevel="0" collapsed="false">
      <c r="A125" s="7" t="s">
        <v>377</v>
      </c>
      <c r="B125" s="7" t="s">
        <v>378</v>
      </c>
      <c r="C125" s="7" t="s">
        <v>46</v>
      </c>
      <c r="D125" s="7" t="s">
        <v>47</v>
      </c>
      <c r="E125" s="7" t="s">
        <v>65</v>
      </c>
      <c r="F125" s="7" t="s">
        <v>66</v>
      </c>
      <c r="G125" s="7" t="s">
        <v>133</v>
      </c>
      <c r="H125" s="7" t="s">
        <v>129</v>
      </c>
      <c r="I125" s="8" t="n">
        <v>43678</v>
      </c>
      <c r="J125" s="7" t="s">
        <v>130</v>
      </c>
    </row>
    <row r="126" customFormat="false" ht="15" hidden="false" customHeight="false" outlineLevel="0" collapsed="false">
      <c r="A126" s="7" t="s">
        <v>379</v>
      </c>
      <c r="B126" s="7" t="s">
        <v>380</v>
      </c>
      <c r="C126" s="7" t="s">
        <v>46</v>
      </c>
      <c r="D126" s="7" t="s">
        <v>47</v>
      </c>
      <c r="E126" s="7" t="s">
        <v>75</v>
      </c>
      <c r="F126" s="7" t="s">
        <v>76</v>
      </c>
      <c r="G126" s="7" t="s">
        <v>128</v>
      </c>
      <c r="H126" s="7" t="s">
        <v>129</v>
      </c>
      <c r="I126" s="8" t="n">
        <v>43185</v>
      </c>
      <c r="J126" s="7" t="s">
        <v>130</v>
      </c>
    </row>
    <row r="127" customFormat="false" ht="15" hidden="false" customHeight="false" outlineLevel="0" collapsed="false">
      <c r="A127" s="7" t="s">
        <v>381</v>
      </c>
      <c r="B127" s="7" t="s">
        <v>382</v>
      </c>
      <c r="C127" s="7" t="s">
        <v>46</v>
      </c>
      <c r="D127" s="7" t="s">
        <v>47</v>
      </c>
      <c r="E127" s="7" t="s">
        <v>71</v>
      </c>
      <c r="F127" s="7" t="s">
        <v>72</v>
      </c>
      <c r="G127" s="7" t="s">
        <v>136</v>
      </c>
      <c r="H127" s="7" t="s">
        <v>139</v>
      </c>
      <c r="I127" s="8" t="n">
        <v>44420</v>
      </c>
      <c r="J127" s="7" t="s">
        <v>130</v>
      </c>
    </row>
    <row r="128" customFormat="false" ht="15" hidden="false" customHeight="false" outlineLevel="0" collapsed="false">
      <c r="A128" s="7" t="s">
        <v>383</v>
      </c>
      <c r="B128" s="7" t="s">
        <v>384</v>
      </c>
      <c r="C128" s="7" t="s">
        <v>46</v>
      </c>
      <c r="D128" s="7" t="s">
        <v>47</v>
      </c>
      <c r="E128" s="7" t="s">
        <v>65</v>
      </c>
      <c r="F128" s="7" t="s">
        <v>66</v>
      </c>
      <c r="G128" s="7" t="s">
        <v>136</v>
      </c>
      <c r="H128" s="7" t="s">
        <v>129</v>
      </c>
      <c r="I128" s="8" t="n">
        <v>42615</v>
      </c>
      <c r="J128" s="7" t="s">
        <v>167</v>
      </c>
    </row>
    <row r="129" customFormat="false" ht="15" hidden="false" customHeight="false" outlineLevel="0" collapsed="false">
      <c r="A129" s="7" t="s">
        <v>385</v>
      </c>
      <c r="B129" s="7" t="s">
        <v>386</v>
      </c>
      <c r="C129" s="7" t="s">
        <v>46</v>
      </c>
      <c r="D129" s="7" t="s">
        <v>47</v>
      </c>
      <c r="E129" s="7" t="s">
        <v>60</v>
      </c>
      <c r="F129" s="7" t="s">
        <v>61</v>
      </c>
      <c r="G129" s="7" t="s">
        <v>144</v>
      </c>
      <c r="H129" s="7" t="s">
        <v>129</v>
      </c>
      <c r="I129" s="8" t="n">
        <v>44442</v>
      </c>
      <c r="J129" s="7" t="s">
        <v>130</v>
      </c>
    </row>
    <row r="130" customFormat="false" ht="15" hidden="false" customHeight="false" outlineLevel="0" collapsed="false">
      <c r="A130" s="7" t="s">
        <v>387</v>
      </c>
      <c r="B130" s="7" t="s">
        <v>388</v>
      </c>
      <c r="C130" s="7" t="s">
        <v>49</v>
      </c>
      <c r="D130" s="7" t="s">
        <v>50</v>
      </c>
      <c r="E130" s="7" t="s">
        <v>65</v>
      </c>
      <c r="F130" s="7" t="s">
        <v>66</v>
      </c>
      <c r="G130" s="7" t="s">
        <v>136</v>
      </c>
      <c r="H130" s="7" t="s">
        <v>139</v>
      </c>
      <c r="I130" s="8" t="n">
        <v>43250</v>
      </c>
      <c r="J130" s="7" t="s">
        <v>130</v>
      </c>
    </row>
    <row r="131" customFormat="false" ht="15" hidden="false" customHeight="false" outlineLevel="0" collapsed="false">
      <c r="A131" s="7" t="s">
        <v>389</v>
      </c>
      <c r="B131" s="7" t="s">
        <v>390</v>
      </c>
      <c r="C131" s="7" t="s">
        <v>49</v>
      </c>
      <c r="D131" s="7" t="s">
        <v>50</v>
      </c>
      <c r="E131" s="7" t="s">
        <v>87</v>
      </c>
      <c r="F131" s="7" t="s">
        <v>88</v>
      </c>
      <c r="G131" s="7" t="s">
        <v>133</v>
      </c>
      <c r="H131" s="7" t="s">
        <v>139</v>
      </c>
      <c r="I131" s="8" t="n">
        <v>44454</v>
      </c>
      <c r="J131" s="7" t="s">
        <v>130</v>
      </c>
    </row>
    <row r="132" customFormat="false" ht="15" hidden="false" customHeight="false" outlineLevel="0" collapsed="false">
      <c r="A132" s="7" t="s">
        <v>391</v>
      </c>
      <c r="B132" s="7" t="s">
        <v>392</v>
      </c>
      <c r="C132" s="7" t="s">
        <v>49</v>
      </c>
      <c r="D132" s="7" t="s">
        <v>50</v>
      </c>
      <c r="E132" s="7" t="s">
        <v>79</v>
      </c>
      <c r="F132" s="7" t="s">
        <v>80</v>
      </c>
      <c r="G132" s="7" t="s">
        <v>133</v>
      </c>
      <c r="H132" s="7" t="s">
        <v>139</v>
      </c>
      <c r="I132" s="8" t="n">
        <v>42379</v>
      </c>
      <c r="J132" s="7" t="s">
        <v>130</v>
      </c>
    </row>
    <row r="133" customFormat="false" ht="15" hidden="false" customHeight="false" outlineLevel="0" collapsed="false">
      <c r="A133" s="7" t="s">
        <v>393</v>
      </c>
      <c r="B133" s="7" t="s">
        <v>198</v>
      </c>
      <c r="C133" s="7" t="s">
        <v>49</v>
      </c>
      <c r="D133" s="7" t="s">
        <v>50</v>
      </c>
      <c r="E133" s="7" t="s">
        <v>60</v>
      </c>
      <c r="F133" s="7" t="s">
        <v>61</v>
      </c>
      <c r="G133" s="7" t="s">
        <v>156</v>
      </c>
      <c r="H133" s="7" t="s">
        <v>139</v>
      </c>
      <c r="I133" s="8" t="n">
        <v>42169</v>
      </c>
      <c r="J133" s="7" t="s">
        <v>130</v>
      </c>
    </row>
    <row r="134" customFormat="false" ht="15" hidden="false" customHeight="false" outlineLevel="0" collapsed="false">
      <c r="A134" s="7" t="s">
        <v>394</v>
      </c>
      <c r="B134" s="7" t="s">
        <v>348</v>
      </c>
      <c r="C134" s="7" t="s">
        <v>49</v>
      </c>
      <c r="D134" s="7" t="s">
        <v>50</v>
      </c>
      <c r="E134" s="7" t="s">
        <v>87</v>
      </c>
      <c r="F134" s="7" t="s">
        <v>88</v>
      </c>
      <c r="G134" s="7" t="s">
        <v>128</v>
      </c>
      <c r="H134" s="7" t="s">
        <v>139</v>
      </c>
      <c r="I134" s="8" t="n">
        <v>44402</v>
      </c>
      <c r="J134" s="7" t="s">
        <v>130</v>
      </c>
    </row>
    <row r="135" customFormat="false" ht="15" hidden="false" customHeight="false" outlineLevel="0" collapsed="false">
      <c r="A135" s="7" t="s">
        <v>395</v>
      </c>
      <c r="B135" s="7" t="s">
        <v>396</v>
      </c>
      <c r="C135" s="7" t="s">
        <v>49</v>
      </c>
      <c r="D135" s="7" t="s">
        <v>50</v>
      </c>
      <c r="E135" s="7" t="s">
        <v>87</v>
      </c>
      <c r="F135" s="7" t="s">
        <v>88</v>
      </c>
      <c r="G135" s="7" t="s">
        <v>147</v>
      </c>
      <c r="H135" s="7" t="s">
        <v>139</v>
      </c>
      <c r="I135" s="8" t="n">
        <v>43370</v>
      </c>
      <c r="J135" s="7" t="s">
        <v>130</v>
      </c>
    </row>
    <row r="136" customFormat="false" ht="15" hidden="false" customHeight="false" outlineLevel="0" collapsed="false">
      <c r="A136" s="7" t="s">
        <v>397</v>
      </c>
      <c r="B136" s="7" t="s">
        <v>398</v>
      </c>
      <c r="C136" s="7" t="s">
        <v>49</v>
      </c>
      <c r="D136" s="7" t="s">
        <v>50</v>
      </c>
      <c r="E136" s="7" t="s">
        <v>68</v>
      </c>
      <c r="F136" s="7" t="s">
        <v>69</v>
      </c>
      <c r="G136" s="7" t="s">
        <v>147</v>
      </c>
      <c r="H136" s="7" t="s">
        <v>139</v>
      </c>
      <c r="I136" s="8" t="n">
        <v>44846</v>
      </c>
      <c r="J136" s="7" t="s">
        <v>130</v>
      </c>
    </row>
    <row r="137" customFormat="false" ht="15" hidden="false" customHeight="false" outlineLevel="0" collapsed="false">
      <c r="A137" s="7" t="s">
        <v>399</v>
      </c>
      <c r="B137" s="7" t="s">
        <v>400</v>
      </c>
      <c r="C137" s="7" t="s">
        <v>49</v>
      </c>
      <c r="D137" s="7" t="s">
        <v>50</v>
      </c>
      <c r="E137" s="7" t="s">
        <v>60</v>
      </c>
      <c r="F137" s="7" t="s">
        <v>61</v>
      </c>
      <c r="G137" s="7" t="s">
        <v>133</v>
      </c>
      <c r="H137" s="7" t="s">
        <v>139</v>
      </c>
      <c r="I137" s="8" t="n">
        <v>43293</v>
      </c>
      <c r="J137" s="7" t="s">
        <v>130</v>
      </c>
    </row>
    <row r="138" customFormat="false" ht="15" hidden="false" customHeight="false" outlineLevel="0" collapsed="false">
      <c r="A138" s="7" t="s">
        <v>401</v>
      </c>
      <c r="B138" s="7" t="s">
        <v>330</v>
      </c>
      <c r="C138" s="7" t="s">
        <v>49</v>
      </c>
      <c r="D138" s="7" t="s">
        <v>50</v>
      </c>
      <c r="E138" s="7" t="s">
        <v>83</v>
      </c>
      <c r="F138" s="7" t="s">
        <v>84</v>
      </c>
      <c r="G138" s="7" t="s">
        <v>136</v>
      </c>
      <c r="H138" s="7" t="s">
        <v>129</v>
      </c>
      <c r="I138" s="8" t="n">
        <v>45565</v>
      </c>
      <c r="J138" s="7" t="s">
        <v>130</v>
      </c>
    </row>
    <row r="139" customFormat="false" ht="15" hidden="false" customHeight="false" outlineLevel="0" collapsed="false">
      <c r="A139" s="7" t="s">
        <v>402</v>
      </c>
      <c r="B139" s="7" t="s">
        <v>403</v>
      </c>
      <c r="C139" s="7" t="s">
        <v>49</v>
      </c>
      <c r="D139" s="7" t="s">
        <v>50</v>
      </c>
      <c r="E139" s="7" t="s">
        <v>71</v>
      </c>
      <c r="F139" s="7" t="s">
        <v>72</v>
      </c>
      <c r="G139" s="7" t="s">
        <v>156</v>
      </c>
      <c r="H139" s="7" t="s">
        <v>139</v>
      </c>
      <c r="I139" s="8" t="n">
        <v>45103</v>
      </c>
      <c r="J139" s="7" t="s">
        <v>130</v>
      </c>
    </row>
    <row r="140" customFormat="false" ht="15" hidden="false" customHeight="false" outlineLevel="0" collapsed="false">
      <c r="A140" s="7" t="s">
        <v>404</v>
      </c>
      <c r="B140" s="7" t="s">
        <v>405</v>
      </c>
      <c r="C140" s="7" t="s">
        <v>49</v>
      </c>
      <c r="D140" s="7" t="s">
        <v>50</v>
      </c>
      <c r="E140" s="7" t="s">
        <v>60</v>
      </c>
      <c r="F140" s="7" t="s">
        <v>61</v>
      </c>
      <c r="G140" s="7" t="s">
        <v>144</v>
      </c>
      <c r="H140" s="7" t="s">
        <v>129</v>
      </c>
      <c r="I140" s="8" t="n">
        <v>44254</v>
      </c>
      <c r="J140" s="7" t="s">
        <v>130</v>
      </c>
    </row>
    <row r="141" customFormat="false" ht="15" hidden="false" customHeight="false" outlineLevel="0" collapsed="false">
      <c r="A141" s="7" t="s">
        <v>406</v>
      </c>
      <c r="B141" s="7" t="s">
        <v>388</v>
      </c>
      <c r="C141" s="7" t="s">
        <v>49</v>
      </c>
      <c r="D141" s="7" t="s">
        <v>50</v>
      </c>
      <c r="E141" s="7" t="s">
        <v>87</v>
      </c>
      <c r="F141" s="7" t="s">
        <v>88</v>
      </c>
      <c r="G141" s="7" t="s">
        <v>133</v>
      </c>
      <c r="H141" s="7" t="s">
        <v>129</v>
      </c>
      <c r="I141" s="8" t="n">
        <v>44585</v>
      </c>
      <c r="J141" s="7" t="s">
        <v>130</v>
      </c>
    </row>
    <row r="142" customFormat="false" ht="15" hidden="false" customHeight="false" outlineLevel="0" collapsed="false">
      <c r="A142" s="7" t="s">
        <v>407</v>
      </c>
      <c r="B142" s="7" t="s">
        <v>408</v>
      </c>
      <c r="C142" s="7" t="s">
        <v>49</v>
      </c>
      <c r="D142" s="7" t="s">
        <v>50</v>
      </c>
      <c r="E142" s="7" t="s">
        <v>68</v>
      </c>
      <c r="F142" s="7" t="s">
        <v>69</v>
      </c>
      <c r="G142" s="7" t="s">
        <v>156</v>
      </c>
      <c r="H142" s="7" t="s">
        <v>139</v>
      </c>
      <c r="I142" s="8" t="n">
        <v>42061</v>
      </c>
      <c r="J142" s="7" t="s">
        <v>130</v>
      </c>
    </row>
    <row r="143" customFormat="false" ht="15" hidden="false" customHeight="false" outlineLevel="0" collapsed="false">
      <c r="A143" s="7" t="s">
        <v>409</v>
      </c>
      <c r="B143" s="7" t="s">
        <v>410</v>
      </c>
      <c r="C143" s="7" t="s">
        <v>49</v>
      </c>
      <c r="D143" s="7" t="s">
        <v>50</v>
      </c>
      <c r="E143" s="7" t="s">
        <v>65</v>
      </c>
      <c r="F143" s="7" t="s">
        <v>66</v>
      </c>
      <c r="G143" s="7" t="s">
        <v>133</v>
      </c>
      <c r="H143" s="7" t="s">
        <v>139</v>
      </c>
      <c r="I143" s="8" t="n">
        <v>44658</v>
      </c>
      <c r="J143" s="7" t="s">
        <v>130</v>
      </c>
    </row>
    <row r="144" customFormat="false" ht="15" hidden="false" customHeight="false" outlineLevel="0" collapsed="false">
      <c r="A144" s="7" t="s">
        <v>411</v>
      </c>
      <c r="B144" s="7" t="s">
        <v>412</v>
      </c>
      <c r="C144" s="7" t="s">
        <v>49</v>
      </c>
      <c r="D144" s="7" t="s">
        <v>50</v>
      </c>
      <c r="E144" s="7" t="s">
        <v>75</v>
      </c>
      <c r="F144" s="7" t="s">
        <v>76</v>
      </c>
      <c r="G144" s="7" t="s">
        <v>147</v>
      </c>
      <c r="H144" s="7" t="s">
        <v>139</v>
      </c>
      <c r="I144" s="8" t="n">
        <v>45424</v>
      </c>
      <c r="J144" s="7" t="s">
        <v>130</v>
      </c>
    </row>
    <row r="145" customFormat="false" ht="15" hidden="false" customHeight="false" outlineLevel="0" collapsed="false">
      <c r="A145" s="7" t="s">
        <v>413</v>
      </c>
      <c r="B145" s="7" t="s">
        <v>258</v>
      </c>
      <c r="C145" s="7" t="s">
        <v>49</v>
      </c>
      <c r="D145" s="7" t="s">
        <v>50</v>
      </c>
      <c r="E145" s="7" t="s">
        <v>87</v>
      </c>
      <c r="F145" s="7" t="s">
        <v>88</v>
      </c>
      <c r="G145" s="7" t="s">
        <v>147</v>
      </c>
      <c r="H145" s="7" t="s">
        <v>129</v>
      </c>
      <c r="I145" s="8" t="n">
        <v>42785</v>
      </c>
      <c r="J145" s="7" t="s">
        <v>167</v>
      </c>
    </row>
    <row r="146" customFormat="false" ht="15" hidden="false" customHeight="false" outlineLevel="0" collapsed="false">
      <c r="A146" s="7" t="s">
        <v>414</v>
      </c>
      <c r="B146" s="7" t="s">
        <v>415</v>
      </c>
      <c r="C146" s="7" t="s">
        <v>52</v>
      </c>
      <c r="D146" s="7" t="s">
        <v>53</v>
      </c>
      <c r="E146" s="7" t="s">
        <v>65</v>
      </c>
      <c r="F146" s="7" t="s">
        <v>66</v>
      </c>
      <c r="G146" s="7" t="s">
        <v>147</v>
      </c>
      <c r="H146" s="7" t="s">
        <v>139</v>
      </c>
      <c r="I146" s="8" t="n">
        <v>43397</v>
      </c>
      <c r="J146" s="7" t="s">
        <v>167</v>
      </c>
    </row>
    <row r="147" customFormat="false" ht="15" hidden="false" customHeight="false" outlineLevel="0" collapsed="false">
      <c r="A147" s="7" t="s">
        <v>416</v>
      </c>
      <c r="B147" s="7" t="s">
        <v>417</v>
      </c>
      <c r="C147" s="7" t="s">
        <v>52</v>
      </c>
      <c r="D147" s="7" t="s">
        <v>53</v>
      </c>
      <c r="E147" s="7" t="s">
        <v>60</v>
      </c>
      <c r="F147" s="7" t="s">
        <v>61</v>
      </c>
      <c r="G147" s="7" t="s">
        <v>136</v>
      </c>
      <c r="H147" s="7" t="s">
        <v>139</v>
      </c>
      <c r="I147" s="8" t="n">
        <v>43227</v>
      </c>
      <c r="J147" s="7" t="s">
        <v>130</v>
      </c>
    </row>
    <row r="148" customFormat="false" ht="15" hidden="false" customHeight="false" outlineLevel="0" collapsed="false">
      <c r="A148" s="7" t="s">
        <v>418</v>
      </c>
      <c r="B148" s="7" t="s">
        <v>419</v>
      </c>
      <c r="C148" s="7" t="s">
        <v>52</v>
      </c>
      <c r="D148" s="7" t="s">
        <v>53</v>
      </c>
      <c r="E148" s="7" t="s">
        <v>87</v>
      </c>
      <c r="F148" s="7" t="s">
        <v>88</v>
      </c>
      <c r="G148" s="7" t="s">
        <v>147</v>
      </c>
      <c r="H148" s="7" t="s">
        <v>129</v>
      </c>
      <c r="I148" s="8" t="n">
        <v>44211</v>
      </c>
      <c r="J148" s="7" t="s">
        <v>130</v>
      </c>
    </row>
    <row r="149" customFormat="false" ht="15" hidden="false" customHeight="false" outlineLevel="0" collapsed="false">
      <c r="A149" s="7" t="s">
        <v>420</v>
      </c>
      <c r="B149" s="7" t="s">
        <v>421</v>
      </c>
      <c r="C149" s="7" t="s">
        <v>52</v>
      </c>
      <c r="D149" s="7" t="s">
        <v>53</v>
      </c>
      <c r="E149" s="7" t="s">
        <v>83</v>
      </c>
      <c r="F149" s="7" t="s">
        <v>84</v>
      </c>
      <c r="G149" s="7" t="s">
        <v>144</v>
      </c>
      <c r="H149" s="7" t="s">
        <v>139</v>
      </c>
      <c r="I149" s="8" t="n">
        <v>45566</v>
      </c>
      <c r="J149" s="7" t="s">
        <v>130</v>
      </c>
    </row>
    <row r="150" customFormat="false" ht="15" hidden="false" customHeight="false" outlineLevel="0" collapsed="false">
      <c r="A150" s="7" t="s">
        <v>422</v>
      </c>
      <c r="B150" s="7" t="s">
        <v>423</v>
      </c>
      <c r="C150" s="7" t="s">
        <v>52</v>
      </c>
      <c r="D150" s="7" t="s">
        <v>53</v>
      </c>
      <c r="E150" s="7" t="s">
        <v>83</v>
      </c>
      <c r="F150" s="7" t="s">
        <v>84</v>
      </c>
      <c r="G150" s="7" t="s">
        <v>147</v>
      </c>
      <c r="H150" s="7" t="s">
        <v>129</v>
      </c>
      <c r="I150" s="8" t="n">
        <v>42183</v>
      </c>
      <c r="J150" s="7" t="s">
        <v>130</v>
      </c>
    </row>
    <row r="151" customFormat="false" ht="15" hidden="false" customHeight="false" outlineLevel="0" collapsed="false">
      <c r="A151" s="7" t="s">
        <v>424</v>
      </c>
      <c r="B151" s="7" t="s">
        <v>425</v>
      </c>
      <c r="C151" s="7" t="s">
        <v>52</v>
      </c>
      <c r="D151" s="7" t="s">
        <v>53</v>
      </c>
      <c r="E151" s="7" t="s">
        <v>83</v>
      </c>
      <c r="F151" s="7" t="s">
        <v>84</v>
      </c>
      <c r="G151" s="7" t="s">
        <v>136</v>
      </c>
      <c r="H151" s="7" t="s">
        <v>139</v>
      </c>
      <c r="I151" s="8" t="n">
        <v>45250</v>
      </c>
      <c r="J151" s="7" t="s">
        <v>130</v>
      </c>
    </row>
    <row r="152" customFormat="false" ht="15" hidden="false" customHeight="false" outlineLevel="0" collapsed="false">
      <c r="A152" s="7" t="s">
        <v>426</v>
      </c>
      <c r="B152" s="7" t="s">
        <v>427</v>
      </c>
      <c r="C152" s="7" t="s">
        <v>52</v>
      </c>
      <c r="D152" s="7" t="s">
        <v>53</v>
      </c>
      <c r="E152" s="7" t="s">
        <v>60</v>
      </c>
      <c r="F152" s="7" t="s">
        <v>61</v>
      </c>
      <c r="G152" s="7" t="s">
        <v>156</v>
      </c>
      <c r="H152" s="7" t="s">
        <v>129</v>
      </c>
      <c r="I152" s="8" t="n">
        <v>44422</v>
      </c>
      <c r="J152" s="7" t="s">
        <v>130</v>
      </c>
    </row>
    <row r="153" customFormat="false" ht="15" hidden="false" customHeight="false" outlineLevel="0" collapsed="false">
      <c r="A153" s="7" t="s">
        <v>428</v>
      </c>
      <c r="B153" s="7" t="s">
        <v>398</v>
      </c>
      <c r="C153" s="7" t="s">
        <v>52</v>
      </c>
      <c r="D153" s="7" t="s">
        <v>53</v>
      </c>
      <c r="E153" s="7" t="s">
        <v>87</v>
      </c>
      <c r="F153" s="7" t="s">
        <v>88</v>
      </c>
      <c r="G153" s="7" t="s">
        <v>156</v>
      </c>
      <c r="H153" s="7" t="s">
        <v>129</v>
      </c>
      <c r="I153" s="8" t="n">
        <v>45734</v>
      </c>
      <c r="J153" s="7" t="s">
        <v>130</v>
      </c>
    </row>
    <row r="154" customFormat="false" ht="15" hidden="false" customHeight="false" outlineLevel="0" collapsed="false">
      <c r="A154" s="7" t="s">
        <v>429</v>
      </c>
      <c r="B154" s="7" t="s">
        <v>430</v>
      </c>
      <c r="C154" s="7" t="s">
        <v>52</v>
      </c>
      <c r="D154" s="7" t="s">
        <v>53</v>
      </c>
      <c r="E154" s="7" t="s">
        <v>68</v>
      </c>
      <c r="F154" s="7" t="s">
        <v>69</v>
      </c>
      <c r="G154" s="7" t="s">
        <v>147</v>
      </c>
      <c r="H154" s="7" t="s">
        <v>129</v>
      </c>
      <c r="I154" s="8" t="n">
        <v>45206</v>
      </c>
      <c r="J154" s="7" t="s">
        <v>167</v>
      </c>
    </row>
    <row r="155" customFormat="false" ht="15" hidden="false" customHeight="false" outlineLevel="0" collapsed="false">
      <c r="A155" s="7" t="s">
        <v>431</v>
      </c>
      <c r="B155" s="7" t="s">
        <v>272</v>
      </c>
      <c r="C155" s="7" t="s">
        <v>52</v>
      </c>
      <c r="D155" s="7" t="s">
        <v>53</v>
      </c>
      <c r="E155" s="7" t="s">
        <v>83</v>
      </c>
      <c r="F155" s="7" t="s">
        <v>84</v>
      </c>
      <c r="G155" s="7" t="s">
        <v>144</v>
      </c>
      <c r="H155" s="7" t="s">
        <v>129</v>
      </c>
      <c r="I155" s="8" t="n">
        <v>45496</v>
      </c>
      <c r="J155" s="7" t="s">
        <v>130</v>
      </c>
    </row>
    <row r="156" customFormat="false" ht="15" hidden="false" customHeight="false" outlineLevel="0" collapsed="false">
      <c r="A156" s="7" t="s">
        <v>432</v>
      </c>
      <c r="B156" s="7" t="s">
        <v>433</v>
      </c>
      <c r="C156" s="7" t="s">
        <v>52</v>
      </c>
      <c r="D156" s="7" t="s">
        <v>53</v>
      </c>
      <c r="E156" s="7" t="s">
        <v>79</v>
      </c>
      <c r="F156" s="7" t="s">
        <v>80</v>
      </c>
      <c r="G156" s="7" t="s">
        <v>156</v>
      </c>
      <c r="H156" s="7" t="s">
        <v>139</v>
      </c>
      <c r="I156" s="8" t="n">
        <v>42152</v>
      </c>
      <c r="J156" s="7" t="s">
        <v>130</v>
      </c>
    </row>
    <row r="157" customFormat="false" ht="15" hidden="false" customHeight="false" outlineLevel="0" collapsed="false">
      <c r="A157" s="7" t="s">
        <v>434</v>
      </c>
      <c r="B157" s="7" t="s">
        <v>435</v>
      </c>
      <c r="C157" s="7" t="s">
        <v>52</v>
      </c>
      <c r="D157" s="7" t="s">
        <v>53</v>
      </c>
      <c r="E157" s="7" t="s">
        <v>75</v>
      </c>
      <c r="F157" s="7" t="s">
        <v>76</v>
      </c>
      <c r="G157" s="7" t="s">
        <v>136</v>
      </c>
      <c r="H157" s="7" t="s">
        <v>129</v>
      </c>
      <c r="I157" s="8" t="n">
        <v>42375</v>
      </c>
      <c r="J157" s="7" t="s">
        <v>130</v>
      </c>
    </row>
    <row r="158" customFormat="false" ht="15" hidden="false" customHeight="false" outlineLevel="0" collapsed="false">
      <c r="A158" s="7" t="s">
        <v>436</v>
      </c>
      <c r="B158" s="7" t="s">
        <v>437</v>
      </c>
      <c r="C158" s="7" t="s">
        <v>52</v>
      </c>
      <c r="D158" s="7" t="s">
        <v>53</v>
      </c>
      <c r="E158" s="7" t="s">
        <v>65</v>
      </c>
      <c r="F158" s="7" t="s">
        <v>66</v>
      </c>
      <c r="G158" s="7" t="s">
        <v>128</v>
      </c>
      <c r="H158" s="7" t="s">
        <v>139</v>
      </c>
      <c r="I158" s="8" t="n">
        <v>44847</v>
      </c>
      <c r="J158" s="7" t="s">
        <v>130</v>
      </c>
    </row>
    <row r="159" customFormat="false" ht="15" hidden="false" customHeight="false" outlineLevel="0" collapsed="false">
      <c r="A159" s="7" t="s">
        <v>438</v>
      </c>
      <c r="B159" s="7" t="s">
        <v>439</v>
      </c>
      <c r="C159" s="7" t="s">
        <v>52</v>
      </c>
      <c r="D159" s="7" t="s">
        <v>53</v>
      </c>
      <c r="E159" s="7" t="s">
        <v>79</v>
      </c>
      <c r="F159" s="7" t="s">
        <v>80</v>
      </c>
      <c r="G159" s="7" t="s">
        <v>144</v>
      </c>
      <c r="H159" s="7" t="s">
        <v>129</v>
      </c>
      <c r="I159" s="8" t="n">
        <v>43473</v>
      </c>
      <c r="J159" s="7" t="s">
        <v>130</v>
      </c>
    </row>
    <row r="160" customFormat="false" ht="15" hidden="false" customHeight="false" outlineLevel="0" collapsed="false">
      <c r="A160" s="7" t="s">
        <v>440</v>
      </c>
      <c r="B160" s="7" t="s">
        <v>326</v>
      </c>
      <c r="C160" s="7" t="s">
        <v>52</v>
      </c>
      <c r="D160" s="7" t="s">
        <v>53</v>
      </c>
      <c r="E160" s="7" t="s">
        <v>83</v>
      </c>
      <c r="F160" s="7" t="s">
        <v>84</v>
      </c>
      <c r="G160" s="7" t="s">
        <v>128</v>
      </c>
      <c r="H160" s="7" t="s">
        <v>129</v>
      </c>
      <c r="I160" s="8" t="n">
        <v>42722</v>
      </c>
      <c r="J160" s="7" t="s">
        <v>130</v>
      </c>
    </row>
    <row r="161" customFormat="false" ht="15" hidden="false" customHeight="false" outlineLevel="0" collapsed="false">
      <c r="A161" s="7" t="s">
        <v>441</v>
      </c>
      <c r="B161" s="7" t="s">
        <v>442</v>
      </c>
      <c r="C161" s="7" t="s">
        <v>52</v>
      </c>
      <c r="D161" s="7" t="s">
        <v>53</v>
      </c>
      <c r="E161" s="7" t="s">
        <v>71</v>
      </c>
      <c r="F161" s="7" t="s">
        <v>72</v>
      </c>
      <c r="G161" s="7" t="s">
        <v>156</v>
      </c>
      <c r="H161" s="7" t="s">
        <v>139</v>
      </c>
      <c r="I161" s="8" t="n">
        <v>42591</v>
      </c>
      <c r="J161" s="7" t="s">
        <v>130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4" min="3" style="0" width="10"/>
    <col collapsed="false" customWidth="true" hidden="false" outlineLevel="0" max="5" min="5" style="0" width="13"/>
    <col collapsed="false" customWidth="true" hidden="false" outlineLevel="0" max="6" min="6" style="0" width="11"/>
    <col collapsed="false" customWidth="true" hidden="false" outlineLevel="0" max="7" min="7" style="0" width="9"/>
    <col collapsed="false" customWidth="true" hidden="false" outlineLevel="0" max="8" min="8" style="0" width="16"/>
    <col collapsed="false" customWidth="true" hidden="false" outlineLevel="0" max="10" min="9" style="0" width="17"/>
    <col collapsed="false" customWidth="true" hidden="false" outlineLevel="0" max="11" min="11" style="0" width="12"/>
    <col collapsed="false" customWidth="true" hidden="false" outlineLevel="0" max="12" min="12" style="0" width="20"/>
    <col collapsed="false" customWidth="true" hidden="false" outlineLevel="0" max="13" min="13" style="0" width="14"/>
    <col collapsed="false" customWidth="true" hidden="false" outlineLevel="0" max="14" min="14" style="0" width="12"/>
  </cols>
  <sheetData>
    <row r="1" customFormat="false" ht="23.85" hidden="false" customHeight="false" outlineLevel="0" collapsed="false">
      <c r="A1" s="6" t="s">
        <v>443</v>
      </c>
      <c r="B1" s="6" t="s">
        <v>444</v>
      </c>
      <c r="C1" s="6" t="s">
        <v>55</v>
      </c>
      <c r="D1" s="6" t="s">
        <v>91</v>
      </c>
      <c r="E1" s="6" t="s">
        <v>445</v>
      </c>
      <c r="F1" s="6" t="s">
        <v>446</v>
      </c>
      <c r="G1" s="6" t="s">
        <v>21</v>
      </c>
      <c r="H1" s="6" t="s">
        <v>447</v>
      </c>
      <c r="I1" s="6" t="s">
        <v>448</v>
      </c>
      <c r="J1" s="6" t="s">
        <v>449</v>
      </c>
      <c r="K1" s="6" t="s">
        <v>450</v>
      </c>
      <c r="L1" s="6" t="s">
        <v>451</v>
      </c>
      <c r="M1" s="6" t="s">
        <v>452</v>
      </c>
      <c r="N1" s="6" t="s">
        <v>453</v>
      </c>
    </row>
    <row r="2" customFormat="false" ht="15" hidden="false" customHeight="false" outlineLevel="0" collapsed="false">
      <c r="A2" s="7" t="s">
        <v>454</v>
      </c>
      <c r="B2" s="8" t="n">
        <v>45601</v>
      </c>
      <c r="C2" s="7" t="s">
        <v>68</v>
      </c>
      <c r="D2" s="7" t="s">
        <v>95</v>
      </c>
      <c r="E2" s="7" t="s">
        <v>455</v>
      </c>
      <c r="F2" s="7" t="s">
        <v>456</v>
      </c>
      <c r="G2" s="7" t="s">
        <v>25</v>
      </c>
      <c r="H2" s="7" t="s">
        <v>137</v>
      </c>
      <c r="I2" s="7" t="n">
        <v>5995</v>
      </c>
      <c r="J2" s="7" t="n">
        <v>4806</v>
      </c>
      <c r="K2" s="7" t="n">
        <v>3.5</v>
      </c>
      <c r="L2" s="7" t="s">
        <v>457</v>
      </c>
      <c r="M2" s="7" t="n">
        <v>34</v>
      </c>
      <c r="N2" s="9" t="n">
        <f aca="false">ROUND(J2/I2,3)</f>
        <v>0.802</v>
      </c>
    </row>
    <row r="3" customFormat="false" ht="15" hidden="false" customHeight="false" outlineLevel="0" collapsed="false">
      <c r="A3" s="7" t="s">
        <v>458</v>
      </c>
      <c r="B3" s="8" t="n">
        <v>45691</v>
      </c>
      <c r="C3" s="7" t="s">
        <v>65</v>
      </c>
      <c r="D3" s="7" t="s">
        <v>99</v>
      </c>
      <c r="E3" s="7" t="s">
        <v>459</v>
      </c>
      <c r="F3" s="7" t="s">
        <v>460</v>
      </c>
      <c r="G3" s="7" t="s">
        <v>25</v>
      </c>
      <c r="H3" s="7" t="s">
        <v>131</v>
      </c>
      <c r="I3" s="7" t="n">
        <v>7632</v>
      </c>
      <c r="J3" s="7" t="n">
        <v>6935</v>
      </c>
      <c r="K3" s="7" t="n">
        <v>0.7</v>
      </c>
      <c r="L3" s="7" t="s">
        <v>461</v>
      </c>
      <c r="M3" s="7" t="n">
        <v>135</v>
      </c>
      <c r="N3" s="9" t="n">
        <f aca="false">ROUND(J3/I3,3)</f>
        <v>0.909</v>
      </c>
    </row>
    <row r="4" customFormat="false" ht="15" hidden="false" customHeight="false" outlineLevel="0" collapsed="false">
      <c r="A4" s="7" t="s">
        <v>462</v>
      </c>
      <c r="B4" s="8" t="n">
        <v>45341</v>
      </c>
      <c r="C4" s="7" t="s">
        <v>68</v>
      </c>
      <c r="D4" s="7" t="s">
        <v>95</v>
      </c>
      <c r="E4" s="7" t="s">
        <v>463</v>
      </c>
      <c r="F4" s="7" t="s">
        <v>464</v>
      </c>
      <c r="G4" s="7" t="s">
        <v>25</v>
      </c>
      <c r="H4" s="7" t="s">
        <v>140</v>
      </c>
      <c r="I4" s="7" t="n">
        <v>5372</v>
      </c>
      <c r="J4" s="7" t="n">
        <v>4223</v>
      </c>
      <c r="K4" s="7" t="n">
        <v>2.5</v>
      </c>
      <c r="L4" s="7" t="s">
        <v>457</v>
      </c>
      <c r="M4" s="7" t="n">
        <v>53</v>
      </c>
      <c r="N4" s="9" t="n">
        <f aca="false">ROUND(J4/I4,3)</f>
        <v>0.786</v>
      </c>
    </row>
    <row r="5" customFormat="false" ht="15" hidden="false" customHeight="false" outlineLevel="0" collapsed="false">
      <c r="A5" s="7" t="s">
        <v>465</v>
      </c>
      <c r="B5" s="8" t="n">
        <v>45936</v>
      </c>
      <c r="C5" s="7" t="s">
        <v>65</v>
      </c>
      <c r="D5" s="7" t="s">
        <v>104</v>
      </c>
      <c r="E5" s="7" t="s">
        <v>466</v>
      </c>
      <c r="F5" s="7" t="s">
        <v>464</v>
      </c>
      <c r="G5" s="7" t="s">
        <v>25</v>
      </c>
      <c r="H5" s="7" t="s">
        <v>134</v>
      </c>
      <c r="I5" s="7" t="n">
        <v>7623</v>
      </c>
      <c r="J5" s="7" t="n">
        <v>6259</v>
      </c>
      <c r="K5" s="7" t="n">
        <v>0.4</v>
      </c>
      <c r="L5" s="7" t="s">
        <v>467</v>
      </c>
      <c r="M5" s="7" t="n">
        <v>137</v>
      </c>
      <c r="N5" s="9" t="n">
        <f aca="false">ROUND(J5/I5,3)</f>
        <v>0.821</v>
      </c>
    </row>
    <row r="6" customFormat="false" ht="15" hidden="false" customHeight="false" outlineLevel="0" collapsed="false">
      <c r="A6" s="7" t="s">
        <v>468</v>
      </c>
      <c r="B6" s="8" t="n">
        <v>45713</v>
      </c>
      <c r="C6" s="7" t="s">
        <v>68</v>
      </c>
      <c r="D6" s="7" t="s">
        <v>115</v>
      </c>
      <c r="E6" s="7" t="s">
        <v>459</v>
      </c>
      <c r="F6" s="7" t="s">
        <v>460</v>
      </c>
      <c r="G6" s="7" t="s">
        <v>25</v>
      </c>
      <c r="H6" s="7" t="s">
        <v>157</v>
      </c>
      <c r="I6" s="7" t="n">
        <v>5455</v>
      </c>
      <c r="J6" s="7" t="n">
        <v>4995</v>
      </c>
      <c r="K6" s="7" t="n">
        <v>1.5</v>
      </c>
      <c r="L6" s="7" t="s">
        <v>461</v>
      </c>
      <c r="M6" s="7" t="n">
        <v>55</v>
      </c>
      <c r="N6" s="9" t="n">
        <f aca="false">ROUND(J6/I6,3)</f>
        <v>0.916</v>
      </c>
    </row>
    <row r="7" customFormat="false" ht="15" hidden="false" customHeight="false" outlineLevel="0" collapsed="false">
      <c r="A7" s="7" t="s">
        <v>469</v>
      </c>
      <c r="B7" s="8" t="n">
        <v>45848</v>
      </c>
      <c r="C7" s="7" t="s">
        <v>68</v>
      </c>
      <c r="D7" s="7" t="s">
        <v>109</v>
      </c>
      <c r="E7" s="7" t="s">
        <v>470</v>
      </c>
      <c r="F7" s="7" t="s">
        <v>460</v>
      </c>
      <c r="G7" s="7" t="s">
        <v>25</v>
      </c>
      <c r="H7" s="7" t="s">
        <v>152</v>
      </c>
      <c r="I7" s="7" t="n">
        <v>7988</v>
      </c>
      <c r="J7" s="7" t="n">
        <v>6853</v>
      </c>
      <c r="K7" s="7" t="n">
        <v>5.9</v>
      </c>
      <c r="L7" s="7" t="s">
        <v>471</v>
      </c>
      <c r="M7" s="7" t="n">
        <v>62</v>
      </c>
      <c r="N7" s="9" t="n">
        <f aca="false">ROUND(J7/I7,3)</f>
        <v>0.858</v>
      </c>
    </row>
    <row r="8" customFormat="false" ht="15" hidden="false" customHeight="false" outlineLevel="0" collapsed="false">
      <c r="A8" s="7" t="s">
        <v>472</v>
      </c>
      <c r="B8" s="8" t="n">
        <v>45601</v>
      </c>
      <c r="C8" s="7" t="s">
        <v>68</v>
      </c>
      <c r="D8" s="7" t="s">
        <v>113</v>
      </c>
      <c r="E8" s="7" t="s">
        <v>455</v>
      </c>
      <c r="F8" s="7" t="s">
        <v>456</v>
      </c>
      <c r="G8" s="7" t="s">
        <v>25</v>
      </c>
      <c r="H8" s="7" t="s">
        <v>134</v>
      </c>
      <c r="I8" s="7" t="n">
        <v>7571</v>
      </c>
      <c r="J8" s="7" t="n">
        <v>6310</v>
      </c>
      <c r="K8" s="7" t="n">
        <v>3.4</v>
      </c>
      <c r="L8" s="7" t="s">
        <v>473</v>
      </c>
      <c r="M8" s="7" t="n">
        <v>86</v>
      </c>
      <c r="N8" s="9" t="n">
        <f aca="false">ROUND(J8/I8,3)</f>
        <v>0.833</v>
      </c>
    </row>
    <row r="9" customFormat="false" ht="15" hidden="false" customHeight="false" outlineLevel="0" collapsed="false">
      <c r="A9" s="7" t="s">
        <v>474</v>
      </c>
      <c r="B9" s="8" t="n">
        <v>45766</v>
      </c>
      <c r="C9" s="7" t="s">
        <v>68</v>
      </c>
      <c r="D9" s="7" t="s">
        <v>99</v>
      </c>
      <c r="E9" s="7" t="s">
        <v>455</v>
      </c>
      <c r="F9" s="7" t="s">
        <v>460</v>
      </c>
      <c r="G9" s="7" t="s">
        <v>25</v>
      </c>
      <c r="H9" s="7" t="s">
        <v>165</v>
      </c>
      <c r="I9" s="7" t="n">
        <v>8710</v>
      </c>
      <c r="J9" s="7" t="n">
        <v>7971</v>
      </c>
      <c r="K9" s="7" t="n">
        <v>4</v>
      </c>
      <c r="L9" s="7" t="s">
        <v>471</v>
      </c>
      <c r="M9" s="7" t="n">
        <v>101</v>
      </c>
      <c r="N9" s="9" t="n">
        <f aca="false">ROUND(J9/I9,3)</f>
        <v>0.915</v>
      </c>
    </row>
    <row r="10" customFormat="false" ht="15" hidden="false" customHeight="false" outlineLevel="0" collapsed="false">
      <c r="A10" s="7" t="s">
        <v>475</v>
      </c>
      <c r="B10" s="8" t="n">
        <v>45860</v>
      </c>
      <c r="C10" s="7" t="s">
        <v>68</v>
      </c>
      <c r="D10" s="7" t="s">
        <v>106</v>
      </c>
      <c r="E10" s="7" t="s">
        <v>470</v>
      </c>
      <c r="F10" s="7" t="s">
        <v>460</v>
      </c>
      <c r="G10" s="7" t="s">
        <v>25</v>
      </c>
      <c r="H10" s="7" t="s">
        <v>157</v>
      </c>
      <c r="I10" s="7" t="n">
        <v>3184</v>
      </c>
      <c r="J10" s="7" t="n">
        <v>2371</v>
      </c>
      <c r="K10" s="7" t="n">
        <v>5.6</v>
      </c>
      <c r="L10" s="7" t="s">
        <v>473</v>
      </c>
      <c r="M10" s="7" t="n">
        <v>18</v>
      </c>
      <c r="N10" s="9" t="n">
        <f aca="false">ROUND(J10/I10,3)</f>
        <v>0.745</v>
      </c>
    </row>
    <row r="11" customFormat="false" ht="15" hidden="false" customHeight="false" outlineLevel="0" collapsed="false">
      <c r="A11" s="7" t="s">
        <v>476</v>
      </c>
      <c r="B11" s="8" t="n">
        <v>45329</v>
      </c>
      <c r="C11" s="7" t="s">
        <v>68</v>
      </c>
      <c r="D11" s="7" t="s">
        <v>102</v>
      </c>
      <c r="E11" s="7" t="s">
        <v>470</v>
      </c>
      <c r="F11" s="7" t="s">
        <v>464</v>
      </c>
      <c r="G11" s="7" t="s">
        <v>25</v>
      </c>
      <c r="H11" s="7" t="s">
        <v>159</v>
      </c>
      <c r="I11" s="7" t="n">
        <v>6202</v>
      </c>
      <c r="J11" s="7" t="n">
        <v>4722</v>
      </c>
      <c r="K11" s="7" t="n">
        <v>5.5</v>
      </c>
      <c r="L11" s="7" t="s">
        <v>477</v>
      </c>
      <c r="M11" s="7" t="n">
        <v>76</v>
      </c>
      <c r="N11" s="9" t="n">
        <f aca="false">ROUND(J11/I11,3)</f>
        <v>0.761</v>
      </c>
    </row>
    <row r="12" customFormat="false" ht="15" hidden="false" customHeight="false" outlineLevel="0" collapsed="false">
      <c r="A12" s="7" t="s">
        <v>478</v>
      </c>
      <c r="B12" s="8" t="n">
        <v>45817</v>
      </c>
      <c r="C12" s="7" t="s">
        <v>65</v>
      </c>
      <c r="D12" s="7" t="s">
        <v>113</v>
      </c>
      <c r="E12" s="7" t="s">
        <v>459</v>
      </c>
      <c r="F12" s="7" t="s">
        <v>460</v>
      </c>
      <c r="G12" s="7" t="s">
        <v>25</v>
      </c>
      <c r="H12" s="7" t="s">
        <v>161</v>
      </c>
      <c r="I12" s="7" t="n">
        <v>5939</v>
      </c>
      <c r="J12" s="7" t="n">
        <v>5662</v>
      </c>
      <c r="K12" s="7" t="n">
        <v>4.1</v>
      </c>
      <c r="L12" s="7" t="s">
        <v>477</v>
      </c>
      <c r="M12" s="7" t="n">
        <v>49</v>
      </c>
      <c r="N12" s="9" t="n">
        <f aca="false">ROUND(J12/I12,3)</f>
        <v>0.953</v>
      </c>
    </row>
    <row r="13" customFormat="false" ht="15" hidden="false" customHeight="false" outlineLevel="0" collapsed="false">
      <c r="A13" s="7" t="s">
        <v>479</v>
      </c>
      <c r="B13" s="8" t="n">
        <v>45448</v>
      </c>
      <c r="C13" s="7" t="s">
        <v>65</v>
      </c>
      <c r="D13" s="7" t="s">
        <v>104</v>
      </c>
      <c r="E13" s="7" t="s">
        <v>455</v>
      </c>
      <c r="F13" s="7" t="s">
        <v>460</v>
      </c>
      <c r="G13" s="7" t="s">
        <v>25</v>
      </c>
      <c r="H13" s="7" t="s">
        <v>142</v>
      </c>
      <c r="I13" s="7" t="n">
        <v>5152</v>
      </c>
      <c r="J13" s="7" t="n">
        <v>4403</v>
      </c>
      <c r="K13" s="7" t="n">
        <v>1.7</v>
      </c>
      <c r="L13" s="7" t="s">
        <v>461</v>
      </c>
      <c r="M13" s="7" t="n">
        <v>62</v>
      </c>
      <c r="N13" s="9" t="n">
        <f aca="false">ROUND(J13/I13,3)</f>
        <v>0.855</v>
      </c>
    </row>
    <row r="14" customFormat="false" ht="15" hidden="false" customHeight="false" outlineLevel="0" collapsed="false">
      <c r="A14" s="7" t="s">
        <v>480</v>
      </c>
      <c r="B14" s="8" t="n">
        <v>45849</v>
      </c>
      <c r="C14" s="7" t="s">
        <v>65</v>
      </c>
      <c r="D14" s="7" t="s">
        <v>95</v>
      </c>
      <c r="E14" s="7" t="s">
        <v>481</v>
      </c>
      <c r="F14" s="7" t="s">
        <v>456</v>
      </c>
      <c r="G14" s="7" t="s">
        <v>25</v>
      </c>
      <c r="H14" s="7" t="s">
        <v>159</v>
      </c>
      <c r="I14" s="7" t="n">
        <v>6260</v>
      </c>
      <c r="J14" s="7" t="n">
        <v>5419</v>
      </c>
      <c r="K14" s="7" t="n">
        <v>2.4</v>
      </c>
      <c r="L14" s="7" t="s">
        <v>471</v>
      </c>
      <c r="M14" s="7" t="n">
        <v>81</v>
      </c>
      <c r="N14" s="9" t="n">
        <f aca="false">ROUND(J14/I14,3)</f>
        <v>0.866</v>
      </c>
    </row>
    <row r="15" customFormat="false" ht="15" hidden="false" customHeight="false" outlineLevel="0" collapsed="false">
      <c r="A15" s="7" t="s">
        <v>482</v>
      </c>
      <c r="B15" s="8" t="n">
        <v>45476</v>
      </c>
      <c r="C15" s="7" t="s">
        <v>65</v>
      </c>
      <c r="D15" s="7" t="s">
        <v>115</v>
      </c>
      <c r="E15" s="7" t="s">
        <v>463</v>
      </c>
      <c r="F15" s="7" t="s">
        <v>464</v>
      </c>
      <c r="G15" s="7" t="s">
        <v>25</v>
      </c>
      <c r="H15" s="7" t="s">
        <v>154</v>
      </c>
      <c r="I15" s="7" t="n">
        <v>7921</v>
      </c>
      <c r="J15" s="7" t="n">
        <v>6166</v>
      </c>
      <c r="K15" s="7" t="n">
        <v>0.3</v>
      </c>
      <c r="L15" s="7" t="s">
        <v>467</v>
      </c>
      <c r="M15" s="7" t="n">
        <v>54</v>
      </c>
      <c r="N15" s="9" t="n">
        <f aca="false">ROUND(J15/I15,3)</f>
        <v>0.778</v>
      </c>
    </row>
    <row r="16" customFormat="false" ht="15" hidden="false" customHeight="false" outlineLevel="0" collapsed="false">
      <c r="A16" s="7" t="s">
        <v>483</v>
      </c>
      <c r="B16" s="8" t="n">
        <v>45394</v>
      </c>
      <c r="C16" s="7" t="s">
        <v>65</v>
      </c>
      <c r="D16" s="7" t="s">
        <v>99</v>
      </c>
      <c r="E16" s="7" t="s">
        <v>463</v>
      </c>
      <c r="F16" s="7" t="s">
        <v>456</v>
      </c>
      <c r="G16" s="7" t="s">
        <v>25</v>
      </c>
      <c r="H16" s="7" t="s">
        <v>159</v>
      </c>
      <c r="I16" s="7" t="n">
        <v>4216</v>
      </c>
      <c r="J16" s="7" t="n">
        <v>3669</v>
      </c>
      <c r="K16" s="7" t="n">
        <v>3.8</v>
      </c>
      <c r="L16" s="7" t="s">
        <v>473</v>
      </c>
      <c r="M16" s="7" t="n">
        <v>61</v>
      </c>
      <c r="N16" s="9" t="n">
        <f aca="false">ROUND(J16/I16,3)</f>
        <v>0.87</v>
      </c>
    </row>
    <row r="17" customFormat="false" ht="15" hidden="false" customHeight="false" outlineLevel="0" collapsed="false">
      <c r="A17" s="7" t="s">
        <v>484</v>
      </c>
      <c r="B17" s="8" t="n">
        <v>45410</v>
      </c>
      <c r="C17" s="7" t="s">
        <v>68</v>
      </c>
      <c r="D17" s="7" t="s">
        <v>115</v>
      </c>
      <c r="E17" s="7" t="s">
        <v>481</v>
      </c>
      <c r="F17" s="7" t="s">
        <v>460</v>
      </c>
      <c r="G17" s="7" t="s">
        <v>25</v>
      </c>
      <c r="H17" s="7" t="s">
        <v>152</v>
      </c>
      <c r="I17" s="7" t="n">
        <v>3703</v>
      </c>
      <c r="J17" s="7" t="n">
        <v>3428</v>
      </c>
      <c r="K17" s="7" t="n">
        <v>0.9</v>
      </c>
      <c r="L17" s="7" t="s">
        <v>473</v>
      </c>
      <c r="M17" s="7" t="n">
        <v>58</v>
      </c>
      <c r="N17" s="9" t="n">
        <f aca="false">ROUND(J17/I17,3)</f>
        <v>0.926</v>
      </c>
    </row>
    <row r="18" customFormat="false" ht="15" hidden="false" customHeight="false" outlineLevel="0" collapsed="false">
      <c r="A18" s="7" t="s">
        <v>485</v>
      </c>
      <c r="B18" s="8" t="n">
        <v>45967</v>
      </c>
      <c r="C18" s="7" t="s">
        <v>65</v>
      </c>
      <c r="D18" s="7" t="s">
        <v>104</v>
      </c>
      <c r="E18" s="7" t="s">
        <v>459</v>
      </c>
      <c r="F18" s="7" t="s">
        <v>460</v>
      </c>
      <c r="G18" s="7" t="s">
        <v>25</v>
      </c>
      <c r="H18" s="7" t="s">
        <v>140</v>
      </c>
      <c r="I18" s="7" t="n">
        <v>8653</v>
      </c>
      <c r="J18" s="7" t="n">
        <v>7994</v>
      </c>
      <c r="K18" s="7" t="n">
        <v>3.3</v>
      </c>
      <c r="L18" s="7" t="s">
        <v>471</v>
      </c>
      <c r="M18" s="7" t="n">
        <v>99</v>
      </c>
      <c r="N18" s="9" t="n">
        <f aca="false">ROUND(J18/I18,3)</f>
        <v>0.924</v>
      </c>
    </row>
    <row r="19" customFormat="false" ht="15" hidden="false" customHeight="false" outlineLevel="0" collapsed="false">
      <c r="A19" s="7" t="s">
        <v>486</v>
      </c>
      <c r="B19" s="8" t="n">
        <v>45928</v>
      </c>
      <c r="C19" s="7" t="s">
        <v>65</v>
      </c>
      <c r="D19" s="7" t="s">
        <v>106</v>
      </c>
      <c r="E19" s="7" t="s">
        <v>459</v>
      </c>
      <c r="F19" s="7" t="s">
        <v>460</v>
      </c>
      <c r="G19" s="7" t="s">
        <v>25</v>
      </c>
      <c r="H19" s="7" t="s">
        <v>142</v>
      </c>
      <c r="I19" s="7" t="n">
        <v>5913</v>
      </c>
      <c r="J19" s="7" t="n">
        <v>5100</v>
      </c>
      <c r="K19" s="7" t="n">
        <v>4.6</v>
      </c>
      <c r="L19" s="7" t="s">
        <v>457</v>
      </c>
      <c r="M19" s="7" t="n">
        <v>89</v>
      </c>
      <c r="N19" s="9" t="n">
        <f aca="false">ROUND(J19/I19,3)</f>
        <v>0.863</v>
      </c>
    </row>
    <row r="20" customFormat="false" ht="15" hidden="false" customHeight="false" outlineLevel="0" collapsed="false">
      <c r="A20" s="7" t="s">
        <v>487</v>
      </c>
      <c r="B20" s="8" t="n">
        <v>45908</v>
      </c>
      <c r="C20" s="7" t="s">
        <v>65</v>
      </c>
      <c r="D20" s="7" t="s">
        <v>104</v>
      </c>
      <c r="E20" s="7" t="s">
        <v>481</v>
      </c>
      <c r="F20" s="7" t="s">
        <v>456</v>
      </c>
      <c r="G20" s="7" t="s">
        <v>25</v>
      </c>
      <c r="H20" s="7" t="s">
        <v>148</v>
      </c>
      <c r="I20" s="7" t="n">
        <v>4637</v>
      </c>
      <c r="J20" s="7" t="n">
        <v>4204</v>
      </c>
      <c r="K20" s="7" t="n">
        <v>3.1</v>
      </c>
      <c r="L20" s="7" t="s">
        <v>473</v>
      </c>
      <c r="M20" s="7" t="n">
        <v>125</v>
      </c>
      <c r="N20" s="9" t="n">
        <f aca="false">ROUND(J20/I20,3)</f>
        <v>0.907</v>
      </c>
    </row>
    <row r="21" customFormat="false" ht="15" hidden="false" customHeight="false" outlineLevel="0" collapsed="false">
      <c r="A21" s="7" t="s">
        <v>488</v>
      </c>
      <c r="B21" s="8" t="n">
        <v>45551</v>
      </c>
      <c r="C21" s="7" t="s">
        <v>68</v>
      </c>
      <c r="D21" s="7" t="s">
        <v>104</v>
      </c>
      <c r="E21" s="7" t="s">
        <v>470</v>
      </c>
      <c r="F21" s="7" t="s">
        <v>456</v>
      </c>
      <c r="G21" s="7" t="s">
        <v>25</v>
      </c>
      <c r="H21" s="7" t="s">
        <v>157</v>
      </c>
      <c r="I21" s="7" t="n">
        <v>6663</v>
      </c>
      <c r="J21" s="7" t="n">
        <v>6337</v>
      </c>
      <c r="K21" s="7" t="n">
        <v>4.9</v>
      </c>
      <c r="L21" s="7" t="s">
        <v>473</v>
      </c>
      <c r="M21" s="7" t="n">
        <v>89</v>
      </c>
      <c r="N21" s="9" t="n">
        <f aca="false">ROUND(J21/I21,3)</f>
        <v>0.951</v>
      </c>
    </row>
    <row r="22" customFormat="false" ht="15" hidden="false" customHeight="false" outlineLevel="0" collapsed="false">
      <c r="A22" s="7" t="s">
        <v>489</v>
      </c>
      <c r="B22" s="8" t="n">
        <v>45508</v>
      </c>
      <c r="C22" s="7" t="s">
        <v>65</v>
      </c>
      <c r="D22" s="7" t="s">
        <v>115</v>
      </c>
      <c r="E22" s="7" t="s">
        <v>463</v>
      </c>
      <c r="F22" s="7" t="s">
        <v>460</v>
      </c>
      <c r="G22" s="7" t="s">
        <v>25</v>
      </c>
      <c r="H22" s="7" t="s">
        <v>145</v>
      </c>
      <c r="I22" s="7" t="n">
        <v>6953</v>
      </c>
      <c r="J22" s="7" t="n">
        <v>6502</v>
      </c>
      <c r="K22" s="7" t="n">
        <v>3.7</v>
      </c>
      <c r="L22" s="7" t="s">
        <v>457</v>
      </c>
      <c r="M22" s="7" t="n">
        <v>110</v>
      </c>
      <c r="N22" s="9" t="n">
        <f aca="false">ROUND(J22/I22,3)</f>
        <v>0.935</v>
      </c>
    </row>
    <row r="23" customFormat="false" ht="15" hidden="false" customHeight="false" outlineLevel="0" collapsed="false">
      <c r="A23" s="7" t="s">
        <v>490</v>
      </c>
      <c r="B23" s="8" t="n">
        <v>45912</v>
      </c>
      <c r="C23" s="7" t="s">
        <v>65</v>
      </c>
      <c r="D23" s="7" t="s">
        <v>99</v>
      </c>
      <c r="E23" s="7" t="s">
        <v>481</v>
      </c>
      <c r="F23" s="7" t="s">
        <v>456</v>
      </c>
      <c r="G23" s="7" t="s">
        <v>25</v>
      </c>
      <c r="H23" s="7" t="s">
        <v>145</v>
      </c>
      <c r="I23" s="7" t="n">
        <v>6916</v>
      </c>
      <c r="J23" s="7" t="n">
        <v>6328</v>
      </c>
      <c r="K23" s="7" t="n">
        <v>5.3</v>
      </c>
      <c r="L23" s="7" t="s">
        <v>477</v>
      </c>
      <c r="M23" s="7" t="n">
        <v>84</v>
      </c>
      <c r="N23" s="9" t="n">
        <f aca="false">ROUND(J23/I23,3)</f>
        <v>0.915</v>
      </c>
    </row>
    <row r="24" customFormat="false" ht="15" hidden="false" customHeight="false" outlineLevel="0" collapsed="false">
      <c r="A24" s="7" t="s">
        <v>491</v>
      </c>
      <c r="B24" s="8" t="n">
        <v>46004</v>
      </c>
      <c r="C24" s="7" t="s">
        <v>68</v>
      </c>
      <c r="D24" s="7" t="s">
        <v>113</v>
      </c>
      <c r="E24" s="7" t="s">
        <v>470</v>
      </c>
      <c r="F24" s="7" t="s">
        <v>464</v>
      </c>
      <c r="G24" s="7" t="s">
        <v>25</v>
      </c>
      <c r="H24" s="7" t="s">
        <v>142</v>
      </c>
      <c r="I24" s="7" t="n">
        <v>4392</v>
      </c>
      <c r="J24" s="7" t="n">
        <v>3325</v>
      </c>
      <c r="K24" s="7" t="n">
        <v>6</v>
      </c>
      <c r="L24" s="7" t="s">
        <v>471</v>
      </c>
      <c r="M24" s="7" t="n">
        <v>91</v>
      </c>
      <c r="N24" s="9" t="n">
        <f aca="false">ROUND(J24/I24,3)</f>
        <v>0.757</v>
      </c>
    </row>
    <row r="25" customFormat="false" ht="15" hidden="false" customHeight="false" outlineLevel="0" collapsed="false">
      <c r="A25" s="7" t="s">
        <v>492</v>
      </c>
      <c r="B25" s="8" t="n">
        <v>45905</v>
      </c>
      <c r="C25" s="7" t="s">
        <v>68</v>
      </c>
      <c r="D25" s="7" t="s">
        <v>109</v>
      </c>
      <c r="E25" s="7" t="s">
        <v>463</v>
      </c>
      <c r="F25" s="7" t="s">
        <v>456</v>
      </c>
      <c r="G25" s="7" t="s">
        <v>25</v>
      </c>
      <c r="H25" s="7" t="s">
        <v>140</v>
      </c>
      <c r="I25" s="7" t="n">
        <v>3175</v>
      </c>
      <c r="J25" s="7" t="n">
        <v>3119</v>
      </c>
      <c r="K25" s="7" t="n">
        <v>0.1</v>
      </c>
      <c r="L25" s="7" t="s">
        <v>467</v>
      </c>
      <c r="M25" s="7" t="n">
        <v>66</v>
      </c>
      <c r="N25" s="9" t="n">
        <f aca="false">ROUND(J25/I25,3)</f>
        <v>0.982</v>
      </c>
    </row>
    <row r="26" customFormat="false" ht="15" hidden="false" customHeight="false" outlineLevel="0" collapsed="false">
      <c r="A26" s="7" t="s">
        <v>493</v>
      </c>
      <c r="B26" s="8" t="n">
        <v>45801</v>
      </c>
      <c r="C26" s="7" t="s">
        <v>65</v>
      </c>
      <c r="D26" s="7" t="s">
        <v>113</v>
      </c>
      <c r="E26" s="7" t="s">
        <v>463</v>
      </c>
      <c r="F26" s="7" t="s">
        <v>464</v>
      </c>
      <c r="G26" s="7" t="s">
        <v>25</v>
      </c>
      <c r="H26" s="7" t="s">
        <v>126</v>
      </c>
      <c r="I26" s="7" t="n">
        <v>5063</v>
      </c>
      <c r="J26" s="7" t="n">
        <v>4152</v>
      </c>
      <c r="K26" s="7" t="n">
        <v>1.3</v>
      </c>
      <c r="L26" s="7" t="s">
        <v>457</v>
      </c>
      <c r="M26" s="7" t="n">
        <v>81</v>
      </c>
      <c r="N26" s="9" t="n">
        <f aca="false">ROUND(J26/I26,3)</f>
        <v>0.82</v>
      </c>
    </row>
    <row r="27" customFormat="false" ht="15" hidden="false" customHeight="false" outlineLevel="0" collapsed="false">
      <c r="A27" s="7" t="s">
        <v>494</v>
      </c>
      <c r="B27" s="8" t="n">
        <v>45553</v>
      </c>
      <c r="C27" s="7" t="s">
        <v>68</v>
      </c>
      <c r="D27" s="7" t="s">
        <v>102</v>
      </c>
      <c r="E27" s="7" t="s">
        <v>455</v>
      </c>
      <c r="F27" s="7" t="s">
        <v>456</v>
      </c>
      <c r="G27" s="7" t="s">
        <v>25</v>
      </c>
      <c r="H27" s="7" t="s">
        <v>157</v>
      </c>
      <c r="I27" s="7" t="n">
        <v>6753</v>
      </c>
      <c r="J27" s="7" t="n">
        <v>5703</v>
      </c>
      <c r="K27" s="7" t="n">
        <v>4</v>
      </c>
      <c r="L27" s="7" t="s">
        <v>457</v>
      </c>
      <c r="M27" s="7" t="n">
        <v>159</v>
      </c>
      <c r="N27" s="9" t="n">
        <f aca="false">ROUND(J27/I27,3)</f>
        <v>0.845</v>
      </c>
    </row>
    <row r="28" customFormat="false" ht="15" hidden="false" customHeight="false" outlineLevel="0" collapsed="false">
      <c r="A28" s="7" t="s">
        <v>495</v>
      </c>
      <c r="B28" s="8" t="n">
        <v>45782</v>
      </c>
      <c r="C28" s="7" t="s">
        <v>65</v>
      </c>
      <c r="D28" s="7" t="s">
        <v>95</v>
      </c>
      <c r="E28" s="7" t="s">
        <v>481</v>
      </c>
      <c r="F28" s="7" t="s">
        <v>464</v>
      </c>
      <c r="G28" s="7" t="s">
        <v>25</v>
      </c>
      <c r="H28" s="7" t="s">
        <v>126</v>
      </c>
      <c r="I28" s="7" t="n">
        <v>4227</v>
      </c>
      <c r="J28" s="7" t="n">
        <v>3806</v>
      </c>
      <c r="K28" s="7" t="n">
        <v>1</v>
      </c>
      <c r="L28" s="7" t="s">
        <v>477</v>
      </c>
      <c r="M28" s="7" t="n">
        <v>30</v>
      </c>
      <c r="N28" s="9" t="n">
        <f aca="false">ROUND(J28/I28,3)</f>
        <v>0.9</v>
      </c>
    </row>
    <row r="29" customFormat="false" ht="15" hidden="false" customHeight="false" outlineLevel="0" collapsed="false">
      <c r="A29" s="7" t="s">
        <v>496</v>
      </c>
      <c r="B29" s="8" t="n">
        <v>45333</v>
      </c>
      <c r="C29" s="7" t="s">
        <v>68</v>
      </c>
      <c r="D29" s="7" t="s">
        <v>99</v>
      </c>
      <c r="E29" s="7" t="s">
        <v>459</v>
      </c>
      <c r="F29" s="7" t="s">
        <v>464</v>
      </c>
      <c r="G29" s="7" t="s">
        <v>25</v>
      </c>
      <c r="H29" s="7" t="s">
        <v>148</v>
      </c>
      <c r="I29" s="7" t="n">
        <v>4567</v>
      </c>
      <c r="J29" s="7" t="n">
        <v>3981</v>
      </c>
      <c r="K29" s="7" t="n">
        <v>1.7</v>
      </c>
      <c r="L29" s="7" t="s">
        <v>471</v>
      </c>
      <c r="M29" s="7" t="n">
        <v>75</v>
      </c>
      <c r="N29" s="9" t="n">
        <f aca="false">ROUND(J29/I29,3)</f>
        <v>0.872</v>
      </c>
    </row>
    <row r="30" customFormat="false" ht="15" hidden="false" customHeight="false" outlineLevel="0" collapsed="false">
      <c r="A30" s="7" t="s">
        <v>497</v>
      </c>
      <c r="B30" s="8" t="n">
        <v>45366</v>
      </c>
      <c r="C30" s="7" t="s">
        <v>68</v>
      </c>
      <c r="D30" s="7" t="s">
        <v>104</v>
      </c>
      <c r="E30" s="7" t="s">
        <v>470</v>
      </c>
      <c r="F30" s="7" t="s">
        <v>460</v>
      </c>
      <c r="G30" s="7" t="s">
        <v>25</v>
      </c>
      <c r="H30" s="7" t="s">
        <v>163</v>
      </c>
      <c r="I30" s="7" t="n">
        <v>7162</v>
      </c>
      <c r="J30" s="7" t="n">
        <v>6222</v>
      </c>
      <c r="K30" s="7" t="n">
        <v>3.2</v>
      </c>
      <c r="L30" s="7" t="s">
        <v>477</v>
      </c>
      <c r="M30" s="7" t="n">
        <v>69</v>
      </c>
      <c r="N30" s="9" t="n">
        <f aca="false">ROUND(J30/I30,3)</f>
        <v>0.869</v>
      </c>
    </row>
    <row r="31" customFormat="false" ht="15" hidden="false" customHeight="false" outlineLevel="0" collapsed="false">
      <c r="A31" s="7" t="s">
        <v>498</v>
      </c>
      <c r="B31" s="8" t="n">
        <v>45806</v>
      </c>
      <c r="C31" s="7" t="s">
        <v>68</v>
      </c>
      <c r="D31" s="7" t="s">
        <v>104</v>
      </c>
      <c r="E31" s="7" t="s">
        <v>481</v>
      </c>
      <c r="F31" s="7" t="s">
        <v>464</v>
      </c>
      <c r="G31" s="7" t="s">
        <v>25</v>
      </c>
      <c r="H31" s="7" t="s">
        <v>161</v>
      </c>
      <c r="I31" s="7" t="n">
        <v>3996</v>
      </c>
      <c r="J31" s="7" t="n">
        <v>3081</v>
      </c>
      <c r="K31" s="7" t="n">
        <v>2.4</v>
      </c>
      <c r="L31" s="7" t="s">
        <v>473</v>
      </c>
      <c r="M31" s="7" t="n">
        <v>33</v>
      </c>
      <c r="N31" s="9" t="n">
        <f aca="false">ROUND(J31/I31,3)</f>
        <v>0.771</v>
      </c>
    </row>
    <row r="32" customFormat="false" ht="15" hidden="false" customHeight="false" outlineLevel="0" collapsed="false">
      <c r="A32" s="7" t="s">
        <v>499</v>
      </c>
      <c r="B32" s="8" t="n">
        <v>45358</v>
      </c>
      <c r="C32" s="7" t="s">
        <v>68</v>
      </c>
      <c r="D32" s="7" t="s">
        <v>99</v>
      </c>
      <c r="E32" s="7" t="s">
        <v>463</v>
      </c>
      <c r="F32" s="7" t="s">
        <v>456</v>
      </c>
      <c r="G32" s="7" t="s">
        <v>25</v>
      </c>
      <c r="H32" s="7" t="s">
        <v>157</v>
      </c>
      <c r="I32" s="7" t="n">
        <v>4171</v>
      </c>
      <c r="J32" s="7" t="n">
        <v>4040</v>
      </c>
      <c r="K32" s="7" t="n">
        <v>1.5</v>
      </c>
      <c r="L32" s="7" t="s">
        <v>461</v>
      </c>
      <c r="M32" s="7" t="n">
        <v>42</v>
      </c>
      <c r="N32" s="9" t="n">
        <f aca="false">ROUND(J32/I32,3)</f>
        <v>0.969</v>
      </c>
    </row>
    <row r="33" customFormat="false" ht="15" hidden="false" customHeight="false" outlineLevel="0" collapsed="false">
      <c r="A33" s="7" t="s">
        <v>500</v>
      </c>
      <c r="B33" s="8" t="n">
        <v>45395</v>
      </c>
      <c r="C33" s="7" t="s">
        <v>68</v>
      </c>
      <c r="D33" s="7" t="s">
        <v>102</v>
      </c>
      <c r="E33" s="7" t="s">
        <v>470</v>
      </c>
      <c r="F33" s="7" t="s">
        <v>464</v>
      </c>
      <c r="G33" s="7" t="s">
        <v>25</v>
      </c>
      <c r="H33" s="7" t="s">
        <v>142</v>
      </c>
      <c r="I33" s="7" t="n">
        <v>8786</v>
      </c>
      <c r="J33" s="7" t="n">
        <v>7494</v>
      </c>
      <c r="K33" s="7" t="n">
        <v>2.6</v>
      </c>
      <c r="L33" s="7" t="s">
        <v>457</v>
      </c>
      <c r="M33" s="7" t="n">
        <v>116</v>
      </c>
      <c r="N33" s="9" t="n">
        <f aca="false">ROUND(J33/I33,3)</f>
        <v>0.853</v>
      </c>
    </row>
    <row r="34" customFormat="false" ht="15" hidden="false" customHeight="false" outlineLevel="0" collapsed="false">
      <c r="A34" s="7" t="s">
        <v>501</v>
      </c>
      <c r="B34" s="8" t="n">
        <v>45637</v>
      </c>
      <c r="C34" s="7" t="s">
        <v>65</v>
      </c>
      <c r="D34" s="7" t="s">
        <v>109</v>
      </c>
      <c r="E34" s="7" t="s">
        <v>455</v>
      </c>
      <c r="F34" s="7" t="s">
        <v>460</v>
      </c>
      <c r="G34" s="7" t="s">
        <v>25</v>
      </c>
      <c r="H34" s="7" t="s">
        <v>163</v>
      </c>
      <c r="I34" s="7" t="n">
        <v>6608</v>
      </c>
      <c r="J34" s="7" t="n">
        <v>5446</v>
      </c>
      <c r="K34" s="7" t="n">
        <v>4.2</v>
      </c>
      <c r="L34" s="7" t="s">
        <v>477</v>
      </c>
      <c r="M34" s="7" t="n">
        <v>112</v>
      </c>
      <c r="N34" s="9" t="n">
        <f aca="false">ROUND(J34/I34,3)</f>
        <v>0.824</v>
      </c>
    </row>
    <row r="35" customFormat="false" ht="15" hidden="false" customHeight="false" outlineLevel="0" collapsed="false">
      <c r="A35" s="7" t="s">
        <v>502</v>
      </c>
      <c r="B35" s="8" t="n">
        <v>45808</v>
      </c>
      <c r="C35" s="7" t="s">
        <v>65</v>
      </c>
      <c r="D35" s="7" t="s">
        <v>99</v>
      </c>
      <c r="E35" s="7" t="s">
        <v>463</v>
      </c>
      <c r="F35" s="7" t="s">
        <v>464</v>
      </c>
      <c r="G35" s="7" t="s">
        <v>25</v>
      </c>
      <c r="H35" s="7" t="s">
        <v>134</v>
      </c>
      <c r="I35" s="7" t="n">
        <v>5175</v>
      </c>
      <c r="J35" s="7" t="n">
        <v>4266</v>
      </c>
      <c r="K35" s="7" t="n">
        <v>1.6</v>
      </c>
      <c r="L35" s="7" t="s">
        <v>461</v>
      </c>
      <c r="M35" s="7" t="n">
        <v>35</v>
      </c>
      <c r="N35" s="9" t="n">
        <f aca="false">ROUND(J35/I35,3)</f>
        <v>0.824</v>
      </c>
    </row>
    <row r="36" customFormat="false" ht="15" hidden="false" customHeight="false" outlineLevel="0" collapsed="false">
      <c r="A36" s="7" t="s">
        <v>503</v>
      </c>
      <c r="B36" s="8" t="n">
        <v>45716</v>
      </c>
      <c r="C36" s="7" t="s">
        <v>68</v>
      </c>
      <c r="D36" s="7" t="s">
        <v>113</v>
      </c>
      <c r="E36" s="7" t="s">
        <v>463</v>
      </c>
      <c r="F36" s="7" t="s">
        <v>456</v>
      </c>
      <c r="G36" s="7" t="s">
        <v>25</v>
      </c>
      <c r="H36" s="7" t="s">
        <v>168</v>
      </c>
      <c r="I36" s="7" t="n">
        <v>7674</v>
      </c>
      <c r="J36" s="7" t="n">
        <v>6009</v>
      </c>
      <c r="K36" s="7" t="n">
        <v>3</v>
      </c>
      <c r="L36" s="7" t="s">
        <v>473</v>
      </c>
      <c r="M36" s="7" t="n">
        <v>38</v>
      </c>
      <c r="N36" s="9" t="n">
        <f aca="false">ROUND(J36/I36,3)</f>
        <v>0.783</v>
      </c>
    </row>
    <row r="37" customFormat="false" ht="15" hidden="false" customHeight="false" outlineLevel="0" collapsed="false">
      <c r="A37" s="7" t="s">
        <v>504</v>
      </c>
      <c r="B37" s="8" t="n">
        <v>45967</v>
      </c>
      <c r="C37" s="7" t="s">
        <v>68</v>
      </c>
      <c r="D37" s="7" t="s">
        <v>99</v>
      </c>
      <c r="E37" s="7" t="s">
        <v>466</v>
      </c>
      <c r="F37" s="7" t="s">
        <v>464</v>
      </c>
      <c r="G37" s="7" t="s">
        <v>25</v>
      </c>
      <c r="H37" s="7" t="s">
        <v>134</v>
      </c>
      <c r="I37" s="7" t="n">
        <v>5134</v>
      </c>
      <c r="J37" s="7" t="n">
        <v>4056</v>
      </c>
      <c r="K37" s="7" t="n">
        <v>0.5</v>
      </c>
      <c r="L37" s="7" t="s">
        <v>461</v>
      </c>
      <c r="M37" s="7" t="n">
        <v>107</v>
      </c>
      <c r="N37" s="9" t="n">
        <f aca="false">ROUND(J37/I37,3)</f>
        <v>0.79</v>
      </c>
    </row>
    <row r="38" customFormat="false" ht="15" hidden="false" customHeight="false" outlineLevel="0" collapsed="false">
      <c r="A38" s="7" t="s">
        <v>505</v>
      </c>
      <c r="B38" s="8" t="n">
        <v>45717</v>
      </c>
      <c r="C38" s="7" t="s">
        <v>68</v>
      </c>
      <c r="D38" s="7" t="s">
        <v>113</v>
      </c>
      <c r="E38" s="7" t="s">
        <v>466</v>
      </c>
      <c r="F38" s="7" t="s">
        <v>456</v>
      </c>
      <c r="G38" s="7" t="s">
        <v>25</v>
      </c>
      <c r="H38" s="7" t="s">
        <v>140</v>
      </c>
      <c r="I38" s="7" t="n">
        <v>3353</v>
      </c>
      <c r="J38" s="7" t="n">
        <v>3147</v>
      </c>
      <c r="K38" s="7" t="n">
        <v>3.2</v>
      </c>
      <c r="L38" s="7" t="s">
        <v>461</v>
      </c>
      <c r="M38" s="7" t="n">
        <v>91</v>
      </c>
      <c r="N38" s="9" t="n">
        <f aca="false">ROUND(J38/I38,3)</f>
        <v>0.939</v>
      </c>
    </row>
    <row r="39" customFormat="false" ht="15" hidden="false" customHeight="false" outlineLevel="0" collapsed="false">
      <c r="A39" s="7" t="s">
        <v>506</v>
      </c>
      <c r="B39" s="8" t="n">
        <v>45537</v>
      </c>
      <c r="C39" s="7" t="s">
        <v>65</v>
      </c>
      <c r="D39" s="7" t="s">
        <v>104</v>
      </c>
      <c r="E39" s="7" t="s">
        <v>466</v>
      </c>
      <c r="F39" s="7" t="s">
        <v>456</v>
      </c>
      <c r="G39" s="7" t="s">
        <v>25</v>
      </c>
      <c r="H39" s="7" t="s">
        <v>152</v>
      </c>
      <c r="I39" s="7" t="n">
        <v>7350</v>
      </c>
      <c r="J39" s="7" t="n">
        <v>6236</v>
      </c>
      <c r="K39" s="7" t="n">
        <v>4.6</v>
      </c>
      <c r="L39" s="7" t="s">
        <v>473</v>
      </c>
      <c r="M39" s="7" t="n">
        <v>135</v>
      </c>
      <c r="N39" s="9" t="n">
        <f aca="false">ROUND(J39/I39,3)</f>
        <v>0.848</v>
      </c>
    </row>
    <row r="40" customFormat="false" ht="15" hidden="false" customHeight="false" outlineLevel="0" collapsed="false">
      <c r="A40" s="7" t="s">
        <v>507</v>
      </c>
      <c r="B40" s="8" t="n">
        <v>45547</v>
      </c>
      <c r="C40" s="7" t="s">
        <v>65</v>
      </c>
      <c r="D40" s="7" t="s">
        <v>106</v>
      </c>
      <c r="E40" s="7" t="s">
        <v>455</v>
      </c>
      <c r="F40" s="7" t="s">
        <v>464</v>
      </c>
      <c r="G40" s="7" t="s">
        <v>25</v>
      </c>
      <c r="H40" s="7" t="s">
        <v>126</v>
      </c>
      <c r="I40" s="7" t="n">
        <v>7142</v>
      </c>
      <c r="J40" s="7" t="n">
        <v>6210</v>
      </c>
      <c r="K40" s="7" t="n">
        <v>3.3</v>
      </c>
      <c r="L40" s="7" t="s">
        <v>461</v>
      </c>
      <c r="M40" s="7" t="n">
        <v>69</v>
      </c>
      <c r="N40" s="9" t="n">
        <f aca="false">ROUND(J40/I40,3)</f>
        <v>0.87</v>
      </c>
    </row>
    <row r="41" customFormat="false" ht="15" hidden="false" customHeight="false" outlineLevel="0" collapsed="false">
      <c r="A41" s="7" t="s">
        <v>508</v>
      </c>
      <c r="B41" s="8" t="n">
        <v>45720</v>
      </c>
      <c r="C41" s="7" t="s">
        <v>68</v>
      </c>
      <c r="D41" s="7" t="s">
        <v>115</v>
      </c>
      <c r="E41" s="7" t="s">
        <v>459</v>
      </c>
      <c r="F41" s="7" t="s">
        <v>460</v>
      </c>
      <c r="G41" s="7" t="s">
        <v>25</v>
      </c>
      <c r="H41" s="7" t="s">
        <v>168</v>
      </c>
      <c r="I41" s="7" t="n">
        <v>5521</v>
      </c>
      <c r="J41" s="7" t="n">
        <v>4539</v>
      </c>
      <c r="K41" s="7" t="n">
        <v>4.1</v>
      </c>
      <c r="L41" s="7" t="s">
        <v>461</v>
      </c>
      <c r="M41" s="7" t="n">
        <v>117</v>
      </c>
      <c r="N41" s="9" t="n">
        <f aca="false">ROUND(J41/I41,3)</f>
        <v>0.822</v>
      </c>
    </row>
    <row r="42" customFormat="false" ht="15" hidden="false" customHeight="false" outlineLevel="0" collapsed="false">
      <c r="A42" s="7" t="s">
        <v>509</v>
      </c>
      <c r="B42" s="8" t="n">
        <v>45985</v>
      </c>
      <c r="C42" s="7" t="s">
        <v>65</v>
      </c>
      <c r="D42" s="7" t="s">
        <v>113</v>
      </c>
      <c r="E42" s="7" t="s">
        <v>466</v>
      </c>
      <c r="F42" s="7" t="s">
        <v>464</v>
      </c>
      <c r="G42" s="7" t="s">
        <v>25</v>
      </c>
      <c r="H42" s="7" t="s">
        <v>140</v>
      </c>
      <c r="I42" s="7" t="n">
        <v>3116</v>
      </c>
      <c r="J42" s="7" t="n">
        <v>2899</v>
      </c>
      <c r="K42" s="7" t="n">
        <v>0.4</v>
      </c>
      <c r="L42" s="7" t="s">
        <v>467</v>
      </c>
      <c r="M42" s="7" t="n">
        <v>33</v>
      </c>
      <c r="N42" s="9" t="n">
        <f aca="false">ROUND(J42/I42,3)</f>
        <v>0.93</v>
      </c>
    </row>
    <row r="43" customFormat="false" ht="15" hidden="false" customHeight="false" outlineLevel="0" collapsed="false">
      <c r="A43" s="7" t="s">
        <v>510</v>
      </c>
      <c r="B43" s="8" t="n">
        <v>45445</v>
      </c>
      <c r="C43" s="7" t="s">
        <v>65</v>
      </c>
      <c r="D43" s="7" t="s">
        <v>113</v>
      </c>
      <c r="E43" s="7" t="s">
        <v>459</v>
      </c>
      <c r="F43" s="7" t="s">
        <v>456</v>
      </c>
      <c r="G43" s="7" t="s">
        <v>25</v>
      </c>
      <c r="H43" s="7" t="s">
        <v>152</v>
      </c>
      <c r="I43" s="7" t="n">
        <v>7905</v>
      </c>
      <c r="J43" s="7" t="n">
        <v>6180</v>
      </c>
      <c r="K43" s="7" t="n">
        <v>1.5</v>
      </c>
      <c r="L43" s="7" t="s">
        <v>473</v>
      </c>
      <c r="M43" s="7" t="n">
        <v>59</v>
      </c>
      <c r="N43" s="9" t="n">
        <f aca="false">ROUND(J43/I43,3)</f>
        <v>0.782</v>
      </c>
    </row>
    <row r="44" customFormat="false" ht="15" hidden="false" customHeight="false" outlineLevel="0" collapsed="false">
      <c r="A44" s="7" t="s">
        <v>511</v>
      </c>
      <c r="B44" s="8" t="n">
        <v>45550</v>
      </c>
      <c r="C44" s="7" t="s">
        <v>65</v>
      </c>
      <c r="D44" s="7" t="s">
        <v>106</v>
      </c>
      <c r="E44" s="7" t="s">
        <v>466</v>
      </c>
      <c r="F44" s="7" t="s">
        <v>460</v>
      </c>
      <c r="G44" s="7" t="s">
        <v>25</v>
      </c>
      <c r="H44" s="7" t="s">
        <v>154</v>
      </c>
      <c r="I44" s="7" t="n">
        <v>5002</v>
      </c>
      <c r="J44" s="7" t="n">
        <v>4820</v>
      </c>
      <c r="K44" s="7" t="n">
        <v>0.2</v>
      </c>
      <c r="L44" s="7" t="s">
        <v>467</v>
      </c>
      <c r="M44" s="7" t="n">
        <v>50</v>
      </c>
      <c r="N44" s="9" t="n">
        <f aca="false">ROUND(J44/I44,3)</f>
        <v>0.964</v>
      </c>
    </row>
    <row r="45" customFormat="false" ht="15" hidden="false" customHeight="false" outlineLevel="0" collapsed="false">
      <c r="A45" s="7" t="s">
        <v>512</v>
      </c>
      <c r="B45" s="8" t="n">
        <v>45444</v>
      </c>
      <c r="C45" s="7" t="s">
        <v>68</v>
      </c>
      <c r="D45" s="7" t="s">
        <v>113</v>
      </c>
      <c r="E45" s="7" t="s">
        <v>455</v>
      </c>
      <c r="F45" s="7" t="s">
        <v>460</v>
      </c>
      <c r="G45" s="7" t="s">
        <v>25</v>
      </c>
      <c r="H45" s="7" t="s">
        <v>150</v>
      </c>
      <c r="I45" s="7" t="n">
        <v>7118</v>
      </c>
      <c r="J45" s="7" t="n">
        <v>6150</v>
      </c>
      <c r="K45" s="7" t="n">
        <v>3.9</v>
      </c>
      <c r="L45" s="7" t="s">
        <v>461</v>
      </c>
      <c r="M45" s="7" t="n">
        <v>31</v>
      </c>
      <c r="N45" s="9" t="n">
        <f aca="false">ROUND(J45/I45,3)</f>
        <v>0.864</v>
      </c>
    </row>
    <row r="46" customFormat="false" ht="15" hidden="false" customHeight="false" outlineLevel="0" collapsed="false">
      <c r="A46" s="7" t="s">
        <v>513</v>
      </c>
      <c r="B46" s="8" t="n">
        <v>45562</v>
      </c>
      <c r="C46" s="7" t="s">
        <v>65</v>
      </c>
      <c r="D46" s="7" t="s">
        <v>102</v>
      </c>
      <c r="E46" s="7" t="s">
        <v>481</v>
      </c>
      <c r="F46" s="7" t="s">
        <v>456</v>
      </c>
      <c r="G46" s="7" t="s">
        <v>25</v>
      </c>
      <c r="H46" s="7" t="s">
        <v>131</v>
      </c>
      <c r="I46" s="7" t="n">
        <v>6227</v>
      </c>
      <c r="J46" s="7" t="n">
        <v>5250</v>
      </c>
      <c r="K46" s="7" t="n">
        <v>0.1</v>
      </c>
      <c r="L46" s="7" t="s">
        <v>467</v>
      </c>
      <c r="M46" s="7" t="n">
        <v>56</v>
      </c>
      <c r="N46" s="9" t="n">
        <f aca="false">ROUND(J46/I46,3)</f>
        <v>0.843</v>
      </c>
    </row>
    <row r="47" customFormat="false" ht="15" hidden="false" customHeight="false" outlineLevel="0" collapsed="false">
      <c r="A47" s="7" t="s">
        <v>514</v>
      </c>
      <c r="B47" s="8" t="n">
        <v>45869</v>
      </c>
      <c r="C47" s="7" t="s">
        <v>65</v>
      </c>
      <c r="D47" s="7" t="s">
        <v>113</v>
      </c>
      <c r="E47" s="7" t="s">
        <v>466</v>
      </c>
      <c r="F47" s="7" t="s">
        <v>456</v>
      </c>
      <c r="G47" s="7" t="s">
        <v>25</v>
      </c>
      <c r="H47" s="7" t="s">
        <v>165</v>
      </c>
      <c r="I47" s="7" t="n">
        <v>4224</v>
      </c>
      <c r="J47" s="7" t="n">
        <v>3797</v>
      </c>
      <c r="K47" s="7" t="n">
        <v>1.7</v>
      </c>
      <c r="L47" s="7" t="s">
        <v>457</v>
      </c>
      <c r="M47" s="7" t="n">
        <v>23</v>
      </c>
      <c r="N47" s="9" t="n">
        <f aca="false">ROUND(J47/I47,3)</f>
        <v>0.899</v>
      </c>
    </row>
    <row r="48" customFormat="false" ht="15" hidden="false" customHeight="false" outlineLevel="0" collapsed="false">
      <c r="A48" s="7" t="s">
        <v>515</v>
      </c>
      <c r="B48" s="8" t="n">
        <v>45990</v>
      </c>
      <c r="C48" s="7" t="s">
        <v>68</v>
      </c>
      <c r="D48" s="7" t="s">
        <v>102</v>
      </c>
      <c r="E48" s="7" t="s">
        <v>459</v>
      </c>
      <c r="F48" s="7" t="s">
        <v>456</v>
      </c>
      <c r="G48" s="7" t="s">
        <v>25</v>
      </c>
      <c r="H48" s="7" t="s">
        <v>126</v>
      </c>
      <c r="I48" s="7" t="n">
        <v>8623</v>
      </c>
      <c r="J48" s="7" t="n">
        <v>6740</v>
      </c>
      <c r="K48" s="7" t="n">
        <v>3.5</v>
      </c>
      <c r="L48" s="7" t="s">
        <v>461</v>
      </c>
      <c r="M48" s="7" t="n">
        <v>40</v>
      </c>
      <c r="N48" s="9" t="n">
        <f aca="false">ROUND(J48/I48,3)</f>
        <v>0.782</v>
      </c>
    </row>
    <row r="49" customFormat="false" ht="15" hidden="false" customHeight="false" outlineLevel="0" collapsed="false">
      <c r="A49" s="7" t="s">
        <v>516</v>
      </c>
      <c r="B49" s="8" t="n">
        <v>45912</v>
      </c>
      <c r="C49" s="7" t="s">
        <v>65</v>
      </c>
      <c r="D49" s="7" t="s">
        <v>113</v>
      </c>
      <c r="E49" s="7" t="s">
        <v>481</v>
      </c>
      <c r="F49" s="7" t="s">
        <v>456</v>
      </c>
      <c r="G49" s="7" t="s">
        <v>25</v>
      </c>
      <c r="H49" s="7" t="s">
        <v>131</v>
      </c>
      <c r="I49" s="7" t="n">
        <v>8142</v>
      </c>
      <c r="J49" s="7" t="n">
        <v>7255</v>
      </c>
      <c r="K49" s="7" t="n">
        <v>0.1</v>
      </c>
      <c r="L49" s="7" t="s">
        <v>467</v>
      </c>
      <c r="M49" s="7" t="n">
        <v>80</v>
      </c>
      <c r="N49" s="9" t="n">
        <f aca="false">ROUND(J49/I49,3)</f>
        <v>0.891</v>
      </c>
    </row>
    <row r="50" customFormat="false" ht="15" hidden="false" customHeight="false" outlineLevel="0" collapsed="false">
      <c r="A50" s="7" t="s">
        <v>517</v>
      </c>
      <c r="B50" s="8" t="n">
        <v>45536</v>
      </c>
      <c r="C50" s="7" t="s">
        <v>68</v>
      </c>
      <c r="D50" s="7" t="s">
        <v>99</v>
      </c>
      <c r="E50" s="7" t="s">
        <v>470</v>
      </c>
      <c r="F50" s="7" t="s">
        <v>456</v>
      </c>
      <c r="G50" s="7" t="s">
        <v>25</v>
      </c>
      <c r="H50" s="7" t="s">
        <v>134</v>
      </c>
      <c r="I50" s="7" t="n">
        <v>8400</v>
      </c>
      <c r="J50" s="7" t="n">
        <v>6868</v>
      </c>
      <c r="K50" s="7" t="n">
        <v>3.2</v>
      </c>
      <c r="L50" s="7" t="s">
        <v>477</v>
      </c>
      <c r="M50" s="7" t="n">
        <v>47</v>
      </c>
      <c r="N50" s="9" t="n">
        <f aca="false">ROUND(J50/I50,3)</f>
        <v>0.818</v>
      </c>
    </row>
    <row r="51" customFormat="false" ht="15" hidden="false" customHeight="false" outlineLevel="0" collapsed="false">
      <c r="A51" s="7" t="s">
        <v>518</v>
      </c>
      <c r="B51" s="8" t="n">
        <v>45543</v>
      </c>
      <c r="C51" s="7" t="s">
        <v>65</v>
      </c>
      <c r="D51" s="7" t="s">
        <v>104</v>
      </c>
      <c r="E51" s="7" t="s">
        <v>470</v>
      </c>
      <c r="F51" s="7" t="s">
        <v>456</v>
      </c>
      <c r="G51" s="7" t="s">
        <v>25</v>
      </c>
      <c r="H51" s="7" t="s">
        <v>163</v>
      </c>
      <c r="I51" s="7" t="n">
        <v>7046</v>
      </c>
      <c r="J51" s="7" t="n">
        <v>6000</v>
      </c>
      <c r="K51" s="7" t="n">
        <v>5.1</v>
      </c>
      <c r="L51" s="7" t="s">
        <v>471</v>
      </c>
      <c r="M51" s="7" t="n">
        <v>132</v>
      </c>
      <c r="N51" s="9" t="n">
        <f aca="false">ROUND(J51/I51,3)</f>
        <v>0.852</v>
      </c>
    </row>
    <row r="52" customFormat="false" ht="15" hidden="false" customHeight="false" outlineLevel="0" collapsed="false">
      <c r="A52" s="7" t="s">
        <v>519</v>
      </c>
      <c r="B52" s="8" t="n">
        <v>45342</v>
      </c>
      <c r="C52" s="7" t="s">
        <v>65</v>
      </c>
      <c r="D52" s="7" t="s">
        <v>99</v>
      </c>
      <c r="E52" s="7" t="s">
        <v>459</v>
      </c>
      <c r="F52" s="7" t="s">
        <v>464</v>
      </c>
      <c r="G52" s="7" t="s">
        <v>25</v>
      </c>
      <c r="H52" s="7" t="s">
        <v>154</v>
      </c>
      <c r="I52" s="7" t="n">
        <v>5080</v>
      </c>
      <c r="J52" s="7" t="n">
        <v>4469</v>
      </c>
      <c r="K52" s="7" t="n">
        <v>3.9</v>
      </c>
      <c r="L52" s="7" t="s">
        <v>473</v>
      </c>
      <c r="M52" s="7" t="n">
        <v>37</v>
      </c>
      <c r="N52" s="9" t="n">
        <f aca="false">ROUND(J52/I52,3)</f>
        <v>0.88</v>
      </c>
    </row>
    <row r="53" customFormat="false" ht="15" hidden="false" customHeight="false" outlineLevel="0" collapsed="false">
      <c r="A53" s="7" t="s">
        <v>520</v>
      </c>
      <c r="B53" s="8" t="n">
        <v>45749</v>
      </c>
      <c r="C53" s="7" t="s">
        <v>68</v>
      </c>
      <c r="D53" s="7" t="s">
        <v>106</v>
      </c>
      <c r="E53" s="7" t="s">
        <v>470</v>
      </c>
      <c r="F53" s="7" t="s">
        <v>464</v>
      </c>
      <c r="G53" s="7" t="s">
        <v>25</v>
      </c>
      <c r="H53" s="7" t="s">
        <v>145</v>
      </c>
      <c r="I53" s="7" t="n">
        <v>8535</v>
      </c>
      <c r="J53" s="7" t="n">
        <v>7053</v>
      </c>
      <c r="K53" s="7" t="n">
        <v>2.9</v>
      </c>
      <c r="L53" s="7" t="s">
        <v>457</v>
      </c>
      <c r="M53" s="7" t="n">
        <v>117</v>
      </c>
      <c r="N53" s="9" t="n">
        <f aca="false">ROUND(J53/I53,3)</f>
        <v>0.826</v>
      </c>
    </row>
    <row r="54" customFormat="false" ht="15" hidden="false" customHeight="false" outlineLevel="0" collapsed="false">
      <c r="A54" s="7" t="s">
        <v>521</v>
      </c>
      <c r="B54" s="8" t="n">
        <v>45411</v>
      </c>
      <c r="C54" s="7" t="s">
        <v>65</v>
      </c>
      <c r="D54" s="7" t="s">
        <v>106</v>
      </c>
      <c r="E54" s="7" t="s">
        <v>455</v>
      </c>
      <c r="F54" s="7" t="s">
        <v>460</v>
      </c>
      <c r="G54" s="7" t="s">
        <v>25</v>
      </c>
      <c r="H54" s="7" t="s">
        <v>126</v>
      </c>
      <c r="I54" s="7" t="n">
        <v>5372</v>
      </c>
      <c r="J54" s="7" t="n">
        <v>5170</v>
      </c>
      <c r="K54" s="7" t="n">
        <v>2.8</v>
      </c>
      <c r="L54" s="7" t="s">
        <v>457</v>
      </c>
      <c r="M54" s="7" t="n">
        <v>83</v>
      </c>
      <c r="N54" s="9" t="n">
        <f aca="false">ROUND(J54/I54,3)</f>
        <v>0.962</v>
      </c>
    </row>
    <row r="55" customFormat="false" ht="15" hidden="false" customHeight="false" outlineLevel="0" collapsed="false">
      <c r="A55" s="7" t="s">
        <v>522</v>
      </c>
      <c r="B55" s="8" t="n">
        <v>45548</v>
      </c>
      <c r="C55" s="7" t="s">
        <v>65</v>
      </c>
      <c r="D55" s="7" t="s">
        <v>104</v>
      </c>
      <c r="E55" s="7" t="s">
        <v>455</v>
      </c>
      <c r="F55" s="7" t="s">
        <v>456</v>
      </c>
      <c r="G55" s="7" t="s">
        <v>25</v>
      </c>
      <c r="H55" s="7" t="s">
        <v>134</v>
      </c>
      <c r="I55" s="7" t="n">
        <v>4161</v>
      </c>
      <c r="J55" s="7" t="n">
        <v>3898</v>
      </c>
      <c r="K55" s="7" t="n">
        <v>4.5</v>
      </c>
      <c r="L55" s="7" t="s">
        <v>473</v>
      </c>
      <c r="M55" s="7" t="n">
        <v>32</v>
      </c>
      <c r="N55" s="9" t="n">
        <f aca="false">ROUND(J55/I55,3)</f>
        <v>0.937</v>
      </c>
    </row>
    <row r="56" customFormat="false" ht="15" hidden="false" customHeight="false" outlineLevel="0" collapsed="false">
      <c r="A56" s="7" t="s">
        <v>523</v>
      </c>
      <c r="B56" s="8" t="n">
        <v>45917</v>
      </c>
      <c r="C56" s="7" t="s">
        <v>68</v>
      </c>
      <c r="D56" s="7" t="s">
        <v>99</v>
      </c>
      <c r="E56" s="7" t="s">
        <v>470</v>
      </c>
      <c r="F56" s="7" t="s">
        <v>460</v>
      </c>
      <c r="G56" s="7" t="s">
        <v>25</v>
      </c>
      <c r="H56" s="7" t="s">
        <v>148</v>
      </c>
      <c r="I56" s="7" t="n">
        <v>7078</v>
      </c>
      <c r="J56" s="7" t="n">
        <v>5890</v>
      </c>
      <c r="K56" s="7" t="n">
        <v>5.4</v>
      </c>
      <c r="L56" s="7" t="s">
        <v>477</v>
      </c>
      <c r="M56" s="7" t="n">
        <v>52</v>
      </c>
      <c r="N56" s="9" t="n">
        <f aca="false">ROUND(J56/I56,3)</f>
        <v>0.832</v>
      </c>
    </row>
    <row r="57" customFormat="false" ht="15" hidden="false" customHeight="false" outlineLevel="0" collapsed="false">
      <c r="A57" s="7" t="s">
        <v>524</v>
      </c>
      <c r="B57" s="8" t="n">
        <v>45769</v>
      </c>
      <c r="C57" s="7" t="s">
        <v>68</v>
      </c>
      <c r="D57" s="7" t="s">
        <v>113</v>
      </c>
      <c r="E57" s="7" t="s">
        <v>466</v>
      </c>
      <c r="F57" s="7" t="s">
        <v>456</v>
      </c>
      <c r="G57" s="7" t="s">
        <v>25</v>
      </c>
      <c r="H57" s="7" t="s">
        <v>140</v>
      </c>
      <c r="I57" s="7" t="n">
        <v>6409</v>
      </c>
      <c r="J57" s="7" t="n">
        <v>5077</v>
      </c>
      <c r="K57" s="7" t="n">
        <v>2.1</v>
      </c>
      <c r="L57" s="7" t="s">
        <v>473</v>
      </c>
      <c r="M57" s="7" t="n">
        <v>67</v>
      </c>
      <c r="N57" s="9" t="n">
        <f aca="false">ROUND(J57/I57,3)</f>
        <v>0.792</v>
      </c>
    </row>
    <row r="58" customFormat="false" ht="15" hidden="false" customHeight="false" outlineLevel="0" collapsed="false">
      <c r="A58" s="7" t="s">
        <v>525</v>
      </c>
      <c r="B58" s="8" t="n">
        <v>45621</v>
      </c>
      <c r="C58" s="7" t="s">
        <v>68</v>
      </c>
      <c r="D58" s="7" t="s">
        <v>113</v>
      </c>
      <c r="E58" s="7" t="s">
        <v>455</v>
      </c>
      <c r="F58" s="7" t="s">
        <v>464</v>
      </c>
      <c r="G58" s="7" t="s">
        <v>25</v>
      </c>
      <c r="H58" s="7" t="s">
        <v>126</v>
      </c>
      <c r="I58" s="7" t="n">
        <v>5374</v>
      </c>
      <c r="J58" s="7" t="n">
        <v>4575</v>
      </c>
      <c r="K58" s="7" t="n">
        <v>1.5</v>
      </c>
      <c r="L58" s="7" t="s">
        <v>471</v>
      </c>
      <c r="M58" s="7" t="n">
        <v>137</v>
      </c>
      <c r="N58" s="9" t="n">
        <f aca="false">ROUND(J58/I58,3)</f>
        <v>0.851</v>
      </c>
    </row>
    <row r="59" customFormat="false" ht="15" hidden="false" customHeight="false" outlineLevel="0" collapsed="false">
      <c r="A59" s="7" t="s">
        <v>526</v>
      </c>
      <c r="B59" s="8" t="n">
        <v>45841</v>
      </c>
      <c r="C59" s="7" t="s">
        <v>68</v>
      </c>
      <c r="D59" s="7" t="s">
        <v>113</v>
      </c>
      <c r="E59" s="7" t="s">
        <v>466</v>
      </c>
      <c r="F59" s="7" t="s">
        <v>464</v>
      </c>
      <c r="G59" s="7" t="s">
        <v>25</v>
      </c>
      <c r="H59" s="7" t="s">
        <v>150</v>
      </c>
      <c r="I59" s="7" t="n">
        <v>3833</v>
      </c>
      <c r="J59" s="7" t="n">
        <v>3510</v>
      </c>
      <c r="K59" s="7" t="n">
        <v>0.3</v>
      </c>
      <c r="L59" s="7" t="s">
        <v>467</v>
      </c>
      <c r="M59" s="7" t="n">
        <v>73</v>
      </c>
      <c r="N59" s="9" t="n">
        <f aca="false">ROUND(J59/I59,3)</f>
        <v>0.916</v>
      </c>
    </row>
    <row r="60" customFormat="false" ht="15" hidden="false" customHeight="false" outlineLevel="0" collapsed="false">
      <c r="A60" s="7" t="s">
        <v>527</v>
      </c>
      <c r="B60" s="8" t="n">
        <v>45420</v>
      </c>
      <c r="C60" s="7" t="s">
        <v>68</v>
      </c>
      <c r="D60" s="7" t="s">
        <v>113</v>
      </c>
      <c r="E60" s="7" t="s">
        <v>459</v>
      </c>
      <c r="F60" s="7" t="s">
        <v>460</v>
      </c>
      <c r="G60" s="7" t="s">
        <v>25</v>
      </c>
      <c r="H60" s="7" t="s">
        <v>145</v>
      </c>
      <c r="I60" s="7" t="n">
        <v>6058</v>
      </c>
      <c r="J60" s="7" t="n">
        <v>5662</v>
      </c>
      <c r="K60" s="7" t="n">
        <v>4.7</v>
      </c>
      <c r="L60" s="7" t="s">
        <v>477</v>
      </c>
      <c r="M60" s="7" t="n">
        <v>143</v>
      </c>
      <c r="N60" s="9" t="n">
        <f aca="false">ROUND(J60/I60,3)</f>
        <v>0.935</v>
      </c>
    </row>
    <row r="61" customFormat="false" ht="15" hidden="false" customHeight="false" outlineLevel="0" collapsed="false">
      <c r="A61" s="7" t="s">
        <v>528</v>
      </c>
      <c r="B61" s="8" t="n">
        <v>45913</v>
      </c>
      <c r="C61" s="7" t="s">
        <v>65</v>
      </c>
      <c r="D61" s="7" t="s">
        <v>99</v>
      </c>
      <c r="E61" s="7" t="s">
        <v>455</v>
      </c>
      <c r="F61" s="7" t="s">
        <v>456</v>
      </c>
      <c r="G61" s="7" t="s">
        <v>25</v>
      </c>
      <c r="H61" s="7" t="s">
        <v>161</v>
      </c>
      <c r="I61" s="7" t="n">
        <v>6693</v>
      </c>
      <c r="J61" s="7" t="n">
        <v>5978</v>
      </c>
      <c r="K61" s="7" t="n">
        <v>3.7</v>
      </c>
      <c r="L61" s="7" t="s">
        <v>461</v>
      </c>
      <c r="M61" s="7" t="n">
        <v>72</v>
      </c>
      <c r="N61" s="9" t="n">
        <f aca="false">ROUND(J61/I61,3)</f>
        <v>0.893</v>
      </c>
    </row>
    <row r="62" customFormat="false" ht="15" hidden="false" customHeight="false" outlineLevel="0" collapsed="false">
      <c r="A62" s="7" t="s">
        <v>529</v>
      </c>
      <c r="B62" s="8" t="n">
        <v>45340</v>
      </c>
      <c r="C62" s="7" t="s">
        <v>65</v>
      </c>
      <c r="D62" s="7" t="s">
        <v>102</v>
      </c>
      <c r="E62" s="7" t="s">
        <v>481</v>
      </c>
      <c r="F62" s="7" t="s">
        <v>460</v>
      </c>
      <c r="G62" s="7" t="s">
        <v>25</v>
      </c>
      <c r="H62" s="7" t="s">
        <v>154</v>
      </c>
      <c r="I62" s="7" t="n">
        <v>5308</v>
      </c>
      <c r="J62" s="7" t="n">
        <v>4521</v>
      </c>
      <c r="K62" s="7" t="n">
        <v>1.8</v>
      </c>
      <c r="L62" s="7" t="s">
        <v>473</v>
      </c>
      <c r="M62" s="7" t="n">
        <v>49</v>
      </c>
      <c r="N62" s="9" t="n">
        <f aca="false">ROUND(J62/I62,3)</f>
        <v>0.852</v>
      </c>
    </row>
    <row r="63" customFormat="false" ht="15" hidden="false" customHeight="false" outlineLevel="0" collapsed="false">
      <c r="A63" s="7" t="s">
        <v>530</v>
      </c>
      <c r="B63" s="8" t="n">
        <v>45765</v>
      </c>
      <c r="C63" s="7" t="s">
        <v>68</v>
      </c>
      <c r="D63" s="7" t="s">
        <v>99</v>
      </c>
      <c r="E63" s="7" t="s">
        <v>463</v>
      </c>
      <c r="F63" s="7" t="s">
        <v>456</v>
      </c>
      <c r="G63" s="7" t="s">
        <v>25</v>
      </c>
      <c r="H63" s="7" t="s">
        <v>142</v>
      </c>
      <c r="I63" s="7" t="n">
        <v>3615</v>
      </c>
      <c r="J63" s="7" t="n">
        <v>3189</v>
      </c>
      <c r="K63" s="7" t="n">
        <v>1.2</v>
      </c>
      <c r="L63" s="7" t="s">
        <v>477</v>
      </c>
      <c r="M63" s="7" t="n">
        <v>52</v>
      </c>
      <c r="N63" s="9" t="n">
        <f aca="false">ROUND(J63/I63,3)</f>
        <v>0.882</v>
      </c>
    </row>
    <row r="64" customFormat="false" ht="15" hidden="false" customHeight="false" outlineLevel="0" collapsed="false">
      <c r="A64" s="7" t="s">
        <v>531</v>
      </c>
      <c r="B64" s="8" t="n">
        <v>45621</v>
      </c>
      <c r="C64" s="7" t="s">
        <v>68</v>
      </c>
      <c r="D64" s="7" t="s">
        <v>113</v>
      </c>
      <c r="E64" s="7" t="s">
        <v>463</v>
      </c>
      <c r="F64" s="7" t="s">
        <v>456</v>
      </c>
      <c r="G64" s="7" t="s">
        <v>25</v>
      </c>
      <c r="H64" s="7" t="s">
        <v>145</v>
      </c>
      <c r="I64" s="7" t="n">
        <v>4999</v>
      </c>
      <c r="J64" s="7" t="n">
        <v>4462</v>
      </c>
      <c r="K64" s="7" t="n">
        <v>0.5</v>
      </c>
      <c r="L64" s="7" t="s">
        <v>473</v>
      </c>
      <c r="M64" s="7" t="n">
        <v>57</v>
      </c>
      <c r="N64" s="9" t="n">
        <f aca="false">ROUND(J64/I64,3)</f>
        <v>0.893</v>
      </c>
    </row>
    <row r="65" customFormat="false" ht="15" hidden="false" customHeight="false" outlineLevel="0" collapsed="false">
      <c r="A65" s="7" t="s">
        <v>532</v>
      </c>
      <c r="B65" s="8" t="n">
        <v>45635</v>
      </c>
      <c r="C65" s="7" t="s">
        <v>65</v>
      </c>
      <c r="D65" s="7" t="s">
        <v>95</v>
      </c>
      <c r="E65" s="7" t="s">
        <v>470</v>
      </c>
      <c r="F65" s="7" t="s">
        <v>460</v>
      </c>
      <c r="G65" s="7" t="s">
        <v>25</v>
      </c>
      <c r="H65" s="7" t="s">
        <v>159</v>
      </c>
      <c r="I65" s="7" t="n">
        <v>6390</v>
      </c>
      <c r="J65" s="7" t="n">
        <v>5309</v>
      </c>
      <c r="K65" s="7" t="n">
        <v>4.5</v>
      </c>
      <c r="L65" s="7" t="s">
        <v>461</v>
      </c>
      <c r="M65" s="7" t="n">
        <v>71</v>
      </c>
      <c r="N65" s="9" t="n">
        <f aca="false">ROUND(J65/I65,3)</f>
        <v>0.831</v>
      </c>
    </row>
    <row r="66" customFormat="false" ht="15" hidden="false" customHeight="false" outlineLevel="0" collapsed="false">
      <c r="A66" s="7" t="s">
        <v>533</v>
      </c>
      <c r="B66" s="8" t="n">
        <v>45338</v>
      </c>
      <c r="C66" s="7" t="s">
        <v>68</v>
      </c>
      <c r="D66" s="7" t="s">
        <v>109</v>
      </c>
      <c r="E66" s="7" t="s">
        <v>463</v>
      </c>
      <c r="F66" s="7" t="s">
        <v>456</v>
      </c>
      <c r="G66" s="7" t="s">
        <v>25</v>
      </c>
      <c r="H66" s="7" t="s">
        <v>168</v>
      </c>
      <c r="I66" s="7" t="n">
        <v>7335</v>
      </c>
      <c r="J66" s="7" t="n">
        <v>5711</v>
      </c>
      <c r="K66" s="7" t="n">
        <v>3.8</v>
      </c>
      <c r="L66" s="7" t="s">
        <v>461</v>
      </c>
      <c r="M66" s="7" t="n">
        <v>156</v>
      </c>
      <c r="N66" s="9" t="n">
        <f aca="false">ROUND(J66/I66,3)</f>
        <v>0.779</v>
      </c>
    </row>
    <row r="67" customFormat="false" ht="15" hidden="false" customHeight="false" outlineLevel="0" collapsed="false">
      <c r="A67" s="7" t="s">
        <v>534</v>
      </c>
      <c r="B67" s="8" t="n">
        <v>45670</v>
      </c>
      <c r="C67" s="7" t="s">
        <v>68</v>
      </c>
      <c r="D67" s="7" t="s">
        <v>113</v>
      </c>
      <c r="E67" s="7" t="s">
        <v>466</v>
      </c>
      <c r="F67" s="7" t="s">
        <v>464</v>
      </c>
      <c r="G67" s="7" t="s">
        <v>25</v>
      </c>
      <c r="H67" s="7" t="s">
        <v>140</v>
      </c>
      <c r="I67" s="7" t="n">
        <v>3264</v>
      </c>
      <c r="J67" s="7" t="n">
        <v>3105</v>
      </c>
      <c r="K67" s="7" t="n">
        <v>2.6</v>
      </c>
      <c r="L67" s="7" t="s">
        <v>477</v>
      </c>
      <c r="M67" s="7" t="n">
        <v>53</v>
      </c>
      <c r="N67" s="9" t="n">
        <f aca="false">ROUND(J67/I67,3)</f>
        <v>0.951</v>
      </c>
    </row>
    <row r="68" customFormat="false" ht="15" hidden="false" customHeight="false" outlineLevel="0" collapsed="false">
      <c r="A68" s="7" t="s">
        <v>535</v>
      </c>
      <c r="B68" s="8" t="n">
        <v>45364</v>
      </c>
      <c r="C68" s="7" t="s">
        <v>68</v>
      </c>
      <c r="D68" s="7" t="s">
        <v>115</v>
      </c>
      <c r="E68" s="7" t="s">
        <v>463</v>
      </c>
      <c r="F68" s="7" t="s">
        <v>464</v>
      </c>
      <c r="G68" s="7" t="s">
        <v>25</v>
      </c>
      <c r="H68" s="7" t="s">
        <v>148</v>
      </c>
      <c r="I68" s="7" t="n">
        <v>4264</v>
      </c>
      <c r="J68" s="7" t="n">
        <v>4132</v>
      </c>
      <c r="K68" s="7" t="n">
        <v>0.9</v>
      </c>
      <c r="L68" s="7" t="s">
        <v>471</v>
      </c>
      <c r="M68" s="7" t="n">
        <v>95</v>
      </c>
      <c r="N68" s="9" t="n">
        <f aca="false">ROUND(J68/I68,3)</f>
        <v>0.969</v>
      </c>
    </row>
    <row r="69" customFormat="false" ht="15" hidden="false" customHeight="false" outlineLevel="0" collapsed="false">
      <c r="A69" s="7" t="s">
        <v>536</v>
      </c>
      <c r="B69" s="8" t="n">
        <v>45928</v>
      </c>
      <c r="C69" s="7" t="s">
        <v>68</v>
      </c>
      <c r="D69" s="7" t="s">
        <v>99</v>
      </c>
      <c r="E69" s="7" t="s">
        <v>459</v>
      </c>
      <c r="F69" s="7" t="s">
        <v>464</v>
      </c>
      <c r="G69" s="7" t="s">
        <v>25</v>
      </c>
      <c r="H69" s="7" t="s">
        <v>126</v>
      </c>
      <c r="I69" s="7" t="n">
        <v>4029</v>
      </c>
      <c r="J69" s="7" t="n">
        <v>3632</v>
      </c>
      <c r="K69" s="7" t="n">
        <v>1.4</v>
      </c>
      <c r="L69" s="7" t="s">
        <v>471</v>
      </c>
      <c r="M69" s="7" t="n">
        <v>45</v>
      </c>
      <c r="N69" s="9" t="n">
        <f aca="false">ROUND(J69/I69,3)</f>
        <v>0.901</v>
      </c>
    </row>
    <row r="70" customFormat="false" ht="15" hidden="false" customHeight="false" outlineLevel="0" collapsed="false">
      <c r="A70" s="7" t="s">
        <v>537</v>
      </c>
      <c r="B70" s="8" t="n">
        <v>45433</v>
      </c>
      <c r="C70" s="7" t="s">
        <v>68</v>
      </c>
      <c r="D70" s="7" t="s">
        <v>113</v>
      </c>
      <c r="E70" s="7" t="s">
        <v>470</v>
      </c>
      <c r="F70" s="7" t="s">
        <v>464</v>
      </c>
      <c r="G70" s="7" t="s">
        <v>25</v>
      </c>
      <c r="H70" s="7" t="s">
        <v>137</v>
      </c>
      <c r="I70" s="7" t="n">
        <v>3576</v>
      </c>
      <c r="J70" s="7" t="n">
        <v>2861</v>
      </c>
      <c r="K70" s="7" t="n">
        <v>1.8</v>
      </c>
      <c r="L70" s="7" t="s">
        <v>457</v>
      </c>
      <c r="M70" s="7" t="n">
        <v>32</v>
      </c>
      <c r="N70" s="9" t="n">
        <f aca="false">ROUND(J70/I70,3)</f>
        <v>0.8</v>
      </c>
    </row>
    <row r="71" customFormat="false" ht="15" hidden="false" customHeight="false" outlineLevel="0" collapsed="false">
      <c r="A71" s="7" t="s">
        <v>538</v>
      </c>
      <c r="B71" s="8" t="n">
        <v>45870</v>
      </c>
      <c r="C71" s="7" t="s">
        <v>65</v>
      </c>
      <c r="D71" s="7" t="s">
        <v>106</v>
      </c>
      <c r="E71" s="7" t="s">
        <v>481</v>
      </c>
      <c r="F71" s="7" t="s">
        <v>460</v>
      </c>
      <c r="G71" s="7" t="s">
        <v>25</v>
      </c>
      <c r="H71" s="7" t="s">
        <v>154</v>
      </c>
      <c r="I71" s="7" t="n">
        <v>8280</v>
      </c>
      <c r="J71" s="7" t="n">
        <v>7084</v>
      </c>
      <c r="K71" s="7" t="n">
        <v>5</v>
      </c>
      <c r="L71" s="7" t="s">
        <v>461</v>
      </c>
      <c r="M71" s="7" t="n">
        <v>76</v>
      </c>
      <c r="N71" s="9" t="n">
        <f aca="false">ROUND(J71/I71,3)</f>
        <v>0.856</v>
      </c>
    </row>
    <row r="72" customFormat="false" ht="15" hidden="false" customHeight="false" outlineLevel="0" collapsed="false">
      <c r="A72" s="7" t="s">
        <v>539</v>
      </c>
      <c r="B72" s="8" t="n">
        <v>45505</v>
      </c>
      <c r="C72" s="7" t="s">
        <v>68</v>
      </c>
      <c r="D72" s="7" t="s">
        <v>106</v>
      </c>
      <c r="E72" s="7" t="s">
        <v>455</v>
      </c>
      <c r="F72" s="7" t="s">
        <v>464</v>
      </c>
      <c r="G72" s="7" t="s">
        <v>25</v>
      </c>
      <c r="H72" s="7" t="s">
        <v>145</v>
      </c>
      <c r="I72" s="7" t="n">
        <v>7082</v>
      </c>
      <c r="J72" s="7" t="n">
        <v>5432</v>
      </c>
      <c r="K72" s="7" t="n">
        <v>5.3</v>
      </c>
      <c r="L72" s="7" t="s">
        <v>477</v>
      </c>
      <c r="M72" s="7" t="n">
        <v>58</v>
      </c>
      <c r="N72" s="9" t="n">
        <f aca="false">ROUND(J72/I72,3)</f>
        <v>0.767</v>
      </c>
    </row>
    <row r="73" customFormat="false" ht="15" hidden="false" customHeight="false" outlineLevel="0" collapsed="false">
      <c r="A73" s="7" t="s">
        <v>540</v>
      </c>
      <c r="B73" s="8" t="n">
        <v>45700</v>
      </c>
      <c r="C73" s="7" t="s">
        <v>65</v>
      </c>
      <c r="D73" s="7" t="s">
        <v>115</v>
      </c>
      <c r="E73" s="7" t="s">
        <v>455</v>
      </c>
      <c r="F73" s="7" t="s">
        <v>456</v>
      </c>
      <c r="G73" s="7" t="s">
        <v>25</v>
      </c>
      <c r="H73" s="7" t="s">
        <v>154</v>
      </c>
      <c r="I73" s="7" t="n">
        <v>8884</v>
      </c>
      <c r="J73" s="7" t="n">
        <v>7199</v>
      </c>
      <c r="K73" s="7" t="n">
        <v>2.5</v>
      </c>
      <c r="L73" s="7" t="s">
        <v>477</v>
      </c>
      <c r="M73" s="7" t="n">
        <v>179</v>
      </c>
      <c r="N73" s="9" t="n">
        <f aca="false">ROUND(J73/I73,3)</f>
        <v>0.81</v>
      </c>
    </row>
    <row r="74" customFormat="false" ht="15" hidden="false" customHeight="false" outlineLevel="0" collapsed="false">
      <c r="A74" s="7" t="s">
        <v>541</v>
      </c>
      <c r="B74" s="8" t="n">
        <v>46019</v>
      </c>
      <c r="C74" s="7" t="s">
        <v>65</v>
      </c>
      <c r="D74" s="7" t="s">
        <v>104</v>
      </c>
      <c r="E74" s="7" t="s">
        <v>481</v>
      </c>
      <c r="F74" s="7" t="s">
        <v>464</v>
      </c>
      <c r="G74" s="7" t="s">
        <v>25</v>
      </c>
      <c r="H74" s="7" t="s">
        <v>152</v>
      </c>
      <c r="I74" s="7" t="n">
        <v>4588</v>
      </c>
      <c r="J74" s="7" t="n">
        <v>3777</v>
      </c>
      <c r="K74" s="7" t="n">
        <v>1.4</v>
      </c>
      <c r="L74" s="7" t="s">
        <v>461</v>
      </c>
      <c r="M74" s="7" t="n">
        <v>102</v>
      </c>
      <c r="N74" s="9" t="n">
        <f aca="false">ROUND(J74/I74,3)</f>
        <v>0.823</v>
      </c>
    </row>
    <row r="75" customFormat="false" ht="15" hidden="false" customHeight="false" outlineLevel="0" collapsed="false">
      <c r="A75" s="7" t="s">
        <v>542</v>
      </c>
      <c r="B75" s="8" t="n">
        <v>45402</v>
      </c>
      <c r="C75" s="7" t="s">
        <v>68</v>
      </c>
      <c r="D75" s="7" t="s">
        <v>102</v>
      </c>
      <c r="E75" s="7" t="s">
        <v>463</v>
      </c>
      <c r="F75" s="7" t="s">
        <v>460</v>
      </c>
      <c r="G75" s="7" t="s">
        <v>25</v>
      </c>
      <c r="H75" s="7" t="s">
        <v>161</v>
      </c>
      <c r="I75" s="7" t="n">
        <v>8450</v>
      </c>
      <c r="J75" s="7" t="n">
        <v>7634</v>
      </c>
      <c r="K75" s="7" t="n">
        <v>0.3</v>
      </c>
      <c r="L75" s="7" t="s">
        <v>467</v>
      </c>
      <c r="M75" s="7" t="n">
        <v>214</v>
      </c>
      <c r="N75" s="9" t="n">
        <f aca="false">ROUND(J75/I75,3)</f>
        <v>0.903</v>
      </c>
    </row>
    <row r="76" customFormat="false" ht="15" hidden="false" customHeight="false" outlineLevel="0" collapsed="false">
      <c r="A76" s="7" t="s">
        <v>543</v>
      </c>
      <c r="B76" s="8" t="n">
        <v>45329</v>
      </c>
      <c r="C76" s="7" t="s">
        <v>65</v>
      </c>
      <c r="D76" s="7" t="s">
        <v>102</v>
      </c>
      <c r="E76" s="7" t="s">
        <v>481</v>
      </c>
      <c r="F76" s="7" t="s">
        <v>464</v>
      </c>
      <c r="G76" s="7" t="s">
        <v>25</v>
      </c>
      <c r="H76" s="7" t="s">
        <v>131</v>
      </c>
      <c r="I76" s="7" t="n">
        <v>4508</v>
      </c>
      <c r="J76" s="7" t="n">
        <v>4113</v>
      </c>
      <c r="K76" s="7" t="n">
        <v>2.4</v>
      </c>
      <c r="L76" s="7" t="s">
        <v>473</v>
      </c>
      <c r="M76" s="7" t="n">
        <v>123</v>
      </c>
      <c r="N76" s="9" t="n">
        <f aca="false">ROUND(J76/I76,3)</f>
        <v>0.912</v>
      </c>
    </row>
    <row r="77" customFormat="false" ht="15" hidden="false" customHeight="false" outlineLevel="0" collapsed="false">
      <c r="A77" s="7" t="s">
        <v>544</v>
      </c>
      <c r="B77" s="8" t="n">
        <v>45454</v>
      </c>
      <c r="C77" s="7" t="s">
        <v>65</v>
      </c>
      <c r="D77" s="7" t="s">
        <v>102</v>
      </c>
      <c r="E77" s="7" t="s">
        <v>470</v>
      </c>
      <c r="F77" s="7" t="s">
        <v>456</v>
      </c>
      <c r="G77" s="7" t="s">
        <v>25</v>
      </c>
      <c r="H77" s="7" t="s">
        <v>163</v>
      </c>
      <c r="I77" s="7" t="n">
        <v>3261</v>
      </c>
      <c r="J77" s="7" t="n">
        <v>3042</v>
      </c>
      <c r="K77" s="7" t="n">
        <v>1.9</v>
      </c>
      <c r="L77" s="7" t="s">
        <v>477</v>
      </c>
      <c r="M77" s="7" t="n">
        <v>90</v>
      </c>
      <c r="N77" s="9" t="n">
        <f aca="false">ROUND(J77/I77,3)</f>
        <v>0.933</v>
      </c>
    </row>
    <row r="78" customFormat="false" ht="15" hidden="false" customHeight="false" outlineLevel="0" collapsed="false">
      <c r="A78" s="7" t="s">
        <v>545</v>
      </c>
      <c r="B78" s="8" t="n">
        <v>45722</v>
      </c>
      <c r="C78" s="7" t="s">
        <v>65</v>
      </c>
      <c r="D78" s="7" t="s">
        <v>95</v>
      </c>
      <c r="E78" s="7" t="s">
        <v>455</v>
      </c>
      <c r="F78" s="7" t="s">
        <v>460</v>
      </c>
      <c r="G78" s="7" t="s">
        <v>25</v>
      </c>
      <c r="H78" s="7" t="s">
        <v>134</v>
      </c>
      <c r="I78" s="7" t="n">
        <v>5879</v>
      </c>
      <c r="J78" s="7" t="n">
        <v>5178</v>
      </c>
      <c r="K78" s="7" t="n">
        <v>2.5</v>
      </c>
      <c r="L78" s="7" t="s">
        <v>471</v>
      </c>
      <c r="M78" s="7" t="n">
        <v>124</v>
      </c>
      <c r="N78" s="9" t="n">
        <f aca="false">ROUND(J78/I78,3)</f>
        <v>0.881</v>
      </c>
    </row>
    <row r="79" customFormat="false" ht="15" hidden="false" customHeight="false" outlineLevel="0" collapsed="false">
      <c r="A79" s="7" t="s">
        <v>546</v>
      </c>
      <c r="B79" s="8" t="n">
        <v>45669</v>
      </c>
      <c r="C79" s="7" t="s">
        <v>68</v>
      </c>
      <c r="D79" s="7" t="s">
        <v>113</v>
      </c>
      <c r="E79" s="7" t="s">
        <v>455</v>
      </c>
      <c r="F79" s="7" t="s">
        <v>464</v>
      </c>
      <c r="G79" s="7" t="s">
        <v>25</v>
      </c>
      <c r="H79" s="7" t="s">
        <v>165</v>
      </c>
      <c r="I79" s="7" t="n">
        <v>4603</v>
      </c>
      <c r="J79" s="7" t="n">
        <v>3688</v>
      </c>
      <c r="K79" s="7" t="n">
        <v>2.2</v>
      </c>
      <c r="L79" s="7" t="s">
        <v>477</v>
      </c>
      <c r="M79" s="7" t="n">
        <v>52</v>
      </c>
      <c r="N79" s="9" t="n">
        <f aca="false">ROUND(J79/I79,3)</f>
        <v>0.801</v>
      </c>
    </row>
    <row r="80" customFormat="false" ht="15" hidden="false" customHeight="false" outlineLevel="0" collapsed="false">
      <c r="A80" s="7" t="s">
        <v>547</v>
      </c>
      <c r="B80" s="8" t="n">
        <v>45748</v>
      </c>
      <c r="C80" s="7" t="s">
        <v>68</v>
      </c>
      <c r="D80" s="7" t="s">
        <v>104</v>
      </c>
      <c r="E80" s="7" t="s">
        <v>470</v>
      </c>
      <c r="F80" s="7" t="s">
        <v>460</v>
      </c>
      <c r="G80" s="7" t="s">
        <v>25</v>
      </c>
      <c r="H80" s="7" t="s">
        <v>131</v>
      </c>
      <c r="I80" s="7" t="n">
        <v>6076</v>
      </c>
      <c r="J80" s="7" t="n">
        <v>4811</v>
      </c>
      <c r="K80" s="7" t="n">
        <v>0.2</v>
      </c>
      <c r="L80" s="7" t="s">
        <v>467</v>
      </c>
      <c r="M80" s="7" t="n">
        <v>134</v>
      </c>
      <c r="N80" s="9" t="n">
        <f aca="false">ROUND(J80/I80,3)</f>
        <v>0.792</v>
      </c>
    </row>
    <row r="81" customFormat="false" ht="15" hidden="false" customHeight="false" outlineLevel="0" collapsed="false">
      <c r="A81" s="7" t="s">
        <v>548</v>
      </c>
      <c r="B81" s="8" t="n">
        <v>45542</v>
      </c>
      <c r="C81" s="7" t="s">
        <v>65</v>
      </c>
      <c r="D81" s="7" t="s">
        <v>109</v>
      </c>
      <c r="E81" s="7" t="s">
        <v>466</v>
      </c>
      <c r="F81" s="7" t="s">
        <v>460</v>
      </c>
      <c r="G81" s="7" t="s">
        <v>25</v>
      </c>
      <c r="H81" s="7" t="s">
        <v>154</v>
      </c>
      <c r="I81" s="7" t="n">
        <v>8054</v>
      </c>
      <c r="J81" s="7" t="n">
        <v>7532</v>
      </c>
      <c r="K81" s="7" t="n">
        <v>0.3</v>
      </c>
      <c r="L81" s="7" t="s">
        <v>467</v>
      </c>
      <c r="M81" s="7" t="n">
        <v>167</v>
      </c>
      <c r="N81" s="9" t="n">
        <f aca="false">ROUND(J81/I81,3)</f>
        <v>0.935</v>
      </c>
    </row>
    <row r="82" customFormat="false" ht="15" hidden="false" customHeight="false" outlineLevel="0" collapsed="false">
      <c r="A82" s="7" t="s">
        <v>549</v>
      </c>
      <c r="B82" s="8" t="n">
        <v>45545</v>
      </c>
      <c r="C82" s="7" t="s">
        <v>65</v>
      </c>
      <c r="D82" s="7" t="s">
        <v>99</v>
      </c>
      <c r="E82" s="7" t="s">
        <v>455</v>
      </c>
      <c r="F82" s="7" t="s">
        <v>464</v>
      </c>
      <c r="G82" s="7" t="s">
        <v>25</v>
      </c>
      <c r="H82" s="7" t="s">
        <v>137</v>
      </c>
      <c r="I82" s="7" t="n">
        <v>6892</v>
      </c>
      <c r="J82" s="7" t="n">
        <v>6584</v>
      </c>
      <c r="K82" s="7" t="n">
        <v>4.3</v>
      </c>
      <c r="L82" s="7" t="s">
        <v>477</v>
      </c>
      <c r="M82" s="7" t="n">
        <v>96</v>
      </c>
      <c r="N82" s="9" t="n">
        <f aca="false">ROUND(J82/I82,3)</f>
        <v>0.955</v>
      </c>
    </row>
    <row r="83" customFormat="false" ht="15" hidden="false" customHeight="false" outlineLevel="0" collapsed="false">
      <c r="A83" s="7" t="s">
        <v>550</v>
      </c>
      <c r="B83" s="8" t="n">
        <v>45565</v>
      </c>
      <c r="C83" s="7" t="s">
        <v>68</v>
      </c>
      <c r="D83" s="7" t="s">
        <v>115</v>
      </c>
      <c r="E83" s="7" t="s">
        <v>463</v>
      </c>
      <c r="F83" s="7" t="s">
        <v>460</v>
      </c>
      <c r="G83" s="7" t="s">
        <v>25</v>
      </c>
      <c r="H83" s="7" t="s">
        <v>142</v>
      </c>
      <c r="I83" s="7" t="n">
        <v>3071</v>
      </c>
      <c r="J83" s="7" t="n">
        <v>2733</v>
      </c>
      <c r="K83" s="7" t="n">
        <v>4.8</v>
      </c>
      <c r="L83" s="7" t="s">
        <v>473</v>
      </c>
      <c r="M83" s="7" t="n">
        <v>66</v>
      </c>
      <c r="N83" s="9" t="n">
        <f aca="false">ROUND(J83/I83,3)</f>
        <v>0.89</v>
      </c>
    </row>
    <row r="84" customFormat="false" ht="15" hidden="false" customHeight="false" outlineLevel="0" collapsed="false">
      <c r="A84" s="7" t="s">
        <v>551</v>
      </c>
      <c r="B84" s="8" t="n">
        <v>45877</v>
      </c>
      <c r="C84" s="7" t="s">
        <v>68</v>
      </c>
      <c r="D84" s="7" t="s">
        <v>109</v>
      </c>
      <c r="E84" s="7" t="s">
        <v>481</v>
      </c>
      <c r="F84" s="7" t="s">
        <v>460</v>
      </c>
      <c r="G84" s="7" t="s">
        <v>25</v>
      </c>
      <c r="H84" s="7" t="s">
        <v>134</v>
      </c>
      <c r="I84" s="7" t="n">
        <v>7193</v>
      </c>
      <c r="J84" s="7" t="n">
        <v>5936</v>
      </c>
      <c r="K84" s="7" t="n">
        <v>1.2</v>
      </c>
      <c r="L84" s="7" t="s">
        <v>461</v>
      </c>
      <c r="M84" s="7" t="n">
        <v>39</v>
      </c>
      <c r="N84" s="9" t="n">
        <f aca="false">ROUND(J84/I84,3)</f>
        <v>0.825</v>
      </c>
    </row>
    <row r="85" customFormat="false" ht="15" hidden="false" customHeight="false" outlineLevel="0" collapsed="false">
      <c r="A85" s="7" t="s">
        <v>552</v>
      </c>
      <c r="B85" s="8" t="n">
        <v>45338</v>
      </c>
      <c r="C85" s="7" t="s">
        <v>68</v>
      </c>
      <c r="D85" s="7" t="s">
        <v>102</v>
      </c>
      <c r="E85" s="7" t="s">
        <v>481</v>
      </c>
      <c r="F85" s="7" t="s">
        <v>464</v>
      </c>
      <c r="G85" s="7" t="s">
        <v>25</v>
      </c>
      <c r="H85" s="7" t="s">
        <v>134</v>
      </c>
      <c r="I85" s="7" t="n">
        <v>5169</v>
      </c>
      <c r="J85" s="7" t="n">
        <v>3988</v>
      </c>
      <c r="K85" s="7" t="n">
        <v>3.7</v>
      </c>
      <c r="L85" s="7" t="s">
        <v>461</v>
      </c>
      <c r="M85" s="7" t="n">
        <v>69</v>
      </c>
      <c r="N85" s="9" t="n">
        <f aca="false">ROUND(J85/I85,3)</f>
        <v>0.772</v>
      </c>
    </row>
    <row r="86" customFormat="false" ht="15" hidden="false" customHeight="false" outlineLevel="0" collapsed="false">
      <c r="A86" s="7" t="s">
        <v>553</v>
      </c>
      <c r="B86" s="8" t="n">
        <v>45976</v>
      </c>
      <c r="C86" s="7" t="s">
        <v>65</v>
      </c>
      <c r="D86" s="7" t="s">
        <v>104</v>
      </c>
      <c r="E86" s="7" t="s">
        <v>463</v>
      </c>
      <c r="F86" s="7" t="s">
        <v>460</v>
      </c>
      <c r="G86" s="7" t="s">
        <v>25</v>
      </c>
      <c r="H86" s="7" t="s">
        <v>163</v>
      </c>
      <c r="I86" s="7" t="n">
        <v>8081</v>
      </c>
      <c r="J86" s="7" t="n">
        <v>7360</v>
      </c>
      <c r="K86" s="7" t="n">
        <v>5.3</v>
      </c>
      <c r="L86" s="7" t="s">
        <v>461</v>
      </c>
      <c r="M86" s="7" t="n">
        <v>192</v>
      </c>
      <c r="N86" s="9" t="n">
        <f aca="false">ROUND(J86/I86,3)</f>
        <v>0.911</v>
      </c>
    </row>
    <row r="87" customFormat="false" ht="15" hidden="false" customHeight="false" outlineLevel="0" collapsed="false">
      <c r="A87" s="7" t="s">
        <v>554</v>
      </c>
      <c r="B87" s="8" t="n">
        <v>45955</v>
      </c>
      <c r="C87" s="7" t="s">
        <v>65</v>
      </c>
      <c r="D87" s="7" t="s">
        <v>106</v>
      </c>
      <c r="E87" s="7" t="s">
        <v>466</v>
      </c>
      <c r="F87" s="7" t="s">
        <v>460</v>
      </c>
      <c r="G87" s="7" t="s">
        <v>25</v>
      </c>
      <c r="H87" s="7" t="s">
        <v>150</v>
      </c>
      <c r="I87" s="7" t="n">
        <v>6055</v>
      </c>
      <c r="J87" s="7" t="n">
        <v>4916</v>
      </c>
      <c r="K87" s="7" t="n">
        <v>1.5</v>
      </c>
      <c r="L87" s="7" t="s">
        <v>473</v>
      </c>
      <c r="M87" s="7" t="n">
        <v>54</v>
      </c>
      <c r="N87" s="9" t="n">
        <f aca="false">ROUND(J87/I87,3)</f>
        <v>0.812</v>
      </c>
    </row>
    <row r="88" customFormat="false" ht="15" hidden="false" customHeight="false" outlineLevel="0" collapsed="false">
      <c r="A88" s="7" t="s">
        <v>555</v>
      </c>
      <c r="B88" s="8" t="n">
        <v>45512</v>
      </c>
      <c r="C88" s="7" t="s">
        <v>65</v>
      </c>
      <c r="D88" s="7" t="s">
        <v>106</v>
      </c>
      <c r="E88" s="7" t="s">
        <v>459</v>
      </c>
      <c r="F88" s="7" t="s">
        <v>464</v>
      </c>
      <c r="G88" s="7" t="s">
        <v>25</v>
      </c>
      <c r="H88" s="7" t="s">
        <v>154</v>
      </c>
      <c r="I88" s="7" t="n">
        <v>3530</v>
      </c>
      <c r="J88" s="7" t="n">
        <v>3033</v>
      </c>
      <c r="K88" s="7" t="n">
        <v>2.4</v>
      </c>
      <c r="L88" s="7" t="s">
        <v>461</v>
      </c>
      <c r="M88" s="7" t="n">
        <v>32</v>
      </c>
      <c r="N88" s="9" t="n">
        <f aca="false">ROUND(J88/I88,3)</f>
        <v>0.859</v>
      </c>
    </row>
    <row r="89" customFormat="false" ht="15" hidden="false" customHeight="false" outlineLevel="0" collapsed="false">
      <c r="A89" s="7" t="s">
        <v>556</v>
      </c>
      <c r="B89" s="8" t="n">
        <v>45403</v>
      </c>
      <c r="C89" s="7" t="s">
        <v>68</v>
      </c>
      <c r="D89" s="7" t="s">
        <v>95</v>
      </c>
      <c r="E89" s="7" t="s">
        <v>455</v>
      </c>
      <c r="F89" s="7" t="s">
        <v>464</v>
      </c>
      <c r="G89" s="7" t="s">
        <v>25</v>
      </c>
      <c r="H89" s="7" t="s">
        <v>165</v>
      </c>
      <c r="I89" s="7" t="n">
        <v>4893</v>
      </c>
      <c r="J89" s="7" t="n">
        <v>3658</v>
      </c>
      <c r="K89" s="7" t="n">
        <v>5</v>
      </c>
      <c r="L89" s="7" t="s">
        <v>473</v>
      </c>
      <c r="M89" s="7" t="n">
        <v>45</v>
      </c>
      <c r="N89" s="9" t="n">
        <f aca="false">ROUND(J89/I89,3)</f>
        <v>0.748</v>
      </c>
    </row>
    <row r="90" customFormat="false" ht="15" hidden="false" customHeight="false" outlineLevel="0" collapsed="false">
      <c r="A90" s="7" t="s">
        <v>557</v>
      </c>
      <c r="B90" s="8" t="n">
        <v>45384</v>
      </c>
      <c r="C90" s="7" t="s">
        <v>65</v>
      </c>
      <c r="D90" s="7" t="s">
        <v>104</v>
      </c>
      <c r="E90" s="7" t="s">
        <v>455</v>
      </c>
      <c r="F90" s="7" t="s">
        <v>460</v>
      </c>
      <c r="G90" s="7" t="s">
        <v>25</v>
      </c>
      <c r="H90" s="7" t="s">
        <v>168</v>
      </c>
      <c r="I90" s="7" t="n">
        <v>4456</v>
      </c>
      <c r="J90" s="7" t="n">
        <v>4092</v>
      </c>
      <c r="K90" s="7" t="n">
        <v>2.7</v>
      </c>
      <c r="L90" s="7" t="s">
        <v>473</v>
      </c>
      <c r="M90" s="7" t="n">
        <v>88</v>
      </c>
      <c r="N90" s="9" t="n">
        <f aca="false">ROUND(J90/I90,3)</f>
        <v>0.918</v>
      </c>
    </row>
    <row r="91" customFormat="false" ht="15" hidden="false" customHeight="false" outlineLevel="0" collapsed="false">
      <c r="A91" s="7" t="s">
        <v>558</v>
      </c>
      <c r="B91" s="8" t="n">
        <v>45295</v>
      </c>
      <c r="C91" s="7" t="s">
        <v>68</v>
      </c>
      <c r="D91" s="7" t="s">
        <v>104</v>
      </c>
      <c r="E91" s="7" t="s">
        <v>455</v>
      </c>
      <c r="F91" s="7" t="s">
        <v>460</v>
      </c>
      <c r="G91" s="7" t="s">
        <v>25</v>
      </c>
      <c r="H91" s="7" t="s">
        <v>154</v>
      </c>
      <c r="I91" s="7" t="n">
        <v>4158</v>
      </c>
      <c r="J91" s="7" t="n">
        <v>4104</v>
      </c>
      <c r="K91" s="7" t="n">
        <v>0.3</v>
      </c>
      <c r="L91" s="7" t="s">
        <v>467</v>
      </c>
      <c r="M91" s="7" t="n">
        <v>24</v>
      </c>
      <c r="N91" s="9" t="n">
        <f aca="false">ROUND(J91/I91,3)</f>
        <v>0.987</v>
      </c>
    </row>
    <row r="92" customFormat="false" ht="15" hidden="false" customHeight="false" outlineLevel="0" collapsed="false">
      <c r="A92" s="7" t="s">
        <v>559</v>
      </c>
      <c r="B92" s="8" t="n">
        <v>46012</v>
      </c>
      <c r="C92" s="7" t="s">
        <v>65</v>
      </c>
      <c r="D92" s="7" t="s">
        <v>95</v>
      </c>
      <c r="E92" s="7" t="s">
        <v>466</v>
      </c>
      <c r="F92" s="7" t="s">
        <v>460</v>
      </c>
      <c r="G92" s="7" t="s">
        <v>25</v>
      </c>
      <c r="H92" s="7" t="s">
        <v>157</v>
      </c>
      <c r="I92" s="7" t="n">
        <v>4516</v>
      </c>
      <c r="J92" s="7" t="n">
        <v>3567</v>
      </c>
      <c r="K92" s="7" t="n">
        <v>3.7</v>
      </c>
      <c r="L92" s="7" t="s">
        <v>471</v>
      </c>
      <c r="M92" s="7" t="n">
        <v>88</v>
      </c>
      <c r="N92" s="9" t="n">
        <f aca="false">ROUND(J92/I92,3)</f>
        <v>0.79</v>
      </c>
    </row>
    <row r="93" customFormat="false" ht="15" hidden="false" customHeight="false" outlineLevel="0" collapsed="false">
      <c r="A93" s="7" t="s">
        <v>560</v>
      </c>
      <c r="B93" s="8" t="n">
        <v>45824</v>
      </c>
      <c r="C93" s="7" t="s">
        <v>65</v>
      </c>
      <c r="D93" s="7" t="s">
        <v>113</v>
      </c>
      <c r="E93" s="7" t="s">
        <v>455</v>
      </c>
      <c r="F93" s="7" t="s">
        <v>460</v>
      </c>
      <c r="G93" s="7" t="s">
        <v>25</v>
      </c>
      <c r="H93" s="7" t="s">
        <v>140</v>
      </c>
      <c r="I93" s="7" t="n">
        <v>8236</v>
      </c>
      <c r="J93" s="7" t="n">
        <v>6984</v>
      </c>
      <c r="K93" s="7" t="n">
        <v>3.2</v>
      </c>
      <c r="L93" s="7" t="s">
        <v>461</v>
      </c>
      <c r="M93" s="7" t="n">
        <v>82</v>
      </c>
      <c r="N93" s="9" t="n">
        <f aca="false">ROUND(J93/I93,3)</f>
        <v>0.848</v>
      </c>
    </row>
    <row r="94" customFormat="false" ht="15" hidden="false" customHeight="false" outlineLevel="0" collapsed="false">
      <c r="A94" s="7" t="s">
        <v>561</v>
      </c>
      <c r="B94" s="8" t="n">
        <v>45587</v>
      </c>
      <c r="C94" s="7" t="s">
        <v>68</v>
      </c>
      <c r="D94" s="7" t="s">
        <v>113</v>
      </c>
      <c r="E94" s="7" t="s">
        <v>455</v>
      </c>
      <c r="F94" s="7" t="s">
        <v>460</v>
      </c>
      <c r="G94" s="7" t="s">
        <v>25</v>
      </c>
      <c r="H94" s="7" t="s">
        <v>157</v>
      </c>
      <c r="I94" s="7" t="n">
        <v>6392</v>
      </c>
      <c r="J94" s="7" t="n">
        <v>5750</v>
      </c>
      <c r="K94" s="7" t="n">
        <v>2.5</v>
      </c>
      <c r="L94" s="7" t="s">
        <v>473</v>
      </c>
      <c r="M94" s="7" t="n">
        <v>84</v>
      </c>
      <c r="N94" s="9" t="n">
        <f aca="false">ROUND(J94/I94,3)</f>
        <v>0.9</v>
      </c>
    </row>
    <row r="95" customFormat="false" ht="15" hidden="false" customHeight="false" outlineLevel="0" collapsed="false">
      <c r="A95" s="7" t="s">
        <v>562</v>
      </c>
      <c r="B95" s="8" t="n">
        <v>45664</v>
      </c>
      <c r="C95" s="7" t="s">
        <v>65</v>
      </c>
      <c r="D95" s="7" t="s">
        <v>113</v>
      </c>
      <c r="E95" s="7" t="s">
        <v>463</v>
      </c>
      <c r="F95" s="7" t="s">
        <v>460</v>
      </c>
      <c r="G95" s="7" t="s">
        <v>25</v>
      </c>
      <c r="H95" s="7" t="s">
        <v>137</v>
      </c>
      <c r="I95" s="7" t="n">
        <v>3741</v>
      </c>
      <c r="J95" s="7" t="n">
        <v>3184</v>
      </c>
      <c r="K95" s="7" t="n">
        <v>2.4</v>
      </c>
      <c r="L95" s="7" t="s">
        <v>473</v>
      </c>
      <c r="M95" s="7" t="n">
        <v>28</v>
      </c>
      <c r="N95" s="9" t="n">
        <f aca="false">ROUND(J95/I95,3)</f>
        <v>0.851</v>
      </c>
    </row>
    <row r="96" customFormat="false" ht="15" hidden="false" customHeight="false" outlineLevel="0" collapsed="false">
      <c r="A96" s="7" t="s">
        <v>563</v>
      </c>
      <c r="B96" s="8" t="n">
        <v>45293</v>
      </c>
      <c r="C96" s="7" t="s">
        <v>65</v>
      </c>
      <c r="D96" s="7" t="s">
        <v>113</v>
      </c>
      <c r="E96" s="7" t="s">
        <v>455</v>
      </c>
      <c r="F96" s="7" t="s">
        <v>456</v>
      </c>
      <c r="G96" s="7" t="s">
        <v>25</v>
      </c>
      <c r="H96" s="7" t="s">
        <v>157</v>
      </c>
      <c r="I96" s="7" t="n">
        <v>7132</v>
      </c>
      <c r="J96" s="7" t="n">
        <v>5947</v>
      </c>
      <c r="K96" s="7" t="n">
        <v>1</v>
      </c>
      <c r="L96" s="7" t="s">
        <v>473</v>
      </c>
      <c r="M96" s="7" t="n">
        <v>107</v>
      </c>
      <c r="N96" s="9" t="n">
        <f aca="false">ROUND(J96/I96,3)</f>
        <v>0.834</v>
      </c>
    </row>
    <row r="97" customFormat="false" ht="15" hidden="false" customHeight="false" outlineLevel="0" collapsed="false">
      <c r="A97" s="7" t="s">
        <v>564</v>
      </c>
      <c r="B97" s="8" t="n">
        <v>45355</v>
      </c>
      <c r="C97" s="7" t="s">
        <v>68</v>
      </c>
      <c r="D97" s="7" t="s">
        <v>115</v>
      </c>
      <c r="E97" s="7" t="s">
        <v>463</v>
      </c>
      <c r="F97" s="7" t="s">
        <v>460</v>
      </c>
      <c r="G97" s="7" t="s">
        <v>25</v>
      </c>
      <c r="H97" s="7" t="s">
        <v>140</v>
      </c>
      <c r="I97" s="7" t="n">
        <v>3356</v>
      </c>
      <c r="J97" s="7" t="n">
        <v>2603</v>
      </c>
      <c r="K97" s="7" t="n">
        <v>5.9</v>
      </c>
      <c r="L97" s="7" t="s">
        <v>477</v>
      </c>
      <c r="M97" s="7" t="n">
        <v>52</v>
      </c>
      <c r="N97" s="9" t="n">
        <f aca="false">ROUND(J97/I97,3)</f>
        <v>0.776</v>
      </c>
    </row>
    <row r="98" customFormat="false" ht="15" hidden="false" customHeight="false" outlineLevel="0" collapsed="false">
      <c r="A98" s="7" t="s">
        <v>565</v>
      </c>
      <c r="B98" s="8" t="n">
        <v>45913</v>
      </c>
      <c r="C98" s="7" t="s">
        <v>65</v>
      </c>
      <c r="D98" s="7" t="s">
        <v>102</v>
      </c>
      <c r="E98" s="7" t="s">
        <v>470</v>
      </c>
      <c r="F98" s="7" t="s">
        <v>464</v>
      </c>
      <c r="G98" s="7" t="s">
        <v>25</v>
      </c>
      <c r="H98" s="7" t="s">
        <v>159</v>
      </c>
      <c r="I98" s="7" t="n">
        <v>8035</v>
      </c>
      <c r="J98" s="7" t="n">
        <v>6372</v>
      </c>
      <c r="K98" s="7" t="n">
        <v>5.1</v>
      </c>
      <c r="L98" s="7" t="s">
        <v>477</v>
      </c>
      <c r="M98" s="7" t="n">
        <v>66</v>
      </c>
      <c r="N98" s="9" t="n">
        <f aca="false">ROUND(J98/I98,3)</f>
        <v>0.793</v>
      </c>
    </row>
    <row r="99" customFormat="false" ht="15" hidden="false" customHeight="false" outlineLevel="0" collapsed="false">
      <c r="A99" s="7" t="s">
        <v>566</v>
      </c>
      <c r="B99" s="8" t="n">
        <v>45688</v>
      </c>
      <c r="C99" s="7" t="s">
        <v>65</v>
      </c>
      <c r="D99" s="7" t="s">
        <v>113</v>
      </c>
      <c r="E99" s="7" t="s">
        <v>466</v>
      </c>
      <c r="F99" s="7" t="s">
        <v>464</v>
      </c>
      <c r="G99" s="7" t="s">
        <v>25</v>
      </c>
      <c r="H99" s="7" t="s">
        <v>140</v>
      </c>
      <c r="I99" s="7" t="n">
        <v>5023</v>
      </c>
      <c r="J99" s="7" t="n">
        <v>3729</v>
      </c>
      <c r="K99" s="7" t="n">
        <v>5.8</v>
      </c>
      <c r="L99" s="7" t="s">
        <v>461</v>
      </c>
      <c r="M99" s="7" t="n">
        <v>71</v>
      </c>
      <c r="N99" s="9" t="n">
        <f aca="false">ROUND(J99/I99,3)</f>
        <v>0.742</v>
      </c>
    </row>
    <row r="100" customFormat="false" ht="15" hidden="false" customHeight="false" outlineLevel="0" collapsed="false">
      <c r="A100" s="7" t="s">
        <v>567</v>
      </c>
      <c r="B100" s="8" t="n">
        <v>45932</v>
      </c>
      <c r="C100" s="7" t="s">
        <v>68</v>
      </c>
      <c r="D100" s="7" t="s">
        <v>99</v>
      </c>
      <c r="E100" s="7" t="s">
        <v>481</v>
      </c>
      <c r="F100" s="7" t="s">
        <v>456</v>
      </c>
      <c r="G100" s="7" t="s">
        <v>25</v>
      </c>
      <c r="H100" s="7" t="s">
        <v>163</v>
      </c>
      <c r="I100" s="7" t="n">
        <v>7506</v>
      </c>
      <c r="J100" s="7" t="n">
        <v>6673</v>
      </c>
      <c r="K100" s="7" t="n">
        <v>5.1</v>
      </c>
      <c r="L100" s="7" t="s">
        <v>473</v>
      </c>
      <c r="M100" s="7" t="n">
        <v>84</v>
      </c>
      <c r="N100" s="9" t="n">
        <f aca="false">ROUND(J100/I100,3)</f>
        <v>0.889</v>
      </c>
    </row>
    <row r="101" customFormat="false" ht="15" hidden="false" customHeight="false" outlineLevel="0" collapsed="false">
      <c r="A101" s="7" t="s">
        <v>568</v>
      </c>
      <c r="B101" s="8" t="n">
        <v>45518</v>
      </c>
      <c r="C101" s="7" t="s">
        <v>68</v>
      </c>
      <c r="D101" s="7" t="s">
        <v>109</v>
      </c>
      <c r="E101" s="7" t="s">
        <v>481</v>
      </c>
      <c r="F101" s="7" t="s">
        <v>456</v>
      </c>
      <c r="G101" s="7" t="s">
        <v>25</v>
      </c>
      <c r="H101" s="7" t="s">
        <v>163</v>
      </c>
      <c r="I101" s="7" t="n">
        <v>4464</v>
      </c>
      <c r="J101" s="7" t="n">
        <v>4058</v>
      </c>
      <c r="K101" s="7" t="n">
        <v>0.1</v>
      </c>
      <c r="L101" s="7" t="s">
        <v>467</v>
      </c>
      <c r="M101" s="7" t="n">
        <v>69</v>
      </c>
      <c r="N101" s="9" t="n">
        <f aca="false">ROUND(J101/I101,3)</f>
        <v>0.909</v>
      </c>
    </row>
    <row r="102" customFormat="false" ht="15" hidden="false" customHeight="false" outlineLevel="0" collapsed="false">
      <c r="A102" s="7" t="s">
        <v>569</v>
      </c>
      <c r="B102" s="8" t="n">
        <v>45519</v>
      </c>
      <c r="C102" s="7" t="s">
        <v>68</v>
      </c>
      <c r="D102" s="7" t="s">
        <v>102</v>
      </c>
      <c r="E102" s="7" t="s">
        <v>481</v>
      </c>
      <c r="F102" s="7" t="s">
        <v>460</v>
      </c>
      <c r="G102" s="7" t="s">
        <v>25</v>
      </c>
      <c r="H102" s="7" t="s">
        <v>137</v>
      </c>
      <c r="I102" s="7" t="n">
        <v>3549</v>
      </c>
      <c r="J102" s="7" t="n">
        <v>3008</v>
      </c>
      <c r="K102" s="7" t="n">
        <v>0.8</v>
      </c>
      <c r="L102" s="7" t="s">
        <v>477</v>
      </c>
      <c r="M102" s="7" t="n">
        <v>75</v>
      </c>
      <c r="N102" s="9" t="n">
        <f aca="false">ROUND(J102/I102,3)</f>
        <v>0.848</v>
      </c>
    </row>
    <row r="103" customFormat="false" ht="15" hidden="false" customHeight="false" outlineLevel="0" collapsed="false">
      <c r="A103" s="7" t="s">
        <v>570</v>
      </c>
      <c r="B103" s="8" t="n">
        <v>45794</v>
      </c>
      <c r="C103" s="7" t="s">
        <v>65</v>
      </c>
      <c r="D103" s="7" t="s">
        <v>95</v>
      </c>
      <c r="E103" s="7" t="s">
        <v>470</v>
      </c>
      <c r="F103" s="7" t="s">
        <v>464</v>
      </c>
      <c r="G103" s="7" t="s">
        <v>25</v>
      </c>
      <c r="H103" s="7" t="s">
        <v>134</v>
      </c>
      <c r="I103" s="7" t="n">
        <v>5570</v>
      </c>
      <c r="J103" s="7" t="n">
        <v>4250</v>
      </c>
      <c r="K103" s="7" t="n">
        <v>4.7</v>
      </c>
      <c r="L103" s="7" t="s">
        <v>457</v>
      </c>
      <c r="M103" s="7" t="n">
        <v>101</v>
      </c>
      <c r="N103" s="9" t="n">
        <f aca="false">ROUND(J103/I103,3)</f>
        <v>0.763</v>
      </c>
    </row>
    <row r="104" customFormat="false" ht="15" hidden="false" customHeight="false" outlineLevel="0" collapsed="false">
      <c r="A104" s="7" t="s">
        <v>571</v>
      </c>
      <c r="B104" s="8" t="n">
        <v>45678</v>
      </c>
      <c r="C104" s="7" t="s">
        <v>65</v>
      </c>
      <c r="D104" s="7" t="s">
        <v>95</v>
      </c>
      <c r="E104" s="7" t="s">
        <v>455</v>
      </c>
      <c r="F104" s="7" t="s">
        <v>456</v>
      </c>
      <c r="G104" s="7" t="s">
        <v>25</v>
      </c>
      <c r="H104" s="7" t="s">
        <v>137</v>
      </c>
      <c r="I104" s="7" t="n">
        <v>4586</v>
      </c>
      <c r="J104" s="7" t="n">
        <v>3822</v>
      </c>
      <c r="K104" s="7" t="n">
        <v>0.8</v>
      </c>
      <c r="L104" s="7" t="s">
        <v>477</v>
      </c>
      <c r="M104" s="7" t="n">
        <v>96</v>
      </c>
      <c r="N104" s="9" t="n">
        <f aca="false">ROUND(J104/I104,3)</f>
        <v>0.833</v>
      </c>
    </row>
    <row r="105" customFormat="false" ht="15" hidden="false" customHeight="false" outlineLevel="0" collapsed="false">
      <c r="A105" s="7" t="s">
        <v>572</v>
      </c>
      <c r="B105" s="8" t="n">
        <v>45465</v>
      </c>
      <c r="C105" s="7" t="s">
        <v>65</v>
      </c>
      <c r="D105" s="7" t="s">
        <v>99</v>
      </c>
      <c r="E105" s="7" t="s">
        <v>466</v>
      </c>
      <c r="F105" s="7" t="s">
        <v>456</v>
      </c>
      <c r="G105" s="7" t="s">
        <v>25</v>
      </c>
      <c r="H105" s="7" t="s">
        <v>150</v>
      </c>
      <c r="I105" s="7" t="n">
        <v>4300</v>
      </c>
      <c r="J105" s="7" t="n">
        <v>3526</v>
      </c>
      <c r="K105" s="7" t="n">
        <v>1.9</v>
      </c>
      <c r="L105" s="7" t="s">
        <v>457</v>
      </c>
      <c r="M105" s="7" t="n">
        <v>89</v>
      </c>
      <c r="N105" s="9" t="n">
        <f aca="false">ROUND(J105/I105,3)</f>
        <v>0.82</v>
      </c>
    </row>
    <row r="106" customFormat="false" ht="15" hidden="false" customHeight="false" outlineLevel="0" collapsed="false">
      <c r="A106" s="7" t="s">
        <v>573</v>
      </c>
      <c r="B106" s="8" t="n">
        <v>45421</v>
      </c>
      <c r="C106" s="7" t="s">
        <v>68</v>
      </c>
      <c r="D106" s="7" t="s">
        <v>104</v>
      </c>
      <c r="E106" s="7" t="s">
        <v>459</v>
      </c>
      <c r="F106" s="7" t="s">
        <v>460</v>
      </c>
      <c r="G106" s="7" t="s">
        <v>25</v>
      </c>
      <c r="H106" s="7" t="s">
        <v>168</v>
      </c>
      <c r="I106" s="7" t="n">
        <v>4944</v>
      </c>
      <c r="J106" s="7" t="n">
        <v>3986</v>
      </c>
      <c r="K106" s="7" t="n">
        <v>1.9</v>
      </c>
      <c r="L106" s="7" t="s">
        <v>471</v>
      </c>
      <c r="M106" s="7" t="n">
        <v>60</v>
      </c>
      <c r="N106" s="9" t="n">
        <f aca="false">ROUND(J106/I106,3)</f>
        <v>0.806</v>
      </c>
    </row>
    <row r="107" customFormat="false" ht="15" hidden="false" customHeight="false" outlineLevel="0" collapsed="false">
      <c r="A107" s="7" t="s">
        <v>574</v>
      </c>
      <c r="B107" s="8" t="n">
        <v>45930</v>
      </c>
      <c r="C107" s="7" t="s">
        <v>68</v>
      </c>
      <c r="D107" s="7" t="s">
        <v>109</v>
      </c>
      <c r="E107" s="7" t="s">
        <v>481</v>
      </c>
      <c r="F107" s="7" t="s">
        <v>464</v>
      </c>
      <c r="G107" s="7" t="s">
        <v>25</v>
      </c>
      <c r="H107" s="7" t="s">
        <v>150</v>
      </c>
      <c r="I107" s="7" t="n">
        <v>3942</v>
      </c>
      <c r="J107" s="7" t="n">
        <v>3417</v>
      </c>
      <c r="K107" s="7" t="n">
        <v>4.6</v>
      </c>
      <c r="L107" s="7" t="s">
        <v>471</v>
      </c>
      <c r="M107" s="7" t="n">
        <v>47</v>
      </c>
      <c r="N107" s="9" t="n">
        <f aca="false">ROUND(J107/I107,3)</f>
        <v>0.867</v>
      </c>
    </row>
    <row r="108" customFormat="false" ht="15" hidden="false" customHeight="false" outlineLevel="0" collapsed="false">
      <c r="A108" s="7" t="s">
        <v>575</v>
      </c>
      <c r="B108" s="8" t="n">
        <v>45734</v>
      </c>
      <c r="C108" s="7" t="s">
        <v>65</v>
      </c>
      <c r="D108" s="7" t="s">
        <v>106</v>
      </c>
      <c r="E108" s="7" t="s">
        <v>459</v>
      </c>
      <c r="F108" s="7" t="s">
        <v>456</v>
      </c>
      <c r="G108" s="7" t="s">
        <v>25</v>
      </c>
      <c r="H108" s="7" t="s">
        <v>159</v>
      </c>
      <c r="I108" s="7" t="n">
        <v>6043</v>
      </c>
      <c r="J108" s="7" t="n">
        <v>5382</v>
      </c>
      <c r="K108" s="7" t="n">
        <v>1.6</v>
      </c>
      <c r="L108" s="7" t="s">
        <v>473</v>
      </c>
      <c r="M108" s="7" t="n">
        <v>75</v>
      </c>
      <c r="N108" s="9" t="n">
        <f aca="false">ROUND(J108/I108,3)</f>
        <v>0.891</v>
      </c>
    </row>
    <row r="109" customFormat="false" ht="15" hidden="false" customHeight="false" outlineLevel="0" collapsed="false">
      <c r="A109" s="7" t="s">
        <v>576</v>
      </c>
      <c r="B109" s="8" t="n">
        <v>45366</v>
      </c>
      <c r="C109" s="7" t="s">
        <v>65</v>
      </c>
      <c r="D109" s="7" t="s">
        <v>102</v>
      </c>
      <c r="E109" s="7" t="s">
        <v>459</v>
      </c>
      <c r="F109" s="7" t="s">
        <v>456</v>
      </c>
      <c r="G109" s="7" t="s">
        <v>25</v>
      </c>
      <c r="H109" s="7" t="s">
        <v>131</v>
      </c>
      <c r="I109" s="7" t="n">
        <v>5427</v>
      </c>
      <c r="J109" s="7" t="n">
        <v>4390</v>
      </c>
      <c r="K109" s="7" t="n">
        <v>4.9</v>
      </c>
      <c r="L109" s="7" t="s">
        <v>473</v>
      </c>
      <c r="M109" s="7" t="n">
        <v>127</v>
      </c>
      <c r="N109" s="9" t="n">
        <f aca="false">ROUND(J109/I109,3)</f>
        <v>0.809</v>
      </c>
    </row>
    <row r="110" customFormat="false" ht="15" hidden="false" customHeight="false" outlineLevel="0" collapsed="false">
      <c r="A110" s="7" t="s">
        <v>577</v>
      </c>
      <c r="B110" s="8" t="n">
        <v>45868</v>
      </c>
      <c r="C110" s="7" t="s">
        <v>68</v>
      </c>
      <c r="D110" s="7" t="s">
        <v>95</v>
      </c>
      <c r="E110" s="7" t="s">
        <v>470</v>
      </c>
      <c r="F110" s="7" t="s">
        <v>464</v>
      </c>
      <c r="G110" s="7" t="s">
        <v>25</v>
      </c>
      <c r="H110" s="7" t="s">
        <v>148</v>
      </c>
      <c r="I110" s="7" t="n">
        <v>4223</v>
      </c>
      <c r="J110" s="7" t="n">
        <v>3596</v>
      </c>
      <c r="K110" s="7" t="n">
        <v>1.7</v>
      </c>
      <c r="L110" s="7" t="s">
        <v>477</v>
      </c>
      <c r="M110" s="7" t="n">
        <v>50</v>
      </c>
      <c r="N110" s="9" t="n">
        <f aca="false">ROUND(J110/I110,3)</f>
        <v>0.852</v>
      </c>
    </row>
    <row r="111" customFormat="false" ht="15" hidden="false" customHeight="false" outlineLevel="0" collapsed="false">
      <c r="A111" s="7" t="s">
        <v>578</v>
      </c>
      <c r="B111" s="8" t="n">
        <v>45327</v>
      </c>
      <c r="C111" s="7" t="s">
        <v>68</v>
      </c>
      <c r="D111" s="7" t="s">
        <v>104</v>
      </c>
      <c r="E111" s="7" t="s">
        <v>459</v>
      </c>
      <c r="F111" s="7" t="s">
        <v>456</v>
      </c>
      <c r="G111" s="7" t="s">
        <v>25</v>
      </c>
      <c r="H111" s="7" t="s">
        <v>131</v>
      </c>
      <c r="I111" s="7" t="n">
        <v>3182</v>
      </c>
      <c r="J111" s="7" t="n">
        <v>2848</v>
      </c>
      <c r="K111" s="7" t="n">
        <v>0.3</v>
      </c>
      <c r="L111" s="7" t="s">
        <v>467</v>
      </c>
      <c r="M111" s="7" t="n">
        <v>35</v>
      </c>
      <c r="N111" s="9" t="n">
        <f aca="false">ROUND(J111/I111,3)</f>
        <v>0.895</v>
      </c>
    </row>
    <row r="112" customFormat="false" ht="15" hidden="false" customHeight="false" outlineLevel="0" collapsed="false">
      <c r="A112" s="7" t="s">
        <v>579</v>
      </c>
      <c r="B112" s="8" t="n">
        <v>45789</v>
      </c>
      <c r="C112" s="7" t="s">
        <v>65</v>
      </c>
      <c r="D112" s="7" t="s">
        <v>113</v>
      </c>
      <c r="E112" s="7" t="s">
        <v>459</v>
      </c>
      <c r="F112" s="7" t="s">
        <v>460</v>
      </c>
      <c r="G112" s="7" t="s">
        <v>25</v>
      </c>
      <c r="H112" s="7" t="s">
        <v>140</v>
      </c>
      <c r="I112" s="7" t="n">
        <v>4672</v>
      </c>
      <c r="J112" s="7" t="n">
        <v>3711</v>
      </c>
      <c r="K112" s="7" t="n">
        <v>2.2</v>
      </c>
      <c r="L112" s="7" t="s">
        <v>477</v>
      </c>
      <c r="M112" s="7" t="n">
        <v>19</v>
      </c>
      <c r="N112" s="9" t="n">
        <f aca="false">ROUND(J112/I112,3)</f>
        <v>0.794</v>
      </c>
    </row>
    <row r="113" customFormat="false" ht="15" hidden="false" customHeight="false" outlineLevel="0" collapsed="false">
      <c r="A113" s="7" t="s">
        <v>580</v>
      </c>
      <c r="B113" s="8" t="n">
        <v>45527</v>
      </c>
      <c r="C113" s="7" t="s">
        <v>65</v>
      </c>
      <c r="D113" s="7" t="s">
        <v>115</v>
      </c>
      <c r="E113" s="7" t="s">
        <v>455</v>
      </c>
      <c r="F113" s="7" t="s">
        <v>464</v>
      </c>
      <c r="G113" s="7" t="s">
        <v>25</v>
      </c>
      <c r="H113" s="7" t="s">
        <v>140</v>
      </c>
      <c r="I113" s="7" t="n">
        <v>8451</v>
      </c>
      <c r="J113" s="7" t="n">
        <v>7844</v>
      </c>
      <c r="K113" s="7" t="n">
        <v>4.7</v>
      </c>
      <c r="L113" s="7" t="s">
        <v>477</v>
      </c>
      <c r="M113" s="7" t="n">
        <v>228</v>
      </c>
      <c r="N113" s="9" t="n">
        <f aca="false">ROUND(J113/I113,3)</f>
        <v>0.928</v>
      </c>
    </row>
    <row r="114" customFormat="false" ht="15" hidden="false" customHeight="false" outlineLevel="0" collapsed="false">
      <c r="A114" s="7" t="s">
        <v>581</v>
      </c>
      <c r="B114" s="8" t="n">
        <v>45343</v>
      </c>
      <c r="C114" s="7" t="s">
        <v>68</v>
      </c>
      <c r="D114" s="7" t="s">
        <v>115</v>
      </c>
      <c r="E114" s="7" t="s">
        <v>459</v>
      </c>
      <c r="F114" s="7" t="s">
        <v>456</v>
      </c>
      <c r="G114" s="7" t="s">
        <v>25</v>
      </c>
      <c r="H114" s="7" t="s">
        <v>165</v>
      </c>
      <c r="I114" s="7" t="n">
        <v>5035</v>
      </c>
      <c r="J114" s="7" t="n">
        <v>3933</v>
      </c>
      <c r="K114" s="7" t="n">
        <v>1</v>
      </c>
      <c r="L114" s="7" t="s">
        <v>471</v>
      </c>
      <c r="M114" s="7" t="n">
        <v>71</v>
      </c>
      <c r="N114" s="9" t="n">
        <f aca="false">ROUND(J114/I114,3)</f>
        <v>0.781</v>
      </c>
    </row>
    <row r="115" customFormat="false" ht="15" hidden="false" customHeight="false" outlineLevel="0" collapsed="false">
      <c r="A115" s="7" t="s">
        <v>582</v>
      </c>
      <c r="B115" s="8" t="n">
        <v>45663</v>
      </c>
      <c r="C115" s="7" t="s">
        <v>65</v>
      </c>
      <c r="D115" s="7" t="s">
        <v>102</v>
      </c>
      <c r="E115" s="7" t="s">
        <v>455</v>
      </c>
      <c r="F115" s="7" t="s">
        <v>464</v>
      </c>
      <c r="G115" s="7" t="s">
        <v>25</v>
      </c>
      <c r="H115" s="7" t="s">
        <v>126</v>
      </c>
      <c r="I115" s="7" t="n">
        <v>8018</v>
      </c>
      <c r="J115" s="7" t="n">
        <v>6361</v>
      </c>
      <c r="K115" s="7" t="n">
        <v>3.3</v>
      </c>
      <c r="L115" s="7" t="s">
        <v>461</v>
      </c>
      <c r="M115" s="7" t="n">
        <v>63</v>
      </c>
      <c r="N115" s="9" t="n">
        <f aca="false">ROUND(J115/I115,3)</f>
        <v>0.793</v>
      </c>
    </row>
    <row r="116" customFormat="false" ht="15" hidden="false" customHeight="false" outlineLevel="0" collapsed="false">
      <c r="A116" s="7" t="s">
        <v>583</v>
      </c>
      <c r="B116" s="8" t="n">
        <v>45890</v>
      </c>
      <c r="C116" s="7" t="s">
        <v>68</v>
      </c>
      <c r="D116" s="7" t="s">
        <v>102</v>
      </c>
      <c r="E116" s="7" t="s">
        <v>459</v>
      </c>
      <c r="F116" s="7" t="s">
        <v>460</v>
      </c>
      <c r="G116" s="7" t="s">
        <v>25</v>
      </c>
      <c r="H116" s="7" t="s">
        <v>134</v>
      </c>
      <c r="I116" s="7" t="n">
        <v>5459</v>
      </c>
      <c r="J116" s="7" t="n">
        <v>4926</v>
      </c>
      <c r="K116" s="7" t="n">
        <v>3.8</v>
      </c>
      <c r="L116" s="7" t="s">
        <v>477</v>
      </c>
      <c r="M116" s="7" t="n">
        <v>25</v>
      </c>
      <c r="N116" s="9" t="n">
        <f aca="false">ROUND(J116/I116,3)</f>
        <v>0.902</v>
      </c>
    </row>
    <row r="117" customFormat="false" ht="15" hidden="false" customHeight="false" outlineLevel="0" collapsed="false">
      <c r="A117" s="7" t="s">
        <v>584</v>
      </c>
      <c r="B117" s="8" t="n">
        <v>45712</v>
      </c>
      <c r="C117" s="7" t="s">
        <v>68</v>
      </c>
      <c r="D117" s="7" t="s">
        <v>99</v>
      </c>
      <c r="E117" s="7" t="s">
        <v>470</v>
      </c>
      <c r="F117" s="7" t="s">
        <v>456</v>
      </c>
      <c r="G117" s="7" t="s">
        <v>25</v>
      </c>
      <c r="H117" s="7" t="s">
        <v>163</v>
      </c>
      <c r="I117" s="7" t="n">
        <v>4436</v>
      </c>
      <c r="J117" s="7" t="n">
        <v>3647</v>
      </c>
      <c r="K117" s="7" t="n">
        <v>1.4</v>
      </c>
      <c r="L117" s="7" t="s">
        <v>471</v>
      </c>
      <c r="M117" s="7" t="n">
        <v>76</v>
      </c>
      <c r="N117" s="9" t="n">
        <f aca="false">ROUND(J117/I117,3)</f>
        <v>0.822</v>
      </c>
    </row>
    <row r="118" customFormat="false" ht="15" hidden="false" customHeight="false" outlineLevel="0" collapsed="false">
      <c r="A118" s="7" t="s">
        <v>585</v>
      </c>
      <c r="B118" s="8" t="n">
        <v>45393</v>
      </c>
      <c r="C118" s="7" t="s">
        <v>68</v>
      </c>
      <c r="D118" s="7" t="s">
        <v>95</v>
      </c>
      <c r="E118" s="7" t="s">
        <v>466</v>
      </c>
      <c r="F118" s="7" t="s">
        <v>456</v>
      </c>
      <c r="G118" s="7" t="s">
        <v>25</v>
      </c>
      <c r="H118" s="7" t="s">
        <v>161</v>
      </c>
      <c r="I118" s="7" t="n">
        <v>8617</v>
      </c>
      <c r="J118" s="7" t="n">
        <v>8291</v>
      </c>
      <c r="K118" s="7" t="n">
        <v>4.7</v>
      </c>
      <c r="L118" s="7" t="s">
        <v>457</v>
      </c>
      <c r="M118" s="7" t="n">
        <v>102</v>
      </c>
      <c r="N118" s="9" t="n">
        <f aca="false">ROUND(J118/I118,3)</f>
        <v>0.962</v>
      </c>
    </row>
    <row r="119" customFormat="false" ht="15" hidden="false" customHeight="false" outlineLevel="0" collapsed="false">
      <c r="A119" s="7" t="s">
        <v>586</v>
      </c>
      <c r="B119" s="8" t="n">
        <v>45476</v>
      </c>
      <c r="C119" s="7" t="s">
        <v>65</v>
      </c>
      <c r="D119" s="7" t="s">
        <v>102</v>
      </c>
      <c r="E119" s="7" t="s">
        <v>466</v>
      </c>
      <c r="F119" s="7" t="s">
        <v>464</v>
      </c>
      <c r="G119" s="7" t="s">
        <v>25</v>
      </c>
      <c r="H119" s="7" t="s">
        <v>145</v>
      </c>
      <c r="I119" s="7" t="n">
        <v>4304</v>
      </c>
      <c r="J119" s="7" t="n">
        <v>3350</v>
      </c>
      <c r="K119" s="7" t="n">
        <v>4.5</v>
      </c>
      <c r="L119" s="7" t="s">
        <v>473</v>
      </c>
      <c r="M119" s="7" t="n">
        <v>49</v>
      </c>
      <c r="N119" s="9" t="n">
        <f aca="false">ROUND(J119/I119,3)</f>
        <v>0.778</v>
      </c>
    </row>
    <row r="120" customFormat="false" ht="15" hidden="false" customHeight="false" outlineLevel="0" collapsed="false">
      <c r="A120" s="7" t="s">
        <v>587</v>
      </c>
      <c r="B120" s="8" t="n">
        <v>45877</v>
      </c>
      <c r="C120" s="7" t="s">
        <v>68</v>
      </c>
      <c r="D120" s="7" t="s">
        <v>115</v>
      </c>
      <c r="E120" s="7" t="s">
        <v>481</v>
      </c>
      <c r="F120" s="7" t="s">
        <v>456</v>
      </c>
      <c r="G120" s="7" t="s">
        <v>25</v>
      </c>
      <c r="H120" s="7" t="s">
        <v>126</v>
      </c>
      <c r="I120" s="7" t="n">
        <v>3217</v>
      </c>
      <c r="J120" s="7" t="n">
        <v>2790</v>
      </c>
      <c r="K120" s="7" t="n">
        <v>2.6</v>
      </c>
      <c r="L120" s="7" t="s">
        <v>461</v>
      </c>
      <c r="M120" s="7" t="n">
        <v>35</v>
      </c>
      <c r="N120" s="9" t="n">
        <f aca="false">ROUND(J120/I120,3)</f>
        <v>0.867</v>
      </c>
    </row>
    <row r="121" customFormat="false" ht="15" hidden="false" customHeight="false" outlineLevel="0" collapsed="false">
      <c r="A121" s="7" t="s">
        <v>588</v>
      </c>
      <c r="B121" s="8" t="n">
        <v>45486</v>
      </c>
      <c r="C121" s="7" t="s">
        <v>65</v>
      </c>
      <c r="D121" s="7" t="s">
        <v>102</v>
      </c>
      <c r="E121" s="7" t="s">
        <v>463</v>
      </c>
      <c r="F121" s="7" t="s">
        <v>464</v>
      </c>
      <c r="G121" s="7" t="s">
        <v>25</v>
      </c>
      <c r="H121" s="7" t="s">
        <v>126</v>
      </c>
      <c r="I121" s="7" t="n">
        <v>3916</v>
      </c>
      <c r="J121" s="7" t="n">
        <v>3314</v>
      </c>
      <c r="K121" s="7" t="n">
        <v>0.6</v>
      </c>
      <c r="L121" s="7" t="s">
        <v>461</v>
      </c>
      <c r="M121" s="7" t="n">
        <v>28</v>
      </c>
      <c r="N121" s="9" t="n">
        <f aca="false">ROUND(J121/I121,3)</f>
        <v>0.846</v>
      </c>
    </row>
    <row r="122" customFormat="false" ht="15" hidden="false" customHeight="false" outlineLevel="0" collapsed="false">
      <c r="A122" s="7" t="s">
        <v>589</v>
      </c>
      <c r="B122" s="8" t="n">
        <v>45292</v>
      </c>
      <c r="C122" s="7" t="s">
        <v>65</v>
      </c>
      <c r="D122" s="7" t="s">
        <v>102</v>
      </c>
      <c r="E122" s="7" t="s">
        <v>470</v>
      </c>
      <c r="F122" s="7" t="s">
        <v>456</v>
      </c>
      <c r="G122" s="7" t="s">
        <v>25</v>
      </c>
      <c r="H122" s="7" t="s">
        <v>131</v>
      </c>
      <c r="I122" s="7" t="n">
        <v>8709</v>
      </c>
      <c r="J122" s="7" t="n">
        <v>6862</v>
      </c>
      <c r="K122" s="7" t="n">
        <v>0.4</v>
      </c>
      <c r="L122" s="7" t="s">
        <v>467</v>
      </c>
      <c r="M122" s="7" t="n">
        <v>181</v>
      </c>
      <c r="N122" s="9" t="n">
        <f aca="false">ROUND(J122/I122,3)</f>
        <v>0.788</v>
      </c>
    </row>
    <row r="123" customFormat="false" ht="15" hidden="false" customHeight="false" outlineLevel="0" collapsed="false">
      <c r="A123" s="7" t="s">
        <v>590</v>
      </c>
      <c r="B123" s="8" t="n">
        <v>45633</v>
      </c>
      <c r="C123" s="7" t="s">
        <v>65</v>
      </c>
      <c r="D123" s="7" t="s">
        <v>113</v>
      </c>
      <c r="E123" s="7" t="s">
        <v>455</v>
      </c>
      <c r="F123" s="7" t="s">
        <v>464</v>
      </c>
      <c r="G123" s="7" t="s">
        <v>25</v>
      </c>
      <c r="H123" s="7" t="s">
        <v>145</v>
      </c>
      <c r="I123" s="7" t="n">
        <v>4664</v>
      </c>
      <c r="J123" s="7" t="n">
        <v>4539</v>
      </c>
      <c r="K123" s="7" t="n">
        <v>0.7</v>
      </c>
      <c r="L123" s="7" t="s">
        <v>471</v>
      </c>
      <c r="M123" s="7" t="n">
        <v>126</v>
      </c>
      <c r="N123" s="9" t="n">
        <f aca="false">ROUND(J123/I123,3)</f>
        <v>0.973</v>
      </c>
    </row>
    <row r="124" customFormat="false" ht="15" hidden="false" customHeight="false" outlineLevel="0" collapsed="false">
      <c r="A124" s="7" t="s">
        <v>591</v>
      </c>
      <c r="B124" s="8" t="n">
        <v>45903</v>
      </c>
      <c r="C124" s="7" t="s">
        <v>68</v>
      </c>
      <c r="D124" s="7" t="s">
        <v>115</v>
      </c>
      <c r="E124" s="7" t="s">
        <v>455</v>
      </c>
      <c r="F124" s="7" t="s">
        <v>464</v>
      </c>
      <c r="G124" s="7" t="s">
        <v>25</v>
      </c>
      <c r="H124" s="7" t="s">
        <v>137</v>
      </c>
      <c r="I124" s="7" t="n">
        <v>8294</v>
      </c>
      <c r="J124" s="7" t="n">
        <v>7007</v>
      </c>
      <c r="K124" s="7" t="n">
        <v>1.2</v>
      </c>
      <c r="L124" s="7" t="s">
        <v>473</v>
      </c>
      <c r="M124" s="7" t="n">
        <v>80</v>
      </c>
      <c r="N124" s="9" t="n">
        <f aca="false">ROUND(J124/I124,3)</f>
        <v>0.845</v>
      </c>
    </row>
    <row r="125" customFormat="false" ht="15" hidden="false" customHeight="false" outlineLevel="0" collapsed="false">
      <c r="A125" s="7" t="s">
        <v>592</v>
      </c>
      <c r="B125" s="8" t="n">
        <v>45635</v>
      </c>
      <c r="C125" s="7" t="s">
        <v>68</v>
      </c>
      <c r="D125" s="7" t="s">
        <v>95</v>
      </c>
      <c r="E125" s="7" t="s">
        <v>470</v>
      </c>
      <c r="F125" s="7" t="s">
        <v>460</v>
      </c>
      <c r="G125" s="7" t="s">
        <v>25</v>
      </c>
      <c r="H125" s="7" t="s">
        <v>154</v>
      </c>
      <c r="I125" s="7" t="n">
        <v>7931</v>
      </c>
      <c r="J125" s="7" t="n">
        <v>7095</v>
      </c>
      <c r="K125" s="7" t="n">
        <v>3</v>
      </c>
      <c r="L125" s="7" t="s">
        <v>473</v>
      </c>
      <c r="M125" s="7" t="n">
        <v>40</v>
      </c>
      <c r="N125" s="9" t="n">
        <f aca="false">ROUND(J125/I125,3)</f>
        <v>0.895</v>
      </c>
    </row>
    <row r="126" customFormat="false" ht="15" hidden="false" customHeight="false" outlineLevel="0" collapsed="false">
      <c r="A126" s="7" t="s">
        <v>593</v>
      </c>
      <c r="B126" s="8" t="n">
        <v>45689</v>
      </c>
      <c r="C126" s="7" t="s">
        <v>68</v>
      </c>
      <c r="D126" s="7" t="s">
        <v>99</v>
      </c>
      <c r="E126" s="7" t="s">
        <v>466</v>
      </c>
      <c r="F126" s="7" t="s">
        <v>460</v>
      </c>
      <c r="G126" s="7" t="s">
        <v>25</v>
      </c>
      <c r="H126" s="7" t="s">
        <v>131</v>
      </c>
      <c r="I126" s="7" t="n">
        <v>7406</v>
      </c>
      <c r="J126" s="7" t="n">
        <v>6534</v>
      </c>
      <c r="K126" s="7" t="n">
        <v>3.4</v>
      </c>
      <c r="L126" s="7" t="s">
        <v>471</v>
      </c>
      <c r="M126" s="7" t="n">
        <v>79</v>
      </c>
      <c r="N126" s="9" t="n">
        <f aca="false">ROUND(J126/I126,3)</f>
        <v>0.882</v>
      </c>
    </row>
    <row r="127" customFormat="false" ht="15" hidden="false" customHeight="false" outlineLevel="0" collapsed="false">
      <c r="A127" s="7" t="s">
        <v>594</v>
      </c>
      <c r="B127" s="8" t="n">
        <v>45689</v>
      </c>
      <c r="C127" s="7" t="s">
        <v>65</v>
      </c>
      <c r="D127" s="7" t="s">
        <v>106</v>
      </c>
      <c r="E127" s="7" t="s">
        <v>455</v>
      </c>
      <c r="F127" s="7" t="s">
        <v>464</v>
      </c>
      <c r="G127" s="7" t="s">
        <v>25</v>
      </c>
      <c r="H127" s="7" t="s">
        <v>157</v>
      </c>
      <c r="I127" s="7" t="n">
        <v>7020</v>
      </c>
      <c r="J127" s="7" t="n">
        <v>6877</v>
      </c>
      <c r="K127" s="7" t="n">
        <v>0.6</v>
      </c>
      <c r="L127" s="7" t="s">
        <v>461</v>
      </c>
      <c r="M127" s="7" t="n">
        <v>136</v>
      </c>
      <c r="N127" s="9" t="n">
        <f aca="false">ROUND(J127/I127,3)</f>
        <v>0.98</v>
      </c>
    </row>
    <row r="128" customFormat="false" ht="15" hidden="false" customHeight="false" outlineLevel="0" collapsed="false">
      <c r="A128" s="7" t="s">
        <v>595</v>
      </c>
      <c r="B128" s="8" t="n">
        <v>45786</v>
      </c>
      <c r="C128" s="7" t="s">
        <v>65</v>
      </c>
      <c r="D128" s="7" t="s">
        <v>106</v>
      </c>
      <c r="E128" s="7" t="s">
        <v>463</v>
      </c>
      <c r="F128" s="7" t="s">
        <v>456</v>
      </c>
      <c r="G128" s="7" t="s">
        <v>25</v>
      </c>
      <c r="H128" s="7" t="s">
        <v>148</v>
      </c>
      <c r="I128" s="7" t="n">
        <v>7082</v>
      </c>
      <c r="J128" s="7" t="n">
        <v>6213</v>
      </c>
      <c r="K128" s="7" t="n">
        <v>1</v>
      </c>
      <c r="L128" s="7" t="s">
        <v>471</v>
      </c>
      <c r="M128" s="7" t="n">
        <v>185</v>
      </c>
      <c r="N128" s="9" t="n">
        <f aca="false">ROUND(J128/I128,3)</f>
        <v>0.877</v>
      </c>
    </row>
    <row r="129" customFormat="false" ht="15" hidden="false" customHeight="false" outlineLevel="0" collapsed="false">
      <c r="A129" s="7" t="s">
        <v>596</v>
      </c>
      <c r="B129" s="8" t="n">
        <v>45834</v>
      </c>
      <c r="C129" s="7" t="s">
        <v>65</v>
      </c>
      <c r="D129" s="7" t="s">
        <v>109</v>
      </c>
      <c r="E129" s="7" t="s">
        <v>466</v>
      </c>
      <c r="F129" s="7" t="s">
        <v>464</v>
      </c>
      <c r="G129" s="7" t="s">
        <v>25</v>
      </c>
      <c r="H129" s="7" t="s">
        <v>159</v>
      </c>
      <c r="I129" s="7" t="n">
        <v>6232</v>
      </c>
      <c r="J129" s="7" t="n">
        <v>5197</v>
      </c>
      <c r="K129" s="7" t="n">
        <v>5.4</v>
      </c>
      <c r="L129" s="7" t="s">
        <v>471</v>
      </c>
      <c r="M129" s="7" t="n">
        <v>109</v>
      </c>
      <c r="N129" s="9" t="n">
        <f aca="false">ROUND(J129/I129,3)</f>
        <v>0.834</v>
      </c>
    </row>
    <row r="130" customFormat="false" ht="15" hidden="false" customHeight="false" outlineLevel="0" collapsed="false">
      <c r="A130" s="7" t="s">
        <v>597</v>
      </c>
      <c r="B130" s="8" t="n">
        <v>45633</v>
      </c>
      <c r="C130" s="7" t="s">
        <v>68</v>
      </c>
      <c r="D130" s="7" t="s">
        <v>106</v>
      </c>
      <c r="E130" s="7" t="s">
        <v>481</v>
      </c>
      <c r="F130" s="7" t="s">
        <v>456</v>
      </c>
      <c r="G130" s="7" t="s">
        <v>25</v>
      </c>
      <c r="H130" s="7" t="s">
        <v>168</v>
      </c>
      <c r="I130" s="7" t="n">
        <v>4401</v>
      </c>
      <c r="J130" s="7" t="n">
        <v>4213</v>
      </c>
      <c r="K130" s="7" t="n">
        <v>2.3</v>
      </c>
      <c r="L130" s="7" t="s">
        <v>461</v>
      </c>
      <c r="M130" s="7" t="n">
        <v>34</v>
      </c>
      <c r="N130" s="9" t="n">
        <f aca="false">ROUND(J130/I130,3)</f>
        <v>0.957</v>
      </c>
    </row>
    <row r="131" customFormat="false" ht="15" hidden="false" customHeight="false" outlineLevel="0" collapsed="false">
      <c r="A131" s="7" t="s">
        <v>598</v>
      </c>
      <c r="B131" s="8" t="n">
        <v>45894</v>
      </c>
      <c r="C131" s="7" t="s">
        <v>65</v>
      </c>
      <c r="D131" s="7" t="s">
        <v>109</v>
      </c>
      <c r="E131" s="7" t="s">
        <v>459</v>
      </c>
      <c r="F131" s="7" t="s">
        <v>460</v>
      </c>
      <c r="G131" s="7" t="s">
        <v>25</v>
      </c>
      <c r="H131" s="7" t="s">
        <v>168</v>
      </c>
      <c r="I131" s="7" t="n">
        <v>4272</v>
      </c>
      <c r="J131" s="7" t="n">
        <v>3718</v>
      </c>
      <c r="K131" s="7" t="n">
        <v>5.2</v>
      </c>
      <c r="L131" s="7" t="s">
        <v>477</v>
      </c>
      <c r="M131" s="7" t="n">
        <v>87</v>
      </c>
      <c r="N131" s="9" t="n">
        <f aca="false">ROUND(J131/I131,3)</f>
        <v>0.87</v>
      </c>
    </row>
    <row r="132" customFormat="false" ht="15" hidden="false" customHeight="false" outlineLevel="0" collapsed="false">
      <c r="A132" s="7" t="s">
        <v>599</v>
      </c>
      <c r="B132" s="8" t="n">
        <v>45458</v>
      </c>
      <c r="C132" s="7" t="s">
        <v>68</v>
      </c>
      <c r="D132" s="7" t="s">
        <v>106</v>
      </c>
      <c r="E132" s="7" t="s">
        <v>459</v>
      </c>
      <c r="F132" s="7" t="s">
        <v>464</v>
      </c>
      <c r="G132" s="7" t="s">
        <v>25</v>
      </c>
      <c r="H132" s="7" t="s">
        <v>140</v>
      </c>
      <c r="I132" s="7" t="n">
        <v>5736</v>
      </c>
      <c r="J132" s="7" t="n">
        <v>4973</v>
      </c>
      <c r="K132" s="7" t="n">
        <v>2.8</v>
      </c>
      <c r="L132" s="7" t="s">
        <v>461</v>
      </c>
      <c r="M132" s="7" t="n">
        <v>58</v>
      </c>
      <c r="N132" s="9" t="n">
        <f aca="false">ROUND(J132/I132,3)</f>
        <v>0.867</v>
      </c>
    </row>
    <row r="133" customFormat="false" ht="15" hidden="false" customHeight="false" outlineLevel="0" collapsed="false">
      <c r="A133" s="7" t="s">
        <v>600</v>
      </c>
      <c r="B133" s="8" t="n">
        <v>45988</v>
      </c>
      <c r="C133" s="7" t="s">
        <v>65</v>
      </c>
      <c r="D133" s="7" t="s">
        <v>102</v>
      </c>
      <c r="E133" s="7" t="s">
        <v>463</v>
      </c>
      <c r="F133" s="7" t="s">
        <v>456</v>
      </c>
      <c r="G133" s="7" t="s">
        <v>25</v>
      </c>
      <c r="H133" s="7" t="s">
        <v>154</v>
      </c>
      <c r="I133" s="7" t="n">
        <v>7938</v>
      </c>
      <c r="J133" s="7" t="n">
        <v>6461</v>
      </c>
      <c r="K133" s="7" t="n">
        <v>3.1</v>
      </c>
      <c r="L133" s="7" t="s">
        <v>461</v>
      </c>
      <c r="M133" s="7" t="n">
        <v>186</v>
      </c>
      <c r="N133" s="9" t="n">
        <f aca="false">ROUND(J133/I133,3)</f>
        <v>0.814</v>
      </c>
    </row>
    <row r="134" customFormat="false" ht="15" hidden="false" customHeight="false" outlineLevel="0" collapsed="false">
      <c r="A134" s="7" t="s">
        <v>601</v>
      </c>
      <c r="B134" s="8" t="n">
        <v>45559</v>
      </c>
      <c r="C134" s="7" t="s">
        <v>65</v>
      </c>
      <c r="D134" s="7" t="s">
        <v>102</v>
      </c>
      <c r="E134" s="7" t="s">
        <v>470</v>
      </c>
      <c r="F134" s="7" t="s">
        <v>464</v>
      </c>
      <c r="G134" s="7" t="s">
        <v>25</v>
      </c>
      <c r="H134" s="7" t="s">
        <v>145</v>
      </c>
      <c r="I134" s="7" t="n">
        <v>6147</v>
      </c>
      <c r="J134" s="7" t="n">
        <v>5784</v>
      </c>
      <c r="K134" s="7" t="n">
        <v>0.9</v>
      </c>
      <c r="L134" s="7" t="s">
        <v>461</v>
      </c>
      <c r="M134" s="7" t="n">
        <v>134</v>
      </c>
      <c r="N134" s="9" t="n">
        <f aca="false">ROUND(J134/I134,3)</f>
        <v>0.941</v>
      </c>
    </row>
    <row r="135" customFormat="false" ht="15" hidden="false" customHeight="false" outlineLevel="0" collapsed="false">
      <c r="A135" s="7" t="s">
        <v>602</v>
      </c>
      <c r="B135" s="8" t="n">
        <v>45697</v>
      </c>
      <c r="C135" s="7" t="s">
        <v>65</v>
      </c>
      <c r="D135" s="7" t="s">
        <v>99</v>
      </c>
      <c r="E135" s="7" t="s">
        <v>470</v>
      </c>
      <c r="F135" s="7" t="s">
        <v>464</v>
      </c>
      <c r="G135" s="7" t="s">
        <v>25</v>
      </c>
      <c r="H135" s="7" t="s">
        <v>150</v>
      </c>
      <c r="I135" s="7" t="n">
        <v>4691</v>
      </c>
      <c r="J135" s="7" t="n">
        <v>3480</v>
      </c>
      <c r="K135" s="7" t="n">
        <v>5.3</v>
      </c>
      <c r="L135" s="7" t="s">
        <v>477</v>
      </c>
      <c r="M135" s="7" t="n">
        <v>52</v>
      </c>
      <c r="N135" s="9" t="n">
        <f aca="false">ROUND(J135/I135,3)</f>
        <v>0.742</v>
      </c>
    </row>
    <row r="136" customFormat="false" ht="15" hidden="false" customHeight="false" outlineLevel="0" collapsed="false">
      <c r="A136" s="7" t="s">
        <v>603</v>
      </c>
      <c r="B136" s="8" t="n">
        <v>45711</v>
      </c>
      <c r="C136" s="7" t="s">
        <v>65</v>
      </c>
      <c r="D136" s="7" t="s">
        <v>106</v>
      </c>
      <c r="E136" s="7" t="s">
        <v>481</v>
      </c>
      <c r="F136" s="7" t="s">
        <v>464</v>
      </c>
      <c r="G136" s="7" t="s">
        <v>25</v>
      </c>
      <c r="H136" s="7" t="s">
        <v>140</v>
      </c>
      <c r="I136" s="7" t="n">
        <v>5107</v>
      </c>
      <c r="J136" s="7" t="n">
        <v>3845</v>
      </c>
      <c r="K136" s="7" t="n">
        <v>3.6</v>
      </c>
      <c r="L136" s="7" t="s">
        <v>477</v>
      </c>
      <c r="M136" s="7" t="n">
        <v>42</v>
      </c>
      <c r="N136" s="9" t="n">
        <f aca="false">ROUND(J136/I136,3)</f>
        <v>0.753</v>
      </c>
    </row>
    <row r="137" customFormat="false" ht="15" hidden="false" customHeight="false" outlineLevel="0" collapsed="false">
      <c r="A137" s="7" t="s">
        <v>604</v>
      </c>
      <c r="B137" s="8" t="n">
        <v>45711</v>
      </c>
      <c r="C137" s="7" t="s">
        <v>68</v>
      </c>
      <c r="D137" s="7" t="s">
        <v>104</v>
      </c>
      <c r="E137" s="7" t="s">
        <v>470</v>
      </c>
      <c r="F137" s="7" t="s">
        <v>456</v>
      </c>
      <c r="G137" s="7" t="s">
        <v>25</v>
      </c>
      <c r="H137" s="7" t="s">
        <v>148</v>
      </c>
      <c r="I137" s="7" t="n">
        <v>8567</v>
      </c>
      <c r="J137" s="7" t="n">
        <v>7454</v>
      </c>
      <c r="K137" s="7" t="n">
        <v>1.1</v>
      </c>
      <c r="L137" s="7" t="s">
        <v>471</v>
      </c>
      <c r="M137" s="7" t="n">
        <v>95</v>
      </c>
      <c r="N137" s="9" t="n">
        <f aca="false">ROUND(J137/I137,3)</f>
        <v>0.87</v>
      </c>
    </row>
    <row r="138" customFormat="false" ht="15" hidden="false" customHeight="false" outlineLevel="0" collapsed="false">
      <c r="A138" s="7" t="s">
        <v>605</v>
      </c>
      <c r="B138" s="8" t="n">
        <v>45923</v>
      </c>
      <c r="C138" s="7" t="s">
        <v>65</v>
      </c>
      <c r="D138" s="7" t="s">
        <v>113</v>
      </c>
      <c r="E138" s="7" t="s">
        <v>463</v>
      </c>
      <c r="F138" s="7" t="s">
        <v>460</v>
      </c>
      <c r="G138" s="7" t="s">
        <v>25</v>
      </c>
      <c r="H138" s="7" t="s">
        <v>142</v>
      </c>
      <c r="I138" s="7" t="n">
        <v>5048</v>
      </c>
      <c r="J138" s="7" t="n">
        <v>4215</v>
      </c>
      <c r="K138" s="7" t="n">
        <v>5.1</v>
      </c>
      <c r="L138" s="7" t="s">
        <v>477</v>
      </c>
      <c r="M138" s="7" t="n">
        <v>86</v>
      </c>
      <c r="N138" s="9" t="n">
        <f aca="false">ROUND(J138/I138,3)</f>
        <v>0.835</v>
      </c>
    </row>
    <row r="139" customFormat="false" ht="15" hidden="false" customHeight="false" outlineLevel="0" collapsed="false">
      <c r="A139" s="7" t="s">
        <v>606</v>
      </c>
      <c r="B139" s="8" t="n">
        <v>45705</v>
      </c>
      <c r="C139" s="7" t="s">
        <v>65</v>
      </c>
      <c r="D139" s="7" t="s">
        <v>109</v>
      </c>
      <c r="E139" s="7" t="s">
        <v>455</v>
      </c>
      <c r="F139" s="7" t="s">
        <v>460</v>
      </c>
      <c r="G139" s="7" t="s">
        <v>25</v>
      </c>
      <c r="H139" s="7" t="s">
        <v>165</v>
      </c>
      <c r="I139" s="7" t="n">
        <v>3871</v>
      </c>
      <c r="J139" s="7" t="n">
        <v>3453</v>
      </c>
      <c r="K139" s="7" t="n">
        <v>0.2</v>
      </c>
      <c r="L139" s="7" t="s">
        <v>467</v>
      </c>
      <c r="M139" s="7" t="n">
        <v>31</v>
      </c>
      <c r="N139" s="9" t="n">
        <f aca="false">ROUND(J139/I139,3)</f>
        <v>0.892</v>
      </c>
    </row>
    <row r="140" customFormat="false" ht="15" hidden="false" customHeight="false" outlineLevel="0" collapsed="false">
      <c r="A140" s="7" t="s">
        <v>607</v>
      </c>
      <c r="B140" s="8" t="n">
        <v>45490</v>
      </c>
      <c r="C140" s="7" t="s">
        <v>68</v>
      </c>
      <c r="D140" s="7" t="s">
        <v>99</v>
      </c>
      <c r="E140" s="7" t="s">
        <v>459</v>
      </c>
      <c r="F140" s="7" t="s">
        <v>460</v>
      </c>
      <c r="G140" s="7" t="s">
        <v>25</v>
      </c>
      <c r="H140" s="7" t="s">
        <v>145</v>
      </c>
      <c r="I140" s="7" t="n">
        <v>8876</v>
      </c>
      <c r="J140" s="7" t="n">
        <v>7998</v>
      </c>
      <c r="K140" s="7" t="n">
        <v>2.9</v>
      </c>
      <c r="L140" s="7" t="s">
        <v>471</v>
      </c>
      <c r="M140" s="7" t="n">
        <v>205</v>
      </c>
      <c r="N140" s="9" t="n">
        <f aca="false">ROUND(J140/I140,3)</f>
        <v>0.901</v>
      </c>
    </row>
    <row r="141" customFormat="false" ht="15" hidden="false" customHeight="false" outlineLevel="0" collapsed="false">
      <c r="A141" s="7" t="s">
        <v>608</v>
      </c>
      <c r="B141" s="8" t="n">
        <v>45788</v>
      </c>
      <c r="C141" s="7" t="s">
        <v>68</v>
      </c>
      <c r="D141" s="7" t="s">
        <v>115</v>
      </c>
      <c r="E141" s="7" t="s">
        <v>463</v>
      </c>
      <c r="F141" s="7" t="s">
        <v>456</v>
      </c>
      <c r="G141" s="7" t="s">
        <v>25</v>
      </c>
      <c r="H141" s="7" t="s">
        <v>142</v>
      </c>
      <c r="I141" s="7" t="n">
        <v>6215</v>
      </c>
      <c r="J141" s="7" t="n">
        <v>5675</v>
      </c>
      <c r="K141" s="7" t="n">
        <v>3.1</v>
      </c>
      <c r="L141" s="7" t="s">
        <v>471</v>
      </c>
      <c r="M141" s="7" t="n">
        <v>115</v>
      </c>
      <c r="N141" s="9" t="n">
        <f aca="false">ROUND(J141/I141,3)</f>
        <v>0.913</v>
      </c>
    </row>
    <row r="142" customFormat="false" ht="15" hidden="false" customHeight="false" outlineLevel="0" collapsed="false">
      <c r="A142" s="7" t="s">
        <v>609</v>
      </c>
      <c r="B142" s="8" t="n">
        <v>45902</v>
      </c>
      <c r="C142" s="7" t="s">
        <v>68</v>
      </c>
      <c r="D142" s="7" t="s">
        <v>106</v>
      </c>
      <c r="E142" s="7" t="s">
        <v>481</v>
      </c>
      <c r="F142" s="7" t="s">
        <v>460</v>
      </c>
      <c r="G142" s="7" t="s">
        <v>25</v>
      </c>
      <c r="H142" s="7" t="s">
        <v>131</v>
      </c>
      <c r="I142" s="7" t="n">
        <v>3109</v>
      </c>
      <c r="J142" s="7" t="n">
        <v>2815</v>
      </c>
      <c r="K142" s="7" t="n">
        <v>0.5</v>
      </c>
      <c r="L142" s="7" t="s">
        <v>477</v>
      </c>
      <c r="M142" s="7" t="n">
        <v>61</v>
      </c>
      <c r="N142" s="9" t="n">
        <f aca="false">ROUND(J142/I142,3)</f>
        <v>0.905</v>
      </c>
    </row>
    <row r="143" customFormat="false" ht="15" hidden="false" customHeight="false" outlineLevel="0" collapsed="false">
      <c r="A143" s="7" t="s">
        <v>610</v>
      </c>
      <c r="B143" s="8" t="n">
        <v>45847</v>
      </c>
      <c r="C143" s="7" t="s">
        <v>65</v>
      </c>
      <c r="D143" s="7" t="s">
        <v>104</v>
      </c>
      <c r="E143" s="7" t="s">
        <v>466</v>
      </c>
      <c r="F143" s="7" t="s">
        <v>456</v>
      </c>
      <c r="G143" s="7" t="s">
        <v>25</v>
      </c>
      <c r="H143" s="7" t="s">
        <v>159</v>
      </c>
      <c r="I143" s="7" t="n">
        <v>7317</v>
      </c>
      <c r="J143" s="7" t="n">
        <v>6185</v>
      </c>
      <c r="K143" s="7" t="n">
        <v>5.8</v>
      </c>
      <c r="L143" s="7" t="s">
        <v>477</v>
      </c>
      <c r="M143" s="7" t="n">
        <v>56</v>
      </c>
      <c r="N143" s="9" t="n">
        <f aca="false">ROUND(J143/I143,3)</f>
        <v>0.845</v>
      </c>
    </row>
    <row r="144" customFormat="false" ht="15" hidden="false" customHeight="false" outlineLevel="0" collapsed="false">
      <c r="A144" s="7" t="s">
        <v>611</v>
      </c>
      <c r="B144" s="8" t="n">
        <v>45377</v>
      </c>
      <c r="C144" s="7" t="s">
        <v>65</v>
      </c>
      <c r="D144" s="7" t="s">
        <v>115</v>
      </c>
      <c r="E144" s="7" t="s">
        <v>470</v>
      </c>
      <c r="F144" s="7" t="s">
        <v>456</v>
      </c>
      <c r="G144" s="7" t="s">
        <v>25</v>
      </c>
      <c r="H144" s="7" t="s">
        <v>148</v>
      </c>
      <c r="I144" s="7" t="n">
        <v>4198</v>
      </c>
      <c r="J144" s="7" t="n">
        <v>3603</v>
      </c>
      <c r="K144" s="7" t="n">
        <v>2.1</v>
      </c>
      <c r="L144" s="7" t="s">
        <v>477</v>
      </c>
      <c r="M144" s="7" t="n">
        <v>44</v>
      </c>
      <c r="N144" s="9" t="n">
        <f aca="false">ROUND(J144/I144,3)</f>
        <v>0.858</v>
      </c>
    </row>
    <row r="145" customFormat="false" ht="15" hidden="false" customHeight="false" outlineLevel="0" collapsed="false">
      <c r="A145" s="7" t="s">
        <v>612</v>
      </c>
      <c r="B145" s="8" t="n">
        <v>45829</v>
      </c>
      <c r="C145" s="7" t="s">
        <v>65</v>
      </c>
      <c r="D145" s="7" t="s">
        <v>115</v>
      </c>
      <c r="E145" s="7" t="s">
        <v>466</v>
      </c>
      <c r="F145" s="7" t="s">
        <v>464</v>
      </c>
      <c r="G145" s="7" t="s">
        <v>25</v>
      </c>
      <c r="H145" s="7" t="s">
        <v>150</v>
      </c>
      <c r="I145" s="7" t="n">
        <v>8768</v>
      </c>
      <c r="J145" s="7" t="n">
        <v>8556</v>
      </c>
      <c r="K145" s="7" t="n">
        <v>2.3</v>
      </c>
      <c r="L145" s="7" t="s">
        <v>473</v>
      </c>
      <c r="M145" s="7" t="n">
        <v>187</v>
      </c>
      <c r="N145" s="9" t="n">
        <f aca="false">ROUND(J145/I145,3)</f>
        <v>0.976</v>
      </c>
    </row>
    <row r="146" customFormat="false" ht="15" hidden="false" customHeight="false" outlineLevel="0" collapsed="false">
      <c r="A146" s="7" t="s">
        <v>613</v>
      </c>
      <c r="B146" s="8" t="n">
        <v>45748</v>
      </c>
      <c r="C146" s="7" t="s">
        <v>68</v>
      </c>
      <c r="D146" s="7" t="s">
        <v>109</v>
      </c>
      <c r="E146" s="7" t="s">
        <v>463</v>
      </c>
      <c r="F146" s="7" t="s">
        <v>456</v>
      </c>
      <c r="G146" s="7" t="s">
        <v>25</v>
      </c>
      <c r="H146" s="7" t="s">
        <v>152</v>
      </c>
      <c r="I146" s="7" t="n">
        <v>5624</v>
      </c>
      <c r="J146" s="7" t="n">
        <v>5006</v>
      </c>
      <c r="K146" s="7" t="n">
        <v>2.9</v>
      </c>
      <c r="L146" s="7" t="s">
        <v>477</v>
      </c>
      <c r="M146" s="7" t="n">
        <v>35</v>
      </c>
      <c r="N146" s="9" t="n">
        <f aca="false">ROUND(J146/I146,3)</f>
        <v>0.89</v>
      </c>
    </row>
    <row r="147" customFormat="false" ht="15" hidden="false" customHeight="false" outlineLevel="0" collapsed="false">
      <c r="A147" s="7" t="s">
        <v>614</v>
      </c>
      <c r="B147" s="8" t="n">
        <v>45631</v>
      </c>
      <c r="C147" s="7" t="s">
        <v>68</v>
      </c>
      <c r="D147" s="7" t="s">
        <v>113</v>
      </c>
      <c r="E147" s="7" t="s">
        <v>455</v>
      </c>
      <c r="F147" s="7" t="s">
        <v>464</v>
      </c>
      <c r="G147" s="7" t="s">
        <v>25</v>
      </c>
      <c r="H147" s="7" t="s">
        <v>154</v>
      </c>
      <c r="I147" s="7" t="n">
        <v>4150</v>
      </c>
      <c r="J147" s="7" t="n">
        <v>3660</v>
      </c>
      <c r="K147" s="7" t="n">
        <v>3.2</v>
      </c>
      <c r="L147" s="7" t="s">
        <v>473</v>
      </c>
      <c r="M147" s="7" t="n">
        <v>19</v>
      </c>
      <c r="N147" s="9" t="n">
        <f aca="false">ROUND(J147/I147,3)</f>
        <v>0.882</v>
      </c>
    </row>
    <row r="148" customFormat="false" ht="15" hidden="false" customHeight="false" outlineLevel="0" collapsed="false">
      <c r="A148" s="7" t="s">
        <v>615</v>
      </c>
      <c r="B148" s="8" t="n">
        <v>45298</v>
      </c>
      <c r="C148" s="7" t="s">
        <v>65</v>
      </c>
      <c r="D148" s="7" t="s">
        <v>106</v>
      </c>
      <c r="E148" s="7" t="s">
        <v>466</v>
      </c>
      <c r="F148" s="7" t="s">
        <v>456</v>
      </c>
      <c r="G148" s="7" t="s">
        <v>25</v>
      </c>
      <c r="H148" s="7" t="s">
        <v>137</v>
      </c>
      <c r="I148" s="7" t="n">
        <v>7738</v>
      </c>
      <c r="J148" s="7" t="n">
        <v>6301</v>
      </c>
      <c r="K148" s="7" t="n">
        <v>0.9</v>
      </c>
      <c r="L148" s="7" t="s">
        <v>461</v>
      </c>
      <c r="M148" s="7" t="n">
        <v>102</v>
      </c>
      <c r="N148" s="9" t="n">
        <f aca="false">ROUND(J148/I148,3)</f>
        <v>0.814</v>
      </c>
    </row>
    <row r="149" customFormat="false" ht="15" hidden="false" customHeight="false" outlineLevel="0" collapsed="false">
      <c r="A149" s="7" t="s">
        <v>616</v>
      </c>
      <c r="B149" s="8" t="n">
        <v>45419</v>
      </c>
      <c r="C149" s="7" t="s">
        <v>68</v>
      </c>
      <c r="D149" s="7" t="s">
        <v>102</v>
      </c>
      <c r="E149" s="7" t="s">
        <v>459</v>
      </c>
      <c r="F149" s="7" t="s">
        <v>456</v>
      </c>
      <c r="G149" s="7" t="s">
        <v>25</v>
      </c>
      <c r="H149" s="7" t="s">
        <v>134</v>
      </c>
      <c r="I149" s="7" t="n">
        <v>8476</v>
      </c>
      <c r="J149" s="7" t="n">
        <v>7798</v>
      </c>
      <c r="K149" s="7" t="n">
        <v>5.4</v>
      </c>
      <c r="L149" s="7" t="s">
        <v>457</v>
      </c>
      <c r="M149" s="7" t="n">
        <v>202</v>
      </c>
      <c r="N149" s="9" t="n">
        <f aca="false">ROUND(J149/I149,3)</f>
        <v>0.92</v>
      </c>
    </row>
    <row r="150" customFormat="false" ht="15" hidden="false" customHeight="false" outlineLevel="0" collapsed="false">
      <c r="A150" s="7" t="s">
        <v>617</v>
      </c>
      <c r="B150" s="8" t="n">
        <v>45489</v>
      </c>
      <c r="C150" s="7" t="s">
        <v>65</v>
      </c>
      <c r="D150" s="7" t="s">
        <v>99</v>
      </c>
      <c r="E150" s="7" t="s">
        <v>470</v>
      </c>
      <c r="F150" s="7" t="s">
        <v>460</v>
      </c>
      <c r="G150" s="7" t="s">
        <v>25</v>
      </c>
      <c r="H150" s="7" t="s">
        <v>137</v>
      </c>
      <c r="I150" s="7" t="n">
        <v>7547</v>
      </c>
      <c r="J150" s="7" t="n">
        <v>6229</v>
      </c>
      <c r="K150" s="7" t="n">
        <v>0.7</v>
      </c>
      <c r="L150" s="7" t="s">
        <v>477</v>
      </c>
      <c r="M150" s="7" t="n">
        <v>52</v>
      </c>
      <c r="N150" s="9" t="n">
        <f aca="false">ROUND(J150/I150,3)</f>
        <v>0.825</v>
      </c>
    </row>
    <row r="151" customFormat="false" ht="15" hidden="false" customHeight="false" outlineLevel="0" collapsed="false">
      <c r="A151" s="7" t="s">
        <v>618</v>
      </c>
      <c r="B151" s="8" t="n">
        <v>45765</v>
      </c>
      <c r="C151" s="7" t="s">
        <v>65</v>
      </c>
      <c r="D151" s="7" t="s">
        <v>115</v>
      </c>
      <c r="E151" s="7" t="s">
        <v>481</v>
      </c>
      <c r="F151" s="7" t="s">
        <v>464</v>
      </c>
      <c r="G151" s="7" t="s">
        <v>25</v>
      </c>
      <c r="H151" s="7" t="s">
        <v>165</v>
      </c>
      <c r="I151" s="7" t="n">
        <v>5019</v>
      </c>
      <c r="J151" s="7" t="n">
        <v>4426</v>
      </c>
      <c r="K151" s="7" t="n">
        <v>3</v>
      </c>
      <c r="L151" s="7" t="s">
        <v>457</v>
      </c>
      <c r="M151" s="7" t="n">
        <v>103</v>
      </c>
      <c r="N151" s="9" t="n">
        <f aca="false">ROUND(J151/I151,3)</f>
        <v>0.882</v>
      </c>
    </row>
    <row r="152" customFormat="false" ht="15" hidden="false" customHeight="false" outlineLevel="0" collapsed="false">
      <c r="A152" s="7" t="s">
        <v>619</v>
      </c>
      <c r="B152" s="8" t="n">
        <v>45470</v>
      </c>
      <c r="C152" s="7" t="s">
        <v>68</v>
      </c>
      <c r="D152" s="7" t="s">
        <v>115</v>
      </c>
      <c r="E152" s="7" t="s">
        <v>470</v>
      </c>
      <c r="F152" s="7" t="s">
        <v>456</v>
      </c>
      <c r="G152" s="7" t="s">
        <v>25</v>
      </c>
      <c r="H152" s="7" t="s">
        <v>165</v>
      </c>
      <c r="I152" s="7" t="n">
        <v>8450</v>
      </c>
      <c r="J152" s="7" t="n">
        <v>7184</v>
      </c>
      <c r="K152" s="7" t="n">
        <v>1.8</v>
      </c>
      <c r="L152" s="7" t="s">
        <v>477</v>
      </c>
      <c r="M152" s="7" t="n">
        <v>111</v>
      </c>
      <c r="N152" s="9" t="n">
        <f aca="false">ROUND(J152/I152,3)</f>
        <v>0.85</v>
      </c>
    </row>
    <row r="153" customFormat="false" ht="15" hidden="false" customHeight="false" outlineLevel="0" collapsed="false">
      <c r="A153" s="7" t="s">
        <v>620</v>
      </c>
      <c r="B153" s="8" t="n">
        <v>45933</v>
      </c>
      <c r="C153" s="7" t="s">
        <v>65</v>
      </c>
      <c r="D153" s="7" t="s">
        <v>109</v>
      </c>
      <c r="E153" s="7" t="s">
        <v>470</v>
      </c>
      <c r="F153" s="7" t="s">
        <v>456</v>
      </c>
      <c r="G153" s="7" t="s">
        <v>25</v>
      </c>
      <c r="H153" s="7" t="s">
        <v>126</v>
      </c>
      <c r="I153" s="7" t="n">
        <v>3168</v>
      </c>
      <c r="J153" s="7" t="n">
        <v>2860</v>
      </c>
      <c r="K153" s="7" t="n">
        <v>3.7</v>
      </c>
      <c r="L153" s="7" t="s">
        <v>473</v>
      </c>
      <c r="M153" s="7" t="n">
        <v>21</v>
      </c>
      <c r="N153" s="9" t="n">
        <f aca="false">ROUND(J153/I153,3)</f>
        <v>0.903</v>
      </c>
    </row>
    <row r="154" customFormat="false" ht="15" hidden="false" customHeight="false" outlineLevel="0" collapsed="false">
      <c r="A154" s="7" t="s">
        <v>621</v>
      </c>
      <c r="B154" s="8" t="n">
        <v>45763</v>
      </c>
      <c r="C154" s="7" t="s">
        <v>65</v>
      </c>
      <c r="D154" s="7" t="s">
        <v>95</v>
      </c>
      <c r="E154" s="7" t="s">
        <v>463</v>
      </c>
      <c r="F154" s="7" t="s">
        <v>456</v>
      </c>
      <c r="G154" s="7" t="s">
        <v>25</v>
      </c>
      <c r="H154" s="7" t="s">
        <v>161</v>
      </c>
      <c r="I154" s="7" t="n">
        <v>8122</v>
      </c>
      <c r="J154" s="7" t="n">
        <v>7772</v>
      </c>
      <c r="K154" s="7" t="n">
        <v>0.8</v>
      </c>
      <c r="L154" s="7" t="s">
        <v>471</v>
      </c>
      <c r="M154" s="7" t="n">
        <v>110</v>
      </c>
      <c r="N154" s="9" t="n">
        <f aca="false">ROUND(J154/I154,3)</f>
        <v>0.957</v>
      </c>
    </row>
    <row r="155" customFormat="false" ht="15" hidden="false" customHeight="false" outlineLevel="0" collapsed="false">
      <c r="A155" s="7" t="s">
        <v>622</v>
      </c>
      <c r="B155" s="8" t="n">
        <v>45772</v>
      </c>
      <c r="C155" s="7" t="s">
        <v>65</v>
      </c>
      <c r="D155" s="7" t="s">
        <v>106</v>
      </c>
      <c r="E155" s="7" t="s">
        <v>481</v>
      </c>
      <c r="F155" s="7" t="s">
        <v>460</v>
      </c>
      <c r="G155" s="7" t="s">
        <v>25</v>
      </c>
      <c r="H155" s="7" t="s">
        <v>161</v>
      </c>
      <c r="I155" s="7" t="n">
        <v>5060</v>
      </c>
      <c r="J155" s="7" t="n">
        <v>4126</v>
      </c>
      <c r="K155" s="7" t="n">
        <v>3.3</v>
      </c>
      <c r="L155" s="7" t="s">
        <v>473</v>
      </c>
      <c r="M155" s="7" t="n">
        <v>106</v>
      </c>
      <c r="N155" s="9" t="n">
        <f aca="false">ROUND(J155/I155,3)</f>
        <v>0.815</v>
      </c>
    </row>
    <row r="156" customFormat="false" ht="15" hidden="false" customHeight="false" outlineLevel="0" collapsed="false">
      <c r="A156" s="7" t="s">
        <v>623</v>
      </c>
      <c r="B156" s="8" t="n">
        <v>45668</v>
      </c>
      <c r="C156" s="7" t="s">
        <v>68</v>
      </c>
      <c r="D156" s="7" t="s">
        <v>109</v>
      </c>
      <c r="E156" s="7" t="s">
        <v>463</v>
      </c>
      <c r="F156" s="7" t="s">
        <v>456</v>
      </c>
      <c r="G156" s="7" t="s">
        <v>25</v>
      </c>
      <c r="H156" s="7" t="s">
        <v>165</v>
      </c>
      <c r="I156" s="7" t="n">
        <v>3966</v>
      </c>
      <c r="J156" s="7" t="n">
        <v>3607</v>
      </c>
      <c r="K156" s="7" t="n">
        <v>2</v>
      </c>
      <c r="L156" s="7" t="s">
        <v>473</v>
      </c>
      <c r="M156" s="7" t="n">
        <v>29</v>
      </c>
      <c r="N156" s="9" t="n">
        <f aca="false">ROUND(J156/I156,3)</f>
        <v>0.909</v>
      </c>
    </row>
    <row r="157" customFormat="false" ht="15" hidden="false" customHeight="false" outlineLevel="0" collapsed="false">
      <c r="A157" s="7" t="s">
        <v>624</v>
      </c>
      <c r="B157" s="8" t="n">
        <v>45903</v>
      </c>
      <c r="C157" s="7" t="s">
        <v>65</v>
      </c>
      <c r="D157" s="7" t="s">
        <v>113</v>
      </c>
      <c r="E157" s="7" t="s">
        <v>470</v>
      </c>
      <c r="F157" s="7" t="s">
        <v>456</v>
      </c>
      <c r="G157" s="7" t="s">
        <v>25</v>
      </c>
      <c r="H157" s="7" t="s">
        <v>159</v>
      </c>
      <c r="I157" s="7" t="n">
        <v>7467</v>
      </c>
      <c r="J157" s="7" t="n">
        <v>6159</v>
      </c>
      <c r="K157" s="7" t="n">
        <v>3.4</v>
      </c>
      <c r="L157" s="7" t="s">
        <v>477</v>
      </c>
      <c r="M157" s="7" t="n">
        <v>31</v>
      </c>
      <c r="N157" s="9" t="n">
        <f aca="false">ROUND(J157/I157,3)</f>
        <v>0.825</v>
      </c>
    </row>
    <row r="158" customFormat="false" ht="15" hidden="false" customHeight="false" outlineLevel="0" collapsed="false">
      <c r="A158" s="7" t="s">
        <v>625</v>
      </c>
      <c r="B158" s="8" t="n">
        <v>45500</v>
      </c>
      <c r="C158" s="7" t="s">
        <v>68</v>
      </c>
      <c r="D158" s="7" t="s">
        <v>95</v>
      </c>
      <c r="E158" s="7" t="s">
        <v>459</v>
      </c>
      <c r="F158" s="7" t="s">
        <v>456</v>
      </c>
      <c r="G158" s="7" t="s">
        <v>25</v>
      </c>
      <c r="H158" s="7" t="s">
        <v>159</v>
      </c>
      <c r="I158" s="7" t="n">
        <v>8051</v>
      </c>
      <c r="J158" s="7" t="n">
        <v>7725</v>
      </c>
      <c r="K158" s="7" t="n">
        <v>0.9</v>
      </c>
      <c r="L158" s="7" t="s">
        <v>457</v>
      </c>
      <c r="M158" s="7" t="n">
        <v>54</v>
      </c>
      <c r="N158" s="9" t="n">
        <f aca="false">ROUND(J158/I158,3)</f>
        <v>0.96</v>
      </c>
    </row>
    <row r="159" customFormat="false" ht="15" hidden="false" customHeight="false" outlineLevel="0" collapsed="false">
      <c r="A159" s="7" t="s">
        <v>626</v>
      </c>
      <c r="B159" s="8" t="n">
        <v>45344</v>
      </c>
      <c r="C159" s="7" t="s">
        <v>68</v>
      </c>
      <c r="D159" s="7" t="s">
        <v>102</v>
      </c>
      <c r="E159" s="7" t="s">
        <v>455</v>
      </c>
      <c r="F159" s="7" t="s">
        <v>456</v>
      </c>
      <c r="G159" s="7" t="s">
        <v>25</v>
      </c>
      <c r="H159" s="7" t="s">
        <v>142</v>
      </c>
      <c r="I159" s="7" t="n">
        <v>3302</v>
      </c>
      <c r="J159" s="7" t="n">
        <v>3109</v>
      </c>
      <c r="K159" s="7" t="n">
        <v>2.5</v>
      </c>
      <c r="L159" s="7" t="s">
        <v>471</v>
      </c>
      <c r="M159" s="7" t="n">
        <v>66</v>
      </c>
      <c r="N159" s="9" t="n">
        <f aca="false">ROUND(J159/I159,3)</f>
        <v>0.942</v>
      </c>
    </row>
    <row r="160" customFormat="false" ht="15" hidden="false" customHeight="false" outlineLevel="0" collapsed="false">
      <c r="A160" s="7" t="s">
        <v>627</v>
      </c>
      <c r="B160" s="8" t="n">
        <v>45654</v>
      </c>
      <c r="C160" s="7" t="s">
        <v>65</v>
      </c>
      <c r="D160" s="7" t="s">
        <v>106</v>
      </c>
      <c r="E160" s="7" t="s">
        <v>459</v>
      </c>
      <c r="F160" s="7" t="s">
        <v>456</v>
      </c>
      <c r="G160" s="7" t="s">
        <v>25</v>
      </c>
      <c r="H160" s="7" t="s">
        <v>150</v>
      </c>
      <c r="I160" s="7" t="n">
        <v>5474</v>
      </c>
      <c r="J160" s="7" t="n">
        <v>4591</v>
      </c>
      <c r="K160" s="7" t="n">
        <v>1.1</v>
      </c>
      <c r="L160" s="7" t="s">
        <v>471</v>
      </c>
      <c r="M160" s="7" t="n">
        <v>72</v>
      </c>
      <c r="N160" s="9" t="n">
        <f aca="false">ROUND(J160/I160,3)</f>
        <v>0.839</v>
      </c>
    </row>
    <row r="161" customFormat="false" ht="15" hidden="false" customHeight="false" outlineLevel="0" collapsed="false">
      <c r="A161" s="7" t="s">
        <v>628</v>
      </c>
      <c r="B161" s="8" t="n">
        <v>45919</v>
      </c>
      <c r="C161" s="7" t="s">
        <v>65</v>
      </c>
      <c r="D161" s="7" t="s">
        <v>115</v>
      </c>
      <c r="E161" s="7" t="s">
        <v>459</v>
      </c>
      <c r="F161" s="7" t="s">
        <v>456</v>
      </c>
      <c r="G161" s="7" t="s">
        <v>25</v>
      </c>
      <c r="H161" s="7" t="s">
        <v>131</v>
      </c>
      <c r="I161" s="7" t="n">
        <v>3973</v>
      </c>
      <c r="J161" s="7" t="n">
        <v>3394</v>
      </c>
      <c r="K161" s="7" t="n">
        <v>4.6</v>
      </c>
      <c r="L161" s="7" t="s">
        <v>477</v>
      </c>
      <c r="M161" s="7" t="n">
        <v>94</v>
      </c>
      <c r="N161" s="9" t="n">
        <f aca="false">ROUND(J161/I161,3)</f>
        <v>0.854</v>
      </c>
    </row>
    <row r="162" customFormat="false" ht="15" hidden="false" customHeight="false" outlineLevel="0" collapsed="false">
      <c r="A162" s="7" t="s">
        <v>629</v>
      </c>
      <c r="B162" s="8" t="n">
        <v>45719</v>
      </c>
      <c r="C162" s="7" t="s">
        <v>65</v>
      </c>
      <c r="D162" s="7" t="s">
        <v>113</v>
      </c>
      <c r="E162" s="7" t="s">
        <v>459</v>
      </c>
      <c r="F162" s="7" t="s">
        <v>456</v>
      </c>
      <c r="G162" s="7" t="s">
        <v>25</v>
      </c>
      <c r="H162" s="7" t="s">
        <v>140</v>
      </c>
      <c r="I162" s="7" t="n">
        <v>6894</v>
      </c>
      <c r="J162" s="7" t="n">
        <v>5341</v>
      </c>
      <c r="K162" s="7" t="n">
        <v>4.6</v>
      </c>
      <c r="L162" s="7" t="s">
        <v>457</v>
      </c>
      <c r="M162" s="7" t="n">
        <v>112</v>
      </c>
      <c r="N162" s="9" t="n">
        <f aca="false">ROUND(J162/I162,3)</f>
        <v>0.775</v>
      </c>
    </row>
    <row r="163" customFormat="false" ht="15" hidden="false" customHeight="false" outlineLevel="0" collapsed="false">
      <c r="A163" s="7" t="s">
        <v>630</v>
      </c>
      <c r="B163" s="8" t="n">
        <v>45502</v>
      </c>
      <c r="C163" s="7" t="s">
        <v>65</v>
      </c>
      <c r="D163" s="7" t="s">
        <v>95</v>
      </c>
      <c r="E163" s="7" t="s">
        <v>481</v>
      </c>
      <c r="F163" s="7" t="s">
        <v>464</v>
      </c>
      <c r="G163" s="7" t="s">
        <v>25</v>
      </c>
      <c r="H163" s="7" t="s">
        <v>126</v>
      </c>
      <c r="I163" s="7" t="n">
        <v>8601</v>
      </c>
      <c r="J163" s="7" t="n">
        <v>6942</v>
      </c>
      <c r="K163" s="7" t="n">
        <v>4</v>
      </c>
      <c r="L163" s="7" t="s">
        <v>471</v>
      </c>
      <c r="M163" s="7" t="n">
        <v>55</v>
      </c>
      <c r="N163" s="9" t="n">
        <f aca="false">ROUND(J163/I163,3)</f>
        <v>0.807</v>
      </c>
    </row>
    <row r="164" customFormat="false" ht="15" hidden="false" customHeight="false" outlineLevel="0" collapsed="false">
      <c r="A164" s="7" t="s">
        <v>631</v>
      </c>
      <c r="B164" s="8" t="n">
        <v>45748</v>
      </c>
      <c r="C164" s="7" t="s">
        <v>68</v>
      </c>
      <c r="D164" s="7" t="s">
        <v>104</v>
      </c>
      <c r="E164" s="7" t="s">
        <v>481</v>
      </c>
      <c r="F164" s="7" t="s">
        <v>456</v>
      </c>
      <c r="G164" s="7" t="s">
        <v>25</v>
      </c>
      <c r="H164" s="7" t="s">
        <v>142</v>
      </c>
      <c r="I164" s="7" t="n">
        <v>3410</v>
      </c>
      <c r="J164" s="7" t="n">
        <v>3094</v>
      </c>
      <c r="K164" s="7" t="n">
        <v>2.2</v>
      </c>
      <c r="L164" s="7" t="s">
        <v>461</v>
      </c>
      <c r="M164" s="7" t="n">
        <v>21</v>
      </c>
      <c r="N164" s="9" t="n">
        <f aca="false">ROUND(J164/I164,3)</f>
        <v>0.907</v>
      </c>
    </row>
    <row r="165" customFormat="false" ht="15" hidden="false" customHeight="false" outlineLevel="0" collapsed="false">
      <c r="A165" s="7" t="s">
        <v>632</v>
      </c>
      <c r="B165" s="8" t="n">
        <v>45918</v>
      </c>
      <c r="C165" s="7" t="s">
        <v>68</v>
      </c>
      <c r="D165" s="7" t="s">
        <v>115</v>
      </c>
      <c r="E165" s="7" t="s">
        <v>470</v>
      </c>
      <c r="F165" s="7" t="s">
        <v>460</v>
      </c>
      <c r="G165" s="7" t="s">
        <v>25</v>
      </c>
      <c r="H165" s="7" t="s">
        <v>131</v>
      </c>
      <c r="I165" s="7" t="n">
        <v>8875</v>
      </c>
      <c r="J165" s="7" t="n">
        <v>7027</v>
      </c>
      <c r="K165" s="7" t="n">
        <v>0.2</v>
      </c>
      <c r="L165" s="7" t="s">
        <v>467</v>
      </c>
      <c r="M165" s="7" t="n">
        <v>190</v>
      </c>
      <c r="N165" s="9" t="n">
        <f aca="false">ROUND(J165/I165,3)</f>
        <v>0.792</v>
      </c>
    </row>
    <row r="166" customFormat="false" ht="15" hidden="false" customHeight="false" outlineLevel="0" collapsed="false">
      <c r="A166" s="7" t="s">
        <v>633</v>
      </c>
      <c r="B166" s="8" t="n">
        <v>45957</v>
      </c>
      <c r="C166" s="7" t="s">
        <v>65</v>
      </c>
      <c r="D166" s="7" t="s">
        <v>113</v>
      </c>
      <c r="E166" s="7" t="s">
        <v>466</v>
      </c>
      <c r="F166" s="7" t="s">
        <v>460</v>
      </c>
      <c r="G166" s="7" t="s">
        <v>25</v>
      </c>
      <c r="H166" s="7" t="s">
        <v>142</v>
      </c>
      <c r="I166" s="7" t="n">
        <v>6984</v>
      </c>
      <c r="J166" s="7" t="n">
        <v>5838</v>
      </c>
      <c r="K166" s="7" t="n">
        <v>3.7</v>
      </c>
      <c r="L166" s="7" t="s">
        <v>473</v>
      </c>
      <c r="M166" s="7" t="n">
        <v>113</v>
      </c>
      <c r="N166" s="9" t="n">
        <f aca="false">ROUND(J166/I166,3)</f>
        <v>0.836</v>
      </c>
    </row>
    <row r="167" customFormat="false" ht="15" hidden="false" customHeight="false" outlineLevel="0" collapsed="false">
      <c r="A167" s="7" t="s">
        <v>634</v>
      </c>
      <c r="B167" s="8" t="n">
        <v>45732</v>
      </c>
      <c r="C167" s="7" t="s">
        <v>65</v>
      </c>
      <c r="D167" s="7" t="s">
        <v>102</v>
      </c>
      <c r="E167" s="7" t="s">
        <v>455</v>
      </c>
      <c r="F167" s="7" t="s">
        <v>460</v>
      </c>
      <c r="G167" s="7" t="s">
        <v>25</v>
      </c>
      <c r="H167" s="7" t="s">
        <v>142</v>
      </c>
      <c r="I167" s="7" t="n">
        <v>8158</v>
      </c>
      <c r="J167" s="7" t="n">
        <v>6832</v>
      </c>
      <c r="K167" s="7" t="n">
        <v>4.8</v>
      </c>
      <c r="L167" s="7" t="s">
        <v>477</v>
      </c>
      <c r="M167" s="7" t="n">
        <v>168</v>
      </c>
      <c r="N167" s="9" t="n">
        <f aca="false">ROUND(J167/I167,3)</f>
        <v>0.837</v>
      </c>
    </row>
    <row r="168" customFormat="false" ht="15" hidden="false" customHeight="false" outlineLevel="0" collapsed="false">
      <c r="A168" s="7" t="s">
        <v>635</v>
      </c>
      <c r="B168" s="8" t="n">
        <v>45561</v>
      </c>
      <c r="C168" s="7" t="s">
        <v>68</v>
      </c>
      <c r="D168" s="7" t="s">
        <v>106</v>
      </c>
      <c r="E168" s="7" t="s">
        <v>466</v>
      </c>
      <c r="F168" s="7" t="s">
        <v>464</v>
      </c>
      <c r="G168" s="7" t="s">
        <v>25</v>
      </c>
      <c r="H168" s="7" t="s">
        <v>154</v>
      </c>
      <c r="I168" s="7" t="n">
        <v>7962</v>
      </c>
      <c r="J168" s="7" t="n">
        <v>7424</v>
      </c>
      <c r="K168" s="7" t="n">
        <v>4.4</v>
      </c>
      <c r="L168" s="7" t="s">
        <v>471</v>
      </c>
      <c r="M168" s="7" t="n">
        <v>148</v>
      </c>
      <c r="N168" s="9" t="n">
        <f aca="false">ROUND(J168/I168,3)</f>
        <v>0.932</v>
      </c>
    </row>
    <row r="169" customFormat="false" ht="15" hidden="false" customHeight="false" outlineLevel="0" collapsed="false">
      <c r="A169" s="7" t="s">
        <v>636</v>
      </c>
      <c r="B169" s="8" t="n">
        <v>45584</v>
      </c>
      <c r="C169" s="7" t="s">
        <v>68</v>
      </c>
      <c r="D169" s="7" t="s">
        <v>104</v>
      </c>
      <c r="E169" s="7" t="s">
        <v>481</v>
      </c>
      <c r="F169" s="7" t="s">
        <v>460</v>
      </c>
      <c r="G169" s="7" t="s">
        <v>25</v>
      </c>
      <c r="H169" s="7" t="s">
        <v>159</v>
      </c>
      <c r="I169" s="7" t="n">
        <v>7929</v>
      </c>
      <c r="J169" s="7" t="n">
        <v>7345</v>
      </c>
      <c r="K169" s="7" t="n">
        <v>4.6</v>
      </c>
      <c r="L169" s="7" t="s">
        <v>461</v>
      </c>
      <c r="M169" s="7" t="n">
        <v>88</v>
      </c>
      <c r="N169" s="9" t="n">
        <f aca="false">ROUND(J169/I169,3)</f>
        <v>0.926</v>
      </c>
    </row>
    <row r="170" customFormat="false" ht="15" hidden="false" customHeight="false" outlineLevel="0" collapsed="false">
      <c r="A170" s="7" t="s">
        <v>637</v>
      </c>
      <c r="B170" s="8" t="n">
        <v>45302</v>
      </c>
      <c r="C170" s="7" t="s">
        <v>68</v>
      </c>
      <c r="D170" s="7" t="s">
        <v>106</v>
      </c>
      <c r="E170" s="7" t="s">
        <v>481</v>
      </c>
      <c r="F170" s="7" t="s">
        <v>464</v>
      </c>
      <c r="G170" s="7" t="s">
        <v>25</v>
      </c>
      <c r="H170" s="7" t="s">
        <v>131</v>
      </c>
      <c r="I170" s="7" t="n">
        <v>5363</v>
      </c>
      <c r="J170" s="7" t="n">
        <v>4148</v>
      </c>
      <c r="K170" s="7" t="n">
        <v>5</v>
      </c>
      <c r="L170" s="7" t="s">
        <v>457</v>
      </c>
      <c r="M170" s="7" t="n">
        <v>121</v>
      </c>
      <c r="N170" s="9" t="n">
        <f aca="false">ROUND(J170/I170,3)</f>
        <v>0.773</v>
      </c>
    </row>
    <row r="171" customFormat="false" ht="15" hidden="false" customHeight="false" outlineLevel="0" collapsed="false">
      <c r="A171" s="7" t="s">
        <v>638</v>
      </c>
      <c r="B171" s="8" t="n">
        <v>45830</v>
      </c>
      <c r="C171" s="7" t="s">
        <v>68</v>
      </c>
      <c r="D171" s="7" t="s">
        <v>109</v>
      </c>
      <c r="E171" s="7" t="s">
        <v>459</v>
      </c>
      <c r="F171" s="7" t="s">
        <v>464</v>
      </c>
      <c r="G171" s="7" t="s">
        <v>25</v>
      </c>
      <c r="H171" s="7" t="s">
        <v>165</v>
      </c>
      <c r="I171" s="7" t="n">
        <v>6127</v>
      </c>
      <c r="J171" s="7" t="n">
        <v>5129</v>
      </c>
      <c r="K171" s="7" t="n">
        <v>1.2</v>
      </c>
      <c r="L171" s="7" t="s">
        <v>461</v>
      </c>
      <c r="M171" s="7" t="n">
        <v>33</v>
      </c>
      <c r="N171" s="9" t="n">
        <f aca="false">ROUND(J171/I171,3)</f>
        <v>0.837</v>
      </c>
    </row>
    <row r="172" customFormat="false" ht="15" hidden="false" customHeight="false" outlineLevel="0" collapsed="false">
      <c r="A172" s="7" t="s">
        <v>639</v>
      </c>
      <c r="B172" s="8" t="n">
        <v>45672</v>
      </c>
      <c r="C172" s="7" t="s">
        <v>65</v>
      </c>
      <c r="D172" s="7" t="s">
        <v>106</v>
      </c>
      <c r="E172" s="7" t="s">
        <v>459</v>
      </c>
      <c r="F172" s="7" t="s">
        <v>464</v>
      </c>
      <c r="G172" s="7" t="s">
        <v>25</v>
      </c>
      <c r="H172" s="7" t="s">
        <v>159</v>
      </c>
      <c r="I172" s="7" t="n">
        <v>6766</v>
      </c>
      <c r="J172" s="7" t="n">
        <v>6295</v>
      </c>
      <c r="K172" s="7" t="n">
        <v>3.2</v>
      </c>
      <c r="L172" s="7" t="s">
        <v>457</v>
      </c>
      <c r="M172" s="7" t="n">
        <v>152</v>
      </c>
      <c r="N172" s="9" t="n">
        <f aca="false">ROUND(J172/I172,3)</f>
        <v>0.93</v>
      </c>
    </row>
    <row r="173" customFormat="false" ht="15" hidden="false" customHeight="false" outlineLevel="0" collapsed="false">
      <c r="A173" s="7" t="s">
        <v>640</v>
      </c>
      <c r="B173" s="8" t="n">
        <v>45517</v>
      </c>
      <c r="C173" s="7" t="s">
        <v>68</v>
      </c>
      <c r="D173" s="7" t="s">
        <v>109</v>
      </c>
      <c r="E173" s="7" t="s">
        <v>481</v>
      </c>
      <c r="F173" s="7" t="s">
        <v>456</v>
      </c>
      <c r="G173" s="7" t="s">
        <v>25</v>
      </c>
      <c r="H173" s="7" t="s">
        <v>145</v>
      </c>
      <c r="I173" s="7" t="n">
        <v>4549</v>
      </c>
      <c r="J173" s="7" t="n">
        <v>3668</v>
      </c>
      <c r="K173" s="7" t="n">
        <v>1.3</v>
      </c>
      <c r="L173" s="7" t="s">
        <v>471</v>
      </c>
      <c r="M173" s="7" t="n">
        <v>82</v>
      </c>
      <c r="N173" s="9" t="n">
        <f aca="false">ROUND(J173/I173,3)</f>
        <v>0.806</v>
      </c>
    </row>
    <row r="174" customFormat="false" ht="15" hidden="false" customHeight="false" outlineLevel="0" collapsed="false">
      <c r="A174" s="7" t="s">
        <v>641</v>
      </c>
      <c r="B174" s="8" t="n">
        <v>45645</v>
      </c>
      <c r="C174" s="7" t="s">
        <v>68</v>
      </c>
      <c r="D174" s="7" t="s">
        <v>113</v>
      </c>
      <c r="E174" s="7" t="s">
        <v>459</v>
      </c>
      <c r="F174" s="7" t="s">
        <v>464</v>
      </c>
      <c r="G174" s="7" t="s">
        <v>25</v>
      </c>
      <c r="H174" s="7" t="s">
        <v>148</v>
      </c>
      <c r="I174" s="7" t="n">
        <v>3365</v>
      </c>
      <c r="J174" s="7" t="n">
        <v>2669</v>
      </c>
      <c r="K174" s="7" t="n">
        <v>5.5</v>
      </c>
      <c r="L174" s="7" t="s">
        <v>477</v>
      </c>
      <c r="M174" s="7" t="n">
        <v>20</v>
      </c>
      <c r="N174" s="9" t="n">
        <f aca="false">ROUND(J174/I174,3)</f>
        <v>0.793</v>
      </c>
    </row>
    <row r="175" customFormat="false" ht="15" hidden="false" customHeight="false" outlineLevel="0" collapsed="false">
      <c r="A175" s="7" t="s">
        <v>642</v>
      </c>
      <c r="B175" s="8" t="n">
        <v>45915</v>
      </c>
      <c r="C175" s="7" t="s">
        <v>65</v>
      </c>
      <c r="D175" s="7" t="s">
        <v>102</v>
      </c>
      <c r="E175" s="7" t="s">
        <v>466</v>
      </c>
      <c r="F175" s="7" t="s">
        <v>456</v>
      </c>
      <c r="G175" s="7" t="s">
        <v>25</v>
      </c>
      <c r="H175" s="7" t="s">
        <v>126</v>
      </c>
      <c r="I175" s="7" t="n">
        <v>5825</v>
      </c>
      <c r="J175" s="7" t="n">
        <v>4500</v>
      </c>
      <c r="K175" s="7" t="n">
        <v>1.7</v>
      </c>
      <c r="L175" s="7" t="s">
        <v>457</v>
      </c>
      <c r="M175" s="7" t="n">
        <v>26</v>
      </c>
      <c r="N175" s="9" t="n">
        <f aca="false">ROUND(J175/I175,3)</f>
        <v>0.773</v>
      </c>
    </row>
    <row r="176" customFormat="false" ht="15" hidden="false" customHeight="false" outlineLevel="0" collapsed="false">
      <c r="A176" s="7" t="s">
        <v>643</v>
      </c>
      <c r="B176" s="8" t="n">
        <v>45854</v>
      </c>
      <c r="C176" s="7" t="s">
        <v>65</v>
      </c>
      <c r="D176" s="7" t="s">
        <v>106</v>
      </c>
      <c r="E176" s="7" t="s">
        <v>466</v>
      </c>
      <c r="F176" s="7" t="s">
        <v>460</v>
      </c>
      <c r="G176" s="7" t="s">
        <v>25</v>
      </c>
      <c r="H176" s="7" t="s">
        <v>137</v>
      </c>
      <c r="I176" s="7" t="n">
        <v>6660</v>
      </c>
      <c r="J176" s="7" t="n">
        <v>6358</v>
      </c>
      <c r="K176" s="7" t="n">
        <v>4.6</v>
      </c>
      <c r="L176" s="7" t="s">
        <v>457</v>
      </c>
      <c r="M176" s="7" t="n">
        <v>72</v>
      </c>
      <c r="N176" s="9" t="n">
        <f aca="false">ROUND(J176/I176,3)</f>
        <v>0.955</v>
      </c>
    </row>
    <row r="177" customFormat="false" ht="15" hidden="false" customHeight="false" outlineLevel="0" collapsed="false">
      <c r="A177" s="7" t="s">
        <v>644</v>
      </c>
      <c r="B177" s="8" t="n">
        <v>45333</v>
      </c>
      <c r="C177" s="7" t="s">
        <v>65</v>
      </c>
      <c r="D177" s="7" t="s">
        <v>102</v>
      </c>
      <c r="E177" s="7" t="s">
        <v>481</v>
      </c>
      <c r="F177" s="7" t="s">
        <v>464</v>
      </c>
      <c r="G177" s="7" t="s">
        <v>25</v>
      </c>
      <c r="H177" s="7" t="s">
        <v>126</v>
      </c>
      <c r="I177" s="7" t="n">
        <v>3417</v>
      </c>
      <c r="J177" s="7" t="n">
        <v>2922</v>
      </c>
      <c r="K177" s="7" t="n">
        <v>0.2</v>
      </c>
      <c r="L177" s="7" t="s">
        <v>467</v>
      </c>
      <c r="M177" s="7" t="n">
        <v>66</v>
      </c>
      <c r="N177" s="9" t="n">
        <f aca="false">ROUND(J177/I177,3)</f>
        <v>0.855</v>
      </c>
    </row>
    <row r="178" customFormat="false" ht="15" hidden="false" customHeight="false" outlineLevel="0" collapsed="false">
      <c r="A178" s="7" t="s">
        <v>645</v>
      </c>
      <c r="B178" s="8" t="n">
        <v>45775</v>
      </c>
      <c r="C178" s="7" t="s">
        <v>65</v>
      </c>
      <c r="D178" s="7" t="s">
        <v>113</v>
      </c>
      <c r="E178" s="7" t="s">
        <v>455</v>
      </c>
      <c r="F178" s="7" t="s">
        <v>456</v>
      </c>
      <c r="G178" s="7" t="s">
        <v>25</v>
      </c>
      <c r="H178" s="7" t="s">
        <v>134</v>
      </c>
      <c r="I178" s="7" t="n">
        <v>5106</v>
      </c>
      <c r="J178" s="7" t="n">
        <v>4593</v>
      </c>
      <c r="K178" s="7" t="n">
        <v>1.9</v>
      </c>
      <c r="L178" s="7" t="s">
        <v>461</v>
      </c>
      <c r="M178" s="7" t="n">
        <v>132</v>
      </c>
      <c r="N178" s="9" t="n">
        <f aca="false">ROUND(J178/I178,3)</f>
        <v>0.9</v>
      </c>
    </row>
    <row r="179" customFormat="false" ht="15" hidden="false" customHeight="false" outlineLevel="0" collapsed="false">
      <c r="A179" s="7" t="s">
        <v>646</v>
      </c>
      <c r="B179" s="8" t="n">
        <v>45947</v>
      </c>
      <c r="C179" s="7" t="s">
        <v>68</v>
      </c>
      <c r="D179" s="7" t="s">
        <v>102</v>
      </c>
      <c r="E179" s="7" t="s">
        <v>481</v>
      </c>
      <c r="F179" s="7" t="s">
        <v>464</v>
      </c>
      <c r="G179" s="7" t="s">
        <v>25</v>
      </c>
      <c r="H179" s="7" t="s">
        <v>157</v>
      </c>
      <c r="I179" s="7" t="n">
        <v>4926</v>
      </c>
      <c r="J179" s="7" t="n">
        <v>3780</v>
      </c>
      <c r="K179" s="7" t="n">
        <v>6</v>
      </c>
      <c r="L179" s="7" t="s">
        <v>461</v>
      </c>
      <c r="M179" s="7" t="n">
        <v>107</v>
      </c>
      <c r="N179" s="9" t="n">
        <f aca="false">ROUND(J179/I179,3)</f>
        <v>0.767</v>
      </c>
    </row>
    <row r="180" customFormat="false" ht="15" hidden="false" customHeight="false" outlineLevel="0" collapsed="false">
      <c r="A180" s="7" t="s">
        <v>647</v>
      </c>
      <c r="B180" s="8" t="n">
        <v>45628</v>
      </c>
      <c r="C180" s="7" t="s">
        <v>65</v>
      </c>
      <c r="D180" s="7" t="s">
        <v>95</v>
      </c>
      <c r="E180" s="7" t="s">
        <v>466</v>
      </c>
      <c r="F180" s="7" t="s">
        <v>456</v>
      </c>
      <c r="G180" s="7" t="s">
        <v>25</v>
      </c>
      <c r="H180" s="7" t="s">
        <v>165</v>
      </c>
      <c r="I180" s="7" t="n">
        <v>3456</v>
      </c>
      <c r="J180" s="7" t="n">
        <v>3219</v>
      </c>
      <c r="K180" s="7" t="n">
        <v>0.6</v>
      </c>
      <c r="L180" s="7" t="s">
        <v>473</v>
      </c>
      <c r="M180" s="7" t="n">
        <v>91</v>
      </c>
      <c r="N180" s="9" t="n">
        <f aca="false">ROUND(J180/I180,3)</f>
        <v>0.931</v>
      </c>
    </row>
    <row r="181" customFormat="false" ht="15" hidden="false" customHeight="false" outlineLevel="0" collapsed="false">
      <c r="A181" s="7" t="s">
        <v>648</v>
      </c>
      <c r="B181" s="8" t="n">
        <v>45954</v>
      </c>
      <c r="C181" s="7" t="s">
        <v>68</v>
      </c>
      <c r="D181" s="7" t="s">
        <v>115</v>
      </c>
      <c r="E181" s="7" t="s">
        <v>470</v>
      </c>
      <c r="F181" s="7" t="s">
        <v>464</v>
      </c>
      <c r="G181" s="7" t="s">
        <v>25</v>
      </c>
      <c r="H181" s="7" t="s">
        <v>165</v>
      </c>
      <c r="I181" s="7" t="n">
        <v>5653</v>
      </c>
      <c r="J181" s="7" t="n">
        <v>4468</v>
      </c>
      <c r="K181" s="7" t="n">
        <v>2.2</v>
      </c>
      <c r="L181" s="7" t="s">
        <v>477</v>
      </c>
      <c r="M181" s="7" t="n">
        <v>76</v>
      </c>
      <c r="N181" s="9" t="n">
        <f aca="false">ROUND(J181/I181,3)</f>
        <v>0.79</v>
      </c>
    </row>
    <row r="182" customFormat="false" ht="15" hidden="false" customHeight="false" outlineLevel="0" collapsed="false">
      <c r="A182" s="7" t="s">
        <v>649</v>
      </c>
      <c r="B182" s="8" t="n">
        <v>45458</v>
      </c>
      <c r="C182" s="7" t="s">
        <v>65</v>
      </c>
      <c r="D182" s="7" t="s">
        <v>102</v>
      </c>
      <c r="E182" s="7" t="s">
        <v>470</v>
      </c>
      <c r="F182" s="7" t="s">
        <v>464</v>
      </c>
      <c r="G182" s="7" t="s">
        <v>25</v>
      </c>
      <c r="H182" s="7" t="s">
        <v>163</v>
      </c>
      <c r="I182" s="7" t="n">
        <v>8875</v>
      </c>
      <c r="J182" s="7" t="n">
        <v>6995</v>
      </c>
      <c r="K182" s="7" t="n">
        <v>5.5</v>
      </c>
      <c r="L182" s="7" t="s">
        <v>471</v>
      </c>
      <c r="M182" s="7" t="n">
        <v>180</v>
      </c>
      <c r="N182" s="9" t="n">
        <f aca="false">ROUND(J182/I182,3)</f>
        <v>0.788</v>
      </c>
    </row>
    <row r="183" customFormat="false" ht="15" hidden="false" customHeight="false" outlineLevel="0" collapsed="false">
      <c r="A183" s="7" t="s">
        <v>650</v>
      </c>
      <c r="B183" s="8" t="n">
        <v>45381</v>
      </c>
      <c r="C183" s="7" t="s">
        <v>68</v>
      </c>
      <c r="D183" s="7" t="s">
        <v>102</v>
      </c>
      <c r="E183" s="7" t="s">
        <v>481</v>
      </c>
      <c r="F183" s="7" t="s">
        <v>464</v>
      </c>
      <c r="G183" s="7" t="s">
        <v>25</v>
      </c>
      <c r="H183" s="7" t="s">
        <v>159</v>
      </c>
      <c r="I183" s="7" t="n">
        <v>3178</v>
      </c>
      <c r="J183" s="7" t="n">
        <v>2975</v>
      </c>
      <c r="K183" s="7" t="n">
        <v>3.8</v>
      </c>
      <c r="L183" s="7" t="s">
        <v>477</v>
      </c>
      <c r="M183" s="7" t="n">
        <v>38</v>
      </c>
      <c r="N183" s="9" t="n">
        <f aca="false">ROUND(J183/I183,3)</f>
        <v>0.936</v>
      </c>
    </row>
    <row r="184" customFormat="false" ht="15" hidden="false" customHeight="false" outlineLevel="0" collapsed="false">
      <c r="A184" s="7" t="s">
        <v>651</v>
      </c>
      <c r="B184" s="8" t="n">
        <v>45520</v>
      </c>
      <c r="C184" s="7" t="s">
        <v>65</v>
      </c>
      <c r="D184" s="7" t="s">
        <v>109</v>
      </c>
      <c r="E184" s="7" t="s">
        <v>463</v>
      </c>
      <c r="F184" s="7" t="s">
        <v>460</v>
      </c>
      <c r="G184" s="7" t="s">
        <v>25</v>
      </c>
      <c r="H184" s="7" t="s">
        <v>148</v>
      </c>
      <c r="I184" s="7" t="n">
        <v>3464</v>
      </c>
      <c r="J184" s="7" t="n">
        <v>3060</v>
      </c>
      <c r="K184" s="7" t="n">
        <v>1.1</v>
      </c>
      <c r="L184" s="7" t="s">
        <v>477</v>
      </c>
      <c r="M184" s="7" t="n">
        <v>26</v>
      </c>
      <c r="N184" s="9" t="n">
        <f aca="false">ROUND(J184/I184,3)</f>
        <v>0.883</v>
      </c>
    </row>
    <row r="185" customFormat="false" ht="15" hidden="false" customHeight="false" outlineLevel="0" collapsed="false">
      <c r="A185" s="7" t="s">
        <v>652</v>
      </c>
      <c r="B185" s="8" t="n">
        <v>45421</v>
      </c>
      <c r="C185" s="7" t="s">
        <v>68</v>
      </c>
      <c r="D185" s="7" t="s">
        <v>113</v>
      </c>
      <c r="E185" s="7" t="s">
        <v>463</v>
      </c>
      <c r="F185" s="7" t="s">
        <v>464</v>
      </c>
      <c r="G185" s="7" t="s">
        <v>25</v>
      </c>
      <c r="H185" s="7" t="s">
        <v>126</v>
      </c>
      <c r="I185" s="7" t="n">
        <v>5220</v>
      </c>
      <c r="J185" s="7" t="n">
        <v>4302</v>
      </c>
      <c r="K185" s="7" t="n">
        <v>3.4</v>
      </c>
      <c r="L185" s="7" t="s">
        <v>473</v>
      </c>
      <c r="M185" s="7" t="n">
        <v>39</v>
      </c>
      <c r="N185" s="9" t="n">
        <f aca="false">ROUND(J185/I185,3)</f>
        <v>0.824</v>
      </c>
    </row>
    <row r="186" customFormat="false" ht="15" hidden="false" customHeight="false" outlineLevel="0" collapsed="false">
      <c r="A186" s="7" t="s">
        <v>653</v>
      </c>
      <c r="B186" s="8" t="n">
        <v>45751</v>
      </c>
      <c r="C186" s="7" t="s">
        <v>68</v>
      </c>
      <c r="D186" s="7" t="s">
        <v>115</v>
      </c>
      <c r="E186" s="7" t="s">
        <v>481</v>
      </c>
      <c r="F186" s="7" t="s">
        <v>464</v>
      </c>
      <c r="G186" s="7" t="s">
        <v>25</v>
      </c>
      <c r="H186" s="7" t="s">
        <v>140</v>
      </c>
      <c r="I186" s="7" t="n">
        <v>7206</v>
      </c>
      <c r="J186" s="7" t="n">
        <v>6963</v>
      </c>
      <c r="K186" s="7" t="n">
        <v>0.3</v>
      </c>
      <c r="L186" s="7" t="s">
        <v>467</v>
      </c>
      <c r="M186" s="7" t="n">
        <v>151</v>
      </c>
      <c r="N186" s="9" t="n">
        <f aca="false">ROUND(J186/I186,3)</f>
        <v>0.966</v>
      </c>
    </row>
    <row r="187" customFormat="false" ht="15" hidden="false" customHeight="false" outlineLevel="0" collapsed="false">
      <c r="A187" s="7" t="s">
        <v>654</v>
      </c>
      <c r="B187" s="8" t="n">
        <v>45491</v>
      </c>
      <c r="C187" s="7" t="s">
        <v>68</v>
      </c>
      <c r="D187" s="7" t="s">
        <v>106</v>
      </c>
      <c r="E187" s="7" t="s">
        <v>455</v>
      </c>
      <c r="F187" s="7" t="s">
        <v>460</v>
      </c>
      <c r="G187" s="7" t="s">
        <v>25</v>
      </c>
      <c r="H187" s="7" t="s">
        <v>145</v>
      </c>
      <c r="I187" s="7" t="n">
        <v>5984</v>
      </c>
      <c r="J187" s="7" t="n">
        <v>5817</v>
      </c>
      <c r="K187" s="7" t="n">
        <v>2.6</v>
      </c>
      <c r="L187" s="7" t="s">
        <v>473</v>
      </c>
      <c r="M187" s="7" t="n">
        <v>163</v>
      </c>
      <c r="N187" s="9" t="n">
        <f aca="false">ROUND(J187/I187,3)</f>
        <v>0.972</v>
      </c>
    </row>
    <row r="188" customFormat="false" ht="15" hidden="false" customHeight="false" outlineLevel="0" collapsed="false">
      <c r="A188" s="7" t="s">
        <v>655</v>
      </c>
      <c r="B188" s="8" t="n">
        <v>45395</v>
      </c>
      <c r="C188" s="7" t="s">
        <v>68</v>
      </c>
      <c r="D188" s="7" t="s">
        <v>113</v>
      </c>
      <c r="E188" s="7" t="s">
        <v>463</v>
      </c>
      <c r="F188" s="7" t="s">
        <v>464</v>
      </c>
      <c r="G188" s="7" t="s">
        <v>25</v>
      </c>
      <c r="H188" s="7" t="s">
        <v>152</v>
      </c>
      <c r="I188" s="7" t="n">
        <v>4182</v>
      </c>
      <c r="J188" s="7" t="n">
        <v>3414</v>
      </c>
      <c r="K188" s="7" t="n">
        <v>5.9</v>
      </c>
      <c r="L188" s="7" t="s">
        <v>471</v>
      </c>
      <c r="M188" s="7" t="n">
        <v>60</v>
      </c>
      <c r="N188" s="9" t="n">
        <f aca="false">ROUND(J188/I188,3)</f>
        <v>0.816</v>
      </c>
    </row>
    <row r="189" customFormat="false" ht="15" hidden="false" customHeight="false" outlineLevel="0" collapsed="false">
      <c r="A189" s="7" t="s">
        <v>656</v>
      </c>
      <c r="B189" s="8" t="n">
        <v>45782</v>
      </c>
      <c r="C189" s="7" t="s">
        <v>68</v>
      </c>
      <c r="D189" s="7" t="s">
        <v>95</v>
      </c>
      <c r="E189" s="7" t="s">
        <v>459</v>
      </c>
      <c r="F189" s="7" t="s">
        <v>460</v>
      </c>
      <c r="G189" s="7" t="s">
        <v>25</v>
      </c>
      <c r="H189" s="7" t="s">
        <v>142</v>
      </c>
      <c r="I189" s="7" t="n">
        <v>5949</v>
      </c>
      <c r="J189" s="7" t="n">
        <v>4808</v>
      </c>
      <c r="K189" s="7" t="n">
        <v>2.6</v>
      </c>
      <c r="L189" s="7" t="s">
        <v>477</v>
      </c>
      <c r="M189" s="7" t="n">
        <v>92</v>
      </c>
      <c r="N189" s="9" t="n">
        <f aca="false">ROUND(J189/I189,3)</f>
        <v>0.808</v>
      </c>
    </row>
    <row r="190" customFormat="false" ht="15" hidden="false" customHeight="false" outlineLevel="0" collapsed="false">
      <c r="A190" s="7" t="s">
        <v>657</v>
      </c>
      <c r="B190" s="8" t="n">
        <v>45439</v>
      </c>
      <c r="C190" s="7" t="s">
        <v>65</v>
      </c>
      <c r="D190" s="7" t="s">
        <v>104</v>
      </c>
      <c r="E190" s="7" t="s">
        <v>470</v>
      </c>
      <c r="F190" s="7" t="s">
        <v>464</v>
      </c>
      <c r="G190" s="7" t="s">
        <v>25</v>
      </c>
      <c r="H190" s="7" t="s">
        <v>145</v>
      </c>
      <c r="I190" s="7" t="n">
        <v>7920</v>
      </c>
      <c r="J190" s="7" t="n">
        <v>7636</v>
      </c>
      <c r="K190" s="7" t="n">
        <v>0.5</v>
      </c>
      <c r="L190" s="7" t="s">
        <v>471</v>
      </c>
      <c r="M190" s="7" t="n">
        <v>177</v>
      </c>
      <c r="N190" s="9" t="n">
        <f aca="false">ROUND(J190/I190,3)</f>
        <v>0.964</v>
      </c>
    </row>
    <row r="191" customFormat="false" ht="15" hidden="false" customHeight="false" outlineLevel="0" collapsed="false">
      <c r="A191" s="7" t="s">
        <v>658</v>
      </c>
      <c r="B191" s="8" t="n">
        <v>45541</v>
      </c>
      <c r="C191" s="7" t="s">
        <v>65</v>
      </c>
      <c r="D191" s="7" t="s">
        <v>102</v>
      </c>
      <c r="E191" s="7" t="s">
        <v>459</v>
      </c>
      <c r="F191" s="7" t="s">
        <v>456</v>
      </c>
      <c r="G191" s="7" t="s">
        <v>25</v>
      </c>
      <c r="H191" s="7" t="s">
        <v>145</v>
      </c>
      <c r="I191" s="7" t="n">
        <v>7775</v>
      </c>
      <c r="J191" s="7" t="n">
        <v>6099</v>
      </c>
      <c r="K191" s="7" t="n">
        <v>1.8</v>
      </c>
      <c r="L191" s="7" t="s">
        <v>471</v>
      </c>
      <c r="M191" s="7" t="n">
        <v>142</v>
      </c>
      <c r="N191" s="9" t="n">
        <f aca="false">ROUND(J191/I191,3)</f>
        <v>0.784</v>
      </c>
    </row>
    <row r="192" customFormat="false" ht="15" hidden="false" customHeight="false" outlineLevel="0" collapsed="false">
      <c r="A192" s="7" t="s">
        <v>659</v>
      </c>
      <c r="B192" s="8" t="n">
        <v>45715</v>
      </c>
      <c r="C192" s="7" t="s">
        <v>65</v>
      </c>
      <c r="D192" s="7" t="s">
        <v>109</v>
      </c>
      <c r="E192" s="7" t="s">
        <v>466</v>
      </c>
      <c r="F192" s="7" t="s">
        <v>460</v>
      </c>
      <c r="G192" s="7" t="s">
        <v>25</v>
      </c>
      <c r="H192" s="7" t="s">
        <v>165</v>
      </c>
      <c r="I192" s="7" t="n">
        <v>3739</v>
      </c>
      <c r="J192" s="7" t="n">
        <v>3627</v>
      </c>
      <c r="K192" s="7" t="n">
        <v>0.1</v>
      </c>
      <c r="L192" s="7" t="s">
        <v>467</v>
      </c>
      <c r="M192" s="7" t="n">
        <v>61</v>
      </c>
      <c r="N192" s="9" t="n">
        <f aca="false">ROUND(J192/I192,3)</f>
        <v>0.97</v>
      </c>
    </row>
    <row r="193" customFormat="false" ht="15" hidden="false" customHeight="false" outlineLevel="0" collapsed="false">
      <c r="A193" s="7" t="s">
        <v>660</v>
      </c>
      <c r="B193" s="8" t="n">
        <v>45939</v>
      </c>
      <c r="C193" s="7" t="s">
        <v>65</v>
      </c>
      <c r="D193" s="7" t="s">
        <v>102</v>
      </c>
      <c r="E193" s="7" t="s">
        <v>459</v>
      </c>
      <c r="F193" s="7" t="s">
        <v>460</v>
      </c>
      <c r="G193" s="7" t="s">
        <v>25</v>
      </c>
      <c r="H193" s="7" t="s">
        <v>131</v>
      </c>
      <c r="I193" s="7" t="n">
        <v>4339</v>
      </c>
      <c r="J193" s="7" t="n">
        <v>3758</v>
      </c>
      <c r="K193" s="7" t="n">
        <v>4.2</v>
      </c>
      <c r="L193" s="7" t="s">
        <v>457</v>
      </c>
      <c r="M193" s="7" t="n">
        <v>19</v>
      </c>
      <c r="N193" s="9" t="n">
        <f aca="false">ROUND(J193/I193,3)</f>
        <v>0.866</v>
      </c>
    </row>
    <row r="194" customFormat="false" ht="15" hidden="false" customHeight="false" outlineLevel="0" collapsed="false">
      <c r="A194" s="7" t="s">
        <v>661</v>
      </c>
      <c r="B194" s="8" t="n">
        <v>45807</v>
      </c>
      <c r="C194" s="7" t="s">
        <v>68</v>
      </c>
      <c r="D194" s="7" t="s">
        <v>99</v>
      </c>
      <c r="E194" s="7" t="s">
        <v>455</v>
      </c>
      <c r="F194" s="7" t="s">
        <v>460</v>
      </c>
      <c r="G194" s="7" t="s">
        <v>25</v>
      </c>
      <c r="H194" s="7" t="s">
        <v>148</v>
      </c>
      <c r="I194" s="7" t="n">
        <v>5629</v>
      </c>
      <c r="J194" s="7" t="n">
        <v>4883</v>
      </c>
      <c r="K194" s="7" t="n">
        <v>4.7</v>
      </c>
      <c r="L194" s="7" t="s">
        <v>477</v>
      </c>
      <c r="M194" s="7" t="n">
        <v>134</v>
      </c>
      <c r="N194" s="9" t="n">
        <f aca="false">ROUND(J194/I194,3)</f>
        <v>0.867</v>
      </c>
    </row>
    <row r="195" customFormat="false" ht="15" hidden="false" customHeight="false" outlineLevel="0" collapsed="false">
      <c r="A195" s="7" t="s">
        <v>662</v>
      </c>
      <c r="B195" s="8" t="n">
        <v>45593</v>
      </c>
      <c r="C195" s="7" t="s">
        <v>65</v>
      </c>
      <c r="D195" s="7" t="s">
        <v>115</v>
      </c>
      <c r="E195" s="7" t="s">
        <v>481</v>
      </c>
      <c r="F195" s="7" t="s">
        <v>456</v>
      </c>
      <c r="G195" s="7" t="s">
        <v>25</v>
      </c>
      <c r="H195" s="7" t="s">
        <v>126</v>
      </c>
      <c r="I195" s="7" t="n">
        <v>7345</v>
      </c>
      <c r="J195" s="7" t="n">
        <v>5569</v>
      </c>
      <c r="K195" s="7" t="n">
        <v>4.8</v>
      </c>
      <c r="L195" s="7" t="s">
        <v>461</v>
      </c>
      <c r="M195" s="7" t="n">
        <v>162</v>
      </c>
      <c r="N195" s="9" t="n">
        <f aca="false">ROUND(J195/I195,3)</f>
        <v>0.758</v>
      </c>
    </row>
    <row r="196" customFormat="false" ht="15" hidden="false" customHeight="false" outlineLevel="0" collapsed="false">
      <c r="A196" s="7" t="s">
        <v>663</v>
      </c>
      <c r="B196" s="8" t="n">
        <v>45524</v>
      </c>
      <c r="C196" s="7" t="s">
        <v>65</v>
      </c>
      <c r="D196" s="7" t="s">
        <v>102</v>
      </c>
      <c r="E196" s="7" t="s">
        <v>455</v>
      </c>
      <c r="F196" s="7" t="s">
        <v>460</v>
      </c>
      <c r="G196" s="7" t="s">
        <v>25</v>
      </c>
      <c r="H196" s="7" t="s">
        <v>150</v>
      </c>
      <c r="I196" s="7" t="n">
        <v>7549</v>
      </c>
      <c r="J196" s="7" t="n">
        <v>5723</v>
      </c>
      <c r="K196" s="7" t="n">
        <v>4.9</v>
      </c>
      <c r="L196" s="7" t="s">
        <v>471</v>
      </c>
      <c r="M196" s="7" t="n">
        <v>161</v>
      </c>
      <c r="N196" s="9" t="n">
        <f aca="false">ROUND(J196/I196,3)</f>
        <v>0.758</v>
      </c>
    </row>
    <row r="197" customFormat="false" ht="15" hidden="false" customHeight="false" outlineLevel="0" collapsed="false">
      <c r="A197" s="7" t="s">
        <v>664</v>
      </c>
      <c r="B197" s="8" t="n">
        <v>45998</v>
      </c>
      <c r="C197" s="7" t="s">
        <v>68</v>
      </c>
      <c r="D197" s="7" t="s">
        <v>95</v>
      </c>
      <c r="E197" s="7" t="s">
        <v>459</v>
      </c>
      <c r="F197" s="7" t="s">
        <v>456</v>
      </c>
      <c r="G197" s="7" t="s">
        <v>25</v>
      </c>
      <c r="H197" s="7" t="s">
        <v>163</v>
      </c>
      <c r="I197" s="7" t="n">
        <v>7283</v>
      </c>
      <c r="J197" s="7" t="n">
        <v>5782</v>
      </c>
      <c r="K197" s="7" t="n">
        <v>1.4</v>
      </c>
      <c r="L197" s="7" t="s">
        <v>477</v>
      </c>
      <c r="M197" s="7" t="n">
        <v>154</v>
      </c>
      <c r="N197" s="9" t="n">
        <f aca="false">ROUND(J197/I197,3)</f>
        <v>0.794</v>
      </c>
    </row>
    <row r="198" customFormat="false" ht="15" hidden="false" customHeight="false" outlineLevel="0" collapsed="false">
      <c r="A198" s="7" t="s">
        <v>665</v>
      </c>
      <c r="B198" s="8" t="n">
        <v>45967</v>
      </c>
      <c r="C198" s="7" t="s">
        <v>65</v>
      </c>
      <c r="D198" s="7" t="s">
        <v>106</v>
      </c>
      <c r="E198" s="7" t="s">
        <v>455</v>
      </c>
      <c r="F198" s="7" t="s">
        <v>460</v>
      </c>
      <c r="G198" s="7" t="s">
        <v>25</v>
      </c>
      <c r="H198" s="7" t="s">
        <v>165</v>
      </c>
      <c r="I198" s="7" t="n">
        <v>7799</v>
      </c>
      <c r="J198" s="7" t="n">
        <v>6143</v>
      </c>
      <c r="K198" s="7" t="n">
        <v>3</v>
      </c>
      <c r="L198" s="7" t="s">
        <v>473</v>
      </c>
      <c r="M198" s="7" t="n">
        <v>49</v>
      </c>
      <c r="N198" s="9" t="n">
        <f aca="false">ROUND(J198/I198,3)</f>
        <v>0.788</v>
      </c>
    </row>
    <row r="199" customFormat="false" ht="15" hidden="false" customHeight="false" outlineLevel="0" collapsed="false">
      <c r="A199" s="7" t="s">
        <v>666</v>
      </c>
      <c r="B199" s="8" t="n">
        <v>45430</v>
      </c>
      <c r="C199" s="7" t="s">
        <v>65</v>
      </c>
      <c r="D199" s="7" t="s">
        <v>104</v>
      </c>
      <c r="E199" s="7" t="s">
        <v>463</v>
      </c>
      <c r="F199" s="7" t="s">
        <v>456</v>
      </c>
      <c r="G199" s="7" t="s">
        <v>25</v>
      </c>
      <c r="H199" s="7" t="s">
        <v>163</v>
      </c>
      <c r="I199" s="7" t="n">
        <v>6249</v>
      </c>
      <c r="J199" s="7" t="n">
        <v>6064</v>
      </c>
      <c r="K199" s="7" t="n">
        <v>1</v>
      </c>
      <c r="L199" s="7" t="s">
        <v>471</v>
      </c>
      <c r="M199" s="7" t="n">
        <v>89</v>
      </c>
      <c r="N199" s="9" t="n">
        <f aca="false">ROUND(J199/I199,3)</f>
        <v>0.97</v>
      </c>
    </row>
    <row r="200" customFormat="false" ht="15" hidden="false" customHeight="false" outlineLevel="0" collapsed="false">
      <c r="A200" s="7" t="s">
        <v>667</v>
      </c>
      <c r="B200" s="8" t="n">
        <v>45708</v>
      </c>
      <c r="C200" s="7" t="s">
        <v>65</v>
      </c>
      <c r="D200" s="7" t="s">
        <v>113</v>
      </c>
      <c r="E200" s="7" t="s">
        <v>455</v>
      </c>
      <c r="F200" s="7" t="s">
        <v>460</v>
      </c>
      <c r="G200" s="7" t="s">
        <v>25</v>
      </c>
      <c r="H200" s="7" t="s">
        <v>154</v>
      </c>
      <c r="I200" s="7" t="n">
        <v>6282</v>
      </c>
      <c r="J200" s="7" t="n">
        <v>5787</v>
      </c>
      <c r="K200" s="7" t="n">
        <v>1.4</v>
      </c>
      <c r="L200" s="7" t="s">
        <v>473</v>
      </c>
      <c r="M200" s="7" t="n">
        <v>150</v>
      </c>
      <c r="N200" s="9" t="n">
        <f aca="false">ROUND(J200/I200,3)</f>
        <v>0.921</v>
      </c>
    </row>
    <row r="201" customFormat="false" ht="15" hidden="false" customHeight="false" outlineLevel="0" collapsed="false">
      <c r="A201" s="7" t="s">
        <v>668</v>
      </c>
      <c r="B201" s="8" t="n">
        <v>45864</v>
      </c>
      <c r="C201" s="7" t="s">
        <v>68</v>
      </c>
      <c r="D201" s="7" t="s">
        <v>113</v>
      </c>
      <c r="E201" s="7" t="s">
        <v>459</v>
      </c>
      <c r="F201" s="7" t="s">
        <v>464</v>
      </c>
      <c r="G201" s="7" t="s">
        <v>25</v>
      </c>
      <c r="H201" s="7" t="s">
        <v>154</v>
      </c>
      <c r="I201" s="7" t="n">
        <v>7238</v>
      </c>
      <c r="J201" s="7" t="n">
        <v>5988</v>
      </c>
      <c r="K201" s="7" t="n">
        <v>0.9</v>
      </c>
      <c r="L201" s="7" t="s">
        <v>473</v>
      </c>
      <c r="M201" s="7" t="n">
        <v>93</v>
      </c>
      <c r="N201" s="9" t="n">
        <f aca="false">ROUND(J201/I201,3)</f>
        <v>0.827</v>
      </c>
    </row>
    <row r="202" customFormat="false" ht="15" hidden="false" customHeight="false" outlineLevel="0" collapsed="false">
      <c r="A202" s="7" t="s">
        <v>669</v>
      </c>
      <c r="B202" s="8" t="n">
        <v>45901</v>
      </c>
      <c r="C202" s="7" t="s">
        <v>68</v>
      </c>
      <c r="D202" s="7" t="s">
        <v>99</v>
      </c>
      <c r="E202" s="7" t="s">
        <v>459</v>
      </c>
      <c r="F202" s="7" t="s">
        <v>464</v>
      </c>
      <c r="G202" s="7" t="s">
        <v>25</v>
      </c>
      <c r="H202" s="7" t="s">
        <v>134</v>
      </c>
      <c r="I202" s="7" t="n">
        <v>5657</v>
      </c>
      <c r="J202" s="7" t="n">
        <v>5103</v>
      </c>
      <c r="K202" s="7" t="n">
        <v>2.6</v>
      </c>
      <c r="L202" s="7" t="s">
        <v>457</v>
      </c>
      <c r="M202" s="7" t="n">
        <v>54</v>
      </c>
      <c r="N202" s="9" t="n">
        <f aca="false">ROUND(J202/I202,3)</f>
        <v>0.902</v>
      </c>
    </row>
    <row r="203" customFormat="false" ht="15" hidden="false" customHeight="false" outlineLevel="0" collapsed="false">
      <c r="A203" s="7" t="s">
        <v>670</v>
      </c>
      <c r="B203" s="8" t="n">
        <v>45701</v>
      </c>
      <c r="C203" s="7" t="s">
        <v>68</v>
      </c>
      <c r="D203" s="7" t="s">
        <v>95</v>
      </c>
      <c r="E203" s="7" t="s">
        <v>455</v>
      </c>
      <c r="F203" s="7" t="s">
        <v>464</v>
      </c>
      <c r="G203" s="7" t="s">
        <v>25</v>
      </c>
      <c r="H203" s="7" t="s">
        <v>150</v>
      </c>
      <c r="I203" s="7" t="n">
        <v>8557</v>
      </c>
      <c r="J203" s="7" t="n">
        <v>7975</v>
      </c>
      <c r="K203" s="7" t="n">
        <v>3.7</v>
      </c>
      <c r="L203" s="7" t="s">
        <v>457</v>
      </c>
      <c r="M203" s="7" t="n">
        <v>47</v>
      </c>
      <c r="N203" s="9" t="n">
        <f aca="false">ROUND(J203/I203,3)</f>
        <v>0.932</v>
      </c>
    </row>
    <row r="204" customFormat="false" ht="15" hidden="false" customHeight="false" outlineLevel="0" collapsed="false">
      <c r="A204" s="7" t="s">
        <v>671</v>
      </c>
      <c r="B204" s="8" t="n">
        <v>45391</v>
      </c>
      <c r="C204" s="7" t="s">
        <v>65</v>
      </c>
      <c r="D204" s="7" t="s">
        <v>95</v>
      </c>
      <c r="E204" s="7" t="s">
        <v>481</v>
      </c>
      <c r="F204" s="7" t="s">
        <v>464</v>
      </c>
      <c r="G204" s="7" t="s">
        <v>25</v>
      </c>
      <c r="H204" s="7" t="s">
        <v>131</v>
      </c>
      <c r="I204" s="7" t="n">
        <v>5355</v>
      </c>
      <c r="J204" s="7" t="n">
        <v>4877</v>
      </c>
      <c r="K204" s="7" t="n">
        <v>0.7</v>
      </c>
      <c r="L204" s="7" t="s">
        <v>473</v>
      </c>
      <c r="M204" s="7" t="n">
        <v>39</v>
      </c>
      <c r="N204" s="9" t="n">
        <f aca="false">ROUND(J204/I204,3)</f>
        <v>0.911</v>
      </c>
    </row>
    <row r="205" customFormat="false" ht="15" hidden="false" customHeight="false" outlineLevel="0" collapsed="false">
      <c r="A205" s="7" t="s">
        <v>672</v>
      </c>
      <c r="B205" s="8" t="n">
        <v>45900</v>
      </c>
      <c r="C205" s="7" t="s">
        <v>68</v>
      </c>
      <c r="D205" s="7" t="s">
        <v>99</v>
      </c>
      <c r="E205" s="7" t="s">
        <v>481</v>
      </c>
      <c r="F205" s="7" t="s">
        <v>456</v>
      </c>
      <c r="G205" s="7" t="s">
        <v>25</v>
      </c>
      <c r="H205" s="7" t="s">
        <v>140</v>
      </c>
      <c r="I205" s="7" t="n">
        <v>6604</v>
      </c>
      <c r="J205" s="7" t="n">
        <v>6350</v>
      </c>
      <c r="K205" s="7" t="n">
        <v>0.7</v>
      </c>
      <c r="L205" s="7" t="s">
        <v>461</v>
      </c>
      <c r="M205" s="7" t="n">
        <v>177</v>
      </c>
      <c r="N205" s="9" t="n">
        <f aca="false">ROUND(J205/I205,3)</f>
        <v>0.962</v>
      </c>
    </row>
    <row r="206" customFormat="false" ht="15" hidden="false" customHeight="false" outlineLevel="0" collapsed="false">
      <c r="A206" s="7" t="s">
        <v>673</v>
      </c>
      <c r="B206" s="8" t="n">
        <v>45848</v>
      </c>
      <c r="C206" s="7" t="s">
        <v>68</v>
      </c>
      <c r="D206" s="7" t="s">
        <v>104</v>
      </c>
      <c r="E206" s="7" t="s">
        <v>470</v>
      </c>
      <c r="F206" s="7" t="s">
        <v>464</v>
      </c>
      <c r="G206" s="7" t="s">
        <v>25</v>
      </c>
      <c r="H206" s="7" t="s">
        <v>152</v>
      </c>
      <c r="I206" s="7" t="n">
        <v>6720</v>
      </c>
      <c r="J206" s="7" t="n">
        <v>5406</v>
      </c>
      <c r="K206" s="7" t="n">
        <v>3.7</v>
      </c>
      <c r="L206" s="7" t="s">
        <v>457</v>
      </c>
      <c r="M206" s="7" t="n">
        <v>79</v>
      </c>
      <c r="N206" s="9" t="n">
        <f aca="false">ROUND(J206/I206,3)</f>
        <v>0.804</v>
      </c>
    </row>
    <row r="207" customFormat="false" ht="15" hidden="false" customHeight="false" outlineLevel="0" collapsed="false">
      <c r="A207" s="7" t="s">
        <v>674</v>
      </c>
      <c r="B207" s="8" t="n">
        <v>45831</v>
      </c>
      <c r="C207" s="7" t="s">
        <v>68</v>
      </c>
      <c r="D207" s="7" t="s">
        <v>115</v>
      </c>
      <c r="E207" s="7" t="s">
        <v>459</v>
      </c>
      <c r="F207" s="7" t="s">
        <v>460</v>
      </c>
      <c r="G207" s="7" t="s">
        <v>25</v>
      </c>
      <c r="H207" s="7" t="s">
        <v>165</v>
      </c>
      <c r="I207" s="7" t="n">
        <v>6841</v>
      </c>
      <c r="J207" s="7" t="n">
        <v>5488</v>
      </c>
      <c r="K207" s="7" t="n">
        <v>4.9</v>
      </c>
      <c r="L207" s="7" t="s">
        <v>471</v>
      </c>
      <c r="M207" s="7" t="n">
        <v>57</v>
      </c>
      <c r="N207" s="9" t="n">
        <f aca="false">ROUND(J207/I207,3)</f>
        <v>0.802</v>
      </c>
    </row>
    <row r="208" customFormat="false" ht="15" hidden="false" customHeight="false" outlineLevel="0" collapsed="false">
      <c r="A208" s="7" t="s">
        <v>675</v>
      </c>
      <c r="B208" s="8" t="n">
        <v>45795</v>
      </c>
      <c r="C208" s="7" t="s">
        <v>68</v>
      </c>
      <c r="D208" s="7" t="s">
        <v>113</v>
      </c>
      <c r="E208" s="7" t="s">
        <v>455</v>
      </c>
      <c r="F208" s="7" t="s">
        <v>460</v>
      </c>
      <c r="G208" s="7" t="s">
        <v>25</v>
      </c>
      <c r="H208" s="7" t="s">
        <v>142</v>
      </c>
      <c r="I208" s="7" t="n">
        <v>4954</v>
      </c>
      <c r="J208" s="7" t="n">
        <v>4299</v>
      </c>
      <c r="K208" s="7" t="n">
        <v>1.9</v>
      </c>
      <c r="L208" s="7" t="s">
        <v>473</v>
      </c>
      <c r="M208" s="7" t="n">
        <v>52</v>
      </c>
      <c r="N208" s="9" t="n">
        <f aca="false">ROUND(J208/I208,3)</f>
        <v>0.868</v>
      </c>
    </row>
    <row r="209" customFormat="false" ht="15" hidden="false" customHeight="false" outlineLevel="0" collapsed="false">
      <c r="A209" s="7" t="s">
        <v>676</v>
      </c>
      <c r="B209" s="8" t="n">
        <v>45483</v>
      </c>
      <c r="C209" s="7" t="s">
        <v>65</v>
      </c>
      <c r="D209" s="7" t="s">
        <v>95</v>
      </c>
      <c r="E209" s="7" t="s">
        <v>463</v>
      </c>
      <c r="F209" s="7" t="s">
        <v>456</v>
      </c>
      <c r="G209" s="7" t="s">
        <v>25</v>
      </c>
      <c r="H209" s="7" t="s">
        <v>134</v>
      </c>
      <c r="I209" s="7" t="n">
        <v>7963</v>
      </c>
      <c r="J209" s="7" t="n">
        <v>7102</v>
      </c>
      <c r="K209" s="7" t="n">
        <v>5.2</v>
      </c>
      <c r="L209" s="7" t="s">
        <v>477</v>
      </c>
      <c r="M209" s="7" t="n">
        <v>127</v>
      </c>
      <c r="N209" s="9" t="n">
        <f aca="false">ROUND(J209/I209,3)</f>
        <v>0.892</v>
      </c>
    </row>
    <row r="210" customFormat="false" ht="15" hidden="false" customHeight="false" outlineLevel="0" collapsed="false">
      <c r="A210" s="7" t="s">
        <v>677</v>
      </c>
      <c r="B210" s="8" t="n">
        <v>45728</v>
      </c>
      <c r="C210" s="7" t="s">
        <v>65</v>
      </c>
      <c r="D210" s="7" t="s">
        <v>104</v>
      </c>
      <c r="E210" s="7" t="s">
        <v>470</v>
      </c>
      <c r="F210" s="7" t="s">
        <v>456</v>
      </c>
      <c r="G210" s="7" t="s">
        <v>25</v>
      </c>
      <c r="H210" s="7" t="s">
        <v>140</v>
      </c>
      <c r="I210" s="7" t="n">
        <v>6414</v>
      </c>
      <c r="J210" s="7" t="n">
        <v>5111</v>
      </c>
      <c r="K210" s="7" t="n">
        <v>2</v>
      </c>
      <c r="L210" s="7" t="s">
        <v>473</v>
      </c>
      <c r="M210" s="7" t="n">
        <v>51</v>
      </c>
      <c r="N210" s="9" t="n">
        <f aca="false">ROUND(J210/I210,3)</f>
        <v>0.797</v>
      </c>
    </row>
    <row r="211" customFormat="false" ht="15" hidden="false" customHeight="false" outlineLevel="0" collapsed="false">
      <c r="A211" s="7" t="s">
        <v>678</v>
      </c>
      <c r="B211" s="8" t="n">
        <v>45897</v>
      </c>
      <c r="C211" s="7" t="s">
        <v>68</v>
      </c>
      <c r="D211" s="7" t="s">
        <v>99</v>
      </c>
      <c r="E211" s="7" t="s">
        <v>470</v>
      </c>
      <c r="F211" s="7" t="s">
        <v>456</v>
      </c>
      <c r="G211" s="7" t="s">
        <v>25</v>
      </c>
      <c r="H211" s="7" t="s">
        <v>165</v>
      </c>
      <c r="I211" s="7" t="n">
        <v>5201</v>
      </c>
      <c r="J211" s="7" t="n">
        <v>4319</v>
      </c>
      <c r="K211" s="7" t="n">
        <v>4.7</v>
      </c>
      <c r="L211" s="7" t="s">
        <v>461</v>
      </c>
      <c r="M211" s="7" t="n">
        <v>32</v>
      </c>
      <c r="N211" s="9" t="n">
        <f aca="false">ROUND(J211/I211,3)</f>
        <v>0.83</v>
      </c>
    </row>
    <row r="212" customFormat="false" ht="15" hidden="false" customHeight="false" outlineLevel="0" collapsed="false">
      <c r="A212" s="7" t="s">
        <v>679</v>
      </c>
      <c r="B212" s="8" t="n">
        <v>45713</v>
      </c>
      <c r="C212" s="7" t="s">
        <v>65</v>
      </c>
      <c r="D212" s="7" t="s">
        <v>115</v>
      </c>
      <c r="E212" s="7" t="s">
        <v>481</v>
      </c>
      <c r="F212" s="7" t="s">
        <v>456</v>
      </c>
      <c r="G212" s="7" t="s">
        <v>25</v>
      </c>
      <c r="H212" s="7" t="s">
        <v>140</v>
      </c>
      <c r="I212" s="7" t="n">
        <v>6423</v>
      </c>
      <c r="J212" s="7" t="n">
        <v>5983</v>
      </c>
      <c r="K212" s="7" t="n">
        <v>5.1</v>
      </c>
      <c r="L212" s="7" t="s">
        <v>473</v>
      </c>
      <c r="M212" s="7" t="n">
        <v>120</v>
      </c>
      <c r="N212" s="9" t="n">
        <f aca="false">ROUND(J212/I212,3)</f>
        <v>0.931</v>
      </c>
    </row>
    <row r="213" customFormat="false" ht="15" hidden="false" customHeight="false" outlineLevel="0" collapsed="false">
      <c r="A213" s="7" t="s">
        <v>680</v>
      </c>
      <c r="B213" s="8" t="n">
        <v>45685</v>
      </c>
      <c r="C213" s="7" t="s">
        <v>68</v>
      </c>
      <c r="D213" s="7" t="s">
        <v>115</v>
      </c>
      <c r="E213" s="7" t="s">
        <v>466</v>
      </c>
      <c r="F213" s="7" t="s">
        <v>456</v>
      </c>
      <c r="G213" s="7" t="s">
        <v>25</v>
      </c>
      <c r="H213" s="7" t="s">
        <v>157</v>
      </c>
      <c r="I213" s="7" t="n">
        <v>5399</v>
      </c>
      <c r="J213" s="7" t="n">
        <v>4756</v>
      </c>
      <c r="K213" s="7" t="n">
        <v>2.1</v>
      </c>
      <c r="L213" s="7" t="s">
        <v>457</v>
      </c>
      <c r="M213" s="7" t="n">
        <v>69</v>
      </c>
      <c r="N213" s="9" t="n">
        <f aca="false">ROUND(J213/I213,3)</f>
        <v>0.881</v>
      </c>
    </row>
    <row r="214" customFormat="false" ht="15" hidden="false" customHeight="false" outlineLevel="0" collapsed="false">
      <c r="A214" s="7" t="s">
        <v>681</v>
      </c>
      <c r="B214" s="8" t="n">
        <v>45597</v>
      </c>
      <c r="C214" s="7" t="s">
        <v>68</v>
      </c>
      <c r="D214" s="7" t="s">
        <v>113</v>
      </c>
      <c r="E214" s="7" t="s">
        <v>481</v>
      </c>
      <c r="F214" s="7" t="s">
        <v>460</v>
      </c>
      <c r="G214" s="7" t="s">
        <v>25</v>
      </c>
      <c r="H214" s="7" t="s">
        <v>142</v>
      </c>
      <c r="I214" s="7" t="n">
        <v>7398</v>
      </c>
      <c r="J214" s="7" t="n">
        <v>6375</v>
      </c>
      <c r="K214" s="7" t="n">
        <v>1.8</v>
      </c>
      <c r="L214" s="7" t="s">
        <v>461</v>
      </c>
      <c r="M214" s="7" t="n">
        <v>91</v>
      </c>
      <c r="N214" s="9" t="n">
        <f aca="false">ROUND(J214/I214,3)</f>
        <v>0.862</v>
      </c>
    </row>
    <row r="215" customFormat="false" ht="15" hidden="false" customHeight="false" outlineLevel="0" collapsed="false">
      <c r="A215" s="7" t="s">
        <v>682</v>
      </c>
      <c r="B215" s="8" t="n">
        <v>45507</v>
      </c>
      <c r="C215" s="7" t="s">
        <v>68</v>
      </c>
      <c r="D215" s="7" t="s">
        <v>109</v>
      </c>
      <c r="E215" s="7" t="s">
        <v>459</v>
      </c>
      <c r="F215" s="7" t="s">
        <v>464</v>
      </c>
      <c r="G215" s="7" t="s">
        <v>25</v>
      </c>
      <c r="H215" s="7" t="s">
        <v>154</v>
      </c>
      <c r="I215" s="7" t="n">
        <v>4673</v>
      </c>
      <c r="J215" s="7" t="n">
        <v>3438</v>
      </c>
      <c r="K215" s="7" t="n">
        <v>5.8</v>
      </c>
      <c r="L215" s="7" t="s">
        <v>471</v>
      </c>
      <c r="M215" s="7" t="n">
        <v>39</v>
      </c>
      <c r="N215" s="9" t="n">
        <f aca="false">ROUND(J215/I215,3)</f>
        <v>0.736</v>
      </c>
    </row>
    <row r="216" customFormat="false" ht="15" hidden="false" customHeight="false" outlineLevel="0" collapsed="false">
      <c r="A216" s="7" t="s">
        <v>683</v>
      </c>
      <c r="B216" s="8" t="n">
        <v>45757</v>
      </c>
      <c r="C216" s="7" t="s">
        <v>68</v>
      </c>
      <c r="D216" s="7" t="s">
        <v>113</v>
      </c>
      <c r="E216" s="7" t="s">
        <v>459</v>
      </c>
      <c r="F216" s="7" t="s">
        <v>456</v>
      </c>
      <c r="G216" s="7" t="s">
        <v>25</v>
      </c>
      <c r="H216" s="7" t="s">
        <v>161</v>
      </c>
      <c r="I216" s="7" t="n">
        <v>6190</v>
      </c>
      <c r="J216" s="7" t="n">
        <v>5489</v>
      </c>
      <c r="K216" s="7" t="n">
        <v>2.8</v>
      </c>
      <c r="L216" s="7" t="s">
        <v>471</v>
      </c>
      <c r="M216" s="7" t="n">
        <v>75</v>
      </c>
      <c r="N216" s="9" t="n">
        <f aca="false">ROUND(J216/I216,3)</f>
        <v>0.887</v>
      </c>
    </row>
    <row r="217" customFormat="false" ht="15" hidden="false" customHeight="false" outlineLevel="0" collapsed="false">
      <c r="A217" s="7" t="s">
        <v>684</v>
      </c>
      <c r="B217" s="8" t="n">
        <v>45313</v>
      </c>
      <c r="C217" s="7" t="s">
        <v>65</v>
      </c>
      <c r="D217" s="7" t="s">
        <v>104</v>
      </c>
      <c r="E217" s="7" t="s">
        <v>455</v>
      </c>
      <c r="F217" s="7" t="s">
        <v>460</v>
      </c>
      <c r="G217" s="7" t="s">
        <v>25</v>
      </c>
      <c r="H217" s="7" t="s">
        <v>157</v>
      </c>
      <c r="I217" s="7" t="n">
        <v>7103</v>
      </c>
      <c r="J217" s="7" t="n">
        <v>6829</v>
      </c>
      <c r="K217" s="7" t="n">
        <v>2.4</v>
      </c>
      <c r="L217" s="7" t="s">
        <v>457</v>
      </c>
      <c r="M217" s="7" t="n">
        <v>60</v>
      </c>
      <c r="N217" s="9" t="n">
        <f aca="false">ROUND(J217/I217,3)</f>
        <v>0.961</v>
      </c>
    </row>
    <row r="218" customFormat="false" ht="15" hidden="false" customHeight="false" outlineLevel="0" collapsed="false">
      <c r="A218" s="7" t="s">
        <v>685</v>
      </c>
      <c r="B218" s="8" t="n">
        <v>45504</v>
      </c>
      <c r="C218" s="7" t="s">
        <v>68</v>
      </c>
      <c r="D218" s="7" t="s">
        <v>115</v>
      </c>
      <c r="E218" s="7" t="s">
        <v>481</v>
      </c>
      <c r="F218" s="7" t="s">
        <v>460</v>
      </c>
      <c r="G218" s="7" t="s">
        <v>25</v>
      </c>
      <c r="H218" s="7" t="s">
        <v>154</v>
      </c>
      <c r="I218" s="7" t="n">
        <v>8665</v>
      </c>
      <c r="J218" s="7" t="n">
        <v>6941</v>
      </c>
      <c r="K218" s="7" t="n">
        <v>3.2</v>
      </c>
      <c r="L218" s="7" t="s">
        <v>471</v>
      </c>
      <c r="M218" s="7" t="n">
        <v>89</v>
      </c>
      <c r="N218" s="9" t="n">
        <f aca="false">ROUND(J218/I218,3)</f>
        <v>0.801</v>
      </c>
    </row>
    <row r="219" customFormat="false" ht="15" hidden="false" customHeight="false" outlineLevel="0" collapsed="false">
      <c r="A219" s="7" t="s">
        <v>686</v>
      </c>
      <c r="B219" s="8" t="n">
        <v>45378</v>
      </c>
      <c r="C219" s="7" t="s">
        <v>68</v>
      </c>
      <c r="D219" s="7" t="s">
        <v>102</v>
      </c>
      <c r="E219" s="7" t="s">
        <v>455</v>
      </c>
      <c r="F219" s="7" t="s">
        <v>456</v>
      </c>
      <c r="G219" s="7" t="s">
        <v>25</v>
      </c>
      <c r="H219" s="7" t="s">
        <v>152</v>
      </c>
      <c r="I219" s="7" t="n">
        <v>8651</v>
      </c>
      <c r="J219" s="7" t="n">
        <v>8277</v>
      </c>
      <c r="K219" s="7" t="n">
        <v>2.1</v>
      </c>
      <c r="L219" s="7" t="s">
        <v>457</v>
      </c>
      <c r="M219" s="7" t="n">
        <v>128</v>
      </c>
      <c r="N219" s="9" t="n">
        <f aca="false">ROUND(J219/I219,3)</f>
        <v>0.957</v>
      </c>
    </row>
    <row r="220" customFormat="false" ht="15" hidden="false" customHeight="false" outlineLevel="0" collapsed="false">
      <c r="A220" s="7" t="s">
        <v>687</v>
      </c>
      <c r="B220" s="8" t="n">
        <v>45460</v>
      </c>
      <c r="C220" s="7" t="s">
        <v>68</v>
      </c>
      <c r="D220" s="7" t="s">
        <v>104</v>
      </c>
      <c r="E220" s="7" t="s">
        <v>459</v>
      </c>
      <c r="F220" s="7" t="s">
        <v>464</v>
      </c>
      <c r="G220" s="7" t="s">
        <v>25</v>
      </c>
      <c r="H220" s="7" t="s">
        <v>161</v>
      </c>
      <c r="I220" s="7" t="n">
        <v>4494</v>
      </c>
      <c r="J220" s="7" t="n">
        <v>4022</v>
      </c>
      <c r="K220" s="7" t="n">
        <v>0.4</v>
      </c>
      <c r="L220" s="7" t="s">
        <v>467</v>
      </c>
      <c r="M220" s="7" t="n">
        <v>30</v>
      </c>
      <c r="N220" s="9" t="n">
        <f aca="false">ROUND(J220/I220,3)</f>
        <v>0.895</v>
      </c>
    </row>
    <row r="221" customFormat="false" ht="15" hidden="false" customHeight="false" outlineLevel="0" collapsed="false">
      <c r="A221" s="7" t="s">
        <v>688</v>
      </c>
      <c r="B221" s="8" t="n">
        <v>45859</v>
      </c>
      <c r="C221" s="7" t="s">
        <v>65</v>
      </c>
      <c r="D221" s="7" t="s">
        <v>113</v>
      </c>
      <c r="E221" s="7" t="s">
        <v>455</v>
      </c>
      <c r="F221" s="7" t="s">
        <v>464</v>
      </c>
      <c r="G221" s="7" t="s">
        <v>25</v>
      </c>
      <c r="H221" s="7" t="s">
        <v>152</v>
      </c>
      <c r="I221" s="7" t="n">
        <v>8821</v>
      </c>
      <c r="J221" s="7" t="n">
        <v>8415</v>
      </c>
      <c r="K221" s="7" t="n">
        <v>4.1</v>
      </c>
      <c r="L221" s="7" t="s">
        <v>471</v>
      </c>
      <c r="M221" s="7" t="n">
        <v>125</v>
      </c>
      <c r="N221" s="9" t="n">
        <f aca="false">ROUND(J221/I221,3)</f>
        <v>0.954</v>
      </c>
    </row>
    <row r="222" customFormat="false" ht="15" hidden="false" customHeight="false" outlineLevel="0" collapsed="false">
      <c r="A222" s="7" t="s">
        <v>689</v>
      </c>
      <c r="B222" s="8" t="n">
        <v>45401</v>
      </c>
      <c r="C222" s="7" t="s">
        <v>65</v>
      </c>
      <c r="D222" s="7" t="s">
        <v>95</v>
      </c>
      <c r="E222" s="7" t="s">
        <v>463</v>
      </c>
      <c r="F222" s="7" t="s">
        <v>464</v>
      </c>
      <c r="G222" s="7" t="s">
        <v>25</v>
      </c>
      <c r="H222" s="7" t="s">
        <v>165</v>
      </c>
      <c r="I222" s="7" t="n">
        <v>7532</v>
      </c>
      <c r="J222" s="7" t="n">
        <v>6552</v>
      </c>
      <c r="K222" s="7" t="n">
        <v>3.4</v>
      </c>
      <c r="L222" s="7" t="s">
        <v>457</v>
      </c>
      <c r="M222" s="7" t="n">
        <v>56</v>
      </c>
      <c r="N222" s="9" t="n">
        <f aca="false">ROUND(J222/I222,3)</f>
        <v>0.87</v>
      </c>
    </row>
    <row r="223" customFormat="false" ht="15" hidden="false" customHeight="false" outlineLevel="0" collapsed="false">
      <c r="A223" s="7" t="s">
        <v>690</v>
      </c>
      <c r="B223" s="8" t="n">
        <v>45487</v>
      </c>
      <c r="C223" s="7" t="s">
        <v>65</v>
      </c>
      <c r="D223" s="7" t="s">
        <v>102</v>
      </c>
      <c r="E223" s="7" t="s">
        <v>463</v>
      </c>
      <c r="F223" s="7" t="s">
        <v>456</v>
      </c>
      <c r="G223" s="7" t="s">
        <v>25</v>
      </c>
      <c r="H223" s="7" t="s">
        <v>168</v>
      </c>
      <c r="I223" s="7" t="n">
        <v>3873</v>
      </c>
      <c r="J223" s="7" t="n">
        <v>3074</v>
      </c>
      <c r="K223" s="7" t="n">
        <v>0.2</v>
      </c>
      <c r="L223" s="7" t="s">
        <v>467</v>
      </c>
      <c r="M223" s="7" t="n">
        <v>88</v>
      </c>
      <c r="N223" s="9" t="n">
        <f aca="false">ROUND(J223/I223,3)</f>
        <v>0.794</v>
      </c>
    </row>
    <row r="224" customFormat="false" ht="15" hidden="false" customHeight="false" outlineLevel="0" collapsed="false">
      <c r="A224" s="7" t="s">
        <v>691</v>
      </c>
      <c r="B224" s="8" t="n">
        <v>45774</v>
      </c>
      <c r="C224" s="7" t="s">
        <v>68</v>
      </c>
      <c r="D224" s="7" t="s">
        <v>113</v>
      </c>
      <c r="E224" s="7" t="s">
        <v>455</v>
      </c>
      <c r="F224" s="7" t="s">
        <v>456</v>
      </c>
      <c r="G224" s="7" t="s">
        <v>25</v>
      </c>
      <c r="H224" s="7" t="s">
        <v>126</v>
      </c>
      <c r="I224" s="7" t="n">
        <v>8607</v>
      </c>
      <c r="J224" s="7" t="n">
        <v>6789</v>
      </c>
      <c r="K224" s="7" t="n">
        <v>4.6</v>
      </c>
      <c r="L224" s="7" t="s">
        <v>473</v>
      </c>
      <c r="M224" s="7" t="n">
        <v>74</v>
      </c>
      <c r="N224" s="9" t="n">
        <f aca="false">ROUND(J224/I224,3)</f>
        <v>0.789</v>
      </c>
    </row>
    <row r="225" customFormat="false" ht="15" hidden="false" customHeight="false" outlineLevel="0" collapsed="false">
      <c r="A225" s="7" t="s">
        <v>692</v>
      </c>
      <c r="B225" s="8" t="n">
        <v>45541</v>
      </c>
      <c r="C225" s="7" t="s">
        <v>65</v>
      </c>
      <c r="D225" s="7" t="s">
        <v>106</v>
      </c>
      <c r="E225" s="7" t="s">
        <v>470</v>
      </c>
      <c r="F225" s="7" t="s">
        <v>464</v>
      </c>
      <c r="G225" s="7" t="s">
        <v>25</v>
      </c>
      <c r="H225" s="7" t="s">
        <v>134</v>
      </c>
      <c r="I225" s="7" t="n">
        <v>5858</v>
      </c>
      <c r="J225" s="7" t="n">
        <v>4999</v>
      </c>
      <c r="K225" s="7" t="n">
        <v>1.1</v>
      </c>
      <c r="L225" s="7" t="s">
        <v>457</v>
      </c>
      <c r="M225" s="7" t="n">
        <v>31</v>
      </c>
      <c r="N225" s="9" t="n">
        <f aca="false">ROUND(J225/I225,3)</f>
        <v>0.853</v>
      </c>
    </row>
    <row r="226" customFormat="false" ht="15" hidden="false" customHeight="false" outlineLevel="0" collapsed="false">
      <c r="A226" s="7" t="s">
        <v>693</v>
      </c>
      <c r="B226" s="8" t="n">
        <v>45676</v>
      </c>
      <c r="C226" s="7" t="s">
        <v>65</v>
      </c>
      <c r="D226" s="7" t="s">
        <v>115</v>
      </c>
      <c r="E226" s="7" t="s">
        <v>455</v>
      </c>
      <c r="F226" s="7" t="s">
        <v>456</v>
      </c>
      <c r="G226" s="7" t="s">
        <v>25</v>
      </c>
      <c r="H226" s="7" t="s">
        <v>148</v>
      </c>
      <c r="I226" s="7" t="n">
        <v>5042</v>
      </c>
      <c r="J226" s="7" t="n">
        <v>4866</v>
      </c>
      <c r="K226" s="7" t="n">
        <v>1.3</v>
      </c>
      <c r="L226" s="7" t="s">
        <v>461</v>
      </c>
      <c r="M226" s="7" t="n">
        <v>128</v>
      </c>
      <c r="N226" s="9" t="n">
        <f aca="false">ROUND(J226/I226,3)</f>
        <v>0.965</v>
      </c>
    </row>
    <row r="227" customFormat="false" ht="15" hidden="false" customHeight="false" outlineLevel="0" collapsed="false">
      <c r="A227" s="7" t="s">
        <v>694</v>
      </c>
      <c r="B227" s="8" t="n">
        <v>45597</v>
      </c>
      <c r="C227" s="7" t="s">
        <v>68</v>
      </c>
      <c r="D227" s="7" t="s">
        <v>106</v>
      </c>
      <c r="E227" s="7" t="s">
        <v>481</v>
      </c>
      <c r="F227" s="7" t="s">
        <v>456</v>
      </c>
      <c r="G227" s="7" t="s">
        <v>25</v>
      </c>
      <c r="H227" s="7" t="s">
        <v>150</v>
      </c>
      <c r="I227" s="7" t="n">
        <v>7059</v>
      </c>
      <c r="J227" s="7" t="n">
        <v>5630</v>
      </c>
      <c r="K227" s="7" t="n">
        <v>5.9</v>
      </c>
      <c r="L227" s="7" t="s">
        <v>471</v>
      </c>
      <c r="M227" s="7" t="n">
        <v>83</v>
      </c>
      <c r="N227" s="9" t="n">
        <f aca="false">ROUND(J227/I227,3)</f>
        <v>0.798</v>
      </c>
    </row>
    <row r="228" customFormat="false" ht="15" hidden="false" customHeight="false" outlineLevel="0" collapsed="false">
      <c r="A228" s="7" t="s">
        <v>695</v>
      </c>
      <c r="B228" s="8" t="n">
        <v>45980</v>
      </c>
      <c r="C228" s="7" t="s">
        <v>65</v>
      </c>
      <c r="D228" s="7" t="s">
        <v>113</v>
      </c>
      <c r="E228" s="7" t="s">
        <v>466</v>
      </c>
      <c r="F228" s="7" t="s">
        <v>460</v>
      </c>
      <c r="G228" s="7" t="s">
        <v>25</v>
      </c>
      <c r="H228" s="7" t="s">
        <v>165</v>
      </c>
      <c r="I228" s="7" t="n">
        <v>3183</v>
      </c>
      <c r="J228" s="7" t="n">
        <v>2349</v>
      </c>
      <c r="K228" s="7" t="n">
        <v>4.8</v>
      </c>
      <c r="L228" s="7" t="s">
        <v>461</v>
      </c>
      <c r="M228" s="7" t="n">
        <v>21</v>
      </c>
      <c r="N228" s="9" t="n">
        <f aca="false">ROUND(J228/I228,3)</f>
        <v>0.738</v>
      </c>
    </row>
    <row r="229" customFormat="false" ht="15" hidden="false" customHeight="false" outlineLevel="0" collapsed="false">
      <c r="A229" s="7" t="s">
        <v>696</v>
      </c>
      <c r="B229" s="8" t="n">
        <v>45663</v>
      </c>
      <c r="C229" s="7" t="s">
        <v>65</v>
      </c>
      <c r="D229" s="7" t="s">
        <v>106</v>
      </c>
      <c r="E229" s="7" t="s">
        <v>481</v>
      </c>
      <c r="F229" s="7" t="s">
        <v>456</v>
      </c>
      <c r="G229" s="7" t="s">
        <v>25</v>
      </c>
      <c r="H229" s="7" t="s">
        <v>157</v>
      </c>
      <c r="I229" s="7" t="n">
        <v>3941</v>
      </c>
      <c r="J229" s="7" t="n">
        <v>3271</v>
      </c>
      <c r="K229" s="7" t="n">
        <v>2</v>
      </c>
      <c r="L229" s="7" t="s">
        <v>477</v>
      </c>
      <c r="M229" s="7" t="n">
        <v>69</v>
      </c>
      <c r="N229" s="9" t="n">
        <f aca="false">ROUND(J229/I229,3)</f>
        <v>0.83</v>
      </c>
    </row>
    <row r="230" customFormat="false" ht="15" hidden="false" customHeight="false" outlineLevel="0" collapsed="false">
      <c r="A230" s="7" t="s">
        <v>697</v>
      </c>
      <c r="B230" s="8" t="n">
        <v>45396</v>
      </c>
      <c r="C230" s="7" t="s">
        <v>68</v>
      </c>
      <c r="D230" s="7" t="s">
        <v>104</v>
      </c>
      <c r="E230" s="7" t="s">
        <v>481</v>
      </c>
      <c r="F230" s="7" t="s">
        <v>464</v>
      </c>
      <c r="G230" s="7" t="s">
        <v>25</v>
      </c>
      <c r="H230" s="7" t="s">
        <v>163</v>
      </c>
      <c r="I230" s="7" t="n">
        <v>5323</v>
      </c>
      <c r="J230" s="7" t="n">
        <v>4106</v>
      </c>
      <c r="K230" s="7" t="n">
        <v>2.1</v>
      </c>
      <c r="L230" s="7" t="s">
        <v>477</v>
      </c>
      <c r="M230" s="7" t="n">
        <v>88</v>
      </c>
      <c r="N230" s="9" t="n">
        <f aca="false">ROUND(J230/I230,3)</f>
        <v>0.771</v>
      </c>
    </row>
    <row r="231" customFormat="false" ht="15" hidden="false" customHeight="false" outlineLevel="0" collapsed="false">
      <c r="A231" s="7" t="s">
        <v>698</v>
      </c>
      <c r="B231" s="8" t="n">
        <v>45622</v>
      </c>
      <c r="C231" s="7" t="s">
        <v>65</v>
      </c>
      <c r="D231" s="7" t="s">
        <v>104</v>
      </c>
      <c r="E231" s="7" t="s">
        <v>470</v>
      </c>
      <c r="F231" s="7" t="s">
        <v>464</v>
      </c>
      <c r="G231" s="7" t="s">
        <v>25</v>
      </c>
      <c r="H231" s="7" t="s">
        <v>134</v>
      </c>
      <c r="I231" s="7" t="n">
        <v>4608</v>
      </c>
      <c r="J231" s="7" t="n">
        <v>4067</v>
      </c>
      <c r="K231" s="7" t="n">
        <v>1.6</v>
      </c>
      <c r="L231" s="7" t="s">
        <v>461</v>
      </c>
      <c r="M231" s="7" t="n">
        <v>67</v>
      </c>
      <c r="N231" s="9" t="n">
        <f aca="false">ROUND(J231/I231,3)</f>
        <v>0.883</v>
      </c>
    </row>
    <row r="232" customFormat="false" ht="15" hidden="false" customHeight="false" outlineLevel="0" collapsed="false">
      <c r="A232" s="7" t="s">
        <v>699</v>
      </c>
      <c r="B232" s="8" t="n">
        <v>45510</v>
      </c>
      <c r="C232" s="7" t="s">
        <v>68</v>
      </c>
      <c r="D232" s="7" t="s">
        <v>109</v>
      </c>
      <c r="E232" s="7" t="s">
        <v>463</v>
      </c>
      <c r="F232" s="7" t="s">
        <v>456</v>
      </c>
      <c r="G232" s="7" t="s">
        <v>25</v>
      </c>
      <c r="H232" s="7" t="s">
        <v>159</v>
      </c>
      <c r="I232" s="7" t="n">
        <v>6087</v>
      </c>
      <c r="J232" s="7" t="n">
        <v>4861</v>
      </c>
      <c r="K232" s="7" t="n">
        <v>3.8</v>
      </c>
      <c r="L232" s="7" t="s">
        <v>457</v>
      </c>
      <c r="M232" s="7" t="n">
        <v>139</v>
      </c>
      <c r="N232" s="9" t="n">
        <f aca="false">ROUND(J232/I232,3)</f>
        <v>0.799</v>
      </c>
    </row>
    <row r="233" customFormat="false" ht="15" hidden="false" customHeight="false" outlineLevel="0" collapsed="false">
      <c r="A233" s="7" t="s">
        <v>700</v>
      </c>
      <c r="B233" s="8" t="n">
        <v>45784</v>
      </c>
      <c r="C233" s="7" t="s">
        <v>65</v>
      </c>
      <c r="D233" s="7" t="s">
        <v>115</v>
      </c>
      <c r="E233" s="7" t="s">
        <v>470</v>
      </c>
      <c r="F233" s="7" t="s">
        <v>464</v>
      </c>
      <c r="G233" s="7" t="s">
        <v>25</v>
      </c>
      <c r="H233" s="7" t="s">
        <v>150</v>
      </c>
      <c r="I233" s="7" t="n">
        <v>7882</v>
      </c>
      <c r="J233" s="7" t="n">
        <v>7570</v>
      </c>
      <c r="K233" s="7" t="n">
        <v>5.4</v>
      </c>
      <c r="L233" s="7" t="s">
        <v>457</v>
      </c>
      <c r="M233" s="7" t="n">
        <v>139</v>
      </c>
      <c r="N233" s="9" t="n">
        <f aca="false">ROUND(J233/I233,3)</f>
        <v>0.96</v>
      </c>
    </row>
    <row r="234" customFormat="false" ht="15" hidden="false" customHeight="false" outlineLevel="0" collapsed="false">
      <c r="A234" s="7" t="s">
        <v>701</v>
      </c>
      <c r="B234" s="8" t="n">
        <v>45677</v>
      </c>
      <c r="C234" s="7" t="s">
        <v>65</v>
      </c>
      <c r="D234" s="7" t="s">
        <v>102</v>
      </c>
      <c r="E234" s="7" t="s">
        <v>455</v>
      </c>
      <c r="F234" s="7" t="s">
        <v>456</v>
      </c>
      <c r="G234" s="7" t="s">
        <v>25</v>
      </c>
      <c r="H234" s="7" t="s">
        <v>168</v>
      </c>
      <c r="I234" s="7" t="n">
        <v>3749</v>
      </c>
      <c r="J234" s="7" t="n">
        <v>3371</v>
      </c>
      <c r="K234" s="7" t="n">
        <v>3.3</v>
      </c>
      <c r="L234" s="7" t="s">
        <v>473</v>
      </c>
      <c r="M234" s="7" t="n">
        <v>81</v>
      </c>
      <c r="N234" s="9" t="n">
        <f aca="false">ROUND(J234/I234,3)</f>
        <v>0.899</v>
      </c>
    </row>
    <row r="235" customFormat="false" ht="15" hidden="false" customHeight="false" outlineLevel="0" collapsed="false">
      <c r="A235" s="7" t="s">
        <v>702</v>
      </c>
      <c r="B235" s="8" t="n">
        <v>45313</v>
      </c>
      <c r="C235" s="7" t="s">
        <v>65</v>
      </c>
      <c r="D235" s="7" t="s">
        <v>106</v>
      </c>
      <c r="E235" s="7" t="s">
        <v>455</v>
      </c>
      <c r="F235" s="7" t="s">
        <v>460</v>
      </c>
      <c r="G235" s="7" t="s">
        <v>25</v>
      </c>
      <c r="H235" s="7" t="s">
        <v>134</v>
      </c>
      <c r="I235" s="7" t="n">
        <v>8690</v>
      </c>
      <c r="J235" s="7" t="n">
        <v>7320</v>
      </c>
      <c r="K235" s="7" t="n">
        <v>1.1</v>
      </c>
      <c r="L235" s="7" t="s">
        <v>461</v>
      </c>
      <c r="M235" s="7" t="n">
        <v>157</v>
      </c>
      <c r="N235" s="9" t="n">
        <f aca="false">ROUND(J235/I235,3)</f>
        <v>0.842</v>
      </c>
    </row>
    <row r="236" customFormat="false" ht="15" hidden="false" customHeight="false" outlineLevel="0" collapsed="false">
      <c r="A236" s="7" t="s">
        <v>703</v>
      </c>
      <c r="B236" s="8" t="n">
        <v>45385</v>
      </c>
      <c r="C236" s="7" t="s">
        <v>68</v>
      </c>
      <c r="D236" s="7" t="s">
        <v>106</v>
      </c>
      <c r="E236" s="7" t="s">
        <v>463</v>
      </c>
      <c r="F236" s="7" t="s">
        <v>464</v>
      </c>
      <c r="G236" s="7" t="s">
        <v>25</v>
      </c>
      <c r="H236" s="7" t="s">
        <v>152</v>
      </c>
      <c r="I236" s="7" t="n">
        <v>3720</v>
      </c>
      <c r="J236" s="7" t="n">
        <v>3483</v>
      </c>
      <c r="K236" s="7" t="n">
        <v>1.4</v>
      </c>
      <c r="L236" s="7" t="s">
        <v>461</v>
      </c>
      <c r="M236" s="7" t="n">
        <v>52</v>
      </c>
      <c r="N236" s="9" t="n">
        <f aca="false">ROUND(J236/I236,3)</f>
        <v>0.936</v>
      </c>
    </row>
    <row r="237" customFormat="false" ht="15" hidden="false" customHeight="false" outlineLevel="0" collapsed="false">
      <c r="A237" s="7" t="s">
        <v>704</v>
      </c>
      <c r="B237" s="8" t="n">
        <v>45639</v>
      </c>
      <c r="C237" s="7" t="s">
        <v>68</v>
      </c>
      <c r="D237" s="7" t="s">
        <v>102</v>
      </c>
      <c r="E237" s="7" t="s">
        <v>466</v>
      </c>
      <c r="F237" s="7" t="s">
        <v>464</v>
      </c>
      <c r="G237" s="7" t="s">
        <v>25</v>
      </c>
      <c r="H237" s="7" t="s">
        <v>126</v>
      </c>
      <c r="I237" s="7" t="n">
        <v>6003</v>
      </c>
      <c r="J237" s="7" t="n">
        <v>5649</v>
      </c>
      <c r="K237" s="7" t="n">
        <v>4.1</v>
      </c>
      <c r="L237" s="7" t="s">
        <v>473</v>
      </c>
      <c r="M237" s="7" t="n">
        <v>31</v>
      </c>
      <c r="N237" s="9" t="n">
        <f aca="false">ROUND(J237/I237,3)</f>
        <v>0.941</v>
      </c>
    </row>
    <row r="238" customFormat="false" ht="15" hidden="false" customHeight="false" outlineLevel="0" collapsed="false">
      <c r="A238" s="7" t="s">
        <v>705</v>
      </c>
      <c r="B238" s="8" t="n">
        <v>45984</v>
      </c>
      <c r="C238" s="7" t="s">
        <v>68</v>
      </c>
      <c r="D238" s="7" t="s">
        <v>104</v>
      </c>
      <c r="E238" s="7" t="s">
        <v>481</v>
      </c>
      <c r="F238" s="7" t="s">
        <v>460</v>
      </c>
      <c r="G238" s="7" t="s">
        <v>25</v>
      </c>
      <c r="H238" s="7" t="s">
        <v>137</v>
      </c>
      <c r="I238" s="7" t="n">
        <v>4488</v>
      </c>
      <c r="J238" s="7" t="n">
        <v>4292</v>
      </c>
      <c r="K238" s="7" t="n">
        <v>1.7</v>
      </c>
      <c r="L238" s="7" t="s">
        <v>473</v>
      </c>
      <c r="M238" s="7" t="n">
        <v>100</v>
      </c>
      <c r="N238" s="9" t="n">
        <f aca="false">ROUND(J238/I238,3)</f>
        <v>0.956</v>
      </c>
    </row>
    <row r="239" customFormat="false" ht="15" hidden="false" customHeight="false" outlineLevel="0" collapsed="false">
      <c r="A239" s="7" t="s">
        <v>706</v>
      </c>
      <c r="B239" s="8" t="n">
        <v>45983</v>
      </c>
      <c r="C239" s="7" t="s">
        <v>65</v>
      </c>
      <c r="D239" s="7" t="s">
        <v>113</v>
      </c>
      <c r="E239" s="7" t="s">
        <v>455</v>
      </c>
      <c r="F239" s="7" t="s">
        <v>456</v>
      </c>
      <c r="G239" s="7" t="s">
        <v>25</v>
      </c>
      <c r="H239" s="7" t="s">
        <v>142</v>
      </c>
      <c r="I239" s="7" t="n">
        <v>6528</v>
      </c>
      <c r="J239" s="7" t="n">
        <v>5257</v>
      </c>
      <c r="K239" s="7" t="n">
        <v>1.2</v>
      </c>
      <c r="L239" s="7" t="s">
        <v>473</v>
      </c>
      <c r="M239" s="7" t="n">
        <v>123</v>
      </c>
      <c r="N239" s="9" t="n">
        <f aca="false">ROUND(J239/I239,3)</f>
        <v>0.805</v>
      </c>
    </row>
    <row r="240" customFormat="false" ht="15" hidden="false" customHeight="false" outlineLevel="0" collapsed="false">
      <c r="A240" s="7" t="s">
        <v>707</v>
      </c>
      <c r="B240" s="8" t="n">
        <v>45818</v>
      </c>
      <c r="C240" s="7" t="s">
        <v>65</v>
      </c>
      <c r="D240" s="7" t="s">
        <v>104</v>
      </c>
      <c r="E240" s="7" t="s">
        <v>459</v>
      </c>
      <c r="F240" s="7" t="s">
        <v>460</v>
      </c>
      <c r="G240" s="7" t="s">
        <v>25</v>
      </c>
      <c r="H240" s="7" t="s">
        <v>168</v>
      </c>
      <c r="I240" s="7" t="n">
        <v>5086</v>
      </c>
      <c r="J240" s="7" t="n">
        <v>4115</v>
      </c>
      <c r="K240" s="7" t="n">
        <v>5.6</v>
      </c>
      <c r="L240" s="7" t="s">
        <v>457</v>
      </c>
      <c r="M240" s="7" t="n">
        <v>20</v>
      </c>
      <c r="N240" s="9" t="n">
        <f aca="false">ROUND(J240/I240,3)</f>
        <v>0.809</v>
      </c>
    </row>
    <row r="241" customFormat="false" ht="15" hidden="false" customHeight="false" outlineLevel="0" collapsed="false">
      <c r="A241" s="7" t="s">
        <v>708</v>
      </c>
      <c r="B241" s="8" t="n">
        <v>45910</v>
      </c>
      <c r="C241" s="7" t="s">
        <v>65</v>
      </c>
      <c r="D241" s="7" t="s">
        <v>95</v>
      </c>
      <c r="E241" s="7" t="s">
        <v>463</v>
      </c>
      <c r="F241" s="7" t="s">
        <v>456</v>
      </c>
      <c r="G241" s="7" t="s">
        <v>25</v>
      </c>
      <c r="H241" s="7" t="s">
        <v>137</v>
      </c>
      <c r="I241" s="7" t="n">
        <v>3304</v>
      </c>
      <c r="J241" s="7" t="n">
        <v>2928</v>
      </c>
      <c r="K241" s="7" t="n">
        <v>4.7</v>
      </c>
      <c r="L241" s="7" t="s">
        <v>461</v>
      </c>
      <c r="M241" s="7" t="n">
        <v>39</v>
      </c>
      <c r="N241" s="9" t="n">
        <f aca="false">ROUND(J241/I241,3)</f>
        <v>0.886</v>
      </c>
    </row>
    <row r="242" customFormat="false" ht="15" hidden="false" customHeight="false" outlineLevel="0" collapsed="false">
      <c r="A242" s="7" t="s">
        <v>709</v>
      </c>
      <c r="B242" s="8" t="n">
        <v>45365</v>
      </c>
      <c r="C242" s="7" t="s">
        <v>68</v>
      </c>
      <c r="D242" s="7" t="s">
        <v>104</v>
      </c>
      <c r="E242" s="7" t="s">
        <v>466</v>
      </c>
      <c r="F242" s="7" t="s">
        <v>456</v>
      </c>
      <c r="G242" s="7" t="s">
        <v>25</v>
      </c>
      <c r="H242" s="7" t="s">
        <v>134</v>
      </c>
      <c r="I242" s="7" t="n">
        <v>5859</v>
      </c>
      <c r="J242" s="7" t="n">
        <v>4886</v>
      </c>
      <c r="K242" s="7" t="n">
        <v>5.7</v>
      </c>
      <c r="L242" s="7" t="s">
        <v>477</v>
      </c>
      <c r="M242" s="7" t="n">
        <v>65</v>
      </c>
      <c r="N242" s="9" t="n">
        <f aca="false">ROUND(J242/I242,3)</f>
        <v>0.834</v>
      </c>
    </row>
    <row r="243" customFormat="false" ht="15" hidden="false" customHeight="false" outlineLevel="0" collapsed="false">
      <c r="A243" s="7" t="s">
        <v>710</v>
      </c>
      <c r="B243" s="8" t="n">
        <v>45801</v>
      </c>
      <c r="C243" s="7" t="s">
        <v>68</v>
      </c>
      <c r="D243" s="7" t="s">
        <v>95</v>
      </c>
      <c r="E243" s="7" t="s">
        <v>470</v>
      </c>
      <c r="F243" s="7" t="s">
        <v>456</v>
      </c>
      <c r="G243" s="7" t="s">
        <v>25</v>
      </c>
      <c r="H243" s="7" t="s">
        <v>145</v>
      </c>
      <c r="I243" s="7" t="n">
        <v>6509</v>
      </c>
      <c r="J243" s="7" t="n">
        <v>5586</v>
      </c>
      <c r="K243" s="7" t="n">
        <v>4</v>
      </c>
      <c r="L243" s="7" t="s">
        <v>461</v>
      </c>
      <c r="M243" s="7" t="n">
        <v>54</v>
      </c>
      <c r="N243" s="9" t="n">
        <f aca="false">ROUND(J243/I243,3)</f>
        <v>0.858</v>
      </c>
    </row>
    <row r="244" customFormat="false" ht="15" hidden="false" customHeight="false" outlineLevel="0" collapsed="false">
      <c r="A244" s="7" t="s">
        <v>711</v>
      </c>
      <c r="B244" s="8" t="n">
        <v>45988</v>
      </c>
      <c r="C244" s="7" t="s">
        <v>68</v>
      </c>
      <c r="D244" s="7" t="s">
        <v>102</v>
      </c>
      <c r="E244" s="7" t="s">
        <v>459</v>
      </c>
      <c r="F244" s="7" t="s">
        <v>464</v>
      </c>
      <c r="G244" s="7" t="s">
        <v>25</v>
      </c>
      <c r="H244" s="7" t="s">
        <v>148</v>
      </c>
      <c r="I244" s="7" t="n">
        <v>7455</v>
      </c>
      <c r="J244" s="7" t="n">
        <v>6013</v>
      </c>
      <c r="K244" s="7" t="n">
        <v>1.6</v>
      </c>
      <c r="L244" s="7" t="s">
        <v>471</v>
      </c>
      <c r="M244" s="7" t="n">
        <v>82</v>
      </c>
      <c r="N244" s="9" t="n">
        <f aca="false">ROUND(J244/I244,3)</f>
        <v>0.807</v>
      </c>
    </row>
    <row r="245" customFormat="false" ht="15" hidden="false" customHeight="false" outlineLevel="0" collapsed="false">
      <c r="A245" s="7" t="s">
        <v>712</v>
      </c>
      <c r="B245" s="8" t="n">
        <v>45358</v>
      </c>
      <c r="C245" s="7" t="s">
        <v>68</v>
      </c>
      <c r="D245" s="7" t="s">
        <v>102</v>
      </c>
      <c r="E245" s="7" t="s">
        <v>463</v>
      </c>
      <c r="F245" s="7" t="s">
        <v>456</v>
      </c>
      <c r="G245" s="7" t="s">
        <v>25</v>
      </c>
      <c r="H245" s="7" t="s">
        <v>165</v>
      </c>
      <c r="I245" s="7" t="n">
        <v>8491</v>
      </c>
      <c r="J245" s="7" t="n">
        <v>6517</v>
      </c>
      <c r="K245" s="7" t="n">
        <v>2.9</v>
      </c>
      <c r="L245" s="7" t="s">
        <v>461</v>
      </c>
      <c r="M245" s="7" t="n">
        <v>145</v>
      </c>
      <c r="N245" s="9" t="n">
        <f aca="false">ROUND(J245/I245,3)</f>
        <v>0.768</v>
      </c>
    </row>
    <row r="246" customFormat="false" ht="15" hidden="false" customHeight="false" outlineLevel="0" collapsed="false">
      <c r="A246" s="7" t="s">
        <v>713</v>
      </c>
      <c r="B246" s="8" t="n">
        <v>45442</v>
      </c>
      <c r="C246" s="7" t="s">
        <v>68</v>
      </c>
      <c r="D246" s="7" t="s">
        <v>106</v>
      </c>
      <c r="E246" s="7" t="s">
        <v>463</v>
      </c>
      <c r="F246" s="7" t="s">
        <v>456</v>
      </c>
      <c r="G246" s="7" t="s">
        <v>25</v>
      </c>
      <c r="H246" s="7" t="s">
        <v>140</v>
      </c>
      <c r="I246" s="7" t="n">
        <v>7813</v>
      </c>
      <c r="J246" s="7" t="n">
        <v>6990</v>
      </c>
      <c r="K246" s="7" t="n">
        <v>3.4</v>
      </c>
      <c r="L246" s="7" t="s">
        <v>473</v>
      </c>
      <c r="M246" s="7" t="n">
        <v>55</v>
      </c>
      <c r="N246" s="9" t="n">
        <f aca="false">ROUND(J246/I246,3)</f>
        <v>0.895</v>
      </c>
    </row>
    <row r="247" customFormat="false" ht="15" hidden="false" customHeight="false" outlineLevel="0" collapsed="false">
      <c r="A247" s="7" t="s">
        <v>714</v>
      </c>
      <c r="B247" s="8" t="n">
        <v>45713</v>
      </c>
      <c r="C247" s="7" t="s">
        <v>65</v>
      </c>
      <c r="D247" s="7" t="s">
        <v>102</v>
      </c>
      <c r="E247" s="7" t="s">
        <v>459</v>
      </c>
      <c r="F247" s="7" t="s">
        <v>460</v>
      </c>
      <c r="G247" s="7" t="s">
        <v>25</v>
      </c>
      <c r="H247" s="7" t="s">
        <v>159</v>
      </c>
      <c r="I247" s="7" t="n">
        <v>4690</v>
      </c>
      <c r="J247" s="7" t="n">
        <v>3642</v>
      </c>
      <c r="K247" s="7" t="n">
        <v>0.7</v>
      </c>
      <c r="L247" s="7" t="s">
        <v>473</v>
      </c>
      <c r="M247" s="7" t="n">
        <v>62</v>
      </c>
      <c r="N247" s="9" t="n">
        <f aca="false">ROUND(J247/I247,3)</f>
        <v>0.777</v>
      </c>
    </row>
    <row r="248" customFormat="false" ht="15" hidden="false" customHeight="false" outlineLevel="0" collapsed="false">
      <c r="A248" s="7" t="s">
        <v>715</v>
      </c>
      <c r="B248" s="8" t="n">
        <v>45324</v>
      </c>
      <c r="C248" s="7" t="s">
        <v>68</v>
      </c>
      <c r="D248" s="7" t="s">
        <v>106</v>
      </c>
      <c r="E248" s="7" t="s">
        <v>463</v>
      </c>
      <c r="F248" s="7" t="s">
        <v>464</v>
      </c>
      <c r="G248" s="7" t="s">
        <v>25</v>
      </c>
      <c r="H248" s="7" t="s">
        <v>152</v>
      </c>
      <c r="I248" s="7" t="n">
        <v>6670</v>
      </c>
      <c r="J248" s="7" t="n">
        <v>5425</v>
      </c>
      <c r="K248" s="7" t="n">
        <v>5.8</v>
      </c>
      <c r="L248" s="7" t="s">
        <v>461</v>
      </c>
      <c r="M248" s="7" t="n">
        <v>90</v>
      </c>
      <c r="N248" s="9" t="n">
        <f aca="false">ROUND(J248/I248,3)</f>
        <v>0.813</v>
      </c>
    </row>
    <row r="249" customFormat="false" ht="15" hidden="false" customHeight="false" outlineLevel="0" collapsed="false">
      <c r="A249" s="7" t="s">
        <v>716</v>
      </c>
      <c r="B249" s="8" t="n">
        <v>45636</v>
      </c>
      <c r="C249" s="7" t="s">
        <v>65</v>
      </c>
      <c r="D249" s="7" t="s">
        <v>99</v>
      </c>
      <c r="E249" s="7" t="s">
        <v>455</v>
      </c>
      <c r="F249" s="7" t="s">
        <v>464</v>
      </c>
      <c r="G249" s="7" t="s">
        <v>25</v>
      </c>
      <c r="H249" s="7" t="s">
        <v>163</v>
      </c>
      <c r="I249" s="7" t="n">
        <v>6977</v>
      </c>
      <c r="J249" s="7" t="n">
        <v>6858</v>
      </c>
      <c r="K249" s="7" t="n">
        <v>0.5</v>
      </c>
      <c r="L249" s="7" t="s">
        <v>473</v>
      </c>
      <c r="M249" s="7" t="n">
        <v>130</v>
      </c>
      <c r="N249" s="9" t="n">
        <f aca="false">ROUND(J249/I249,3)</f>
        <v>0.983</v>
      </c>
    </row>
    <row r="250" customFormat="false" ht="15" hidden="false" customHeight="false" outlineLevel="0" collapsed="false">
      <c r="A250" s="7" t="s">
        <v>717</v>
      </c>
      <c r="B250" s="8" t="n">
        <v>45403</v>
      </c>
      <c r="C250" s="7" t="s">
        <v>68</v>
      </c>
      <c r="D250" s="7" t="s">
        <v>113</v>
      </c>
      <c r="E250" s="7" t="s">
        <v>481</v>
      </c>
      <c r="F250" s="7" t="s">
        <v>464</v>
      </c>
      <c r="G250" s="7" t="s">
        <v>25</v>
      </c>
      <c r="H250" s="7" t="s">
        <v>154</v>
      </c>
      <c r="I250" s="7" t="n">
        <v>3068</v>
      </c>
      <c r="J250" s="7" t="n">
        <v>2720</v>
      </c>
      <c r="K250" s="7" t="n">
        <v>2.2</v>
      </c>
      <c r="L250" s="7" t="s">
        <v>471</v>
      </c>
      <c r="M250" s="7" t="n">
        <v>56</v>
      </c>
      <c r="N250" s="9" t="n">
        <f aca="false">ROUND(J250/I250,3)</f>
        <v>0.887</v>
      </c>
    </row>
    <row r="251" customFormat="false" ht="15" hidden="false" customHeight="false" outlineLevel="0" collapsed="false">
      <c r="A251" s="7" t="s">
        <v>718</v>
      </c>
      <c r="B251" s="8" t="n">
        <v>46012</v>
      </c>
      <c r="C251" s="7" t="s">
        <v>68</v>
      </c>
      <c r="D251" s="7" t="s">
        <v>104</v>
      </c>
      <c r="E251" s="7" t="s">
        <v>455</v>
      </c>
      <c r="F251" s="7" t="s">
        <v>464</v>
      </c>
      <c r="G251" s="7" t="s">
        <v>25</v>
      </c>
      <c r="H251" s="7" t="s">
        <v>126</v>
      </c>
      <c r="I251" s="7" t="n">
        <v>3207</v>
      </c>
      <c r="J251" s="7" t="n">
        <v>2517</v>
      </c>
      <c r="K251" s="7" t="n">
        <v>4.6</v>
      </c>
      <c r="L251" s="7" t="s">
        <v>461</v>
      </c>
      <c r="M251" s="7" t="n">
        <v>24</v>
      </c>
      <c r="N251" s="9" t="n">
        <f aca="false">ROUND(J251/I251,3)</f>
        <v>0.785</v>
      </c>
    </row>
    <row r="252" customFormat="false" ht="15" hidden="false" customHeight="false" outlineLevel="0" collapsed="false">
      <c r="A252" s="7" t="s">
        <v>719</v>
      </c>
      <c r="B252" s="8" t="n">
        <v>45917</v>
      </c>
      <c r="C252" s="7" t="s">
        <v>65</v>
      </c>
      <c r="D252" s="7" t="s">
        <v>99</v>
      </c>
      <c r="E252" s="7" t="s">
        <v>470</v>
      </c>
      <c r="F252" s="7" t="s">
        <v>460</v>
      </c>
      <c r="G252" s="7" t="s">
        <v>25</v>
      </c>
      <c r="H252" s="7" t="s">
        <v>154</v>
      </c>
      <c r="I252" s="7" t="n">
        <v>6107</v>
      </c>
      <c r="J252" s="7" t="n">
        <v>5130</v>
      </c>
      <c r="K252" s="7" t="n">
        <v>1.1</v>
      </c>
      <c r="L252" s="7" t="s">
        <v>473</v>
      </c>
      <c r="M252" s="7" t="n">
        <v>72</v>
      </c>
      <c r="N252" s="9" t="n">
        <f aca="false">ROUND(J252/I252,3)</f>
        <v>0.84</v>
      </c>
    </row>
    <row r="253" customFormat="false" ht="15" hidden="false" customHeight="false" outlineLevel="0" collapsed="false">
      <c r="A253" s="7" t="s">
        <v>720</v>
      </c>
      <c r="B253" s="8" t="n">
        <v>45838</v>
      </c>
      <c r="C253" s="7" t="s">
        <v>68</v>
      </c>
      <c r="D253" s="7" t="s">
        <v>106</v>
      </c>
      <c r="E253" s="7" t="s">
        <v>463</v>
      </c>
      <c r="F253" s="7" t="s">
        <v>464</v>
      </c>
      <c r="G253" s="7" t="s">
        <v>25</v>
      </c>
      <c r="H253" s="7" t="s">
        <v>131</v>
      </c>
      <c r="I253" s="7" t="n">
        <v>3878</v>
      </c>
      <c r="J253" s="7" t="n">
        <v>3626</v>
      </c>
      <c r="K253" s="7" t="n">
        <v>3.4</v>
      </c>
      <c r="L253" s="7" t="s">
        <v>477</v>
      </c>
      <c r="M253" s="7" t="n">
        <v>103</v>
      </c>
      <c r="N253" s="9" t="n">
        <f aca="false">ROUND(J253/I253,3)</f>
        <v>0.935</v>
      </c>
    </row>
    <row r="254" customFormat="false" ht="15" hidden="false" customHeight="false" outlineLevel="0" collapsed="false">
      <c r="A254" s="7" t="s">
        <v>721</v>
      </c>
      <c r="B254" s="8" t="n">
        <v>45761</v>
      </c>
      <c r="C254" s="7" t="s">
        <v>68</v>
      </c>
      <c r="D254" s="7" t="s">
        <v>102</v>
      </c>
      <c r="E254" s="7" t="s">
        <v>466</v>
      </c>
      <c r="F254" s="7" t="s">
        <v>456</v>
      </c>
      <c r="G254" s="7" t="s">
        <v>25</v>
      </c>
      <c r="H254" s="7" t="s">
        <v>134</v>
      </c>
      <c r="I254" s="7" t="n">
        <v>4162</v>
      </c>
      <c r="J254" s="7" t="n">
        <v>3203</v>
      </c>
      <c r="K254" s="7" t="n">
        <v>4.1</v>
      </c>
      <c r="L254" s="7" t="s">
        <v>461</v>
      </c>
      <c r="M254" s="7" t="n">
        <v>67</v>
      </c>
      <c r="N254" s="9" t="n">
        <f aca="false">ROUND(J254/I254,3)</f>
        <v>0.77</v>
      </c>
    </row>
    <row r="255" customFormat="false" ht="15" hidden="false" customHeight="false" outlineLevel="0" collapsed="false">
      <c r="A255" s="7" t="s">
        <v>722</v>
      </c>
      <c r="B255" s="8" t="n">
        <v>45660</v>
      </c>
      <c r="C255" s="7" t="s">
        <v>65</v>
      </c>
      <c r="D255" s="7" t="s">
        <v>115</v>
      </c>
      <c r="E255" s="7" t="s">
        <v>481</v>
      </c>
      <c r="F255" s="7" t="s">
        <v>464</v>
      </c>
      <c r="G255" s="7" t="s">
        <v>25</v>
      </c>
      <c r="H255" s="7" t="s">
        <v>145</v>
      </c>
      <c r="I255" s="7" t="n">
        <v>8922</v>
      </c>
      <c r="J255" s="7" t="n">
        <v>8446</v>
      </c>
      <c r="K255" s="7" t="n">
        <v>2.2</v>
      </c>
      <c r="L255" s="7" t="s">
        <v>471</v>
      </c>
      <c r="M255" s="7" t="n">
        <v>222</v>
      </c>
      <c r="N255" s="9" t="n">
        <f aca="false">ROUND(J255/I255,3)</f>
        <v>0.947</v>
      </c>
    </row>
    <row r="256" customFormat="false" ht="15" hidden="false" customHeight="false" outlineLevel="0" collapsed="false">
      <c r="A256" s="7" t="s">
        <v>723</v>
      </c>
      <c r="B256" s="8" t="n">
        <v>45791</v>
      </c>
      <c r="C256" s="7" t="s">
        <v>65</v>
      </c>
      <c r="D256" s="7" t="s">
        <v>106</v>
      </c>
      <c r="E256" s="7" t="s">
        <v>455</v>
      </c>
      <c r="F256" s="7" t="s">
        <v>456</v>
      </c>
      <c r="G256" s="7" t="s">
        <v>25</v>
      </c>
      <c r="H256" s="7" t="s">
        <v>131</v>
      </c>
      <c r="I256" s="7" t="n">
        <v>7215</v>
      </c>
      <c r="J256" s="7" t="n">
        <v>5550</v>
      </c>
      <c r="K256" s="7" t="n">
        <v>4.3</v>
      </c>
      <c r="L256" s="7" t="s">
        <v>473</v>
      </c>
      <c r="M256" s="7" t="n">
        <v>28</v>
      </c>
      <c r="N256" s="9" t="n">
        <f aca="false">ROUND(J256/I256,3)</f>
        <v>0.769</v>
      </c>
    </row>
    <row r="257" customFormat="false" ht="15" hidden="false" customHeight="false" outlineLevel="0" collapsed="false">
      <c r="A257" s="7" t="s">
        <v>724</v>
      </c>
      <c r="B257" s="8" t="n">
        <v>45472</v>
      </c>
      <c r="C257" s="7" t="s">
        <v>65</v>
      </c>
      <c r="D257" s="7" t="s">
        <v>113</v>
      </c>
      <c r="E257" s="7" t="s">
        <v>466</v>
      </c>
      <c r="F257" s="7" t="s">
        <v>464</v>
      </c>
      <c r="G257" s="7" t="s">
        <v>25</v>
      </c>
      <c r="H257" s="7" t="s">
        <v>163</v>
      </c>
      <c r="I257" s="7" t="n">
        <v>7615</v>
      </c>
      <c r="J257" s="7" t="n">
        <v>6088</v>
      </c>
      <c r="K257" s="7" t="n">
        <v>4.1</v>
      </c>
      <c r="L257" s="7" t="s">
        <v>457</v>
      </c>
      <c r="M257" s="7" t="n">
        <v>43</v>
      </c>
      <c r="N257" s="9" t="n">
        <f aca="false">ROUND(J257/I257,3)</f>
        <v>0.799</v>
      </c>
    </row>
    <row r="258" customFormat="false" ht="15" hidden="false" customHeight="false" outlineLevel="0" collapsed="false">
      <c r="A258" s="7" t="s">
        <v>725</v>
      </c>
      <c r="B258" s="8" t="n">
        <v>45613</v>
      </c>
      <c r="C258" s="7" t="s">
        <v>68</v>
      </c>
      <c r="D258" s="7" t="s">
        <v>113</v>
      </c>
      <c r="E258" s="7" t="s">
        <v>459</v>
      </c>
      <c r="F258" s="7" t="s">
        <v>456</v>
      </c>
      <c r="G258" s="7" t="s">
        <v>25</v>
      </c>
      <c r="H258" s="7" t="s">
        <v>140</v>
      </c>
      <c r="I258" s="7" t="n">
        <v>6287</v>
      </c>
      <c r="J258" s="7" t="n">
        <v>4779</v>
      </c>
      <c r="K258" s="7" t="n">
        <v>5.8</v>
      </c>
      <c r="L258" s="7" t="s">
        <v>457</v>
      </c>
      <c r="M258" s="7" t="n">
        <v>120</v>
      </c>
      <c r="N258" s="9" t="n">
        <f aca="false">ROUND(J258/I258,3)</f>
        <v>0.76</v>
      </c>
    </row>
    <row r="259" customFormat="false" ht="15" hidden="false" customHeight="false" outlineLevel="0" collapsed="false">
      <c r="A259" s="7" t="s">
        <v>726</v>
      </c>
      <c r="B259" s="8" t="n">
        <v>46013</v>
      </c>
      <c r="C259" s="7" t="s">
        <v>68</v>
      </c>
      <c r="D259" s="7" t="s">
        <v>106</v>
      </c>
      <c r="E259" s="7" t="s">
        <v>459</v>
      </c>
      <c r="F259" s="7" t="s">
        <v>456</v>
      </c>
      <c r="G259" s="7" t="s">
        <v>25</v>
      </c>
      <c r="H259" s="7" t="s">
        <v>161</v>
      </c>
      <c r="I259" s="7" t="n">
        <v>6019</v>
      </c>
      <c r="J259" s="7" t="n">
        <v>4957</v>
      </c>
      <c r="K259" s="7" t="n">
        <v>2.9</v>
      </c>
      <c r="L259" s="7" t="s">
        <v>461</v>
      </c>
      <c r="M259" s="7" t="n">
        <v>67</v>
      </c>
      <c r="N259" s="9" t="n">
        <f aca="false">ROUND(J259/I259,3)</f>
        <v>0.824</v>
      </c>
    </row>
    <row r="260" customFormat="false" ht="15" hidden="false" customHeight="false" outlineLevel="0" collapsed="false">
      <c r="A260" s="7" t="s">
        <v>727</v>
      </c>
      <c r="B260" s="8" t="n">
        <v>45901</v>
      </c>
      <c r="C260" s="7" t="s">
        <v>65</v>
      </c>
      <c r="D260" s="7" t="s">
        <v>104</v>
      </c>
      <c r="E260" s="7" t="s">
        <v>470</v>
      </c>
      <c r="F260" s="7" t="s">
        <v>456</v>
      </c>
      <c r="G260" s="7" t="s">
        <v>25</v>
      </c>
      <c r="H260" s="7" t="s">
        <v>163</v>
      </c>
      <c r="I260" s="7" t="n">
        <v>8663</v>
      </c>
      <c r="J260" s="7" t="n">
        <v>7413</v>
      </c>
      <c r="K260" s="7" t="n">
        <v>0.5</v>
      </c>
      <c r="L260" s="7" t="s">
        <v>457</v>
      </c>
      <c r="M260" s="7" t="n">
        <v>144</v>
      </c>
      <c r="N260" s="9" t="n">
        <f aca="false">ROUND(J260/I260,3)</f>
        <v>0.856</v>
      </c>
    </row>
    <row r="261" customFormat="false" ht="15" hidden="false" customHeight="false" outlineLevel="0" collapsed="false">
      <c r="A261" s="7" t="s">
        <v>728</v>
      </c>
      <c r="B261" s="8" t="n">
        <v>45700</v>
      </c>
      <c r="C261" s="7" t="s">
        <v>65</v>
      </c>
      <c r="D261" s="7" t="s">
        <v>115</v>
      </c>
      <c r="E261" s="7" t="s">
        <v>481</v>
      </c>
      <c r="F261" s="7" t="s">
        <v>460</v>
      </c>
      <c r="G261" s="7" t="s">
        <v>25</v>
      </c>
      <c r="H261" s="7" t="s">
        <v>137</v>
      </c>
      <c r="I261" s="7" t="n">
        <v>4861</v>
      </c>
      <c r="J261" s="7" t="n">
        <v>4307</v>
      </c>
      <c r="K261" s="7" t="n">
        <v>1.1</v>
      </c>
      <c r="L261" s="7" t="s">
        <v>461</v>
      </c>
      <c r="M261" s="7" t="n">
        <v>33</v>
      </c>
      <c r="N261" s="9" t="n">
        <f aca="false">ROUND(J261/I261,3)</f>
        <v>0.886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4" min="3" style="0" width="14"/>
    <col collapsed="false" customWidth="true" hidden="false" outlineLevel="0" max="5" min="5" style="0" width="20"/>
    <col collapsed="false" customWidth="true" hidden="false" outlineLevel="0" max="7" min="6" style="0" width="10"/>
    <col collapsed="false" customWidth="true" hidden="false" outlineLevel="0" max="8" min="8" style="0" width="9"/>
    <col collapsed="false" customWidth="true" hidden="false" outlineLevel="0" max="9" min="9" style="0" width="12"/>
    <col collapsed="false" customWidth="true" hidden="false" outlineLevel="0" max="10" min="10" style="0" width="13"/>
    <col collapsed="false" customWidth="true" hidden="false" outlineLevel="0" max="11" min="11" style="0" width="12"/>
    <col collapsed="false" customWidth="true" hidden="false" outlineLevel="0" max="12" min="12" style="0" width="14"/>
    <col collapsed="false" customWidth="true" hidden="false" outlineLevel="0" max="13" min="13" style="0" width="11"/>
    <col collapsed="false" customWidth="true" hidden="false" outlineLevel="0" max="14" min="14" style="0" width="13"/>
    <col collapsed="false" customWidth="true" hidden="false" outlineLevel="0" max="15" min="15" style="0" width="15"/>
  </cols>
  <sheetData>
    <row r="1" customFormat="false" ht="23.85" hidden="false" customHeight="false" outlineLevel="0" collapsed="false">
      <c r="A1" s="6" t="s">
        <v>729</v>
      </c>
      <c r="B1" s="6" t="s">
        <v>730</v>
      </c>
      <c r="C1" s="6" t="s">
        <v>731</v>
      </c>
      <c r="D1" s="6" t="s">
        <v>732</v>
      </c>
      <c r="E1" s="6" t="s">
        <v>733</v>
      </c>
      <c r="F1" s="6" t="s">
        <v>91</v>
      </c>
      <c r="G1" s="6" t="s">
        <v>55</v>
      </c>
      <c r="H1" s="6" t="s">
        <v>21</v>
      </c>
      <c r="I1" s="6" t="s">
        <v>734</v>
      </c>
      <c r="J1" s="6" t="s">
        <v>735</v>
      </c>
      <c r="K1" s="6" t="s">
        <v>736</v>
      </c>
      <c r="L1" s="6" t="s">
        <v>737</v>
      </c>
      <c r="M1" s="6" t="s">
        <v>738</v>
      </c>
      <c r="N1" s="6" t="s">
        <v>739</v>
      </c>
      <c r="O1" s="6" t="s">
        <v>740</v>
      </c>
    </row>
    <row r="2" customFormat="false" ht="15" hidden="false" customHeight="false" outlineLevel="0" collapsed="false">
      <c r="A2" s="7" t="s">
        <v>741</v>
      </c>
      <c r="B2" s="8" t="n">
        <v>45556</v>
      </c>
      <c r="C2" s="8" t="n">
        <v>45562</v>
      </c>
      <c r="D2" s="8" t="n">
        <v>45562</v>
      </c>
      <c r="E2" s="7" t="s">
        <v>742</v>
      </c>
      <c r="F2" s="7" t="s">
        <v>106</v>
      </c>
      <c r="G2" s="7" t="s">
        <v>87</v>
      </c>
      <c r="H2" s="7" t="s">
        <v>31</v>
      </c>
      <c r="I2" s="7" t="n">
        <v>2359</v>
      </c>
      <c r="J2" s="7" t="n">
        <v>2253</v>
      </c>
      <c r="K2" s="10" t="n">
        <v>1638.25</v>
      </c>
      <c r="L2" s="10" t="n">
        <f aca="false">J2*K2</f>
        <v>3690977.25</v>
      </c>
      <c r="M2" s="7" t="n">
        <f aca="false">D2-B2</f>
        <v>6</v>
      </c>
      <c r="N2" s="7" t="str">
        <f aca="false">IF(D2&lt;=C2,"Yes","No")</f>
        <v>Yes</v>
      </c>
      <c r="O2" s="7" t="n">
        <v>4891</v>
      </c>
    </row>
    <row r="3" customFormat="false" ht="15" hidden="false" customHeight="false" outlineLevel="0" collapsed="false">
      <c r="A3" s="7" t="s">
        <v>743</v>
      </c>
      <c r="B3" s="8" t="n">
        <v>45965</v>
      </c>
      <c r="C3" s="8" t="n">
        <v>45984</v>
      </c>
      <c r="D3" s="8" t="n">
        <v>45990</v>
      </c>
      <c r="E3" s="7" t="s">
        <v>744</v>
      </c>
      <c r="F3" s="7" t="s">
        <v>99</v>
      </c>
      <c r="G3" s="7" t="s">
        <v>87</v>
      </c>
      <c r="H3" s="7" t="s">
        <v>31</v>
      </c>
      <c r="I3" s="7" t="n">
        <v>1101</v>
      </c>
      <c r="J3" s="7" t="n">
        <v>1079</v>
      </c>
      <c r="K3" s="10" t="n">
        <v>1296.85</v>
      </c>
      <c r="L3" s="10" t="n">
        <f aca="false">J3*K3</f>
        <v>1399301.15</v>
      </c>
      <c r="M3" s="7" t="n">
        <f aca="false">D3-B3</f>
        <v>25</v>
      </c>
      <c r="N3" s="7" t="str">
        <f aca="false">IF(D3&lt;=C3,"Yes","No")</f>
        <v>No</v>
      </c>
      <c r="O3" s="7" t="n">
        <v>4321</v>
      </c>
    </row>
    <row r="4" customFormat="false" ht="15" hidden="false" customHeight="false" outlineLevel="0" collapsed="false">
      <c r="A4" s="7" t="s">
        <v>745</v>
      </c>
      <c r="B4" s="8" t="n">
        <v>45825</v>
      </c>
      <c r="C4" s="8" t="n">
        <v>45831</v>
      </c>
      <c r="D4" s="8" t="n">
        <v>45838</v>
      </c>
      <c r="E4" s="7" t="s">
        <v>742</v>
      </c>
      <c r="F4" s="7" t="s">
        <v>99</v>
      </c>
      <c r="G4" s="7" t="s">
        <v>87</v>
      </c>
      <c r="H4" s="7" t="s">
        <v>31</v>
      </c>
      <c r="I4" s="7" t="n">
        <v>3710</v>
      </c>
      <c r="J4" s="7" t="n">
        <v>3540</v>
      </c>
      <c r="K4" s="10" t="n">
        <v>4381.45</v>
      </c>
      <c r="L4" s="10" t="n">
        <f aca="false">J4*K4</f>
        <v>15510333</v>
      </c>
      <c r="M4" s="7" t="n">
        <f aca="false">D4-B4</f>
        <v>13</v>
      </c>
      <c r="N4" s="7" t="str">
        <f aca="false">IF(D4&lt;=C4,"Yes","No")</f>
        <v>No</v>
      </c>
      <c r="O4" s="7" t="n">
        <v>1769</v>
      </c>
    </row>
    <row r="5" customFormat="false" ht="15" hidden="false" customHeight="false" outlineLevel="0" collapsed="false">
      <c r="A5" s="7" t="s">
        <v>746</v>
      </c>
      <c r="B5" s="8" t="n">
        <v>45854</v>
      </c>
      <c r="C5" s="8" t="n">
        <v>45859</v>
      </c>
      <c r="D5" s="8" t="n">
        <v>45858</v>
      </c>
      <c r="E5" s="7" t="s">
        <v>747</v>
      </c>
      <c r="F5" s="7" t="s">
        <v>95</v>
      </c>
      <c r="G5" s="7" t="s">
        <v>87</v>
      </c>
      <c r="H5" s="7" t="s">
        <v>31</v>
      </c>
      <c r="I5" s="7" t="n">
        <v>2440</v>
      </c>
      <c r="J5" s="7" t="n">
        <v>2207</v>
      </c>
      <c r="K5" s="10" t="n">
        <v>954.43</v>
      </c>
      <c r="L5" s="10" t="n">
        <f aca="false">J5*K5</f>
        <v>2106427.01</v>
      </c>
      <c r="M5" s="7" t="n">
        <f aca="false">D5-B5</f>
        <v>4</v>
      </c>
      <c r="N5" s="7" t="str">
        <f aca="false">IF(D5&lt;=C5,"Yes","No")</f>
        <v>Yes</v>
      </c>
      <c r="O5" s="7" t="n">
        <v>5950</v>
      </c>
    </row>
    <row r="6" customFormat="false" ht="15" hidden="false" customHeight="false" outlineLevel="0" collapsed="false">
      <c r="A6" s="7" t="s">
        <v>748</v>
      </c>
      <c r="B6" s="8" t="n">
        <v>45900</v>
      </c>
      <c r="C6" s="8" t="n">
        <v>45909</v>
      </c>
      <c r="D6" s="8" t="n">
        <v>45913</v>
      </c>
      <c r="E6" s="7" t="s">
        <v>749</v>
      </c>
      <c r="F6" s="7" t="s">
        <v>99</v>
      </c>
      <c r="G6" s="7" t="s">
        <v>68</v>
      </c>
      <c r="H6" s="7" t="s">
        <v>31</v>
      </c>
      <c r="I6" s="7" t="n">
        <v>3989</v>
      </c>
      <c r="J6" s="7" t="n">
        <v>3952</v>
      </c>
      <c r="K6" s="10" t="n">
        <v>1124.51</v>
      </c>
      <c r="L6" s="10" t="n">
        <f aca="false">J6*K6</f>
        <v>4444063.52</v>
      </c>
      <c r="M6" s="7" t="n">
        <f aca="false">D6-B6</f>
        <v>13</v>
      </c>
      <c r="N6" s="7" t="str">
        <f aca="false">IF(D6&lt;=C6,"Yes","No")</f>
        <v>No</v>
      </c>
      <c r="O6" s="7" t="n">
        <v>7344</v>
      </c>
    </row>
    <row r="7" customFormat="false" ht="15" hidden="false" customHeight="false" outlineLevel="0" collapsed="false">
      <c r="A7" s="7" t="s">
        <v>750</v>
      </c>
      <c r="B7" s="8" t="n">
        <v>45492</v>
      </c>
      <c r="C7" s="8" t="n">
        <v>45498</v>
      </c>
      <c r="D7" s="8" t="n">
        <v>45500</v>
      </c>
      <c r="E7" s="7" t="s">
        <v>751</v>
      </c>
      <c r="F7" s="7" t="s">
        <v>109</v>
      </c>
      <c r="G7" s="7" t="s">
        <v>83</v>
      </c>
      <c r="H7" s="7" t="s">
        <v>31</v>
      </c>
      <c r="I7" s="7" t="n">
        <v>595</v>
      </c>
      <c r="J7" s="7" t="n">
        <v>584</v>
      </c>
      <c r="K7" s="10" t="n">
        <v>1254.07</v>
      </c>
      <c r="L7" s="10" t="n">
        <f aca="false">J7*K7</f>
        <v>732376.88</v>
      </c>
      <c r="M7" s="7" t="n">
        <f aca="false">D7-B7</f>
        <v>8</v>
      </c>
      <c r="N7" s="7" t="str">
        <f aca="false">IF(D7&lt;=C7,"Yes","No")</f>
        <v>No</v>
      </c>
      <c r="O7" s="7" t="n">
        <v>3255</v>
      </c>
    </row>
    <row r="8" customFormat="false" ht="15" hidden="false" customHeight="false" outlineLevel="0" collapsed="false">
      <c r="A8" s="7" t="s">
        <v>752</v>
      </c>
      <c r="B8" s="8" t="n">
        <v>45801</v>
      </c>
      <c r="C8" s="8" t="n">
        <v>45820</v>
      </c>
      <c r="D8" s="8" t="n">
        <v>45822</v>
      </c>
      <c r="E8" s="7" t="s">
        <v>753</v>
      </c>
      <c r="F8" s="7" t="s">
        <v>95</v>
      </c>
      <c r="G8" s="7" t="s">
        <v>83</v>
      </c>
      <c r="H8" s="7" t="s">
        <v>31</v>
      </c>
      <c r="I8" s="7" t="n">
        <v>1316</v>
      </c>
      <c r="J8" s="7" t="n">
        <v>1231</v>
      </c>
      <c r="K8" s="10" t="n">
        <v>2011.24</v>
      </c>
      <c r="L8" s="10" t="n">
        <f aca="false">J8*K8</f>
        <v>2475836.44</v>
      </c>
      <c r="M8" s="7" t="n">
        <f aca="false">D8-B8</f>
        <v>21</v>
      </c>
      <c r="N8" s="7" t="str">
        <f aca="false">IF(D8&lt;=C8,"Yes","No")</f>
        <v>No</v>
      </c>
      <c r="O8" s="7" t="n">
        <v>5140</v>
      </c>
    </row>
    <row r="9" customFormat="false" ht="15" hidden="false" customHeight="false" outlineLevel="0" collapsed="false">
      <c r="A9" s="7" t="s">
        <v>754</v>
      </c>
      <c r="B9" s="8" t="n">
        <v>45384</v>
      </c>
      <c r="C9" s="8" t="n">
        <v>45394</v>
      </c>
      <c r="D9" s="8" t="n">
        <v>45395</v>
      </c>
      <c r="E9" s="7" t="s">
        <v>747</v>
      </c>
      <c r="F9" s="7" t="s">
        <v>104</v>
      </c>
      <c r="G9" s="7" t="s">
        <v>87</v>
      </c>
      <c r="H9" s="7" t="s">
        <v>31</v>
      </c>
      <c r="I9" s="7" t="n">
        <v>674</v>
      </c>
      <c r="J9" s="7" t="n">
        <v>663</v>
      </c>
      <c r="K9" s="10" t="n">
        <v>2951.08</v>
      </c>
      <c r="L9" s="10" t="n">
        <f aca="false">J9*K9</f>
        <v>1956566.04</v>
      </c>
      <c r="M9" s="7" t="n">
        <f aca="false">D9-B9</f>
        <v>11</v>
      </c>
      <c r="N9" s="7" t="str">
        <f aca="false">IF(D9&lt;=C9,"Yes","No")</f>
        <v>No</v>
      </c>
      <c r="O9" s="7" t="n">
        <v>1130</v>
      </c>
    </row>
    <row r="10" customFormat="false" ht="15" hidden="false" customHeight="false" outlineLevel="0" collapsed="false">
      <c r="A10" s="7" t="s">
        <v>755</v>
      </c>
      <c r="B10" s="8" t="n">
        <v>45307</v>
      </c>
      <c r="C10" s="8" t="n">
        <v>45313</v>
      </c>
      <c r="D10" s="8" t="n">
        <v>45311</v>
      </c>
      <c r="E10" s="7" t="s">
        <v>749</v>
      </c>
      <c r="F10" s="7" t="s">
        <v>102</v>
      </c>
      <c r="G10" s="7" t="s">
        <v>68</v>
      </c>
      <c r="H10" s="7" t="s">
        <v>31</v>
      </c>
      <c r="I10" s="7" t="n">
        <v>2875</v>
      </c>
      <c r="J10" s="7" t="n">
        <v>2838</v>
      </c>
      <c r="K10" s="10" t="n">
        <v>3277.39</v>
      </c>
      <c r="L10" s="10" t="n">
        <f aca="false">J10*K10</f>
        <v>9301232.82</v>
      </c>
      <c r="M10" s="7" t="n">
        <f aca="false">D10-B10</f>
        <v>4</v>
      </c>
      <c r="N10" s="7" t="str">
        <f aca="false">IF(D10&lt;=C10,"Yes","No")</f>
        <v>Yes</v>
      </c>
      <c r="O10" s="7" t="n">
        <v>7050</v>
      </c>
    </row>
    <row r="11" customFormat="false" ht="15" hidden="false" customHeight="false" outlineLevel="0" collapsed="false">
      <c r="A11" s="7" t="s">
        <v>756</v>
      </c>
      <c r="B11" s="8" t="n">
        <v>45431</v>
      </c>
      <c r="C11" s="8" t="n">
        <v>45442</v>
      </c>
      <c r="D11" s="8" t="n">
        <v>45447</v>
      </c>
      <c r="E11" s="7" t="s">
        <v>749</v>
      </c>
      <c r="F11" s="7" t="s">
        <v>115</v>
      </c>
      <c r="G11" s="7" t="s">
        <v>65</v>
      </c>
      <c r="H11" s="7" t="s">
        <v>31</v>
      </c>
      <c r="I11" s="7" t="n">
        <v>702</v>
      </c>
      <c r="J11" s="7" t="n">
        <v>655</v>
      </c>
      <c r="K11" s="10" t="n">
        <v>1358.45</v>
      </c>
      <c r="L11" s="10" t="n">
        <f aca="false">J11*K11</f>
        <v>889784.75</v>
      </c>
      <c r="M11" s="7" t="n">
        <f aca="false">D11-B11</f>
        <v>16</v>
      </c>
      <c r="N11" s="7" t="str">
        <f aca="false">IF(D11&lt;=C11,"Yes","No")</f>
        <v>No</v>
      </c>
      <c r="O11" s="7" t="n">
        <v>4310</v>
      </c>
    </row>
    <row r="12" customFormat="false" ht="15" hidden="false" customHeight="false" outlineLevel="0" collapsed="false">
      <c r="A12" s="7" t="s">
        <v>757</v>
      </c>
      <c r="B12" s="8" t="n">
        <v>45775</v>
      </c>
      <c r="C12" s="8" t="n">
        <v>45779</v>
      </c>
      <c r="D12" s="8" t="n">
        <v>45776</v>
      </c>
      <c r="E12" s="7" t="s">
        <v>758</v>
      </c>
      <c r="F12" s="7" t="s">
        <v>102</v>
      </c>
      <c r="G12" s="7" t="s">
        <v>87</v>
      </c>
      <c r="H12" s="7" t="s">
        <v>31</v>
      </c>
      <c r="I12" s="7" t="n">
        <v>4397</v>
      </c>
      <c r="J12" s="7" t="n">
        <v>4382</v>
      </c>
      <c r="K12" s="10" t="n">
        <v>3363.8</v>
      </c>
      <c r="L12" s="10" t="n">
        <f aca="false">J12*K12</f>
        <v>14740171.6</v>
      </c>
      <c r="M12" s="7" t="n">
        <f aca="false">D12-B12</f>
        <v>1</v>
      </c>
      <c r="N12" s="7" t="str">
        <f aca="false">IF(D12&lt;=C12,"Yes","No")</f>
        <v>Yes</v>
      </c>
      <c r="O12" s="7" t="n">
        <v>3874</v>
      </c>
    </row>
    <row r="13" customFormat="false" ht="15" hidden="false" customHeight="false" outlineLevel="0" collapsed="false">
      <c r="A13" s="7" t="s">
        <v>759</v>
      </c>
      <c r="B13" s="8" t="n">
        <v>45665</v>
      </c>
      <c r="C13" s="8" t="n">
        <v>45684</v>
      </c>
      <c r="D13" s="8" t="n">
        <v>45682</v>
      </c>
      <c r="E13" s="7" t="s">
        <v>747</v>
      </c>
      <c r="F13" s="7" t="s">
        <v>109</v>
      </c>
      <c r="G13" s="7" t="s">
        <v>68</v>
      </c>
      <c r="H13" s="7" t="s">
        <v>31</v>
      </c>
      <c r="I13" s="7" t="n">
        <v>3049</v>
      </c>
      <c r="J13" s="7" t="n">
        <v>3016</v>
      </c>
      <c r="K13" s="10" t="n">
        <v>2980.13</v>
      </c>
      <c r="L13" s="10" t="n">
        <f aca="false">J13*K13</f>
        <v>8988072.08</v>
      </c>
      <c r="M13" s="7" t="n">
        <f aca="false">D13-B13</f>
        <v>17</v>
      </c>
      <c r="N13" s="7" t="str">
        <f aca="false">IF(D13&lt;=C13,"Yes","No")</f>
        <v>Yes</v>
      </c>
      <c r="O13" s="7" t="n">
        <v>557</v>
      </c>
    </row>
    <row r="14" customFormat="false" ht="15" hidden="false" customHeight="false" outlineLevel="0" collapsed="false">
      <c r="A14" s="7" t="s">
        <v>760</v>
      </c>
      <c r="B14" s="8" t="n">
        <v>45479</v>
      </c>
      <c r="C14" s="8" t="n">
        <v>45493</v>
      </c>
      <c r="D14" s="8" t="n">
        <v>45497</v>
      </c>
      <c r="E14" s="7" t="s">
        <v>747</v>
      </c>
      <c r="F14" s="7" t="s">
        <v>115</v>
      </c>
      <c r="G14" s="7" t="s">
        <v>87</v>
      </c>
      <c r="H14" s="7" t="s">
        <v>31</v>
      </c>
      <c r="I14" s="7" t="n">
        <v>3397</v>
      </c>
      <c r="J14" s="7" t="n">
        <v>3164</v>
      </c>
      <c r="K14" s="10" t="n">
        <v>2041.37</v>
      </c>
      <c r="L14" s="10" t="n">
        <f aca="false">J14*K14</f>
        <v>6458894.68</v>
      </c>
      <c r="M14" s="7" t="n">
        <f aca="false">D14-B14</f>
        <v>18</v>
      </c>
      <c r="N14" s="7" t="str">
        <f aca="false">IF(D14&lt;=C14,"Yes","No")</f>
        <v>No</v>
      </c>
      <c r="O14" s="7" t="n">
        <v>4160</v>
      </c>
    </row>
    <row r="15" customFormat="false" ht="15" hidden="false" customHeight="false" outlineLevel="0" collapsed="false">
      <c r="A15" s="7" t="s">
        <v>761</v>
      </c>
      <c r="B15" s="8" t="n">
        <v>45604</v>
      </c>
      <c r="C15" s="8" t="n">
        <v>45607</v>
      </c>
      <c r="D15" s="8" t="n">
        <v>45607</v>
      </c>
      <c r="E15" s="7" t="s">
        <v>753</v>
      </c>
      <c r="F15" s="7" t="s">
        <v>95</v>
      </c>
      <c r="G15" s="7" t="s">
        <v>68</v>
      </c>
      <c r="H15" s="7" t="s">
        <v>31</v>
      </c>
      <c r="I15" s="7" t="n">
        <v>1676</v>
      </c>
      <c r="J15" s="7" t="n">
        <v>1554</v>
      </c>
      <c r="K15" s="10" t="n">
        <v>1811.35</v>
      </c>
      <c r="L15" s="10" t="n">
        <f aca="false">J15*K15</f>
        <v>2814837.9</v>
      </c>
      <c r="M15" s="7" t="n">
        <f aca="false">D15-B15</f>
        <v>3</v>
      </c>
      <c r="N15" s="7" t="str">
        <f aca="false">IF(D15&lt;=C15,"Yes","No")</f>
        <v>Yes</v>
      </c>
      <c r="O15" s="7" t="n">
        <v>4296</v>
      </c>
    </row>
    <row r="16" customFormat="false" ht="15" hidden="false" customHeight="false" outlineLevel="0" collapsed="false">
      <c r="A16" s="7" t="s">
        <v>762</v>
      </c>
      <c r="B16" s="8" t="n">
        <v>45547</v>
      </c>
      <c r="C16" s="8" t="n">
        <v>45568</v>
      </c>
      <c r="D16" s="8" t="n">
        <v>45574</v>
      </c>
      <c r="E16" s="7" t="s">
        <v>742</v>
      </c>
      <c r="F16" s="7" t="s">
        <v>102</v>
      </c>
      <c r="G16" s="7" t="s">
        <v>65</v>
      </c>
      <c r="H16" s="7" t="s">
        <v>31</v>
      </c>
      <c r="I16" s="7" t="n">
        <v>1280</v>
      </c>
      <c r="J16" s="7" t="n">
        <v>1263</v>
      </c>
      <c r="K16" s="10" t="n">
        <v>3664.9</v>
      </c>
      <c r="L16" s="10" t="n">
        <f aca="false">J16*K16</f>
        <v>4628768.7</v>
      </c>
      <c r="M16" s="7" t="n">
        <f aca="false">D16-B16</f>
        <v>27</v>
      </c>
      <c r="N16" s="7" t="str">
        <f aca="false">IF(D16&lt;=C16,"Yes","No")</f>
        <v>No</v>
      </c>
      <c r="O16" s="7" t="n">
        <v>5386</v>
      </c>
    </row>
    <row r="17" customFormat="false" ht="15" hidden="false" customHeight="false" outlineLevel="0" collapsed="false">
      <c r="A17" s="7" t="s">
        <v>763</v>
      </c>
      <c r="B17" s="8" t="n">
        <v>45859</v>
      </c>
      <c r="C17" s="8" t="n">
        <v>45865</v>
      </c>
      <c r="D17" s="8" t="n">
        <v>45867</v>
      </c>
      <c r="E17" s="7" t="s">
        <v>749</v>
      </c>
      <c r="F17" s="7" t="s">
        <v>104</v>
      </c>
      <c r="G17" s="7" t="s">
        <v>68</v>
      </c>
      <c r="H17" s="7" t="s">
        <v>31</v>
      </c>
      <c r="I17" s="7" t="n">
        <v>1090</v>
      </c>
      <c r="J17" s="7" t="n">
        <v>1014</v>
      </c>
      <c r="K17" s="10" t="n">
        <v>3624.33</v>
      </c>
      <c r="L17" s="10" t="n">
        <f aca="false">J17*K17</f>
        <v>3675070.62</v>
      </c>
      <c r="M17" s="7" t="n">
        <f aca="false">D17-B17</f>
        <v>8</v>
      </c>
      <c r="N17" s="7" t="str">
        <f aca="false">IF(D17&lt;=C17,"Yes","No")</f>
        <v>No</v>
      </c>
      <c r="O17" s="7" t="n">
        <v>6258</v>
      </c>
    </row>
    <row r="18" customFormat="false" ht="15" hidden="false" customHeight="false" outlineLevel="0" collapsed="false">
      <c r="A18" s="7" t="s">
        <v>764</v>
      </c>
      <c r="B18" s="8" t="n">
        <v>45643</v>
      </c>
      <c r="C18" s="8" t="n">
        <v>45653</v>
      </c>
      <c r="D18" s="8" t="n">
        <v>45655</v>
      </c>
      <c r="E18" s="7" t="s">
        <v>742</v>
      </c>
      <c r="F18" s="7" t="s">
        <v>113</v>
      </c>
      <c r="G18" s="7" t="s">
        <v>83</v>
      </c>
      <c r="H18" s="7" t="s">
        <v>31</v>
      </c>
      <c r="I18" s="7" t="n">
        <v>995</v>
      </c>
      <c r="J18" s="7" t="n">
        <v>965</v>
      </c>
      <c r="K18" s="10" t="n">
        <v>3285.49</v>
      </c>
      <c r="L18" s="10" t="n">
        <f aca="false">J18*K18</f>
        <v>3170497.85</v>
      </c>
      <c r="M18" s="7" t="n">
        <f aca="false">D18-B18</f>
        <v>12</v>
      </c>
      <c r="N18" s="7" t="str">
        <f aca="false">IF(D18&lt;=C18,"Yes","No")</f>
        <v>No</v>
      </c>
      <c r="O18" s="7" t="n">
        <v>7438</v>
      </c>
    </row>
    <row r="19" customFormat="false" ht="15" hidden="false" customHeight="false" outlineLevel="0" collapsed="false">
      <c r="A19" s="7" t="s">
        <v>765</v>
      </c>
      <c r="B19" s="8" t="n">
        <v>45764</v>
      </c>
      <c r="C19" s="8" t="n">
        <v>45778</v>
      </c>
      <c r="D19" s="8" t="n">
        <v>45778</v>
      </c>
      <c r="E19" s="7" t="s">
        <v>766</v>
      </c>
      <c r="F19" s="7" t="s">
        <v>109</v>
      </c>
      <c r="G19" s="7" t="s">
        <v>68</v>
      </c>
      <c r="H19" s="7" t="s">
        <v>31</v>
      </c>
      <c r="I19" s="7" t="n">
        <v>1610</v>
      </c>
      <c r="J19" s="7" t="n">
        <v>1482</v>
      </c>
      <c r="K19" s="10" t="n">
        <v>4088.43</v>
      </c>
      <c r="L19" s="10" t="n">
        <f aca="false">J19*K19</f>
        <v>6059053.26</v>
      </c>
      <c r="M19" s="7" t="n">
        <f aca="false">D19-B19</f>
        <v>14</v>
      </c>
      <c r="N19" s="7" t="str">
        <f aca="false">IF(D19&lt;=C19,"Yes","No")</f>
        <v>Yes</v>
      </c>
      <c r="O19" s="7" t="n">
        <v>5700</v>
      </c>
    </row>
    <row r="20" customFormat="false" ht="15" hidden="false" customHeight="false" outlineLevel="0" collapsed="false">
      <c r="A20" s="7" t="s">
        <v>767</v>
      </c>
      <c r="B20" s="8" t="n">
        <v>45729</v>
      </c>
      <c r="C20" s="8" t="n">
        <v>45746</v>
      </c>
      <c r="D20" s="8" t="n">
        <v>45749</v>
      </c>
      <c r="E20" s="7" t="s">
        <v>744</v>
      </c>
      <c r="F20" s="7" t="s">
        <v>106</v>
      </c>
      <c r="G20" s="7" t="s">
        <v>68</v>
      </c>
      <c r="H20" s="7" t="s">
        <v>31</v>
      </c>
      <c r="I20" s="7" t="n">
        <v>1043</v>
      </c>
      <c r="J20" s="7" t="n">
        <v>953</v>
      </c>
      <c r="K20" s="10" t="n">
        <v>3463.46</v>
      </c>
      <c r="L20" s="10" t="n">
        <f aca="false">J20*K20</f>
        <v>3300677.38</v>
      </c>
      <c r="M20" s="7" t="n">
        <f aca="false">D20-B20</f>
        <v>20</v>
      </c>
      <c r="N20" s="7" t="str">
        <f aca="false">IF(D20&lt;=C20,"Yes","No")</f>
        <v>No</v>
      </c>
      <c r="O20" s="7" t="n">
        <v>2265</v>
      </c>
    </row>
    <row r="21" customFormat="false" ht="15" hidden="false" customHeight="false" outlineLevel="0" collapsed="false">
      <c r="A21" s="7" t="s">
        <v>768</v>
      </c>
      <c r="B21" s="8" t="n">
        <v>46010</v>
      </c>
      <c r="C21" s="8" t="n">
        <v>46030</v>
      </c>
      <c r="D21" s="8" t="n">
        <v>46037</v>
      </c>
      <c r="E21" s="7" t="s">
        <v>747</v>
      </c>
      <c r="F21" s="7" t="s">
        <v>99</v>
      </c>
      <c r="G21" s="7" t="s">
        <v>68</v>
      </c>
      <c r="H21" s="7" t="s">
        <v>31</v>
      </c>
      <c r="I21" s="7" t="n">
        <v>1155</v>
      </c>
      <c r="J21" s="7" t="n">
        <v>1107</v>
      </c>
      <c r="K21" s="10" t="n">
        <v>1925.68</v>
      </c>
      <c r="L21" s="10" t="n">
        <f aca="false">J21*K21</f>
        <v>2131727.76</v>
      </c>
      <c r="M21" s="7" t="n">
        <f aca="false">D21-B21</f>
        <v>27</v>
      </c>
      <c r="N21" s="7" t="str">
        <f aca="false">IF(D21&lt;=C21,"Yes","No")</f>
        <v>No</v>
      </c>
      <c r="O21" s="7" t="n">
        <v>3095</v>
      </c>
    </row>
    <row r="22" customFormat="false" ht="15" hidden="false" customHeight="false" outlineLevel="0" collapsed="false">
      <c r="A22" s="7" t="s">
        <v>769</v>
      </c>
      <c r="B22" s="8" t="n">
        <v>45728</v>
      </c>
      <c r="C22" s="8" t="n">
        <v>45744</v>
      </c>
      <c r="D22" s="8" t="n">
        <v>45742</v>
      </c>
      <c r="E22" s="7" t="s">
        <v>753</v>
      </c>
      <c r="F22" s="7" t="s">
        <v>109</v>
      </c>
      <c r="G22" s="7" t="s">
        <v>68</v>
      </c>
      <c r="H22" s="7" t="s">
        <v>31</v>
      </c>
      <c r="I22" s="7" t="n">
        <v>2759</v>
      </c>
      <c r="J22" s="7" t="n">
        <v>2730</v>
      </c>
      <c r="K22" s="10" t="n">
        <v>2821.99</v>
      </c>
      <c r="L22" s="10" t="n">
        <f aca="false">J22*K22</f>
        <v>7704032.7</v>
      </c>
      <c r="M22" s="7" t="n">
        <f aca="false">D22-B22</f>
        <v>14</v>
      </c>
      <c r="N22" s="7" t="str">
        <f aca="false">IF(D22&lt;=C22,"Yes","No")</f>
        <v>Yes</v>
      </c>
      <c r="O22" s="7" t="n">
        <v>6413</v>
      </c>
    </row>
    <row r="23" customFormat="false" ht="15" hidden="false" customHeight="false" outlineLevel="0" collapsed="false">
      <c r="A23" s="7" t="s">
        <v>770</v>
      </c>
      <c r="B23" s="8" t="n">
        <v>45464</v>
      </c>
      <c r="C23" s="8" t="n">
        <v>45475</v>
      </c>
      <c r="D23" s="8" t="n">
        <v>45475</v>
      </c>
      <c r="E23" s="7" t="s">
        <v>771</v>
      </c>
      <c r="F23" s="7" t="s">
        <v>104</v>
      </c>
      <c r="G23" s="7" t="s">
        <v>65</v>
      </c>
      <c r="H23" s="7" t="s">
        <v>31</v>
      </c>
      <c r="I23" s="7" t="n">
        <v>3773</v>
      </c>
      <c r="J23" s="7" t="n">
        <v>3564</v>
      </c>
      <c r="K23" s="10" t="n">
        <v>4103.5</v>
      </c>
      <c r="L23" s="10" t="n">
        <f aca="false">J23*K23</f>
        <v>14624874</v>
      </c>
      <c r="M23" s="7" t="n">
        <f aca="false">D23-B23</f>
        <v>11</v>
      </c>
      <c r="N23" s="7" t="str">
        <f aca="false">IF(D23&lt;=C23,"Yes","No")</f>
        <v>Yes</v>
      </c>
      <c r="O23" s="7" t="n">
        <v>2515</v>
      </c>
    </row>
    <row r="24" customFormat="false" ht="15" hidden="false" customHeight="false" outlineLevel="0" collapsed="false">
      <c r="A24" s="7" t="s">
        <v>772</v>
      </c>
      <c r="B24" s="8" t="n">
        <v>45798</v>
      </c>
      <c r="C24" s="8" t="n">
        <v>45804</v>
      </c>
      <c r="D24" s="8" t="n">
        <v>45804</v>
      </c>
      <c r="E24" s="7" t="s">
        <v>766</v>
      </c>
      <c r="F24" s="7" t="s">
        <v>95</v>
      </c>
      <c r="G24" s="7" t="s">
        <v>68</v>
      </c>
      <c r="H24" s="7" t="s">
        <v>31</v>
      </c>
      <c r="I24" s="7" t="n">
        <v>898</v>
      </c>
      <c r="J24" s="7" t="n">
        <v>815</v>
      </c>
      <c r="K24" s="10" t="n">
        <v>3795.04</v>
      </c>
      <c r="L24" s="10" t="n">
        <f aca="false">J24*K24</f>
        <v>3092957.6</v>
      </c>
      <c r="M24" s="7" t="n">
        <f aca="false">D24-B24</f>
        <v>6</v>
      </c>
      <c r="N24" s="7" t="str">
        <f aca="false">IF(D24&lt;=C24,"Yes","No")</f>
        <v>Yes</v>
      </c>
      <c r="O24" s="7" t="n">
        <v>7372</v>
      </c>
    </row>
    <row r="25" customFormat="false" ht="15" hidden="false" customHeight="false" outlineLevel="0" collapsed="false">
      <c r="A25" s="7" t="s">
        <v>773</v>
      </c>
      <c r="B25" s="8" t="n">
        <v>45849</v>
      </c>
      <c r="C25" s="8" t="n">
        <v>45856</v>
      </c>
      <c r="D25" s="8" t="n">
        <v>45853</v>
      </c>
      <c r="E25" s="7" t="s">
        <v>766</v>
      </c>
      <c r="F25" s="7" t="s">
        <v>106</v>
      </c>
      <c r="G25" s="7" t="s">
        <v>65</v>
      </c>
      <c r="H25" s="7" t="s">
        <v>31</v>
      </c>
      <c r="I25" s="7" t="n">
        <v>3145</v>
      </c>
      <c r="J25" s="7" t="n">
        <v>3120</v>
      </c>
      <c r="K25" s="10" t="n">
        <v>1585.24</v>
      </c>
      <c r="L25" s="10" t="n">
        <f aca="false">J25*K25</f>
        <v>4945948.8</v>
      </c>
      <c r="M25" s="7" t="n">
        <f aca="false">D25-B25</f>
        <v>4</v>
      </c>
      <c r="N25" s="7" t="str">
        <f aca="false">IF(D25&lt;=C25,"Yes","No")</f>
        <v>Yes</v>
      </c>
      <c r="O25" s="7" t="n">
        <v>2876</v>
      </c>
    </row>
    <row r="26" customFormat="false" ht="15" hidden="false" customHeight="false" outlineLevel="0" collapsed="false">
      <c r="A26" s="7" t="s">
        <v>774</v>
      </c>
      <c r="B26" s="8" t="n">
        <v>45992</v>
      </c>
      <c r="C26" s="8" t="n">
        <v>46010</v>
      </c>
      <c r="D26" s="8" t="n">
        <v>46013</v>
      </c>
      <c r="E26" s="7" t="s">
        <v>744</v>
      </c>
      <c r="F26" s="7" t="s">
        <v>109</v>
      </c>
      <c r="G26" s="7" t="s">
        <v>68</v>
      </c>
      <c r="H26" s="7" t="s">
        <v>31</v>
      </c>
      <c r="I26" s="7" t="n">
        <v>970</v>
      </c>
      <c r="J26" s="7" t="n">
        <v>956</v>
      </c>
      <c r="K26" s="10" t="n">
        <v>3746.17</v>
      </c>
      <c r="L26" s="10" t="n">
        <f aca="false">J26*K26</f>
        <v>3581338.52</v>
      </c>
      <c r="M26" s="7" t="n">
        <f aca="false">D26-B26</f>
        <v>21</v>
      </c>
      <c r="N26" s="7" t="str">
        <f aca="false">IF(D26&lt;=C26,"Yes","No")</f>
        <v>No</v>
      </c>
      <c r="O26" s="7" t="n">
        <v>914</v>
      </c>
    </row>
    <row r="27" customFormat="false" ht="15" hidden="false" customHeight="false" outlineLevel="0" collapsed="false">
      <c r="A27" s="7" t="s">
        <v>775</v>
      </c>
      <c r="B27" s="8" t="n">
        <v>45920</v>
      </c>
      <c r="C27" s="8" t="n">
        <v>45933</v>
      </c>
      <c r="D27" s="8" t="n">
        <v>45937</v>
      </c>
      <c r="E27" s="7" t="s">
        <v>744</v>
      </c>
      <c r="F27" s="7" t="s">
        <v>113</v>
      </c>
      <c r="G27" s="7" t="s">
        <v>83</v>
      </c>
      <c r="H27" s="7" t="s">
        <v>31</v>
      </c>
      <c r="I27" s="7" t="n">
        <v>4295</v>
      </c>
      <c r="J27" s="7" t="n">
        <v>4240</v>
      </c>
      <c r="K27" s="10" t="n">
        <v>895.24</v>
      </c>
      <c r="L27" s="10" t="n">
        <f aca="false">J27*K27</f>
        <v>3795817.6</v>
      </c>
      <c r="M27" s="7" t="n">
        <f aca="false">D27-B27</f>
        <v>17</v>
      </c>
      <c r="N27" s="7" t="str">
        <f aca="false">IF(D27&lt;=C27,"Yes","No")</f>
        <v>No</v>
      </c>
      <c r="O27" s="7" t="n">
        <v>2795</v>
      </c>
    </row>
    <row r="28" customFormat="false" ht="15" hidden="false" customHeight="false" outlineLevel="0" collapsed="false">
      <c r="A28" s="7" t="s">
        <v>776</v>
      </c>
      <c r="B28" s="8" t="n">
        <v>45859</v>
      </c>
      <c r="C28" s="8" t="n">
        <v>45872</v>
      </c>
      <c r="D28" s="8" t="n">
        <v>45869</v>
      </c>
      <c r="E28" s="7" t="s">
        <v>777</v>
      </c>
      <c r="F28" s="7" t="s">
        <v>109</v>
      </c>
      <c r="G28" s="7" t="s">
        <v>68</v>
      </c>
      <c r="H28" s="7" t="s">
        <v>31</v>
      </c>
      <c r="I28" s="7" t="n">
        <v>1265</v>
      </c>
      <c r="J28" s="7" t="n">
        <v>1140</v>
      </c>
      <c r="K28" s="10" t="n">
        <v>1578.78</v>
      </c>
      <c r="L28" s="10" t="n">
        <f aca="false">J28*K28</f>
        <v>1799809.2</v>
      </c>
      <c r="M28" s="7" t="n">
        <f aca="false">D28-B28</f>
        <v>10</v>
      </c>
      <c r="N28" s="7" t="str">
        <f aca="false">IF(D28&lt;=C28,"Yes","No")</f>
        <v>Yes</v>
      </c>
      <c r="O28" s="7" t="n">
        <v>4537</v>
      </c>
    </row>
    <row r="29" customFormat="false" ht="15" hidden="false" customHeight="false" outlineLevel="0" collapsed="false">
      <c r="A29" s="7" t="s">
        <v>778</v>
      </c>
      <c r="B29" s="8" t="n">
        <v>45363</v>
      </c>
      <c r="C29" s="8" t="n">
        <v>45377</v>
      </c>
      <c r="D29" s="8" t="n">
        <v>45380</v>
      </c>
      <c r="E29" s="7" t="s">
        <v>747</v>
      </c>
      <c r="F29" s="7" t="s">
        <v>102</v>
      </c>
      <c r="G29" s="7" t="s">
        <v>83</v>
      </c>
      <c r="H29" s="7" t="s">
        <v>31</v>
      </c>
      <c r="I29" s="7" t="n">
        <v>2384</v>
      </c>
      <c r="J29" s="7" t="n">
        <v>2322</v>
      </c>
      <c r="K29" s="10" t="n">
        <v>1753.97</v>
      </c>
      <c r="L29" s="10" t="n">
        <f aca="false">J29*K29</f>
        <v>4072718.34</v>
      </c>
      <c r="M29" s="7" t="n">
        <f aca="false">D29-B29</f>
        <v>17</v>
      </c>
      <c r="N29" s="7" t="str">
        <f aca="false">IF(D29&lt;=C29,"Yes","No")</f>
        <v>No</v>
      </c>
      <c r="O29" s="7" t="n">
        <v>6028</v>
      </c>
    </row>
    <row r="30" customFormat="false" ht="15" hidden="false" customHeight="false" outlineLevel="0" collapsed="false">
      <c r="A30" s="7" t="s">
        <v>779</v>
      </c>
      <c r="B30" s="8" t="n">
        <v>45772</v>
      </c>
      <c r="C30" s="8" t="n">
        <v>45776</v>
      </c>
      <c r="D30" s="8" t="n">
        <v>45783</v>
      </c>
      <c r="E30" s="7" t="s">
        <v>749</v>
      </c>
      <c r="F30" s="7" t="s">
        <v>115</v>
      </c>
      <c r="G30" s="7" t="s">
        <v>83</v>
      </c>
      <c r="H30" s="7" t="s">
        <v>31</v>
      </c>
      <c r="I30" s="7" t="n">
        <v>3460</v>
      </c>
      <c r="J30" s="7" t="n">
        <v>3295</v>
      </c>
      <c r="K30" s="10" t="n">
        <v>4281.48</v>
      </c>
      <c r="L30" s="10" t="n">
        <f aca="false">J30*K30</f>
        <v>14107476.6</v>
      </c>
      <c r="M30" s="7" t="n">
        <f aca="false">D30-B30</f>
        <v>11</v>
      </c>
      <c r="N30" s="7" t="str">
        <f aca="false">IF(D30&lt;=C30,"Yes","No")</f>
        <v>No</v>
      </c>
      <c r="O30" s="7" t="n">
        <v>1280</v>
      </c>
    </row>
    <row r="31" customFormat="false" ht="15" hidden="false" customHeight="false" outlineLevel="0" collapsed="false">
      <c r="A31" s="7" t="s">
        <v>780</v>
      </c>
      <c r="B31" s="8" t="n">
        <v>45536</v>
      </c>
      <c r="C31" s="8" t="n">
        <v>45556</v>
      </c>
      <c r="D31" s="8" t="n">
        <v>45560</v>
      </c>
      <c r="E31" s="7" t="s">
        <v>758</v>
      </c>
      <c r="F31" s="7" t="s">
        <v>109</v>
      </c>
      <c r="G31" s="7" t="s">
        <v>68</v>
      </c>
      <c r="H31" s="7" t="s">
        <v>31</v>
      </c>
      <c r="I31" s="7" t="n">
        <v>2369</v>
      </c>
      <c r="J31" s="7" t="n">
        <v>2227</v>
      </c>
      <c r="K31" s="10" t="n">
        <v>4422.62</v>
      </c>
      <c r="L31" s="10" t="n">
        <f aca="false">J31*K31</f>
        <v>9849174.74</v>
      </c>
      <c r="M31" s="7" t="n">
        <f aca="false">D31-B31</f>
        <v>24</v>
      </c>
      <c r="N31" s="7" t="str">
        <f aca="false">IF(D31&lt;=C31,"Yes","No")</f>
        <v>No</v>
      </c>
      <c r="O31" s="7" t="n">
        <v>7875</v>
      </c>
    </row>
    <row r="32" customFormat="false" ht="15" hidden="false" customHeight="false" outlineLevel="0" collapsed="false">
      <c r="A32" s="7" t="s">
        <v>781</v>
      </c>
      <c r="B32" s="8" t="n">
        <v>45311</v>
      </c>
      <c r="C32" s="8" t="n">
        <v>45318</v>
      </c>
      <c r="D32" s="8" t="n">
        <v>45316</v>
      </c>
      <c r="E32" s="7" t="s">
        <v>771</v>
      </c>
      <c r="F32" s="7" t="s">
        <v>104</v>
      </c>
      <c r="G32" s="7" t="s">
        <v>68</v>
      </c>
      <c r="H32" s="7" t="s">
        <v>31</v>
      </c>
      <c r="I32" s="7" t="n">
        <v>2622</v>
      </c>
      <c r="J32" s="7" t="n">
        <v>2606</v>
      </c>
      <c r="K32" s="10" t="n">
        <v>2152.75</v>
      </c>
      <c r="L32" s="10" t="n">
        <f aca="false">J32*K32</f>
        <v>5610066.5</v>
      </c>
      <c r="M32" s="7" t="n">
        <f aca="false">D32-B32</f>
        <v>5</v>
      </c>
      <c r="N32" s="7" t="str">
        <f aca="false">IF(D32&lt;=C32,"Yes","No")</f>
        <v>Yes</v>
      </c>
      <c r="O32" s="7" t="n">
        <v>1423</v>
      </c>
    </row>
    <row r="33" customFormat="false" ht="15" hidden="false" customHeight="false" outlineLevel="0" collapsed="false">
      <c r="A33" s="7" t="s">
        <v>782</v>
      </c>
      <c r="B33" s="8" t="n">
        <v>45471</v>
      </c>
      <c r="C33" s="8" t="n">
        <v>45479</v>
      </c>
      <c r="D33" s="8" t="n">
        <v>45484</v>
      </c>
      <c r="E33" s="7" t="s">
        <v>771</v>
      </c>
      <c r="F33" s="7" t="s">
        <v>109</v>
      </c>
      <c r="G33" s="7" t="s">
        <v>68</v>
      </c>
      <c r="H33" s="7" t="s">
        <v>31</v>
      </c>
      <c r="I33" s="7" t="n">
        <v>4117</v>
      </c>
      <c r="J33" s="7" t="n">
        <v>4109</v>
      </c>
      <c r="K33" s="10" t="n">
        <v>2646.07</v>
      </c>
      <c r="L33" s="10" t="n">
        <f aca="false">J33*K33</f>
        <v>10872701.63</v>
      </c>
      <c r="M33" s="7" t="n">
        <f aca="false">D33-B33</f>
        <v>13</v>
      </c>
      <c r="N33" s="7" t="str">
        <f aca="false">IF(D33&lt;=C33,"Yes","No")</f>
        <v>No</v>
      </c>
      <c r="O33" s="7" t="n">
        <v>5411</v>
      </c>
    </row>
    <row r="34" customFormat="false" ht="15" hidden="false" customHeight="false" outlineLevel="0" collapsed="false">
      <c r="A34" s="7" t="s">
        <v>783</v>
      </c>
      <c r="B34" s="8" t="n">
        <v>45655</v>
      </c>
      <c r="C34" s="8" t="n">
        <v>45670</v>
      </c>
      <c r="D34" s="8" t="n">
        <v>45674</v>
      </c>
      <c r="E34" s="7" t="s">
        <v>766</v>
      </c>
      <c r="F34" s="7" t="s">
        <v>109</v>
      </c>
      <c r="G34" s="7" t="s">
        <v>65</v>
      </c>
      <c r="H34" s="7" t="s">
        <v>31</v>
      </c>
      <c r="I34" s="7" t="n">
        <v>1383</v>
      </c>
      <c r="J34" s="7" t="n">
        <v>1335</v>
      </c>
      <c r="K34" s="10" t="n">
        <v>857.11</v>
      </c>
      <c r="L34" s="10" t="n">
        <f aca="false">J34*K34</f>
        <v>1144241.85</v>
      </c>
      <c r="M34" s="7" t="n">
        <f aca="false">D34-B34</f>
        <v>19</v>
      </c>
      <c r="N34" s="7" t="str">
        <f aca="false">IF(D34&lt;=C34,"Yes","No")</f>
        <v>No</v>
      </c>
      <c r="O34" s="7" t="n">
        <v>6808</v>
      </c>
    </row>
    <row r="35" customFormat="false" ht="15" hidden="false" customHeight="false" outlineLevel="0" collapsed="false">
      <c r="A35" s="7" t="s">
        <v>784</v>
      </c>
      <c r="B35" s="8" t="n">
        <v>45930</v>
      </c>
      <c r="C35" s="8" t="n">
        <v>45945</v>
      </c>
      <c r="D35" s="8" t="n">
        <v>45952</v>
      </c>
      <c r="E35" s="7" t="s">
        <v>747</v>
      </c>
      <c r="F35" s="7" t="s">
        <v>95</v>
      </c>
      <c r="G35" s="7" t="s">
        <v>68</v>
      </c>
      <c r="H35" s="7" t="s">
        <v>31</v>
      </c>
      <c r="I35" s="7" t="n">
        <v>3580</v>
      </c>
      <c r="J35" s="7" t="n">
        <v>3368</v>
      </c>
      <c r="K35" s="10" t="n">
        <v>4200.78</v>
      </c>
      <c r="L35" s="10" t="n">
        <f aca="false">J35*K35</f>
        <v>14148227.04</v>
      </c>
      <c r="M35" s="7" t="n">
        <f aca="false">D35-B35</f>
        <v>22</v>
      </c>
      <c r="N35" s="7" t="str">
        <f aca="false">IF(D35&lt;=C35,"Yes","No")</f>
        <v>No</v>
      </c>
      <c r="O35" s="7" t="n">
        <v>7941</v>
      </c>
    </row>
    <row r="36" customFormat="false" ht="15" hidden="false" customHeight="false" outlineLevel="0" collapsed="false">
      <c r="A36" s="7" t="s">
        <v>785</v>
      </c>
      <c r="B36" s="8" t="n">
        <v>45951</v>
      </c>
      <c r="C36" s="8" t="n">
        <v>45961</v>
      </c>
      <c r="D36" s="8" t="n">
        <v>45958</v>
      </c>
      <c r="E36" s="7" t="s">
        <v>749</v>
      </c>
      <c r="F36" s="7" t="s">
        <v>95</v>
      </c>
      <c r="G36" s="7" t="s">
        <v>83</v>
      </c>
      <c r="H36" s="7" t="s">
        <v>31</v>
      </c>
      <c r="I36" s="7" t="n">
        <v>4053</v>
      </c>
      <c r="J36" s="7" t="n">
        <v>3745</v>
      </c>
      <c r="K36" s="10" t="n">
        <v>2110.93</v>
      </c>
      <c r="L36" s="10" t="n">
        <f aca="false">J36*K36</f>
        <v>7905432.85</v>
      </c>
      <c r="M36" s="7" t="n">
        <f aca="false">D36-B36</f>
        <v>7</v>
      </c>
      <c r="N36" s="7" t="str">
        <f aca="false">IF(D36&lt;=C36,"Yes","No")</f>
        <v>Yes</v>
      </c>
      <c r="O36" s="7" t="n">
        <v>2870</v>
      </c>
    </row>
    <row r="37" customFormat="false" ht="15" hidden="false" customHeight="false" outlineLevel="0" collapsed="false">
      <c r="A37" s="7" t="s">
        <v>786</v>
      </c>
      <c r="B37" s="8" t="n">
        <v>45709</v>
      </c>
      <c r="C37" s="8" t="n">
        <v>45720</v>
      </c>
      <c r="D37" s="8" t="n">
        <v>45721</v>
      </c>
      <c r="E37" s="7" t="s">
        <v>753</v>
      </c>
      <c r="F37" s="7" t="s">
        <v>104</v>
      </c>
      <c r="G37" s="7" t="s">
        <v>68</v>
      </c>
      <c r="H37" s="7" t="s">
        <v>31</v>
      </c>
      <c r="I37" s="7" t="n">
        <v>4410</v>
      </c>
      <c r="J37" s="7" t="n">
        <v>4349</v>
      </c>
      <c r="K37" s="10" t="n">
        <v>4016.28</v>
      </c>
      <c r="L37" s="10" t="n">
        <f aca="false">J37*K37</f>
        <v>17466801.72</v>
      </c>
      <c r="M37" s="7" t="n">
        <f aca="false">D37-B37</f>
        <v>12</v>
      </c>
      <c r="N37" s="7" t="str">
        <f aca="false">IF(D37&lt;=C37,"Yes","No")</f>
        <v>No</v>
      </c>
      <c r="O37" s="7" t="n">
        <v>2389</v>
      </c>
    </row>
    <row r="38" customFormat="false" ht="15" hidden="false" customHeight="false" outlineLevel="0" collapsed="false">
      <c r="A38" s="7" t="s">
        <v>787</v>
      </c>
      <c r="B38" s="8" t="n">
        <v>45439</v>
      </c>
      <c r="C38" s="8" t="n">
        <v>45451</v>
      </c>
      <c r="D38" s="8" t="n">
        <v>45452</v>
      </c>
      <c r="E38" s="7" t="s">
        <v>758</v>
      </c>
      <c r="F38" s="7" t="s">
        <v>109</v>
      </c>
      <c r="G38" s="7" t="s">
        <v>65</v>
      </c>
      <c r="H38" s="7" t="s">
        <v>31</v>
      </c>
      <c r="I38" s="7" t="n">
        <v>4477</v>
      </c>
      <c r="J38" s="7" t="n">
        <v>4419</v>
      </c>
      <c r="K38" s="10" t="n">
        <v>1724.01</v>
      </c>
      <c r="L38" s="10" t="n">
        <f aca="false">J38*K38</f>
        <v>7618400.19</v>
      </c>
      <c r="M38" s="7" t="n">
        <f aca="false">D38-B38</f>
        <v>13</v>
      </c>
      <c r="N38" s="7" t="str">
        <f aca="false">IF(D38&lt;=C38,"Yes","No")</f>
        <v>No</v>
      </c>
      <c r="O38" s="7" t="n">
        <v>2819</v>
      </c>
    </row>
    <row r="39" customFormat="false" ht="15" hidden="false" customHeight="false" outlineLevel="0" collapsed="false">
      <c r="A39" s="7" t="s">
        <v>788</v>
      </c>
      <c r="B39" s="8" t="n">
        <v>45950</v>
      </c>
      <c r="C39" s="8" t="n">
        <v>45967</v>
      </c>
      <c r="D39" s="8" t="n">
        <v>45967</v>
      </c>
      <c r="E39" s="7" t="s">
        <v>744</v>
      </c>
      <c r="F39" s="7" t="s">
        <v>95</v>
      </c>
      <c r="G39" s="7" t="s">
        <v>68</v>
      </c>
      <c r="H39" s="7" t="s">
        <v>31</v>
      </c>
      <c r="I39" s="7" t="n">
        <v>3452</v>
      </c>
      <c r="J39" s="7" t="n">
        <v>3122</v>
      </c>
      <c r="K39" s="10" t="n">
        <v>3663.58</v>
      </c>
      <c r="L39" s="10" t="n">
        <f aca="false">J39*K39</f>
        <v>11437696.76</v>
      </c>
      <c r="M39" s="7" t="n">
        <f aca="false">D39-B39</f>
        <v>17</v>
      </c>
      <c r="N39" s="7" t="str">
        <f aca="false">IF(D39&lt;=C39,"Yes","No")</f>
        <v>Yes</v>
      </c>
      <c r="O39" s="7" t="n">
        <v>3796</v>
      </c>
    </row>
    <row r="40" customFormat="false" ht="15" hidden="false" customHeight="false" outlineLevel="0" collapsed="false">
      <c r="A40" s="7" t="s">
        <v>789</v>
      </c>
      <c r="B40" s="8" t="n">
        <v>45457</v>
      </c>
      <c r="C40" s="8" t="n">
        <v>45464</v>
      </c>
      <c r="D40" s="8" t="n">
        <v>45465</v>
      </c>
      <c r="E40" s="7" t="s">
        <v>771</v>
      </c>
      <c r="F40" s="7" t="s">
        <v>99</v>
      </c>
      <c r="G40" s="7" t="s">
        <v>68</v>
      </c>
      <c r="H40" s="7" t="s">
        <v>31</v>
      </c>
      <c r="I40" s="7" t="n">
        <v>577</v>
      </c>
      <c r="J40" s="7" t="n">
        <v>526</v>
      </c>
      <c r="K40" s="10" t="n">
        <v>1920.02</v>
      </c>
      <c r="L40" s="10" t="n">
        <f aca="false">J40*K40</f>
        <v>1009930.52</v>
      </c>
      <c r="M40" s="7" t="n">
        <f aca="false">D40-B40</f>
        <v>8</v>
      </c>
      <c r="N40" s="7" t="str">
        <f aca="false">IF(D40&lt;=C40,"Yes","No")</f>
        <v>No</v>
      </c>
      <c r="O40" s="7" t="n">
        <v>4317</v>
      </c>
    </row>
    <row r="41" customFormat="false" ht="15" hidden="false" customHeight="false" outlineLevel="0" collapsed="false">
      <c r="A41" s="7" t="s">
        <v>790</v>
      </c>
      <c r="B41" s="8" t="n">
        <v>46003</v>
      </c>
      <c r="C41" s="8" t="n">
        <v>46009</v>
      </c>
      <c r="D41" s="8" t="n">
        <v>46008</v>
      </c>
      <c r="E41" s="7" t="s">
        <v>753</v>
      </c>
      <c r="F41" s="7" t="s">
        <v>113</v>
      </c>
      <c r="G41" s="7" t="s">
        <v>65</v>
      </c>
      <c r="H41" s="7" t="s">
        <v>31</v>
      </c>
      <c r="I41" s="7" t="n">
        <v>3893</v>
      </c>
      <c r="J41" s="7" t="n">
        <v>3635</v>
      </c>
      <c r="K41" s="10" t="n">
        <v>4198.46</v>
      </c>
      <c r="L41" s="10" t="n">
        <f aca="false">J41*K41</f>
        <v>15261402.1</v>
      </c>
      <c r="M41" s="7" t="n">
        <f aca="false">D41-B41</f>
        <v>5</v>
      </c>
      <c r="N41" s="7" t="str">
        <f aca="false">IF(D41&lt;=C41,"Yes","No")</f>
        <v>Yes</v>
      </c>
      <c r="O41" s="7" t="n">
        <v>6068</v>
      </c>
    </row>
    <row r="42" customFormat="false" ht="15" hidden="false" customHeight="false" outlineLevel="0" collapsed="false">
      <c r="A42" s="7" t="s">
        <v>791</v>
      </c>
      <c r="B42" s="8" t="n">
        <v>45686</v>
      </c>
      <c r="C42" s="8" t="n">
        <v>45699</v>
      </c>
      <c r="D42" s="8" t="n">
        <v>45696</v>
      </c>
      <c r="E42" s="7" t="s">
        <v>744</v>
      </c>
      <c r="F42" s="7" t="s">
        <v>104</v>
      </c>
      <c r="G42" s="7" t="s">
        <v>68</v>
      </c>
      <c r="H42" s="7" t="s">
        <v>31</v>
      </c>
      <c r="I42" s="7" t="n">
        <v>625</v>
      </c>
      <c r="J42" s="7" t="n">
        <v>564</v>
      </c>
      <c r="K42" s="10" t="n">
        <v>2667.69</v>
      </c>
      <c r="L42" s="10" t="n">
        <f aca="false">J42*K42</f>
        <v>1504577.16</v>
      </c>
      <c r="M42" s="7" t="n">
        <f aca="false">D42-B42</f>
        <v>10</v>
      </c>
      <c r="N42" s="7" t="str">
        <f aca="false">IF(D42&lt;=C42,"Yes","No")</f>
        <v>Yes</v>
      </c>
      <c r="O42" s="7" t="n">
        <v>2097</v>
      </c>
    </row>
    <row r="43" customFormat="false" ht="15" hidden="false" customHeight="false" outlineLevel="0" collapsed="false">
      <c r="A43" s="7" t="s">
        <v>792</v>
      </c>
      <c r="B43" s="8" t="n">
        <v>45852</v>
      </c>
      <c r="C43" s="8" t="n">
        <v>45858</v>
      </c>
      <c r="D43" s="8" t="n">
        <v>45855</v>
      </c>
      <c r="E43" s="7" t="s">
        <v>771</v>
      </c>
      <c r="F43" s="7" t="s">
        <v>109</v>
      </c>
      <c r="G43" s="7" t="s">
        <v>65</v>
      </c>
      <c r="H43" s="7" t="s">
        <v>31</v>
      </c>
      <c r="I43" s="7" t="n">
        <v>1403</v>
      </c>
      <c r="J43" s="7" t="n">
        <v>1279</v>
      </c>
      <c r="K43" s="10" t="n">
        <v>2603.21</v>
      </c>
      <c r="L43" s="10" t="n">
        <f aca="false">J43*K43</f>
        <v>3329505.59</v>
      </c>
      <c r="M43" s="7" t="n">
        <f aca="false">D43-B43</f>
        <v>3</v>
      </c>
      <c r="N43" s="7" t="str">
        <f aca="false">IF(D43&lt;=C43,"Yes","No")</f>
        <v>Yes</v>
      </c>
      <c r="O43" s="7" t="n">
        <v>1312</v>
      </c>
    </row>
    <row r="44" customFormat="false" ht="15" hidden="false" customHeight="false" outlineLevel="0" collapsed="false">
      <c r="A44" s="7" t="s">
        <v>793</v>
      </c>
      <c r="B44" s="8" t="n">
        <v>45791</v>
      </c>
      <c r="C44" s="8" t="n">
        <v>45794</v>
      </c>
      <c r="D44" s="8" t="n">
        <v>45793</v>
      </c>
      <c r="E44" s="7" t="s">
        <v>766</v>
      </c>
      <c r="F44" s="7" t="s">
        <v>102</v>
      </c>
      <c r="G44" s="7" t="s">
        <v>65</v>
      </c>
      <c r="H44" s="7" t="s">
        <v>31</v>
      </c>
      <c r="I44" s="7" t="n">
        <v>4841</v>
      </c>
      <c r="J44" s="7" t="n">
        <v>4528</v>
      </c>
      <c r="K44" s="10" t="n">
        <v>2636.19</v>
      </c>
      <c r="L44" s="10" t="n">
        <f aca="false">J44*K44</f>
        <v>11936668.32</v>
      </c>
      <c r="M44" s="7" t="n">
        <f aca="false">D44-B44</f>
        <v>2</v>
      </c>
      <c r="N44" s="7" t="str">
        <f aca="false">IF(D44&lt;=C44,"Yes","No")</f>
        <v>Yes</v>
      </c>
      <c r="O44" s="7" t="n">
        <v>7725</v>
      </c>
    </row>
    <row r="45" customFormat="false" ht="15" hidden="false" customHeight="false" outlineLevel="0" collapsed="false">
      <c r="A45" s="7" t="s">
        <v>794</v>
      </c>
      <c r="B45" s="8" t="n">
        <v>45363</v>
      </c>
      <c r="C45" s="8" t="n">
        <v>45372</v>
      </c>
      <c r="D45" s="8" t="n">
        <v>45372</v>
      </c>
      <c r="E45" s="7" t="s">
        <v>758</v>
      </c>
      <c r="F45" s="7" t="s">
        <v>106</v>
      </c>
      <c r="G45" s="7" t="s">
        <v>68</v>
      </c>
      <c r="H45" s="7" t="s">
        <v>31</v>
      </c>
      <c r="I45" s="7" t="n">
        <v>624</v>
      </c>
      <c r="J45" s="7" t="n">
        <v>578</v>
      </c>
      <c r="K45" s="10" t="n">
        <v>1055.01</v>
      </c>
      <c r="L45" s="10" t="n">
        <f aca="false">J45*K45</f>
        <v>609795.78</v>
      </c>
      <c r="M45" s="7" t="n">
        <f aca="false">D45-B45</f>
        <v>9</v>
      </c>
      <c r="N45" s="7" t="str">
        <f aca="false">IF(D45&lt;=C45,"Yes","No")</f>
        <v>Yes</v>
      </c>
      <c r="O45" s="7" t="n">
        <v>553</v>
      </c>
    </row>
    <row r="46" customFormat="false" ht="15" hidden="false" customHeight="false" outlineLevel="0" collapsed="false">
      <c r="A46" s="7" t="s">
        <v>795</v>
      </c>
      <c r="B46" s="8" t="n">
        <v>45490</v>
      </c>
      <c r="C46" s="8" t="n">
        <v>45494</v>
      </c>
      <c r="D46" s="8" t="n">
        <v>45497</v>
      </c>
      <c r="E46" s="7" t="s">
        <v>742</v>
      </c>
      <c r="F46" s="7" t="s">
        <v>109</v>
      </c>
      <c r="G46" s="7" t="s">
        <v>83</v>
      </c>
      <c r="H46" s="7" t="s">
        <v>31</v>
      </c>
      <c r="I46" s="7" t="n">
        <v>586</v>
      </c>
      <c r="J46" s="7" t="n">
        <v>546</v>
      </c>
      <c r="K46" s="10" t="n">
        <v>953.21</v>
      </c>
      <c r="L46" s="10" t="n">
        <f aca="false">J46*K46</f>
        <v>520452.66</v>
      </c>
      <c r="M46" s="7" t="n">
        <f aca="false">D46-B46</f>
        <v>7</v>
      </c>
      <c r="N46" s="7" t="str">
        <f aca="false">IF(D46&lt;=C46,"Yes","No")</f>
        <v>No</v>
      </c>
      <c r="O46" s="7" t="n">
        <v>3917</v>
      </c>
    </row>
    <row r="47" customFormat="false" ht="15" hidden="false" customHeight="false" outlineLevel="0" collapsed="false">
      <c r="A47" s="7" t="s">
        <v>796</v>
      </c>
      <c r="B47" s="8" t="n">
        <v>45818</v>
      </c>
      <c r="C47" s="8" t="n">
        <v>45838</v>
      </c>
      <c r="D47" s="8" t="n">
        <v>45840</v>
      </c>
      <c r="E47" s="7" t="s">
        <v>777</v>
      </c>
      <c r="F47" s="7" t="s">
        <v>106</v>
      </c>
      <c r="G47" s="7" t="s">
        <v>87</v>
      </c>
      <c r="H47" s="7" t="s">
        <v>31</v>
      </c>
      <c r="I47" s="7" t="n">
        <v>3956</v>
      </c>
      <c r="J47" s="7" t="n">
        <v>3686</v>
      </c>
      <c r="K47" s="10" t="n">
        <v>2350.85</v>
      </c>
      <c r="L47" s="10" t="n">
        <f aca="false">J47*K47</f>
        <v>8665233.1</v>
      </c>
      <c r="M47" s="7" t="n">
        <f aca="false">D47-B47</f>
        <v>22</v>
      </c>
      <c r="N47" s="7" t="str">
        <f aca="false">IF(D47&lt;=C47,"Yes","No")</f>
        <v>No</v>
      </c>
      <c r="O47" s="7" t="n">
        <v>1438</v>
      </c>
    </row>
    <row r="48" customFormat="false" ht="15" hidden="false" customHeight="false" outlineLevel="0" collapsed="false">
      <c r="A48" s="7" t="s">
        <v>797</v>
      </c>
      <c r="B48" s="8" t="n">
        <v>45682</v>
      </c>
      <c r="C48" s="8" t="n">
        <v>45697</v>
      </c>
      <c r="D48" s="8" t="n">
        <v>45700</v>
      </c>
      <c r="E48" s="7" t="s">
        <v>751</v>
      </c>
      <c r="F48" s="7" t="s">
        <v>95</v>
      </c>
      <c r="G48" s="7" t="s">
        <v>68</v>
      </c>
      <c r="H48" s="7" t="s">
        <v>31</v>
      </c>
      <c r="I48" s="7" t="n">
        <v>4604</v>
      </c>
      <c r="J48" s="7" t="n">
        <v>4570</v>
      </c>
      <c r="K48" s="10" t="n">
        <v>1742.26</v>
      </c>
      <c r="L48" s="10" t="n">
        <f aca="false">J48*K48</f>
        <v>7962128.2</v>
      </c>
      <c r="M48" s="7" t="n">
        <f aca="false">D48-B48</f>
        <v>18</v>
      </c>
      <c r="N48" s="7" t="str">
        <f aca="false">IF(D48&lt;=C48,"Yes","No")</f>
        <v>No</v>
      </c>
      <c r="O48" s="7" t="n">
        <v>5204</v>
      </c>
    </row>
    <row r="49" customFormat="false" ht="15" hidden="false" customHeight="false" outlineLevel="0" collapsed="false">
      <c r="A49" s="7" t="s">
        <v>798</v>
      </c>
      <c r="B49" s="8" t="n">
        <v>46004</v>
      </c>
      <c r="C49" s="8" t="n">
        <v>46014</v>
      </c>
      <c r="D49" s="8" t="n">
        <v>46014</v>
      </c>
      <c r="E49" s="7" t="s">
        <v>758</v>
      </c>
      <c r="F49" s="7" t="s">
        <v>99</v>
      </c>
      <c r="G49" s="7" t="s">
        <v>65</v>
      </c>
      <c r="H49" s="7" t="s">
        <v>31</v>
      </c>
      <c r="I49" s="7" t="n">
        <v>905</v>
      </c>
      <c r="J49" s="7" t="n">
        <v>851</v>
      </c>
      <c r="K49" s="10" t="n">
        <v>2866.52</v>
      </c>
      <c r="L49" s="10" t="n">
        <f aca="false">J49*K49</f>
        <v>2439408.52</v>
      </c>
      <c r="M49" s="7" t="n">
        <f aca="false">D49-B49</f>
        <v>10</v>
      </c>
      <c r="N49" s="7" t="str">
        <f aca="false">IF(D49&lt;=C49,"Yes","No")</f>
        <v>Yes</v>
      </c>
      <c r="O49" s="7" t="n">
        <v>5810</v>
      </c>
    </row>
    <row r="50" customFormat="false" ht="15" hidden="false" customHeight="false" outlineLevel="0" collapsed="false">
      <c r="A50" s="7" t="s">
        <v>799</v>
      </c>
      <c r="B50" s="8" t="n">
        <v>45915</v>
      </c>
      <c r="C50" s="8" t="n">
        <v>45935</v>
      </c>
      <c r="D50" s="8" t="n">
        <v>45942</v>
      </c>
      <c r="E50" s="7" t="s">
        <v>747</v>
      </c>
      <c r="F50" s="7" t="s">
        <v>115</v>
      </c>
      <c r="G50" s="7" t="s">
        <v>65</v>
      </c>
      <c r="H50" s="7" t="s">
        <v>31</v>
      </c>
      <c r="I50" s="7" t="n">
        <v>4378</v>
      </c>
      <c r="J50" s="7" t="n">
        <v>4266</v>
      </c>
      <c r="K50" s="10" t="n">
        <v>3957.85</v>
      </c>
      <c r="L50" s="10" t="n">
        <f aca="false">J50*K50</f>
        <v>16884188.1</v>
      </c>
      <c r="M50" s="7" t="n">
        <f aca="false">D50-B50</f>
        <v>27</v>
      </c>
      <c r="N50" s="7" t="str">
        <f aca="false">IF(D50&lt;=C50,"Yes","No")</f>
        <v>No</v>
      </c>
      <c r="O50" s="7" t="n">
        <v>4378</v>
      </c>
    </row>
    <row r="51" customFormat="false" ht="15" hidden="false" customHeight="false" outlineLevel="0" collapsed="false">
      <c r="A51" s="7" t="s">
        <v>800</v>
      </c>
      <c r="B51" s="8" t="n">
        <v>45615</v>
      </c>
      <c r="C51" s="8" t="n">
        <v>45635</v>
      </c>
      <c r="D51" s="8" t="n">
        <v>45638</v>
      </c>
      <c r="E51" s="7" t="s">
        <v>766</v>
      </c>
      <c r="F51" s="7" t="s">
        <v>113</v>
      </c>
      <c r="G51" s="7" t="s">
        <v>83</v>
      </c>
      <c r="H51" s="7" t="s">
        <v>31</v>
      </c>
      <c r="I51" s="7" t="n">
        <v>1025</v>
      </c>
      <c r="J51" s="7" t="n">
        <v>962</v>
      </c>
      <c r="K51" s="10" t="n">
        <v>2747.16</v>
      </c>
      <c r="L51" s="10" t="n">
        <f aca="false">J51*K51</f>
        <v>2642767.92</v>
      </c>
      <c r="M51" s="7" t="n">
        <f aca="false">D51-B51</f>
        <v>23</v>
      </c>
      <c r="N51" s="7" t="str">
        <f aca="false">IF(D51&lt;=C51,"Yes","No")</f>
        <v>No</v>
      </c>
      <c r="O51" s="7" t="n">
        <v>5220</v>
      </c>
    </row>
    <row r="52" customFormat="false" ht="15" hidden="false" customHeight="false" outlineLevel="0" collapsed="false">
      <c r="A52" s="7" t="s">
        <v>801</v>
      </c>
      <c r="B52" s="8" t="n">
        <v>45952</v>
      </c>
      <c r="C52" s="8" t="n">
        <v>45965</v>
      </c>
      <c r="D52" s="8" t="n">
        <v>45963</v>
      </c>
      <c r="E52" s="7" t="s">
        <v>742</v>
      </c>
      <c r="F52" s="7" t="s">
        <v>104</v>
      </c>
      <c r="G52" s="7" t="s">
        <v>83</v>
      </c>
      <c r="H52" s="7" t="s">
        <v>31</v>
      </c>
      <c r="I52" s="7" t="n">
        <v>2648</v>
      </c>
      <c r="J52" s="7" t="n">
        <v>2623</v>
      </c>
      <c r="K52" s="10" t="n">
        <v>2551.12</v>
      </c>
      <c r="L52" s="10" t="n">
        <f aca="false">J52*K52</f>
        <v>6691587.76</v>
      </c>
      <c r="M52" s="7" t="n">
        <f aca="false">D52-B52</f>
        <v>11</v>
      </c>
      <c r="N52" s="7" t="str">
        <f aca="false">IF(D52&lt;=C52,"Yes","No")</f>
        <v>Yes</v>
      </c>
      <c r="O52" s="7" t="n">
        <v>6111</v>
      </c>
    </row>
    <row r="53" customFormat="false" ht="15" hidden="false" customHeight="false" outlineLevel="0" collapsed="false">
      <c r="A53" s="7" t="s">
        <v>802</v>
      </c>
      <c r="B53" s="8" t="n">
        <v>45643</v>
      </c>
      <c r="C53" s="8" t="n">
        <v>45664</v>
      </c>
      <c r="D53" s="8" t="n">
        <v>45668</v>
      </c>
      <c r="E53" s="7" t="s">
        <v>744</v>
      </c>
      <c r="F53" s="7" t="s">
        <v>104</v>
      </c>
      <c r="G53" s="7" t="s">
        <v>68</v>
      </c>
      <c r="H53" s="7" t="s">
        <v>31</v>
      </c>
      <c r="I53" s="7" t="n">
        <v>1039</v>
      </c>
      <c r="J53" s="7" t="n">
        <v>1031</v>
      </c>
      <c r="K53" s="10" t="n">
        <v>2756.37</v>
      </c>
      <c r="L53" s="10" t="n">
        <f aca="false">J53*K53</f>
        <v>2841817.47</v>
      </c>
      <c r="M53" s="7" t="n">
        <f aca="false">D53-B53</f>
        <v>25</v>
      </c>
      <c r="N53" s="7" t="str">
        <f aca="false">IF(D53&lt;=C53,"Yes","No")</f>
        <v>No</v>
      </c>
      <c r="O53" s="7" t="n">
        <v>4492</v>
      </c>
    </row>
    <row r="54" customFormat="false" ht="15" hidden="false" customHeight="false" outlineLevel="0" collapsed="false">
      <c r="A54" s="7" t="s">
        <v>803</v>
      </c>
      <c r="B54" s="8" t="n">
        <v>45490</v>
      </c>
      <c r="C54" s="8" t="n">
        <v>45498</v>
      </c>
      <c r="D54" s="8" t="n">
        <v>45500</v>
      </c>
      <c r="E54" s="7" t="s">
        <v>766</v>
      </c>
      <c r="F54" s="7" t="s">
        <v>102</v>
      </c>
      <c r="G54" s="7" t="s">
        <v>68</v>
      </c>
      <c r="H54" s="7" t="s">
        <v>31</v>
      </c>
      <c r="I54" s="7" t="n">
        <v>4270</v>
      </c>
      <c r="J54" s="7" t="n">
        <v>3918</v>
      </c>
      <c r="K54" s="10" t="n">
        <v>4305.24</v>
      </c>
      <c r="L54" s="10" t="n">
        <f aca="false">J54*K54</f>
        <v>16867930.32</v>
      </c>
      <c r="M54" s="7" t="n">
        <f aca="false">D54-B54</f>
        <v>10</v>
      </c>
      <c r="N54" s="7" t="str">
        <f aca="false">IF(D54&lt;=C54,"Yes","No")</f>
        <v>No</v>
      </c>
      <c r="O54" s="7" t="n">
        <v>7210</v>
      </c>
    </row>
    <row r="55" customFormat="false" ht="15" hidden="false" customHeight="false" outlineLevel="0" collapsed="false">
      <c r="A55" s="7" t="s">
        <v>804</v>
      </c>
      <c r="B55" s="8" t="n">
        <v>45928</v>
      </c>
      <c r="C55" s="8" t="n">
        <v>45932</v>
      </c>
      <c r="D55" s="8" t="n">
        <v>45934</v>
      </c>
      <c r="E55" s="7" t="s">
        <v>777</v>
      </c>
      <c r="F55" s="7" t="s">
        <v>109</v>
      </c>
      <c r="G55" s="7" t="s">
        <v>87</v>
      </c>
      <c r="H55" s="7" t="s">
        <v>31</v>
      </c>
      <c r="I55" s="7" t="n">
        <v>1507</v>
      </c>
      <c r="J55" s="7" t="n">
        <v>1418</v>
      </c>
      <c r="K55" s="10" t="n">
        <v>3399.7</v>
      </c>
      <c r="L55" s="10" t="n">
        <f aca="false">J55*K55</f>
        <v>4820774.6</v>
      </c>
      <c r="M55" s="7" t="n">
        <f aca="false">D55-B55</f>
        <v>6</v>
      </c>
      <c r="N55" s="7" t="str">
        <f aca="false">IF(D55&lt;=C55,"Yes","No")</f>
        <v>No</v>
      </c>
      <c r="O55" s="7" t="n">
        <v>3273</v>
      </c>
    </row>
    <row r="56" customFormat="false" ht="15" hidden="false" customHeight="false" outlineLevel="0" collapsed="false">
      <c r="A56" s="7" t="s">
        <v>805</v>
      </c>
      <c r="B56" s="8" t="n">
        <v>45394</v>
      </c>
      <c r="C56" s="8" t="n">
        <v>45408</v>
      </c>
      <c r="D56" s="8" t="n">
        <v>45415</v>
      </c>
      <c r="E56" s="7" t="s">
        <v>742</v>
      </c>
      <c r="F56" s="7" t="s">
        <v>106</v>
      </c>
      <c r="G56" s="7" t="s">
        <v>87</v>
      </c>
      <c r="H56" s="7" t="s">
        <v>31</v>
      </c>
      <c r="I56" s="7" t="n">
        <v>1220</v>
      </c>
      <c r="J56" s="7" t="n">
        <v>1131</v>
      </c>
      <c r="K56" s="10" t="n">
        <v>1874.85</v>
      </c>
      <c r="L56" s="10" t="n">
        <f aca="false">J56*K56</f>
        <v>2120455.35</v>
      </c>
      <c r="M56" s="7" t="n">
        <f aca="false">D56-B56</f>
        <v>21</v>
      </c>
      <c r="N56" s="7" t="str">
        <f aca="false">IF(D56&lt;=C56,"Yes","No")</f>
        <v>No</v>
      </c>
      <c r="O56" s="7" t="n">
        <v>3855</v>
      </c>
    </row>
    <row r="57" customFormat="false" ht="15" hidden="false" customHeight="false" outlineLevel="0" collapsed="false">
      <c r="A57" s="7" t="s">
        <v>806</v>
      </c>
      <c r="B57" s="8" t="n">
        <v>45965</v>
      </c>
      <c r="C57" s="8" t="n">
        <v>45982</v>
      </c>
      <c r="D57" s="8" t="n">
        <v>45989</v>
      </c>
      <c r="E57" s="7" t="s">
        <v>753</v>
      </c>
      <c r="F57" s="7" t="s">
        <v>102</v>
      </c>
      <c r="G57" s="7" t="s">
        <v>68</v>
      </c>
      <c r="H57" s="7" t="s">
        <v>31</v>
      </c>
      <c r="I57" s="7" t="n">
        <v>548</v>
      </c>
      <c r="J57" s="7" t="n">
        <v>530</v>
      </c>
      <c r="K57" s="10" t="n">
        <v>2157.62</v>
      </c>
      <c r="L57" s="10" t="n">
        <f aca="false">J57*K57</f>
        <v>1143538.6</v>
      </c>
      <c r="M57" s="7" t="n">
        <f aca="false">D57-B57</f>
        <v>24</v>
      </c>
      <c r="N57" s="7" t="str">
        <f aca="false">IF(D57&lt;=C57,"Yes","No")</f>
        <v>No</v>
      </c>
      <c r="O57" s="7" t="n">
        <v>4465</v>
      </c>
    </row>
    <row r="58" customFormat="false" ht="15" hidden="false" customHeight="false" outlineLevel="0" collapsed="false">
      <c r="A58" s="7" t="s">
        <v>807</v>
      </c>
      <c r="B58" s="8" t="n">
        <v>45938</v>
      </c>
      <c r="C58" s="8" t="n">
        <v>45952</v>
      </c>
      <c r="D58" s="8" t="n">
        <v>45957</v>
      </c>
      <c r="E58" s="7" t="s">
        <v>747</v>
      </c>
      <c r="F58" s="7" t="s">
        <v>113</v>
      </c>
      <c r="G58" s="7" t="s">
        <v>83</v>
      </c>
      <c r="H58" s="7" t="s">
        <v>31</v>
      </c>
      <c r="I58" s="7" t="n">
        <v>645</v>
      </c>
      <c r="J58" s="7" t="n">
        <v>616</v>
      </c>
      <c r="K58" s="10" t="n">
        <v>802.99</v>
      </c>
      <c r="L58" s="10" t="n">
        <f aca="false">J58*K58</f>
        <v>494641.84</v>
      </c>
      <c r="M58" s="7" t="n">
        <f aca="false">D58-B58</f>
        <v>19</v>
      </c>
      <c r="N58" s="7" t="str">
        <f aca="false">IF(D58&lt;=C58,"Yes","No")</f>
        <v>No</v>
      </c>
      <c r="O58" s="7" t="n">
        <v>2327</v>
      </c>
    </row>
    <row r="59" customFormat="false" ht="15" hidden="false" customHeight="false" outlineLevel="0" collapsed="false">
      <c r="A59" s="7" t="s">
        <v>808</v>
      </c>
      <c r="B59" s="8" t="n">
        <v>45341</v>
      </c>
      <c r="C59" s="8" t="n">
        <v>45349</v>
      </c>
      <c r="D59" s="8" t="n">
        <v>45350</v>
      </c>
      <c r="E59" s="7" t="s">
        <v>742</v>
      </c>
      <c r="F59" s="7" t="s">
        <v>106</v>
      </c>
      <c r="G59" s="7" t="s">
        <v>83</v>
      </c>
      <c r="H59" s="7" t="s">
        <v>31</v>
      </c>
      <c r="I59" s="7" t="n">
        <v>2594</v>
      </c>
      <c r="J59" s="7" t="n">
        <v>2397</v>
      </c>
      <c r="K59" s="10" t="n">
        <v>3886.32</v>
      </c>
      <c r="L59" s="10" t="n">
        <f aca="false">J59*K59</f>
        <v>9315509.04</v>
      </c>
      <c r="M59" s="7" t="n">
        <f aca="false">D59-B59</f>
        <v>9</v>
      </c>
      <c r="N59" s="7" t="str">
        <f aca="false">IF(D59&lt;=C59,"Yes","No")</f>
        <v>No</v>
      </c>
      <c r="O59" s="7" t="n">
        <v>948</v>
      </c>
    </row>
    <row r="60" customFormat="false" ht="15" hidden="false" customHeight="false" outlineLevel="0" collapsed="false">
      <c r="A60" s="7" t="s">
        <v>809</v>
      </c>
      <c r="B60" s="8" t="n">
        <v>45798</v>
      </c>
      <c r="C60" s="8" t="n">
        <v>45816</v>
      </c>
      <c r="D60" s="8" t="n">
        <v>45814</v>
      </c>
      <c r="E60" s="7" t="s">
        <v>766</v>
      </c>
      <c r="F60" s="7" t="s">
        <v>102</v>
      </c>
      <c r="G60" s="7" t="s">
        <v>87</v>
      </c>
      <c r="H60" s="7" t="s">
        <v>31</v>
      </c>
      <c r="I60" s="7" t="n">
        <v>2879</v>
      </c>
      <c r="J60" s="7" t="n">
        <v>2768</v>
      </c>
      <c r="K60" s="10" t="n">
        <v>2174.99</v>
      </c>
      <c r="L60" s="10" t="n">
        <f aca="false">J60*K60</f>
        <v>6020372.32</v>
      </c>
      <c r="M60" s="7" t="n">
        <f aca="false">D60-B60</f>
        <v>16</v>
      </c>
      <c r="N60" s="7" t="str">
        <f aca="false">IF(D60&lt;=C60,"Yes","No")</f>
        <v>Yes</v>
      </c>
      <c r="O60" s="7" t="n">
        <v>559</v>
      </c>
    </row>
    <row r="61" customFormat="false" ht="15" hidden="false" customHeight="false" outlineLevel="0" collapsed="false">
      <c r="A61" s="7" t="s">
        <v>810</v>
      </c>
      <c r="B61" s="8" t="n">
        <v>45976</v>
      </c>
      <c r="C61" s="8" t="n">
        <v>45991</v>
      </c>
      <c r="D61" s="8" t="n">
        <v>45993</v>
      </c>
      <c r="E61" s="7" t="s">
        <v>771</v>
      </c>
      <c r="F61" s="7" t="s">
        <v>106</v>
      </c>
      <c r="G61" s="7" t="s">
        <v>87</v>
      </c>
      <c r="H61" s="7" t="s">
        <v>31</v>
      </c>
      <c r="I61" s="7" t="n">
        <v>4030</v>
      </c>
      <c r="J61" s="7" t="n">
        <v>3888</v>
      </c>
      <c r="K61" s="10" t="n">
        <v>3800.06</v>
      </c>
      <c r="L61" s="10" t="n">
        <f aca="false">J61*K61</f>
        <v>14774633.28</v>
      </c>
      <c r="M61" s="7" t="n">
        <f aca="false">D61-B61</f>
        <v>17</v>
      </c>
      <c r="N61" s="7" t="str">
        <f aca="false">IF(D61&lt;=C61,"Yes","No")</f>
        <v>No</v>
      </c>
      <c r="O61" s="7" t="n">
        <v>3086</v>
      </c>
    </row>
    <row r="62" customFormat="false" ht="15" hidden="false" customHeight="false" outlineLevel="0" collapsed="false">
      <c r="A62" s="7" t="s">
        <v>811</v>
      </c>
      <c r="B62" s="8" t="n">
        <v>45517</v>
      </c>
      <c r="C62" s="8" t="n">
        <v>45538</v>
      </c>
      <c r="D62" s="8" t="n">
        <v>45537</v>
      </c>
      <c r="E62" s="7" t="s">
        <v>744</v>
      </c>
      <c r="F62" s="7" t="s">
        <v>104</v>
      </c>
      <c r="G62" s="7" t="s">
        <v>83</v>
      </c>
      <c r="H62" s="7" t="s">
        <v>31</v>
      </c>
      <c r="I62" s="7" t="n">
        <v>1019</v>
      </c>
      <c r="J62" s="7" t="n">
        <v>984</v>
      </c>
      <c r="K62" s="10" t="n">
        <v>2018.97</v>
      </c>
      <c r="L62" s="10" t="n">
        <f aca="false">J62*K62</f>
        <v>1986666.48</v>
      </c>
      <c r="M62" s="7" t="n">
        <f aca="false">D62-B62</f>
        <v>20</v>
      </c>
      <c r="N62" s="7" t="str">
        <f aca="false">IF(D62&lt;=C62,"Yes","No")</f>
        <v>Yes</v>
      </c>
      <c r="O62" s="7" t="n">
        <v>779</v>
      </c>
    </row>
    <row r="63" customFormat="false" ht="15" hidden="false" customHeight="false" outlineLevel="0" collapsed="false">
      <c r="A63" s="7" t="s">
        <v>812</v>
      </c>
      <c r="B63" s="8" t="n">
        <v>45376</v>
      </c>
      <c r="C63" s="8" t="n">
        <v>45393</v>
      </c>
      <c r="D63" s="8" t="n">
        <v>45396</v>
      </c>
      <c r="E63" s="7" t="s">
        <v>777</v>
      </c>
      <c r="F63" s="7" t="s">
        <v>113</v>
      </c>
      <c r="G63" s="7" t="s">
        <v>87</v>
      </c>
      <c r="H63" s="7" t="s">
        <v>31</v>
      </c>
      <c r="I63" s="7" t="n">
        <v>709</v>
      </c>
      <c r="J63" s="7" t="n">
        <v>645</v>
      </c>
      <c r="K63" s="10" t="n">
        <v>2884.91</v>
      </c>
      <c r="L63" s="10" t="n">
        <f aca="false">J63*K63</f>
        <v>1860766.95</v>
      </c>
      <c r="M63" s="7" t="n">
        <f aca="false">D63-B63</f>
        <v>20</v>
      </c>
      <c r="N63" s="7" t="str">
        <f aca="false">IF(D63&lt;=C63,"Yes","No")</f>
        <v>No</v>
      </c>
      <c r="O63" s="7" t="n">
        <v>7860</v>
      </c>
    </row>
    <row r="64" customFormat="false" ht="15" hidden="false" customHeight="false" outlineLevel="0" collapsed="false">
      <c r="A64" s="7" t="s">
        <v>813</v>
      </c>
      <c r="B64" s="8" t="n">
        <v>45739</v>
      </c>
      <c r="C64" s="8" t="n">
        <v>45755</v>
      </c>
      <c r="D64" s="8" t="n">
        <v>45758</v>
      </c>
      <c r="E64" s="7" t="s">
        <v>753</v>
      </c>
      <c r="F64" s="7" t="s">
        <v>102</v>
      </c>
      <c r="G64" s="7" t="s">
        <v>65</v>
      </c>
      <c r="H64" s="7" t="s">
        <v>31</v>
      </c>
      <c r="I64" s="7" t="n">
        <v>4103</v>
      </c>
      <c r="J64" s="7" t="n">
        <v>3855</v>
      </c>
      <c r="K64" s="10" t="n">
        <v>1300.54</v>
      </c>
      <c r="L64" s="10" t="n">
        <f aca="false">J64*K64</f>
        <v>5013581.7</v>
      </c>
      <c r="M64" s="7" t="n">
        <f aca="false">D64-B64</f>
        <v>19</v>
      </c>
      <c r="N64" s="7" t="str">
        <f aca="false">IF(D64&lt;=C64,"Yes","No")</f>
        <v>No</v>
      </c>
      <c r="O64" s="7" t="n">
        <v>6366</v>
      </c>
    </row>
    <row r="65" customFormat="false" ht="15" hidden="false" customHeight="false" outlineLevel="0" collapsed="false">
      <c r="A65" s="7" t="s">
        <v>814</v>
      </c>
      <c r="B65" s="8" t="n">
        <v>45313</v>
      </c>
      <c r="C65" s="8" t="n">
        <v>45323</v>
      </c>
      <c r="D65" s="8" t="n">
        <v>45323</v>
      </c>
      <c r="E65" s="7" t="s">
        <v>777</v>
      </c>
      <c r="F65" s="7" t="s">
        <v>95</v>
      </c>
      <c r="G65" s="7" t="s">
        <v>83</v>
      </c>
      <c r="H65" s="7" t="s">
        <v>31</v>
      </c>
      <c r="I65" s="7" t="n">
        <v>3204</v>
      </c>
      <c r="J65" s="7" t="n">
        <v>3130</v>
      </c>
      <c r="K65" s="10" t="n">
        <v>3648.55</v>
      </c>
      <c r="L65" s="10" t="n">
        <f aca="false">J65*K65</f>
        <v>11419961.5</v>
      </c>
      <c r="M65" s="7" t="n">
        <f aca="false">D65-B65</f>
        <v>10</v>
      </c>
      <c r="N65" s="7" t="str">
        <f aca="false">IF(D65&lt;=C65,"Yes","No")</f>
        <v>Yes</v>
      </c>
      <c r="O65" s="7" t="n">
        <v>1167</v>
      </c>
    </row>
    <row r="66" customFormat="false" ht="15" hidden="false" customHeight="false" outlineLevel="0" collapsed="false">
      <c r="A66" s="7" t="s">
        <v>815</v>
      </c>
      <c r="B66" s="8" t="n">
        <v>45359</v>
      </c>
      <c r="C66" s="8" t="n">
        <v>45364</v>
      </c>
      <c r="D66" s="8" t="n">
        <v>45370</v>
      </c>
      <c r="E66" s="7" t="s">
        <v>771</v>
      </c>
      <c r="F66" s="7" t="s">
        <v>99</v>
      </c>
      <c r="G66" s="7" t="s">
        <v>87</v>
      </c>
      <c r="H66" s="7" t="s">
        <v>31</v>
      </c>
      <c r="I66" s="7" t="n">
        <v>1222</v>
      </c>
      <c r="J66" s="7" t="n">
        <v>1203</v>
      </c>
      <c r="K66" s="10" t="n">
        <v>1597.85</v>
      </c>
      <c r="L66" s="10" t="n">
        <f aca="false">J66*K66</f>
        <v>1922213.55</v>
      </c>
      <c r="M66" s="7" t="n">
        <f aca="false">D66-B66</f>
        <v>11</v>
      </c>
      <c r="N66" s="7" t="str">
        <f aca="false">IF(D66&lt;=C66,"Yes","No")</f>
        <v>No</v>
      </c>
      <c r="O66" s="7" t="n">
        <v>3921</v>
      </c>
    </row>
    <row r="67" customFormat="false" ht="15" hidden="false" customHeight="false" outlineLevel="0" collapsed="false">
      <c r="A67" s="7" t="s">
        <v>816</v>
      </c>
      <c r="B67" s="8" t="n">
        <v>45349</v>
      </c>
      <c r="C67" s="8" t="n">
        <v>45358</v>
      </c>
      <c r="D67" s="8" t="n">
        <v>45360</v>
      </c>
      <c r="E67" s="7" t="s">
        <v>753</v>
      </c>
      <c r="F67" s="7" t="s">
        <v>95</v>
      </c>
      <c r="G67" s="7" t="s">
        <v>87</v>
      </c>
      <c r="H67" s="7" t="s">
        <v>31</v>
      </c>
      <c r="I67" s="7" t="n">
        <v>1648</v>
      </c>
      <c r="J67" s="7" t="n">
        <v>1647</v>
      </c>
      <c r="K67" s="10" t="n">
        <v>3822.34</v>
      </c>
      <c r="L67" s="10" t="n">
        <f aca="false">J67*K67</f>
        <v>6295393.98</v>
      </c>
      <c r="M67" s="7" t="n">
        <f aca="false">D67-B67</f>
        <v>11</v>
      </c>
      <c r="N67" s="7" t="str">
        <f aca="false">IF(D67&lt;=C67,"Yes","No")</f>
        <v>No</v>
      </c>
      <c r="O67" s="7" t="n">
        <v>7342</v>
      </c>
    </row>
    <row r="68" customFormat="false" ht="15" hidden="false" customHeight="false" outlineLevel="0" collapsed="false">
      <c r="A68" s="7" t="s">
        <v>817</v>
      </c>
      <c r="B68" s="8" t="n">
        <v>45905</v>
      </c>
      <c r="C68" s="8" t="n">
        <v>45918</v>
      </c>
      <c r="D68" s="8" t="n">
        <v>45920</v>
      </c>
      <c r="E68" s="7" t="s">
        <v>766</v>
      </c>
      <c r="F68" s="7" t="s">
        <v>95</v>
      </c>
      <c r="G68" s="7" t="s">
        <v>68</v>
      </c>
      <c r="H68" s="7" t="s">
        <v>31</v>
      </c>
      <c r="I68" s="7" t="n">
        <v>4914</v>
      </c>
      <c r="J68" s="7" t="n">
        <v>4557</v>
      </c>
      <c r="K68" s="10" t="n">
        <v>1770.67</v>
      </c>
      <c r="L68" s="10" t="n">
        <f aca="false">J68*K68</f>
        <v>8068943.19</v>
      </c>
      <c r="M68" s="7" t="n">
        <f aca="false">D68-B68</f>
        <v>15</v>
      </c>
      <c r="N68" s="7" t="str">
        <f aca="false">IF(D68&lt;=C68,"Yes","No")</f>
        <v>No</v>
      </c>
      <c r="O68" s="7" t="n">
        <v>2764</v>
      </c>
    </row>
    <row r="69" customFormat="false" ht="15" hidden="false" customHeight="false" outlineLevel="0" collapsed="false">
      <c r="A69" s="7" t="s">
        <v>818</v>
      </c>
      <c r="B69" s="8" t="n">
        <v>45666</v>
      </c>
      <c r="C69" s="8" t="n">
        <v>45678</v>
      </c>
      <c r="D69" s="8" t="n">
        <v>45683</v>
      </c>
      <c r="E69" s="7" t="s">
        <v>777</v>
      </c>
      <c r="F69" s="7" t="s">
        <v>113</v>
      </c>
      <c r="G69" s="7" t="s">
        <v>65</v>
      </c>
      <c r="H69" s="7" t="s">
        <v>31</v>
      </c>
      <c r="I69" s="7" t="n">
        <v>3013</v>
      </c>
      <c r="J69" s="7" t="n">
        <v>2803</v>
      </c>
      <c r="K69" s="10" t="n">
        <v>4007.07</v>
      </c>
      <c r="L69" s="10" t="n">
        <f aca="false">J69*K69</f>
        <v>11231817.21</v>
      </c>
      <c r="M69" s="7" t="n">
        <f aca="false">D69-B69</f>
        <v>17</v>
      </c>
      <c r="N69" s="7" t="str">
        <f aca="false">IF(D69&lt;=C69,"Yes","No")</f>
        <v>No</v>
      </c>
      <c r="O69" s="7" t="n">
        <v>6769</v>
      </c>
    </row>
    <row r="70" customFormat="false" ht="15" hidden="false" customHeight="false" outlineLevel="0" collapsed="false">
      <c r="A70" s="7" t="s">
        <v>819</v>
      </c>
      <c r="B70" s="8" t="n">
        <v>45716</v>
      </c>
      <c r="C70" s="8" t="n">
        <v>45736</v>
      </c>
      <c r="D70" s="8" t="n">
        <v>45737</v>
      </c>
      <c r="E70" s="7" t="s">
        <v>749</v>
      </c>
      <c r="F70" s="7" t="s">
        <v>104</v>
      </c>
      <c r="G70" s="7" t="s">
        <v>68</v>
      </c>
      <c r="H70" s="7" t="s">
        <v>31</v>
      </c>
      <c r="I70" s="7" t="n">
        <v>926</v>
      </c>
      <c r="J70" s="7" t="n">
        <v>852</v>
      </c>
      <c r="K70" s="10" t="n">
        <v>3213.34</v>
      </c>
      <c r="L70" s="10" t="n">
        <f aca="false">J70*K70</f>
        <v>2737765.68</v>
      </c>
      <c r="M70" s="7" t="n">
        <f aca="false">D70-B70</f>
        <v>21</v>
      </c>
      <c r="N70" s="7" t="str">
        <f aca="false">IF(D70&lt;=C70,"Yes","No")</f>
        <v>No</v>
      </c>
      <c r="O70" s="7" t="n">
        <v>7838</v>
      </c>
    </row>
    <row r="71" customFormat="false" ht="15" hidden="false" customHeight="false" outlineLevel="0" collapsed="false">
      <c r="A71" s="7" t="s">
        <v>820</v>
      </c>
      <c r="B71" s="8" t="n">
        <v>45738</v>
      </c>
      <c r="C71" s="8" t="n">
        <v>45756</v>
      </c>
      <c r="D71" s="8" t="n">
        <v>45762</v>
      </c>
      <c r="E71" s="7" t="s">
        <v>751</v>
      </c>
      <c r="F71" s="7" t="s">
        <v>109</v>
      </c>
      <c r="G71" s="7" t="s">
        <v>83</v>
      </c>
      <c r="H71" s="7" t="s">
        <v>31</v>
      </c>
      <c r="I71" s="7" t="n">
        <v>2140</v>
      </c>
      <c r="J71" s="7" t="n">
        <v>2023</v>
      </c>
      <c r="K71" s="10" t="n">
        <v>3415.59</v>
      </c>
      <c r="L71" s="10" t="n">
        <f aca="false">J71*K71</f>
        <v>6909738.57</v>
      </c>
      <c r="M71" s="7" t="n">
        <f aca="false">D71-B71</f>
        <v>24</v>
      </c>
      <c r="N71" s="7" t="str">
        <f aca="false">IF(D71&lt;=C71,"Yes","No")</f>
        <v>No</v>
      </c>
      <c r="O71" s="7" t="n">
        <v>5638</v>
      </c>
    </row>
    <row r="72" customFormat="false" ht="15" hidden="false" customHeight="false" outlineLevel="0" collapsed="false">
      <c r="A72" s="7" t="s">
        <v>821</v>
      </c>
      <c r="B72" s="8" t="n">
        <v>45346</v>
      </c>
      <c r="C72" s="8" t="n">
        <v>45359</v>
      </c>
      <c r="D72" s="8" t="n">
        <v>45356</v>
      </c>
      <c r="E72" s="7" t="s">
        <v>742</v>
      </c>
      <c r="F72" s="7" t="s">
        <v>99</v>
      </c>
      <c r="G72" s="7" t="s">
        <v>87</v>
      </c>
      <c r="H72" s="7" t="s">
        <v>31</v>
      </c>
      <c r="I72" s="7" t="n">
        <v>3150</v>
      </c>
      <c r="J72" s="7" t="n">
        <v>2846</v>
      </c>
      <c r="K72" s="10" t="n">
        <v>1612.86</v>
      </c>
      <c r="L72" s="10" t="n">
        <f aca="false">J72*K72</f>
        <v>4590199.56</v>
      </c>
      <c r="M72" s="7" t="n">
        <f aca="false">D72-B72</f>
        <v>10</v>
      </c>
      <c r="N72" s="7" t="str">
        <f aca="false">IF(D72&lt;=C72,"Yes","No")</f>
        <v>Yes</v>
      </c>
      <c r="O72" s="7" t="n">
        <v>3797</v>
      </c>
    </row>
    <row r="73" customFormat="false" ht="15" hidden="false" customHeight="false" outlineLevel="0" collapsed="false">
      <c r="A73" s="7" t="s">
        <v>822</v>
      </c>
      <c r="B73" s="8" t="n">
        <v>45572</v>
      </c>
      <c r="C73" s="8" t="n">
        <v>45581</v>
      </c>
      <c r="D73" s="8" t="n">
        <v>45587</v>
      </c>
      <c r="E73" s="7" t="s">
        <v>744</v>
      </c>
      <c r="F73" s="7" t="s">
        <v>115</v>
      </c>
      <c r="G73" s="7" t="s">
        <v>87</v>
      </c>
      <c r="H73" s="7" t="s">
        <v>31</v>
      </c>
      <c r="I73" s="7" t="n">
        <v>4144</v>
      </c>
      <c r="J73" s="7" t="n">
        <v>3814</v>
      </c>
      <c r="K73" s="10" t="n">
        <v>1551.89</v>
      </c>
      <c r="L73" s="10" t="n">
        <f aca="false">J73*K73</f>
        <v>5918908.46</v>
      </c>
      <c r="M73" s="7" t="n">
        <f aca="false">D73-B73</f>
        <v>15</v>
      </c>
      <c r="N73" s="7" t="str">
        <f aca="false">IF(D73&lt;=C73,"Yes","No")</f>
        <v>No</v>
      </c>
      <c r="O73" s="7" t="n">
        <v>1675</v>
      </c>
    </row>
    <row r="74" customFormat="false" ht="15" hidden="false" customHeight="false" outlineLevel="0" collapsed="false">
      <c r="A74" s="7" t="s">
        <v>823</v>
      </c>
      <c r="B74" s="8" t="n">
        <v>45716</v>
      </c>
      <c r="C74" s="8" t="n">
        <v>45722</v>
      </c>
      <c r="D74" s="8" t="n">
        <v>45719</v>
      </c>
      <c r="E74" s="7" t="s">
        <v>751</v>
      </c>
      <c r="F74" s="7" t="s">
        <v>99</v>
      </c>
      <c r="G74" s="7" t="s">
        <v>87</v>
      </c>
      <c r="H74" s="7" t="s">
        <v>31</v>
      </c>
      <c r="I74" s="7" t="n">
        <v>1975</v>
      </c>
      <c r="J74" s="7" t="n">
        <v>1780</v>
      </c>
      <c r="K74" s="10" t="n">
        <v>3468.73</v>
      </c>
      <c r="L74" s="10" t="n">
        <f aca="false">J74*K74</f>
        <v>6174339.4</v>
      </c>
      <c r="M74" s="7" t="n">
        <f aca="false">D74-B74</f>
        <v>3</v>
      </c>
      <c r="N74" s="7" t="str">
        <f aca="false">IF(D74&lt;=C74,"Yes","No")</f>
        <v>Yes</v>
      </c>
      <c r="O74" s="7" t="n">
        <v>6239</v>
      </c>
    </row>
    <row r="75" customFormat="false" ht="15" hidden="false" customHeight="false" outlineLevel="0" collapsed="false">
      <c r="A75" s="7" t="s">
        <v>824</v>
      </c>
      <c r="B75" s="8" t="n">
        <v>45459</v>
      </c>
      <c r="C75" s="8" t="n">
        <v>45469</v>
      </c>
      <c r="D75" s="8" t="n">
        <v>45476</v>
      </c>
      <c r="E75" s="7" t="s">
        <v>749</v>
      </c>
      <c r="F75" s="7" t="s">
        <v>104</v>
      </c>
      <c r="G75" s="7" t="s">
        <v>68</v>
      </c>
      <c r="H75" s="7" t="s">
        <v>31</v>
      </c>
      <c r="I75" s="7" t="n">
        <v>1694</v>
      </c>
      <c r="J75" s="7" t="n">
        <v>1656</v>
      </c>
      <c r="K75" s="10" t="n">
        <v>3446.66</v>
      </c>
      <c r="L75" s="10" t="n">
        <f aca="false">J75*K75</f>
        <v>5707668.96</v>
      </c>
      <c r="M75" s="7" t="n">
        <f aca="false">D75-B75</f>
        <v>17</v>
      </c>
      <c r="N75" s="7" t="str">
        <f aca="false">IF(D75&lt;=C75,"Yes","No")</f>
        <v>No</v>
      </c>
      <c r="O75" s="7" t="n">
        <v>4428</v>
      </c>
    </row>
    <row r="76" customFormat="false" ht="15" hidden="false" customHeight="false" outlineLevel="0" collapsed="false">
      <c r="A76" s="7" t="s">
        <v>825</v>
      </c>
      <c r="B76" s="8" t="n">
        <v>45397</v>
      </c>
      <c r="C76" s="8" t="n">
        <v>45403</v>
      </c>
      <c r="D76" s="8" t="n">
        <v>45403</v>
      </c>
      <c r="E76" s="7" t="s">
        <v>758</v>
      </c>
      <c r="F76" s="7" t="s">
        <v>95</v>
      </c>
      <c r="G76" s="7" t="s">
        <v>87</v>
      </c>
      <c r="H76" s="7" t="s">
        <v>31</v>
      </c>
      <c r="I76" s="7" t="n">
        <v>2333</v>
      </c>
      <c r="J76" s="7" t="n">
        <v>2253</v>
      </c>
      <c r="K76" s="10" t="n">
        <v>1753.08</v>
      </c>
      <c r="L76" s="10" t="n">
        <f aca="false">J76*K76</f>
        <v>3949689.24</v>
      </c>
      <c r="M76" s="7" t="n">
        <f aca="false">D76-B76</f>
        <v>6</v>
      </c>
      <c r="N76" s="7" t="str">
        <f aca="false">IF(D76&lt;=C76,"Yes","No")</f>
        <v>Yes</v>
      </c>
      <c r="O76" s="7" t="n">
        <v>7620</v>
      </c>
    </row>
    <row r="77" customFormat="false" ht="15" hidden="false" customHeight="false" outlineLevel="0" collapsed="false">
      <c r="A77" s="7" t="s">
        <v>826</v>
      </c>
      <c r="B77" s="8" t="n">
        <v>45738</v>
      </c>
      <c r="C77" s="8" t="n">
        <v>45754</v>
      </c>
      <c r="D77" s="8" t="n">
        <v>45753</v>
      </c>
      <c r="E77" s="7" t="s">
        <v>771</v>
      </c>
      <c r="F77" s="7" t="s">
        <v>102</v>
      </c>
      <c r="G77" s="7" t="s">
        <v>65</v>
      </c>
      <c r="H77" s="7" t="s">
        <v>31</v>
      </c>
      <c r="I77" s="7" t="n">
        <v>1811</v>
      </c>
      <c r="J77" s="7" t="n">
        <v>1781</v>
      </c>
      <c r="K77" s="10" t="n">
        <v>1886.45</v>
      </c>
      <c r="L77" s="10" t="n">
        <f aca="false">J77*K77</f>
        <v>3359767.45</v>
      </c>
      <c r="M77" s="7" t="n">
        <f aca="false">D77-B77</f>
        <v>15</v>
      </c>
      <c r="N77" s="7" t="str">
        <f aca="false">IF(D77&lt;=C77,"Yes","No")</f>
        <v>Yes</v>
      </c>
      <c r="O77" s="7" t="n">
        <v>2106</v>
      </c>
    </row>
    <row r="78" customFormat="false" ht="15" hidden="false" customHeight="false" outlineLevel="0" collapsed="false">
      <c r="A78" s="7" t="s">
        <v>827</v>
      </c>
      <c r="B78" s="8" t="n">
        <v>45864</v>
      </c>
      <c r="C78" s="8" t="n">
        <v>45877</v>
      </c>
      <c r="D78" s="8" t="n">
        <v>45882</v>
      </c>
      <c r="E78" s="7" t="s">
        <v>751</v>
      </c>
      <c r="F78" s="7" t="s">
        <v>106</v>
      </c>
      <c r="G78" s="7" t="s">
        <v>83</v>
      </c>
      <c r="H78" s="7" t="s">
        <v>31</v>
      </c>
      <c r="I78" s="7" t="n">
        <v>3157</v>
      </c>
      <c r="J78" s="7" t="n">
        <v>3014</v>
      </c>
      <c r="K78" s="10" t="n">
        <v>1593.95</v>
      </c>
      <c r="L78" s="10" t="n">
        <f aca="false">J78*K78</f>
        <v>4804165.3</v>
      </c>
      <c r="M78" s="7" t="n">
        <f aca="false">D78-B78</f>
        <v>18</v>
      </c>
      <c r="N78" s="7" t="str">
        <f aca="false">IF(D78&lt;=C78,"Yes","No")</f>
        <v>No</v>
      </c>
      <c r="O78" s="7" t="n">
        <v>7945</v>
      </c>
    </row>
    <row r="79" customFormat="false" ht="15" hidden="false" customHeight="false" outlineLevel="0" collapsed="false">
      <c r="A79" s="7" t="s">
        <v>828</v>
      </c>
      <c r="B79" s="8" t="n">
        <v>45938</v>
      </c>
      <c r="C79" s="8" t="n">
        <v>45953</v>
      </c>
      <c r="D79" s="8" t="n">
        <v>45950</v>
      </c>
      <c r="E79" s="7" t="s">
        <v>747</v>
      </c>
      <c r="F79" s="7" t="s">
        <v>113</v>
      </c>
      <c r="G79" s="7" t="s">
        <v>68</v>
      </c>
      <c r="H79" s="7" t="s">
        <v>31</v>
      </c>
      <c r="I79" s="7" t="n">
        <v>2884</v>
      </c>
      <c r="J79" s="7" t="n">
        <v>2660</v>
      </c>
      <c r="K79" s="10" t="n">
        <v>2819.16</v>
      </c>
      <c r="L79" s="10" t="n">
        <f aca="false">J79*K79</f>
        <v>7498965.6</v>
      </c>
      <c r="M79" s="7" t="n">
        <f aca="false">D79-B79</f>
        <v>12</v>
      </c>
      <c r="N79" s="7" t="str">
        <f aca="false">IF(D79&lt;=C79,"Yes","No")</f>
        <v>Yes</v>
      </c>
      <c r="O79" s="7" t="n">
        <v>966</v>
      </c>
    </row>
    <row r="80" customFormat="false" ht="15" hidden="false" customHeight="false" outlineLevel="0" collapsed="false">
      <c r="A80" s="7" t="s">
        <v>829</v>
      </c>
      <c r="B80" s="8" t="n">
        <v>45488</v>
      </c>
      <c r="C80" s="8" t="n">
        <v>45495</v>
      </c>
      <c r="D80" s="8" t="n">
        <v>45494</v>
      </c>
      <c r="E80" s="7" t="s">
        <v>777</v>
      </c>
      <c r="F80" s="7" t="s">
        <v>109</v>
      </c>
      <c r="G80" s="7" t="s">
        <v>87</v>
      </c>
      <c r="H80" s="7" t="s">
        <v>31</v>
      </c>
      <c r="I80" s="7" t="n">
        <v>1436</v>
      </c>
      <c r="J80" s="7" t="n">
        <v>1297</v>
      </c>
      <c r="K80" s="10" t="n">
        <v>2101.72</v>
      </c>
      <c r="L80" s="10" t="n">
        <f aca="false">J80*K80</f>
        <v>2725930.84</v>
      </c>
      <c r="M80" s="7" t="n">
        <f aca="false">D80-B80</f>
        <v>6</v>
      </c>
      <c r="N80" s="7" t="str">
        <f aca="false">IF(D80&lt;=C80,"Yes","No")</f>
        <v>Yes</v>
      </c>
      <c r="O80" s="7" t="n">
        <v>5586</v>
      </c>
    </row>
    <row r="81" customFormat="false" ht="15" hidden="false" customHeight="false" outlineLevel="0" collapsed="false">
      <c r="A81" s="7" t="s">
        <v>830</v>
      </c>
      <c r="B81" s="8" t="n">
        <v>45494</v>
      </c>
      <c r="C81" s="8" t="n">
        <v>45513</v>
      </c>
      <c r="D81" s="8" t="n">
        <v>45518</v>
      </c>
      <c r="E81" s="7" t="s">
        <v>758</v>
      </c>
      <c r="F81" s="7" t="s">
        <v>106</v>
      </c>
      <c r="G81" s="7" t="s">
        <v>87</v>
      </c>
      <c r="H81" s="7" t="s">
        <v>31</v>
      </c>
      <c r="I81" s="7" t="n">
        <v>3350</v>
      </c>
      <c r="J81" s="7" t="n">
        <v>3020</v>
      </c>
      <c r="K81" s="10" t="n">
        <v>3691.4</v>
      </c>
      <c r="L81" s="10" t="n">
        <f aca="false">J81*K81</f>
        <v>11148028</v>
      </c>
      <c r="M81" s="7" t="n">
        <f aca="false">D81-B81</f>
        <v>24</v>
      </c>
      <c r="N81" s="7" t="str">
        <f aca="false">IF(D81&lt;=C81,"Yes","No")</f>
        <v>No</v>
      </c>
      <c r="O81" s="7" t="n">
        <v>7485</v>
      </c>
    </row>
    <row r="82" customFormat="false" ht="15" hidden="false" customHeight="false" outlineLevel="0" collapsed="false">
      <c r="A82" s="7" t="s">
        <v>831</v>
      </c>
      <c r="B82" s="8" t="n">
        <v>45358</v>
      </c>
      <c r="C82" s="8" t="n">
        <v>45376</v>
      </c>
      <c r="D82" s="8" t="n">
        <v>45377</v>
      </c>
      <c r="E82" s="7" t="s">
        <v>749</v>
      </c>
      <c r="F82" s="7" t="s">
        <v>99</v>
      </c>
      <c r="G82" s="7" t="s">
        <v>68</v>
      </c>
      <c r="H82" s="7" t="s">
        <v>31</v>
      </c>
      <c r="I82" s="7" t="n">
        <v>1644</v>
      </c>
      <c r="J82" s="7" t="n">
        <v>1556</v>
      </c>
      <c r="K82" s="10" t="n">
        <v>3640.76</v>
      </c>
      <c r="L82" s="10" t="n">
        <f aca="false">J82*K82</f>
        <v>5665022.56</v>
      </c>
      <c r="M82" s="7" t="n">
        <f aca="false">D82-B82</f>
        <v>19</v>
      </c>
      <c r="N82" s="7" t="str">
        <f aca="false">IF(D82&lt;=C82,"Yes","No")</f>
        <v>No</v>
      </c>
      <c r="O82" s="7" t="n">
        <v>6467</v>
      </c>
    </row>
    <row r="83" customFormat="false" ht="15" hidden="false" customHeight="false" outlineLevel="0" collapsed="false">
      <c r="A83" s="7" t="s">
        <v>832</v>
      </c>
      <c r="B83" s="8" t="n">
        <v>45523</v>
      </c>
      <c r="C83" s="8" t="n">
        <v>45535</v>
      </c>
      <c r="D83" s="8" t="n">
        <v>45532</v>
      </c>
      <c r="E83" s="7" t="s">
        <v>744</v>
      </c>
      <c r="F83" s="7" t="s">
        <v>99</v>
      </c>
      <c r="G83" s="7" t="s">
        <v>65</v>
      </c>
      <c r="H83" s="7" t="s">
        <v>31</v>
      </c>
      <c r="I83" s="7" t="n">
        <v>3320</v>
      </c>
      <c r="J83" s="7" t="n">
        <v>3052</v>
      </c>
      <c r="K83" s="10" t="n">
        <v>1363.19</v>
      </c>
      <c r="L83" s="10" t="n">
        <f aca="false">J83*K83</f>
        <v>4160455.88</v>
      </c>
      <c r="M83" s="7" t="n">
        <f aca="false">D83-B83</f>
        <v>9</v>
      </c>
      <c r="N83" s="7" t="str">
        <f aca="false">IF(D83&lt;=C83,"Yes","No")</f>
        <v>Yes</v>
      </c>
      <c r="O83" s="7" t="n">
        <v>2657</v>
      </c>
    </row>
    <row r="84" customFormat="false" ht="15" hidden="false" customHeight="false" outlineLevel="0" collapsed="false">
      <c r="A84" s="7" t="s">
        <v>833</v>
      </c>
      <c r="B84" s="8" t="n">
        <v>45328</v>
      </c>
      <c r="C84" s="8" t="n">
        <v>45341</v>
      </c>
      <c r="D84" s="8" t="n">
        <v>45343</v>
      </c>
      <c r="E84" s="7" t="s">
        <v>753</v>
      </c>
      <c r="F84" s="7" t="s">
        <v>115</v>
      </c>
      <c r="G84" s="7" t="s">
        <v>68</v>
      </c>
      <c r="H84" s="7" t="s">
        <v>31</v>
      </c>
      <c r="I84" s="7" t="n">
        <v>3199</v>
      </c>
      <c r="J84" s="7" t="n">
        <v>3116</v>
      </c>
      <c r="K84" s="10" t="n">
        <v>1461.77</v>
      </c>
      <c r="L84" s="10" t="n">
        <f aca="false">J84*K84</f>
        <v>4554875.32</v>
      </c>
      <c r="M84" s="7" t="n">
        <f aca="false">D84-B84</f>
        <v>15</v>
      </c>
      <c r="N84" s="7" t="str">
        <f aca="false">IF(D84&lt;=C84,"Yes","No")</f>
        <v>No</v>
      </c>
      <c r="O84" s="7" t="n">
        <v>6653</v>
      </c>
    </row>
    <row r="85" customFormat="false" ht="15" hidden="false" customHeight="false" outlineLevel="0" collapsed="false">
      <c r="A85" s="7" t="s">
        <v>834</v>
      </c>
      <c r="B85" s="8" t="n">
        <v>45591</v>
      </c>
      <c r="C85" s="8" t="n">
        <v>45596</v>
      </c>
      <c r="D85" s="8" t="n">
        <v>45601</v>
      </c>
      <c r="E85" s="7" t="s">
        <v>753</v>
      </c>
      <c r="F85" s="7" t="s">
        <v>99</v>
      </c>
      <c r="G85" s="7" t="s">
        <v>65</v>
      </c>
      <c r="H85" s="7" t="s">
        <v>31</v>
      </c>
      <c r="I85" s="7" t="n">
        <v>1821</v>
      </c>
      <c r="J85" s="7" t="n">
        <v>1747</v>
      </c>
      <c r="K85" s="10" t="n">
        <v>2507.17</v>
      </c>
      <c r="L85" s="10" t="n">
        <f aca="false">J85*K85</f>
        <v>4380025.99</v>
      </c>
      <c r="M85" s="7" t="n">
        <f aca="false">D85-B85</f>
        <v>10</v>
      </c>
      <c r="N85" s="7" t="str">
        <f aca="false">IF(D85&lt;=C85,"Yes","No")</f>
        <v>No</v>
      </c>
      <c r="O85" s="7" t="n">
        <v>476</v>
      </c>
    </row>
    <row r="86" customFormat="false" ht="15" hidden="false" customHeight="false" outlineLevel="0" collapsed="false">
      <c r="A86" s="7" t="s">
        <v>835</v>
      </c>
      <c r="B86" s="8" t="n">
        <v>45339</v>
      </c>
      <c r="C86" s="8" t="n">
        <v>45360</v>
      </c>
      <c r="D86" s="8" t="n">
        <v>45358</v>
      </c>
      <c r="E86" s="7" t="s">
        <v>777</v>
      </c>
      <c r="F86" s="7" t="s">
        <v>102</v>
      </c>
      <c r="G86" s="7" t="s">
        <v>87</v>
      </c>
      <c r="H86" s="7" t="s">
        <v>31</v>
      </c>
      <c r="I86" s="7" t="n">
        <v>3390</v>
      </c>
      <c r="J86" s="7" t="n">
        <v>3076</v>
      </c>
      <c r="K86" s="10" t="n">
        <v>3492.21</v>
      </c>
      <c r="L86" s="10" t="n">
        <f aca="false">J86*K86</f>
        <v>10742037.96</v>
      </c>
      <c r="M86" s="7" t="n">
        <f aca="false">D86-B86</f>
        <v>19</v>
      </c>
      <c r="N86" s="7" t="str">
        <f aca="false">IF(D86&lt;=C86,"Yes","No")</f>
        <v>Yes</v>
      </c>
      <c r="O86" s="7" t="n">
        <v>6214</v>
      </c>
    </row>
    <row r="87" customFormat="false" ht="15" hidden="false" customHeight="false" outlineLevel="0" collapsed="false">
      <c r="A87" s="7" t="s">
        <v>836</v>
      </c>
      <c r="B87" s="8" t="n">
        <v>45455</v>
      </c>
      <c r="C87" s="8" t="n">
        <v>45463</v>
      </c>
      <c r="D87" s="8" t="n">
        <v>45470</v>
      </c>
      <c r="E87" s="7" t="s">
        <v>758</v>
      </c>
      <c r="F87" s="7" t="s">
        <v>109</v>
      </c>
      <c r="G87" s="7" t="s">
        <v>65</v>
      </c>
      <c r="H87" s="7" t="s">
        <v>31</v>
      </c>
      <c r="I87" s="7" t="n">
        <v>4434</v>
      </c>
      <c r="J87" s="7" t="n">
        <v>4125</v>
      </c>
      <c r="K87" s="10" t="n">
        <v>1766.74</v>
      </c>
      <c r="L87" s="10" t="n">
        <f aca="false">J87*K87</f>
        <v>7287802.5</v>
      </c>
      <c r="M87" s="7" t="n">
        <f aca="false">D87-B87</f>
        <v>15</v>
      </c>
      <c r="N87" s="7" t="str">
        <f aca="false">IF(D87&lt;=C87,"Yes","No")</f>
        <v>No</v>
      </c>
      <c r="O87" s="7" t="n">
        <v>1072</v>
      </c>
    </row>
    <row r="88" customFormat="false" ht="15" hidden="false" customHeight="false" outlineLevel="0" collapsed="false">
      <c r="A88" s="7" t="s">
        <v>837</v>
      </c>
      <c r="B88" s="8" t="n">
        <v>45508</v>
      </c>
      <c r="C88" s="8" t="n">
        <v>45515</v>
      </c>
      <c r="D88" s="8" t="n">
        <v>45519</v>
      </c>
      <c r="E88" s="7" t="s">
        <v>749</v>
      </c>
      <c r="F88" s="7" t="s">
        <v>99</v>
      </c>
      <c r="G88" s="7" t="s">
        <v>83</v>
      </c>
      <c r="H88" s="7" t="s">
        <v>31</v>
      </c>
      <c r="I88" s="7" t="n">
        <v>4332</v>
      </c>
      <c r="J88" s="7" t="n">
        <v>4005</v>
      </c>
      <c r="K88" s="10" t="n">
        <v>2902.98</v>
      </c>
      <c r="L88" s="10" t="n">
        <f aca="false">J88*K88</f>
        <v>11626434.9</v>
      </c>
      <c r="M88" s="7" t="n">
        <f aca="false">D88-B88</f>
        <v>11</v>
      </c>
      <c r="N88" s="7" t="str">
        <f aca="false">IF(D88&lt;=C88,"Yes","No")</f>
        <v>No</v>
      </c>
      <c r="O88" s="7" t="n">
        <v>544</v>
      </c>
    </row>
    <row r="89" customFormat="false" ht="15" hidden="false" customHeight="false" outlineLevel="0" collapsed="false">
      <c r="A89" s="7" t="s">
        <v>838</v>
      </c>
      <c r="B89" s="8" t="n">
        <v>45786</v>
      </c>
      <c r="C89" s="8" t="n">
        <v>45800</v>
      </c>
      <c r="D89" s="8" t="n">
        <v>45800</v>
      </c>
      <c r="E89" s="7" t="s">
        <v>749</v>
      </c>
      <c r="F89" s="7" t="s">
        <v>113</v>
      </c>
      <c r="G89" s="7" t="s">
        <v>68</v>
      </c>
      <c r="H89" s="7" t="s">
        <v>31</v>
      </c>
      <c r="I89" s="7" t="n">
        <v>1541</v>
      </c>
      <c r="J89" s="7" t="n">
        <v>1526</v>
      </c>
      <c r="K89" s="10" t="n">
        <v>3488.35</v>
      </c>
      <c r="L89" s="10" t="n">
        <f aca="false">J89*K89</f>
        <v>5323222.1</v>
      </c>
      <c r="M89" s="7" t="n">
        <f aca="false">D89-B89</f>
        <v>14</v>
      </c>
      <c r="N89" s="7" t="str">
        <f aca="false">IF(D89&lt;=C89,"Yes","No")</f>
        <v>Yes</v>
      </c>
      <c r="O89" s="7" t="n">
        <v>4581</v>
      </c>
    </row>
    <row r="90" customFormat="false" ht="15" hidden="false" customHeight="false" outlineLevel="0" collapsed="false">
      <c r="A90" s="7" t="s">
        <v>839</v>
      </c>
      <c r="B90" s="8" t="n">
        <v>45785</v>
      </c>
      <c r="C90" s="8" t="n">
        <v>45791</v>
      </c>
      <c r="D90" s="8" t="n">
        <v>45788</v>
      </c>
      <c r="E90" s="7" t="s">
        <v>758</v>
      </c>
      <c r="F90" s="7" t="s">
        <v>95</v>
      </c>
      <c r="G90" s="7" t="s">
        <v>87</v>
      </c>
      <c r="H90" s="7" t="s">
        <v>31</v>
      </c>
      <c r="I90" s="7" t="n">
        <v>2227</v>
      </c>
      <c r="J90" s="7" t="n">
        <v>2157</v>
      </c>
      <c r="K90" s="10" t="n">
        <v>1648.27</v>
      </c>
      <c r="L90" s="10" t="n">
        <f aca="false">J90*K90</f>
        <v>3555318.39</v>
      </c>
      <c r="M90" s="7" t="n">
        <f aca="false">D90-B90</f>
        <v>3</v>
      </c>
      <c r="N90" s="7" t="str">
        <f aca="false">IF(D90&lt;=C90,"Yes","No")</f>
        <v>Yes</v>
      </c>
      <c r="O90" s="7" t="n">
        <v>6344</v>
      </c>
    </row>
    <row r="91" customFormat="false" ht="15" hidden="false" customHeight="false" outlineLevel="0" collapsed="false">
      <c r="A91" s="7" t="s">
        <v>840</v>
      </c>
      <c r="B91" s="8" t="n">
        <v>45448</v>
      </c>
      <c r="C91" s="8" t="n">
        <v>45459</v>
      </c>
      <c r="D91" s="8" t="n">
        <v>45456</v>
      </c>
      <c r="E91" s="7" t="s">
        <v>777</v>
      </c>
      <c r="F91" s="7" t="s">
        <v>113</v>
      </c>
      <c r="G91" s="7" t="s">
        <v>65</v>
      </c>
      <c r="H91" s="7" t="s">
        <v>31</v>
      </c>
      <c r="I91" s="7" t="n">
        <v>2891</v>
      </c>
      <c r="J91" s="7" t="n">
        <v>2766</v>
      </c>
      <c r="K91" s="10" t="n">
        <v>1246.78</v>
      </c>
      <c r="L91" s="10" t="n">
        <f aca="false">J91*K91</f>
        <v>3448593.48</v>
      </c>
      <c r="M91" s="7" t="n">
        <f aca="false">D91-B91</f>
        <v>8</v>
      </c>
      <c r="N91" s="7" t="str">
        <f aca="false">IF(D91&lt;=C91,"Yes","No")</f>
        <v>Yes</v>
      </c>
      <c r="O91" s="7" t="n">
        <v>5638</v>
      </c>
    </row>
    <row r="92" customFormat="false" ht="15" hidden="false" customHeight="false" outlineLevel="0" collapsed="false">
      <c r="A92" s="7" t="s">
        <v>841</v>
      </c>
      <c r="B92" s="8" t="n">
        <v>45845</v>
      </c>
      <c r="C92" s="8" t="n">
        <v>45855</v>
      </c>
      <c r="D92" s="8" t="n">
        <v>45855</v>
      </c>
      <c r="E92" s="7" t="s">
        <v>744</v>
      </c>
      <c r="F92" s="7" t="s">
        <v>95</v>
      </c>
      <c r="G92" s="7" t="s">
        <v>68</v>
      </c>
      <c r="H92" s="7" t="s">
        <v>31</v>
      </c>
      <c r="I92" s="7" t="n">
        <v>1098</v>
      </c>
      <c r="J92" s="7" t="n">
        <v>1053</v>
      </c>
      <c r="K92" s="10" t="n">
        <v>4436.92</v>
      </c>
      <c r="L92" s="10" t="n">
        <f aca="false">J92*K92</f>
        <v>4672076.76</v>
      </c>
      <c r="M92" s="7" t="n">
        <f aca="false">D92-B92</f>
        <v>10</v>
      </c>
      <c r="N92" s="7" t="str">
        <f aca="false">IF(D92&lt;=C92,"Yes","No")</f>
        <v>Yes</v>
      </c>
      <c r="O92" s="7" t="n">
        <v>537</v>
      </c>
    </row>
    <row r="93" customFormat="false" ht="15" hidden="false" customHeight="false" outlineLevel="0" collapsed="false">
      <c r="A93" s="7" t="s">
        <v>842</v>
      </c>
      <c r="B93" s="8" t="n">
        <v>45493</v>
      </c>
      <c r="C93" s="8" t="n">
        <v>45501</v>
      </c>
      <c r="D93" s="8" t="n">
        <v>45502</v>
      </c>
      <c r="E93" s="7" t="s">
        <v>747</v>
      </c>
      <c r="F93" s="7" t="s">
        <v>99</v>
      </c>
      <c r="G93" s="7" t="s">
        <v>87</v>
      </c>
      <c r="H93" s="7" t="s">
        <v>31</v>
      </c>
      <c r="I93" s="7" t="n">
        <v>1997</v>
      </c>
      <c r="J93" s="7" t="n">
        <v>1799</v>
      </c>
      <c r="K93" s="10" t="n">
        <v>4279.14</v>
      </c>
      <c r="L93" s="10" t="n">
        <f aca="false">J93*K93</f>
        <v>7698172.86</v>
      </c>
      <c r="M93" s="7" t="n">
        <f aca="false">D93-B93</f>
        <v>9</v>
      </c>
      <c r="N93" s="7" t="str">
        <f aca="false">IF(D93&lt;=C93,"Yes","No")</f>
        <v>No</v>
      </c>
      <c r="O93" s="7" t="n">
        <v>3574</v>
      </c>
    </row>
    <row r="94" customFormat="false" ht="15" hidden="false" customHeight="false" outlineLevel="0" collapsed="false">
      <c r="A94" s="7" t="s">
        <v>843</v>
      </c>
      <c r="B94" s="8" t="n">
        <v>45690</v>
      </c>
      <c r="C94" s="8" t="n">
        <v>45695</v>
      </c>
      <c r="D94" s="8" t="n">
        <v>45695</v>
      </c>
      <c r="E94" s="7" t="s">
        <v>751</v>
      </c>
      <c r="F94" s="7" t="s">
        <v>102</v>
      </c>
      <c r="G94" s="7" t="s">
        <v>68</v>
      </c>
      <c r="H94" s="7" t="s">
        <v>31</v>
      </c>
      <c r="I94" s="7" t="n">
        <v>3320</v>
      </c>
      <c r="J94" s="7" t="n">
        <v>3243</v>
      </c>
      <c r="K94" s="10" t="n">
        <v>1553.83</v>
      </c>
      <c r="L94" s="10" t="n">
        <f aca="false">J94*K94</f>
        <v>5039070.69</v>
      </c>
      <c r="M94" s="7" t="n">
        <f aca="false">D94-B94</f>
        <v>5</v>
      </c>
      <c r="N94" s="7" t="str">
        <f aca="false">IF(D94&lt;=C94,"Yes","No")</f>
        <v>Yes</v>
      </c>
      <c r="O94" s="7" t="n">
        <v>7776</v>
      </c>
    </row>
    <row r="95" customFormat="false" ht="15" hidden="false" customHeight="false" outlineLevel="0" collapsed="false">
      <c r="A95" s="7" t="s">
        <v>844</v>
      </c>
      <c r="B95" s="8" t="n">
        <v>45526</v>
      </c>
      <c r="C95" s="8" t="n">
        <v>45539</v>
      </c>
      <c r="D95" s="8" t="n">
        <v>45537</v>
      </c>
      <c r="E95" s="7" t="s">
        <v>771</v>
      </c>
      <c r="F95" s="7" t="s">
        <v>115</v>
      </c>
      <c r="G95" s="7" t="s">
        <v>65</v>
      </c>
      <c r="H95" s="7" t="s">
        <v>31</v>
      </c>
      <c r="I95" s="7" t="n">
        <v>4574</v>
      </c>
      <c r="J95" s="7" t="n">
        <v>4356</v>
      </c>
      <c r="K95" s="10" t="n">
        <v>2021.01</v>
      </c>
      <c r="L95" s="10" t="n">
        <f aca="false">J95*K95</f>
        <v>8803519.56</v>
      </c>
      <c r="M95" s="7" t="n">
        <f aca="false">D95-B95</f>
        <v>11</v>
      </c>
      <c r="N95" s="7" t="str">
        <f aca="false">IF(D95&lt;=C95,"Yes","No")</f>
        <v>Yes</v>
      </c>
      <c r="O95" s="7" t="n">
        <v>765</v>
      </c>
    </row>
    <row r="96" customFormat="false" ht="15" hidden="false" customHeight="false" outlineLevel="0" collapsed="false">
      <c r="A96" s="7" t="s">
        <v>845</v>
      </c>
      <c r="B96" s="8" t="n">
        <v>45890</v>
      </c>
      <c r="C96" s="8" t="n">
        <v>45895</v>
      </c>
      <c r="D96" s="8" t="n">
        <v>45895</v>
      </c>
      <c r="E96" s="7" t="s">
        <v>771</v>
      </c>
      <c r="F96" s="7" t="s">
        <v>109</v>
      </c>
      <c r="G96" s="7" t="s">
        <v>87</v>
      </c>
      <c r="H96" s="7" t="s">
        <v>31</v>
      </c>
      <c r="I96" s="7" t="n">
        <v>1256</v>
      </c>
      <c r="J96" s="7" t="n">
        <v>1212</v>
      </c>
      <c r="K96" s="10" t="n">
        <v>4394.01</v>
      </c>
      <c r="L96" s="10" t="n">
        <f aca="false">J96*K96</f>
        <v>5325540.12</v>
      </c>
      <c r="M96" s="7" t="n">
        <f aca="false">D96-B96</f>
        <v>5</v>
      </c>
      <c r="N96" s="7" t="str">
        <f aca="false">IF(D96&lt;=C96,"Yes","No")</f>
        <v>Yes</v>
      </c>
      <c r="O96" s="7" t="n">
        <v>4974</v>
      </c>
    </row>
    <row r="97" customFormat="false" ht="15" hidden="false" customHeight="false" outlineLevel="0" collapsed="false">
      <c r="A97" s="7" t="s">
        <v>846</v>
      </c>
      <c r="B97" s="8" t="n">
        <v>45469</v>
      </c>
      <c r="C97" s="8" t="n">
        <v>45487</v>
      </c>
      <c r="D97" s="8" t="n">
        <v>45494</v>
      </c>
      <c r="E97" s="7" t="s">
        <v>753</v>
      </c>
      <c r="F97" s="7" t="s">
        <v>102</v>
      </c>
      <c r="G97" s="7" t="s">
        <v>83</v>
      </c>
      <c r="H97" s="7" t="s">
        <v>31</v>
      </c>
      <c r="I97" s="7" t="n">
        <v>2981</v>
      </c>
      <c r="J97" s="7" t="n">
        <v>2952</v>
      </c>
      <c r="K97" s="10" t="n">
        <v>3556.36</v>
      </c>
      <c r="L97" s="10" t="n">
        <f aca="false">J97*K97</f>
        <v>10498374.72</v>
      </c>
      <c r="M97" s="7" t="n">
        <f aca="false">D97-B97</f>
        <v>25</v>
      </c>
      <c r="N97" s="7" t="str">
        <f aca="false">IF(D97&lt;=C97,"Yes","No")</f>
        <v>No</v>
      </c>
      <c r="O97" s="7" t="n">
        <v>7019</v>
      </c>
    </row>
    <row r="98" customFormat="false" ht="15" hidden="false" customHeight="false" outlineLevel="0" collapsed="false">
      <c r="A98" s="7" t="s">
        <v>847</v>
      </c>
      <c r="B98" s="8" t="n">
        <v>45949</v>
      </c>
      <c r="C98" s="8" t="n">
        <v>45957</v>
      </c>
      <c r="D98" s="8" t="n">
        <v>45960</v>
      </c>
      <c r="E98" s="7" t="s">
        <v>777</v>
      </c>
      <c r="F98" s="7" t="s">
        <v>106</v>
      </c>
      <c r="G98" s="7" t="s">
        <v>65</v>
      </c>
      <c r="H98" s="7" t="s">
        <v>31</v>
      </c>
      <c r="I98" s="7" t="n">
        <v>1057</v>
      </c>
      <c r="J98" s="7" t="n">
        <v>1053</v>
      </c>
      <c r="K98" s="10" t="n">
        <v>3713.67</v>
      </c>
      <c r="L98" s="10" t="n">
        <f aca="false">J98*K98</f>
        <v>3910494.51</v>
      </c>
      <c r="M98" s="7" t="n">
        <f aca="false">D98-B98</f>
        <v>11</v>
      </c>
      <c r="N98" s="7" t="str">
        <f aca="false">IF(D98&lt;=C98,"Yes","No")</f>
        <v>No</v>
      </c>
      <c r="O98" s="7" t="n">
        <v>2264</v>
      </c>
    </row>
    <row r="99" customFormat="false" ht="15" hidden="false" customHeight="false" outlineLevel="0" collapsed="false">
      <c r="A99" s="7" t="s">
        <v>848</v>
      </c>
      <c r="B99" s="8" t="n">
        <v>45512</v>
      </c>
      <c r="C99" s="8" t="n">
        <v>45521</v>
      </c>
      <c r="D99" s="8" t="n">
        <v>45527</v>
      </c>
      <c r="E99" s="7" t="s">
        <v>753</v>
      </c>
      <c r="F99" s="7" t="s">
        <v>104</v>
      </c>
      <c r="G99" s="7" t="s">
        <v>87</v>
      </c>
      <c r="H99" s="7" t="s">
        <v>31</v>
      </c>
      <c r="I99" s="7" t="n">
        <v>911</v>
      </c>
      <c r="J99" s="7" t="n">
        <v>855</v>
      </c>
      <c r="K99" s="10" t="n">
        <v>3700.21</v>
      </c>
      <c r="L99" s="10" t="n">
        <f aca="false">J99*K99</f>
        <v>3163679.55</v>
      </c>
      <c r="M99" s="7" t="n">
        <f aca="false">D99-B99</f>
        <v>15</v>
      </c>
      <c r="N99" s="7" t="str">
        <f aca="false">IF(D99&lt;=C99,"Yes","No")</f>
        <v>No</v>
      </c>
      <c r="O99" s="7" t="n">
        <v>6701</v>
      </c>
    </row>
    <row r="100" customFormat="false" ht="15" hidden="false" customHeight="false" outlineLevel="0" collapsed="false">
      <c r="A100" s="7" t="s">
        <v>849</v>
      </c>
      <c r="B100" s="8" t="n">
        <v>45922</v>
      </c>
      <c r="C100" s="8" t="n">
        <v>45935</v>
      </c>
      <c r="D100" s="8" t="n">
        <v>45938</v>
      </c>
      <c r="E100" s="7" t="s">
        <v>777</v>
      </c>
      <c r="F100" s="7" t="s">
        <v>99</v>
      </c>
      <c r="G100" s="7" t="s">
        <v>68</v>
      </c>
      <c r="H100" s="7" t="s">
        <v>31</v>
      </c>
      <c r="I100" s="7" t="n">
        <v>3281</v>
      </c>
      <c r="J100" s="7" t="n">
        <v>3170</v>
      </c>
      <c r="K100" s="10" t="n">
        <v>4145.3</v>
      </c>
      <c r="L100" s="10" t="n">
        <f aca="false">J100*K100</f>
        <v>13140601</v>
      </c>
      <c r="M100" s="7" t="n">
        <f aca="false">D100-B100</f>
        <v>16</v>
      </c>
      <c r="N100" s="7" t="str">
        <f aca="false">IF(D100&lt;=C100,"Yes","No")</f>
        <v>No</v>
      </c>
      <c r="O100" s="7" t="n">
        <v>3694</v>
      </c>
    </row>
    <row r="101" customFormat="false" ht="15" hidden="false" customHeight="false" outlineLevel="0" collapsed="false">
      <c r="A101" s="7" t="s">
        <v>850</v>
      </c>
      <c r="B101" s="8" t="n">
        <v>45566</v>
      </c>
      <c r="C101" s="8" t="n">
        <v>45578</v>
      </c>
      <c r="D101" s="8" t="n">
        <v>45582</v>
      </c>
      <c r="E101" s="7" t="s">
        <v>744</v>
      </c>
      <c r="F101" s="7" t="s">
        <v>95</v>
      </c>
      <c r="G101" s="7" t="s">
        <v>65</v>
      </c>
      <c r="H101" s="7" t="s">
        <v>31</v>
      </c>
      <c r="I101" s="7" t="n">
        <v>4394</v>
      </c>
      <c r="J101" s="7" t="n">
        <v>4138</v>
      </c>
      <c r="K101" s="10" t="n">
        <v>3037.6</v>
      </c>
      <c r="L101" s="10" t="n">
        <f aca="false">J101*K101</f>
        <v>12569588.8</v>
      </c>
      <c r="M101" s="7" t="n">
        <f aca="false">D101-B101</f>
        <v>16</v>
      </c>
      <c r="N101" s="7" t="str">
        <f aca="false">IF(D101&lt;=C101,"Yes","No")</f>
        <v>No</v>
      </c>
      <c r="O101" s="7" t="n">
        <v>3947</v>
      </c>
    </row>
    <row r="102" customFormat="false" ht="15" hidden="false" customHeight="false" outlineLevel="0" collapsed="false">
      <c r="A102" s="7" t="s">
        <v>851</v>
      </c>
      <c r="B102" s="8" t="n">
        <v>45423</v>
      </c>
      <c r="C102" s="8" t="n">
        <v>45443</v>
      </c>
      <c r="D102" s="8" t="n">
        <v>45443</v>
      </c>
      <c r="E102" s="7" t="s">
        <v>758</v>
      </c>
      <c r="F102" s="7" t="s">
        <v>109</v>
      </c>
      <c r="G102" s="7" t="s">
        <v>87</v>
      </c>
      <c r="H102" s="7" t="s">
        <v>31</v>
      </c>
      <c r="I102" s="7" t="n">
        <v>4316</v>
      </c>
      <c r="J102" s="7" t="n">
        <v>4151</v>
      </c>
      <c r="K102" s="10" t="n">
        <v>1880.89</v>
      </c>
      <c r="L102" s="10" t="n">
        <f aca="false">J102*K102</f>
        <v>7807574.39</v>
      </c>
      <c r="M102" s="7" t="n">
        <f aca="false">D102-B102</f>
        <v>20</v>
      </c>
      <c r="N102" s="7" t="str">
        <f aca="false">IF(D102&lt;=C102,"Yes","No")</f>
        <v>Yes</v>
      </c>
      <c r="O102" s="7" t="n">
        <v>920</v>
      </c>
    </row>
    <row r="103" customFormat="false" ht="15" hidden="false" customHeight="false" outlineLevel="0" collapsed="false">
      <c r="A103" s="7" t="s">
        <v>852</v>
      </c>
      <c r="B103" s="8" t="n">
        <v>45541</v>
      </c>
      <c r="C103" s="8" t="n">
        <v>45558</v>
      </c>
      <c r="D103" s="8" t="n">
        <v>45561</v>
      </c>
      <c r="E103" s="7" t="s">
        <v>742</v>
      </c>
      <c r="F103" s="7" t="s">
        <v>104</v>
      </c>
      <c r="G103" s="7" t="s">
        <v>65</v>
      </c>
      <c r="H103" s="7" t="s">
        <v>31</v>
      </c>
      <c r="I103" s="7" t="n">
        <v>2272</v>
      </c>
      <c r="J103" s="7" t="n">
        <v>2199</v>
      </c>
      <c r="K103" s="10" t="n">
        <v>953.63</v>
      </c>
      <c r="L103" s="10" t="n">
        <f aca="false">J103*K103</f>
        <v>2097032.37</v>
      </c>
      <c r="M103" s="7" t="n">
        <f aca="false">D103-B103</f>
        <v>20</v>
      </c>
      <c r="N103" s="7" t="str">
        <f aca="false">IF(D103&lt;=C103,"Yes","No")</f>
        <v>No</v>
      </c>
      <c r="O103" s="7" t="n">
        <v>6941</v>
      </c>
    </row>
    <row r="104" customFormat="false" ht="15" hidden="false" customHeight="false" outlineLevel="0" collapsed="false">
      <c r="A104" s="7" t="s">
        <v>853</v>
      </c>
      <c r="B104" s="8" t="n">
        <v>45456</v>
      </c>
      <c r="C104" s="8" t="n">
        <v>45467</v>
      </c>
      <c r="D104" s="8" t="n">
        <v>45469</v>
      </c>
      <c r="E104" s="7" t="s">
        <v>751</v>
      </c>
      <c r="F104" s="7" t="s">
        <v>109</v>
      </c>
      <c r="G104" s="7" t="s">
        <v>68</v>
      </c>
      <c r="H104" s="7" t="s">
        <v>31</v>
      </c>
      <c r="I104" s="7" t="n">
        <v>2336</v>
      </c>
      <c r="J104" s="7" t="n">
        <v>2184</v>
      </c>
      <c r="K104" s="10" t="n">
        <v>3818.65</v>
      </c>
      <c r="L104" s="10" t="n">
        <f aca="false">J104*K104</f>
        <v>8339931.6</v>
      </c>
      <c r="M104" s="7" t="n">
        <f aca="false">D104-B104</f>
        <v>13</v>
      </c>
      <c r="N104" s="7" t="str">
        <f aca="false">IF(D104&lt;=C104,"Yes","No")</f>
        <v>No</v>
      </c>
      <c r="O104" s="7" t="n">
        <v>7425</v>
      </c>
    </row>
    <row r="105" customFormat="false" ht="15" hidden="false" customHeight="false" outlineLevel="0" collapsed="false">
      <c r="A105" s="7" t="s">
        <v>854</v>
      </c>
      <c r="B105" s="8" t="n">
        <v>45667</v>
      </c>
      <c r="C105" s="8" t="n">
        <v>45685</v>
      </c>
      <c r="D105" s="8" t="n">
        <v>45687</v>
      </c>
      <c r="E105" s="7" t="s">
        <v>742</v>
      </c>
      <c r="F105" s="7" t="s">
        <v>104</v>
      </c>
      <c r="G105" s="7" t="s">
        <v>68</v>
      </c>
      <c r="H105" s="7" t="s">
        <v>31</v>
      </c>
      <c r="I105" s="7" t="n">
        <v>3702</v>
      </c>
      <c r="J105" s="7" t="n">
        <v>3526</v>
      </c>
      <c r="K105" s="10" t="n">
        <v>801.3</v>
      </c>
      <c r="L105" s="10" t="n">
        <f aca="false">J105*K105</f>
        <v>2825383.8</v>
      </c>
      <c r="M105" s="7" t="n">
        <f aca="false">D105-B105</f>
        <v>20</v>
      </c>
      <c r="N105" s="7" t="str">
        <f aca="false">IF(D105&lt;=C105,"Yes","No")</f>
        <v>No</v>
      </c>
      <c r="O105" s="7" t="n">
        <v>1636</v>
      </c>
    </row>
    <row r="106" customFormat="false" ht="15" hidden="false" customHeight="false" outlineLevel="0" collapsed="false">
      <c r="A106" s="7" t="s">
        <v>855</v>
      </c>
      <c r="B106" s="8" t="n">
        <v>45390</v>
      </c>
      <c r="C106" s="8" t="n">
        <v>45407</v>
      </c>
      <c r="D106" s="8" t="n">
        <v>45413</v>
      </c>
      <c r="E106" s="7" t="s">
        <v>749</v>
      </c>
      <c r="F106" s="7" t="s">
        <v>109</v>
      </c>
      <c r="G106" s="7" t="s">
        <v>65</v>
      </c>
      <c r="H106" s="7" t="s">
        <v>31</v>
      </c>
      <c r="I106" s="7" t="n">
        <v>4709</v>
      </c>
      <c r="J106" s="7" t="n">
        <v>4551</v>
      </c>
      <c r="K106" s="10" t="n">
        <v>1299.62</v>
      </c>
      <c r="L106" s="10" t="n">
        <f aca="false">J106*K106</f>
        <v>5914570.62</v>
      </c>
      <c r="M106" s="7" t="n">
        <f aca="false">D106-B106</f>
        <v>23</v>
      </c>
      <c r="N106" s="7" t="str">
        <f aca="false">IF(D106&lt;=C106,"Yes","No")</f>
        <v>No</v>
      </c>
      <c r="O106" s="7" t="n">
        <v>6371</v>
      </c>
    </row>
    <row r="107" customFormat="false" ht="15" hidden="false" customHeight="false" outlineLevel="0" collapsed="false">
      <c r="A107" s="7" t="s">
        <v>856</v>
      </c>
      <c r="B107" s="8" t="n">
        <v>45557</v>
      </c>
      <c r="C107" s="8" t="n">
        <v>45573</v>
      </c>
      <c r="D107" s="8" t="n">
        <v>45571</v>
      </c>
      <c r="E107" s="7" t="s">
        <v>742</v>
      </c>
      <c r="F107" s="7" t="s">
        <v>109</v>
      </c>
      <c r="G107" s="7" t="s">
        <v>87</v>
      </c>
      <c r="H107" s="7" t="s">
        <v>31</v>
      </c>
      <c r="I107" s="7" t="n">
        <v>2681</v>
      </c>
      <c r="J107" s="7" t="n">
        <v>2669</v>
      </c>
      <c r="K107" s="10" t="n">
        <v>2138.74</v>
      </c>
      <c r="L107" s="10" t="n">
        <f aca="false">J107*K107</f>
        <v>5708297.06</v>
      </c>
      <c r="M107" s="7" t="n">
        <f aca="false">D107-B107</f>
        <v>14</v>
      </c>
      <c r="N107" s="7" t="str">
        <f aca="false">IF(D107&lt;=C107,"Yes","No")</f>
        <v>Yes</v>
      </c>
      <c r="O107" s="7" t="n">
        <v>5616</v>
      </c>
    </row>
    <row r="108" customFormat="false" ht="15" hidden="false" customHeight="false" outlineLevel="0" collapsed="false">
      <c r="A108" s="7" t="s">
        <v>857</v>
      </c>
      <c r="B108" s="8" t="n">
        <v>45982</v>
      </c>
      <c r="C108" s="8" t="n">
        <v>45997</v>
      </c>
      <c r="D108" s="8" t="n">
        <v>46002</v>
      </c>
      <c r="E108" s="7" t="s">
        <v>771</v>
      </c>
      <c r="F108" s="7" t="s">
        <v>115</v>
      </c>
      <c r="G108" s="7" t="s">
        <v>87</v>
      </c>
      <c r="H108" s="7" t="s">
        <v>31</v>
      </c>
      <c r="I108" s="7" t="n">
        <v>3479</v>
      </c>
      <c r="J108" s="7" t="n">
        <v>3371</v>
      </c>
      <c r="K108" s="10" t="n">
        <v>866.58</v>
      </c>
      <c r="L108" s="10" t="n">
        <f aca="false">J108*K108</f>
        <v>2921241.18</v>
      </c>
      <c r="M108" s="7" t="n">
        <f aca="false">D108-B108</f>
        <v>20</v>
      </c>
      <c r="N108" s="7" t="str">
        <f aca="false">IF(D108&lt;=C108,"Yes","No")</f>
        <v>No</v>
      </c>
      <c r="O108" s="7" t="n">
        <v>7369</v>
      </c>
    </row>
    <row r="109" customFormat="false" ht="15" hidden="false" customHeight="false" outlineLevel="0" collapsed="false">
      <c r="A109" s="7" t="s">
        <v>858</v>
      </c>
      <c r="B109" s="8" t="n">
        <v>45934</v>
      </c>
      <c r="C109" s="8" t="n">
        <v>45954</v>
      </c>
      <c r="D109" s="8" t="n">
        <v>45957</v>
      </c>
      <c r="E109" s="7" t="s">
        <v>753</v>
      </c>
      <c r="F109" s="7" t="s">
        <v>106</v>
      </c>
      <c r="G109" s="7" t="s">
        <v>68</v>
      </c>
      <c r="H109" s="7" t="s">
        <v>31</v>
      </c>
      <c r="I109" s="7" t="n">
        <v>4259</v>
      </c>
      <c r="J109" s="7" t="n">
        <v>3848</v>
      </c>
      <c r="K109" s="10" t="n">
        <v>2003.22</v>
      </c>
      <c r="L109" s="10" t="n">
        <f aca="false">J109*K109</f>
        <v>7708390.56</v>
      </c>
      <c r="M109" s="7" t="n">
        <f aca="false">D109-B109</f>
        <v>23</v>
      </c>
      <c r="N109" s="7" t="str">
        <f aca="false">IF(D109&lt;=C109,"Yes","No")</f>
        <v>No</v>
      </c>
      <c r="O109" s="7" t="n">
        <v>1322</v>
      </c>
    </row>
    <row r="110" customFormat="false" ht="15" hidden="false" customHeight="false" outlineLevel="0" collapsed="false">
      <c r="A110" s="7" t="s">
        <v>859</v>
      </c>
      <c r="B110" s="8" t="n">
        <v>45322</v>
      </c>
      <c r="C110" s="8" t="n">
        <v>45333</v>
      </c>
      <c r="D110" s="8" t="n">
        <v>45332</v>
      </c>
      <c r="E110" s="7" t="s">
        <v>766</v>
      </c>
      <c r="F110" s="7" t="s">
        <v>95</v>
      </c>
      <c r="G110" s="7" t="s">
        <v>87</v>
      </c>
      <c r="H110" s="7" t="s">
        <v>31</v>
      </c>
      <c r="I110" s="7" t="n">
        <v>1921</v>
      </c>
      <c r="J110" s="7" t="n">
        <v>1872</v>
      </c>
      <c r="K110" s="10" t="n">
        <v>3173.54</v>
      </c>
      <c r="L110" s="10" t="n">
        <f aca="false">J110*K110</f>
        <v>5940866.88</v>
      </c>
      <c r="M110" s="7" t="n">
        <f aca="false">D110-B110</f>
        <v>10</v>
      </c>
      <c r="N110" s="7" t="str">
        <f aca="false">IF(D110&lt;=C110,"Yes","No")</f>
        <v>Yes</v>
      </c>
      <c r="O110" s="7" t="n">
        <v>2500</v>
      </c>
    </row>
    <row r="111" customFormat="false" ht="15" hidden="false" customHeight="false" outlineLevel="0" collapsed="false">
      <c r="A111" s="7" t="s">
        <v>860</v>
      </c>
      <c r="B111" s="8" t="n">
        <v>45925</v>
      </c>
      <c r="C111" s="8" t="n">
        <v>45935</v>
      </c>
      <c r="D111" s="8" t="n">
        <v>45936</v>
      </c>
      <c r="E111" s="7" t="s">
        <v>742</v>
      </c>
      <c r="F111" s="7" t="s">
        <v>95</v>
      </c>
      <c r="G111" s="7" t="s">
        <v>87</v>
      </c>
      <c r="H111" s="7" t="s">
        <v>31</v>
      </c>
      <c r="I111" s="7" t="n">
        <v>4990</v>
      </c>
      <c r="J111" s="7" t="n">
        <v>4979</v>
      </c>
      <c r="K111" s="10" t="n">
        <v>3200.56</v>
      </c>
      <c r="L111" s="10" t="n">
        <f aca="false">J111*K111</f>
        <v>15935588.24</v>
      </c>
      <c r="M111" s="7" t="n">
        <f aca="false">D111-B111</f>
        <v>11</v>
      </c>
      <c r="N111" s="7" t="str">
        <f aca="false">IF(D111&lt;=C111,"Yes","No")</f>
        <v>No</v>
      </c>
      <c r="O111" s="7" t="n">
        <v>6793</v>
      </c>
    </row>
    <row r="112" customFormat="false" ht="15" hidden="false" customHeight="false" outlineLevel="0" collapsed="false">
      <c r="A112" s="7" t="s">
        <v>861</v>
      </c>
      <c r="B112" s="8" t="n">
        <v>45951</v>
      </c>
      <c r="C112" s="8" t="n">
        <v>45966</v>
      </c>
      <c r="D112" s="8" t="n">
        <v>45970</v>
      </c>
      <c r="E112" s="7" t="s">
        <v>747</v>
      </c>
      <c r="F112" s="7" t="s">
        <v>106</v>
      </c>
      <c r="G112" s="7" t="s">
        <v>83</v>
      </c>
      <c r="H112" s="7" t="s">
        <v>31</v>
      </c>
      <c r="I112" s="7" t="n">
        <v>1826</v>
      </c>
      <c r="J112" s="7" t="n">
        <v>1795</v>
      </c>
      <c r="K112" s="10" t="n">
        <v>2634.32</v>
      </c>
      <c r="L112" s="10" t="n">
        <f aca="false">J112*K112</f>
        <v>4728604.4</v>
      </c>
      <c r="M112" s="7" t="n">
        <f aca="false">D112-B112</f>
        <v>19</v>
      </c>
      <c r="N112" s="7" t="str">
        <f aca="false">IF(D112&lt;=C112,"Yes","No")</f>
        <v>No</v>
      </c>
      <c r="O112" s="7" t="n">
        <v>595</v>
      </c>
    </row>
    <row r="113" customFormat="false" ht="15" hidden="false" customHeight="false" outlineLevel="0" collapsed="false">
      <c r="A113" s="7" t="s">
        <v>862</v>
      </c>
      <c r="B113" s="8" t="n">
        <v>45820</v>
      </c>
      <c r="C113" s="8" t="n">
        <v>45827</v>
      </c>
      <c r="D113" s="8" t="n">
        <v>45827</v>
      </c>
      <c r="E113" s="7" t="s">
        <v>742</v>
      </c>
      <c r="F113" s="7" t="s">
        <v>95</v>
      </c>
      <c r="G113" s="7" t="s">
        <v>68</v>
      </c>
      <c r="H113" s="7" t="s">
        <v>31</v>
      </c>
      <c r="I113" s="7" t="n">
        <v>3023</v>
      </c>
      <c r="J113" s="7" t="n">
        <v>2943</v>
      </c>
      <c r="K113" s="10" t="n">
        <v>1431.51</v>
      </c>
      <c r="L113" s="10" t="n">
        <f aca="false">J113*K113</f>
        <v>4212933.93</v>
      </c>
      <c r="M113" s="7" t="n">
        <f aca="false">D113-B113</f>
        <v>7</v>
      </c>
      <c r="N113" s="7" t="str">
        <f aca="false">IF(D113&lt;=C113,"Yes","No")</f>
        <v>Yes</v>
      </c>
      <c r="O113" s="7" t="n">
        <v>2755</v>
      </c>
    </row>
    <row r="114" customFormat="false" ht="15" hidden="false" customHeight="false" outlineLevel="0" collapsed="false">
      <c r="A114" s="7" t="s">
        <v>863</v>
      </c>
      <c r="B114" s="8" t="n">
        <v>45341</v>
      </c>
      <c r="C114" s="8" t="n">
        <v>45353</v>
      </c>
      <c r="D114" s="8" t="n">
        <v>45356</v>
      </c>
      <c r="E114" s="7" t="s">
        <v>747</v>
      </c>
      <c r="F114" s="7" t="s">
        <v>102</v>
      </c>
      <c r="G114" s="7" t="s">
        <v>83</v>
      </c>
      <c r="H114" s="7" t="s">
        <v>31</v>
      </c>
      <c r="I114" s="7" t="n">
        <v>3034</v>
      </c>
      <c r="J114" s="7" t="n">
        <v>3001</v>
      </c>
      <c r="K114" s="10" t="n">
        <v>2556.52</v>
      </c>
      <c r="L114" s="10" t="n">
        <f aca="false">J114*K114</f>
        <v>7672116.52</v>
      </c>
      <c r="M114" s="7" t="n">
        <f aca="false">D114-B114</f>
        <v>15</v>
      </c>
      <c r="N114" s="7" t="str">
        <f aca="false">IF(D114&lt;=C114,"Yes","No")</f>
        <v>No</v>
      </c>
      <c r="O114" s="7" t="n">
        <v>5284</v>
      </c>
    </row>
    <row r="115" customFormat="false" ht="15" hidden="false" customHeight="false" outlineLevel="0" collapsed="false">
      <c r="A115" s="7" t="s">
        <v>864</v>
      </c>
      <c r="B115" s="8" t="n">
        <v>45626</v>
      </c>
      <c r="C115" s="8" t="n">
        <v>45643</v>
      </c>
      <c r="D115" s="8" t="n">
        <v>45646</v>
      </c>
      <c r="E115" s="7" t="s">
        <v>758</v>
      </c>
      <c r="F115" s="7" t="s">
        <v>106</v>
      </c>
      <c r="G115" s="7" t="s">
        <v>83</v>
      </c>
      <c r="H115" s="7" t="s">
        <v>31</v>
      </c>
      <c r="I115" s="7" t="n">
        <v>3727</v>
      </c>
      <c r="J115" s="7" t="n">
        <v>3473</v>
      </c>
      <c r="K115" s="10" t="n">
        <v>3735.1</v>
      </c>
      <c r="L115" s="10" t="n">
        <f aca="false">J115*K115</f>
        <v>12972002.3</v>
      </c>
      <c r="M115" s="7" t="n">
        <f aca="false">D115-B115</f>
        <v>20</v>
      </c>
      <c r="N115" s="7" t="str">
        <f aca="false">IF(D115&lt;=C115,"Yes","No")</f>
        <v>No</v>
      </c>
      <c r="O115" s="7" t="n">
        <v>4071</v>
      </c>
    </row>
    <row r="116" customFormat="false" ht="15" hidden="false" customHeight="false" outlineLevel="0" collapsed="false">
      <c r="A116" s="7" t="s">
        <v>865</v>
      </c>
      <c r="B116" s="8" t="n">
        <v>45539</v>
      </c>
      <c r="C116" s="8" t="n">
        <v>45548</v>
      </c>
      <c r="D116" s="8" t="n">
        <v>45554</v>
      </c>
      <c r="E116" s="7" t="s">
        <v>753</v>
      </c>
      <c r="F116" s="7" t="s">
        <v>113</v>
      </c>
      <c r="G116" s="7" t="s">
        <v>68</v>
      </c>
      <c r="H116" s="7" t="s">
        <v>31</v>
      </c>
      <c r="I116" s="7" t="n">
        <v>3078</v>
      </c>
      <c r="J116" s="7" t="n">
        <v>2783</v>
      </c>
      <c r="K116" s="10" t="n">
        <v>1831.94</v>
      </c>
      <c r="L116" s="10" t="n">
        <f aca="false">J116*K116</f>
        <v>5098289.02</v>
      </c>
      <c r="M116" s="7" t="n">
        <f aca="false">D116-B116</f>
        <v>15</v>
      </c>
      <c r="N116" s="7" t="str">
        <f aca="false">IF(D116&lt;=C116,"Yes","No")</f>
        <v>No</v>
      </c>
      <c r="O116" s="7" t="n">
        <v>4588</v>
      </c>
    </row>
    <row r="117" customFormat="false" ht="15" hidden="false" customHeight="false" outlineLevel="0" collapsed="false">
      <c r="A117" s="7" t="s">
        <v>866</v>
      </c>
      <c r="B117" s="8" t="n">
        <v>45769</v>
      </c>
      <c r="C117" s="8" t="n">
        <v>45789</v>
      </c>
      <c r="D117" s="8" t="n">
        <v>45796</v>
      </c>
      <c r="E117" s="7" t="s">
        <v>777</v>
      </c>
      <c r="F117" s="7" t="s">
        <v>99</v>
      </c>
      <c r="G117" s="7" t="s">
        <v>83</v>
      </c>
      <c r="H117" s="7" t="s">
        <v>31</v>
      </c>
      <c r="I117" s="7" t="n">
        <v>3708</v>
      </c>
      <c r="J117" s="7" t="n">
        <v>3471</v>
      </c>
      <c r="K117" s="10" t="n">
        <v>4194.71</v>
      </c>
      <c r="L117" s="10" t="n">
        <f aca="false">J117*K117</f>
        <v>14559838.41</v>
      </c>
      <c r="M117" s="7" t="n">
        <f aca="false">D117-B117</f>
        <v>27</v>
      </c>
      <c r="N117" s="7" t="str">
        <f aca="false">IF(D117&lt;=C117,"Yes","No")</f>
        <v>No</v>
      </c>
      <c r="O117" s="7" t="n">
        <v>4536</v>
      </c>
    </row>
    <row r="118" customFormat="false" ht="15" hidden="false" customHeight="false" outlineLevel="0" collapsed="false">
      <c r="A118" s="7" t="s">
        <v>867</v>
      </c>
      <c r="B118" s="8" t="n">
        <v>45593</v>
      </c>
      <c r="C118" s="8" t="n">
        <v>45599</v>
      </c>
      <c r="D118" s="8" t="n">
        <v>45600</v>
      </c>
      <c r="E118" s="7" t="s">
        <v>753</v>
      </c>
      <c r="F118" s="7" t="s">
        <v>95</v>
      </c>
      <c r="G118" s="7" t="s">
        <v>65</v>
      </c>
      <c r="H118" s="7" t="s">
        <v>31</v>
      </c>
      <c r="I118" s="7" t="n">
        <v>4859</v>
      </c>
      <c r="J118" s="7" t="n">
        <v>4774</v>
      </c>
      <c r="K118" s="10" t="n">
        <v>2895.96</v>
      </c>
      <c r="L118" s="10" t="n">
        <f aca="false">J118*K118</f>
        <v>13825313.04</v>
      </c>
      <c r="M118" s="7" t="n">
        <f aca="false">D118-B118</f>
        <v>7</v>
      </c>
      <c r="N118" s="7" t="str">
        <f aca="false">IF(D118&lt;=C118,"Yes","No")</f>
        <v>No</v>
      </c>
      <c r="O118" s="7" t="n">
        <v>3097</v>
      </c>
    </row>
    <row r="119" customFormat="false" ht="15" hidden="false" customHeight="false" outlineLevel="0" collapsed="false">
      <c r="A119" s="7" t="s">
        <v>868</v>
      </c>
      <c r="B119" s="8" t="n">
        <v>45900</v>
      </c>
      <c r="C119" s="8" t="n">
        <v>45914</v>
      </c>
      <c r="D119" s="8" t="n">
        <v>45915</v>
      </c>
      <c r="E119" s="7" t="s">
        <v>766</v>
      </c>
      <c r="F119" s="7" t="s">
        <v>99</v>
      </c>
      <c r="G119" s="7" t="s">
        <v>65</v>
      </c>
      <c r="H119" s="7" t="s">
        <v>31</v>
      </c>
      <c r="I119" s="7" t="n">
        <v>3881</v>
      </c>
      <c r="J119" s="7" t="n">
        <v>3816</v>
      </c>
      <c r="K119" s="10" t="n">
        <v>3433.62</v>
      </c>
      <c r="L119" s="10" t="n">
        <f aca="false">J119*K119</f>
        <v>13102693.92</v>
      </c>
      <c r="M119" s="7" t="n">
        <f aca="false">D119-B119</f>
        <v>15</v>
      </c>
      <c r="N119" s="7" t="str">
        <f aca="false">IF(D119&lt;=C119,"Yes","No")</f>
        <v>No</v>
      </c>
      <c r="O119" s="7" t="n">
        <v>7818</v>
      </c>
    </row>
    <row r="120" customFormat="false" ht="15" hidden="false" customHeight="false" outlineLevel="0" collapsed="false">
      <c r="A120" s="7" t="s">
        <v>869</v>
      </c>
      <c r="B120" s="8" t="n">
        <v>45571</v>
      </c>
      <c r="C120" s="8" t="n">
        <v>45579</v>
      </c>
      <c r="D120" s="8" t="n">
        <v>45586</v>
      </c>
      <c r="E120" s="7" t="s">
        <v>758</v>
      </c>
      <c r="F120" s="7" t="s">
        <v>113</v>
      </c>
      <c r="G120" s="7" t="s">
        <v>87</v>
      </c>
      <c r="H120" s="7" t="s">
        <v>31</v>
      </c>
      <c r="I120" s="7" t="n">
        <v>3299</v>
      </c>
      <c r="J120" s="7" t="n">
        <v>3101</v>
      </c>
      <c r="K120" s="10" t="n">
        <v>2649.3</v>
      </c>
      <c r="L120" s="10" t="n">
        <f aca="false">J120*K120</f>
        <v>8215479.3</v>
      </c>
      <c r="M120" s="7" t="n">
        <f aca="false">D120-B120</f>
        <v>15</v>
      </c>
      <c r="N120" s="7" t="str">
        <f aca="false">IF(D120&lt;=C120,"Yes","No")</f>
        <v>No</v>
      </c>
      <c r="O120" s="7" t="n">
        <v>2959</v>
      </c>
    </row>
    <row r="121" customFormat="false" ht="15" hidden="false" customHeight="false" outlineLevel="0" collapsed="false">
      <c r="A121" s="7" t="s">
        <v>870</v>
      </c>
      <c r="B121" s="8" t="n">
        <v>45654</v>
      </c>
      <c r="C121" s="8" t="n">
        <v>45662</v>
      </c>
      <c r="D121" s="8" t="n">
        <v>45661</v>
      </c>
      <c r="E121" s="7" t="s">
        <v>742</v>
      </c>
      <c r="F121" s="7" t="s">
        <v>113</v>
      </c>
      <c r="G121" s="7" t="s">
        <v>83</v>
      </c>
      <c r="H121" s="7" t="s">
        <v>31</v>
      </c>
      <c r="I121" s="7" t="n">
        <v>1594</v>
      </c>
      <c r="J121" s="7" t="n">
        <v>1468</v>
      </c>
      <c r="K121" s="10" t="n">
        <v>3323.05</v>
      </c>
      <c r="L121" s="10" t="n">
        <f aca="false">J121*K121</f>
        <v>4878237.4</v>
      </c>
      <c r="M121" s="7" t="n">
        <f aca="false">D121-B121</f>
        <v>7</v>
      </c>
      <c r="N121" s="7" t="str">
        <f aca="false">IF(D121&lt;=C121,"Yes","No")</f>
        <v>Yes</v>
      </c>
      <c r="O121" s="7" t="n">
        <v>7773</v>
      </c>
    </row>
    <row r="122" customFormat="false" ht="15" hidden="false" customHeight="false" outlineLevel="0" collapsed="false">
      <c r="A122" s="7" t="s">
        <v>871</v>
      </c>
      <c r="B122" s="8" t="n">
        <v>45691</v>
      </c>
      <c r="C122" s="8" t="n">
        <v>45710</v>
      </c>
      <c r="D122" s="8" t="n">
        <v>45707</v>
      </c>
      <c r="E122" s="7" t="s">
        <v>744</v>
      </c>
      <c r="F122" s="7" t="s">
        <v>104</v>
      </c>
      <c r="G122" s="7" t="s">
        <v>87</v>
      </c>
      <c r="H122" s="7" t="s">
        <v>31</v>
      </c>
      <c r="I122" s="7" t="n">
        <v>3806</v>
      </c>
      <c r="J122" s="7" t="n">
        <v>3506</v>
      </c>
      <c r="K122" s="10" t="n">
        <v>3496.39</v>
      </c>
      <c r="L122" s="10" t="n">
        <f aca="false">J122*K122</f>
        <v>12258343.34</v>
      </c>
      <c r="M122" s="7" t="n">
        <f aca="false">D122-B122</f>
        <v>16</v>
      </c>
      <c r="N122" s="7" t="str">
        <f aca="false">IF(D122&lt;=C122,"Yes","No")</f>
        <v>Yes</v>
      </c>
      <c r="O122" s="7" t="n">
        <v>6632</v>
      </c>
    </row>
    <row r="123" customFormat="false" ht="15" hidden="false" customHeight="false" outlineLevel="0" collapsed="false">
      <c r="A123" s="7" t="s">
        <v>872</v>
      </c>
      <c r="B123" s="8" t="n">
        <v>45956</v>
      </c>
      <c r="C123" s="8" t="n">
        <v>45963</v>
      </c>
      <c r="D123" s="8" t="n">
        <v>45962</v>
      </c>
      <c r="E123" s="7" t="s">
        <v>766</v>
      </c>
      <c r="F123" s="7" t="s">
        <v>104</v>
      </c>
      <c r="G123" s="7" t="s">
        <v>65</v>
      </c>
      <c r="H123" s="7" t="s">
        <v>31</v>
      </c>
      <c r="I123" s="7" t="n">
        <v>2815</v>
      </c>
      <c r="J123" s="7" t="n">
        <v>2786</v>
      </c>
      <c r="K123" s="10" t="n">
        <v>3549.13</v>
      </c>
      <c r="L123" s="10" t="n">
        <f aca="false">J123*K123</f>
        <v>9887876.18</v>
      </c>
      <c r="M123" s="7" t="n">
        <f aca="false">D123-B123</f>
        <v>6</v>
      </c>
      <c r="N123" s="7" t="str">
        <f aca="false">IF(D123&lt;=C123,"Yes","No")</f>
        <v>Yes</v>
      </c>
      <c r="O123" s="7" t="n">
        <v>6925</v>
      </c>
    </row>
    <row r="124" customFormat="false" ht="15" hidden="false" customHeight="false" outlineLevel="0" collapsed="false">
      <c r="A124" s="7" t="s">
        <v>873</v>
      </c>
      <c r="B124" s="8" t="n">
        <v>45913</v>
      </c>
      <c r="C124" s="8" t="n">
        <v>45925</v>
      </c>
      <c r="D124" s="8" t="n">
        <v>45924</v>
      </c>
      <c r="E124" s="7" t="s">
        <v>777</v>
      </c>
      <c r="F124" s="7" t="s">
        <v>106</v>
      </c>
      <c r="G124" s="7" t="s">
        <v>65</v>
      </c>
      <c r="H124" s="7" t="s">
        <v>31</v>
      </c>
      <c r="I124" s="7" t="n">
        <v>4670</v>
      </c>
      <c r="J124" s="7" t="n">
        <v>4330</v>
      </c>
      <c r="K124" s="10" t="n">
        <v>1588.4</v>
      </c>
      <c r="L124" s="10" t="n">
        <f aca="false">J124*K124</f>
        <v>6877772</v>
      </c>
      <c r="M124" s="7" t="n">
        <f aca="false">D124-B124</f>
        <v>11</v>
      </c>
      <c r="N124" s="7" t="str">
        <f aca="false">IF(D124&lt;=C124,"Yes","No")</f>
        <v>Yes</v>
      </c>
      <c r="O124" s="7" t="n">
        <v>2033</v>
      </c>
    </row>
    <row r="125" customFormat="false" ht="15" hidden="false" customHeight="false" outlineLevel="0" collapsed="false">
      <c r="A125" s="7" t="s">
        <v>874</v>
      </c>
      <c r="B125" s="8" t="n">
        <v>45569</v>
      </c>
      <c r="C125" s="8" t="n">
        <v>45583</v>
      </c>
      <c r="D125" s="8" t="n">
        <v>45590</v>
      </c>
      <c r="E125" s="7" t="s">
        <v>744</v>
      </c>
      <c r="F125" s="7" t="s">
        <v>99</v>
      </c>
      <c r="G125" s="7" t="s">
        <v>83</v>
      </c>
      <c r="H125" s="7" t="s">
        <v>31</v>
      </c>
      <c r="I125" s="7" t="n">
        <v>691</v>
      </c>
      <c r="J125" s="7" t="n">
        <v>670</v>
      </c>
      <c r="K125" s="10" t="n">
        <v>1067.07</v>
      </c>
      <c r="L125" s="10" t="n">
        <f aca="false">J125*K125</f>
        <v>714936.9</v>
      </c>
      <c r="M125" s="7" t="n">
        <f aca="false">D125-B125</f>
        <v>21</v>
      </c>
      <c r="N125" s="7" t="str">
        <f aca="false">IF(D125&lt;=C125,"Yes","No")</f>
        <v>No</v>
      </c>
      <c r="O125" s="7" t="n">
        <v>7069</v>
      </c>
    </row>
    <row r="126" customFormat="false" ht="15" hidden="false" customHeight="false" outlineLevel="0" collapsed="false">
      <c r="A126" s="7" t="s">
        <v>875</v>
      </c>
      <c r="B126" s="8" t="n">
        <v>45603</v>
      </c>
      <c r="C126" s="8" t="n">
        <v>45606</v>
      </c>
      <c r="D126" s="8" t="n">
        <v>45610</v>
      </c>
      <c r="E126" s="7" t="s">
        <v>751</v>
      </c>
      <c r="F126" s="7" t="s">
        <v>115</v>
      </c>
      <c r="G126" s="7" t="s">
        <v>83</v>
      </c>
      <c r="H126" s="7" t="s">
        <v>31</v>
      </c>
      <c r="I126" s="7" t="n">
        <v>4623</v>
      </c>
      <c r="J126" s="7" t="n">
        <v>4188</v>
      </c>
      <c r="K126" s="10" t="n">
        <v>2449.1</v>
      </c>
      <c r="L126" s="10" t="n">
        <f aca="false">J126*K126</f>
        <v>10256830.8</v>
      </c>
      <c r="M126" s="7" t="n">
        <f aca="false">D126-B126</f>
        <v>7</v>
      </c>
      <c r="N126" s="7" t="str">
        <f aca="false">IF(D126&lt;=C126,"Yes","No")</f>
        <v>No</v>
      </c>
      <c r="O126" s="7" t="n">
        <v>4745</v>
      </c>
    </row>
    <row r="127" customFormat="false" ht="15" hidden="false" customHeight="false" outlineLevel="0" collapsed="false">
      <c r="A127" s="7" t="s">
        <v>876</v>
      </c>
      <c r="B127" s="8" t="n">
        <v>45895</v>
      </c>
      <c r="C127" s="8" t="n">
        <v>45899</v>
      </c>
      <c r="D127" s="8" t="n">
        <v>45896</v>
      </c>
      <c r="E127" s="7" t="s">
        <v>742</v>
      </c>
      <c r="F127" s="7" t="s">
        <v>115</v>
      </c>
      <c r="G127" s="7" t="s">
        <v>65</v>
      </c>
      <c r="H127" s="7" t="s">
        <v>31</v>
      </c>
      <c r="I127" s="7" t="n">
        <v>4462</v>
      </c>
      <c r="J127" s="7" t="n">
        <v>4115</v>
      </c>
      <c r="K127" s="10" t="n">
        <v>3128.96</v>
      </c>
      <c r="L127" s="10" t="n">
        <f aca="false">J127*K127</f>
        <v>12875670.4</v>
      </c>
      <c r="M127" s="7" t="n">
        <f aca="false">D127-B127</f>
        <v>1</v>
      </c>
      <c r="N127" s="7" t="str">
        <f aca="false">IF(D127&lt;=C127,"Yes","No")</f>
        <v>Yes</v>
      </c>
      <c r="O127" s="7" t="n">
        <v>2986</v>
      </c>
    </row>
    <row r="128" customFormat="false" ht="15" hidden="false" customHeight="false" outlineLevel="0" collapsed="false">
      <c r="A128" s="7" t="s">
        <v>877</v>
      </c>
      <c r="B128" s="8" t="n">
        <v>45613</v>
      </c>
      <c r="C128" s="8" t="n">
        <v>45634</v>
      </c>
      <c r="D128" s="8" t="n">
        <v>45634</v>
      </c>
      <c r="E128" s="7" t="s">
        <v>766</v>
      </c>
      <c r="F128" s="7" t="s">
        <v>104</v>
      </c>
      <c r="G128" s="7" t="s">
        <v>83</v>
      </c>
      <c r="H128" s="7" t="s">
        <v>31</v>
      </c>
      <c r="I128" s="7" t="n">
        <v>4899</v>
      </c>
      <c r="J128" s="7" t="n">
        <v>4758</v>
      </c>
      <c r="K128" s="10" t="n">
        <v>1625.05</v>
      </c>
      <c r="L128" s="10" t="n">
        <f aca="false">J128*K128</f>
        <v>7731987.9</v>
      </c>
      <c r="M128" s="7" t="n">
        <f aca="false">D128-B128</f>
        <v>21</v>
      </c>
      <c r="N128" s="7" t="str">
        <f aca="false">IF(D128&lt;=C128,"Yes","No")</f>
        <v>Yes</v>
      </c>
      <c r="O128" s="7" t="n">
        <v>1617</v>
      </c>
    </row>
    <row r="129" customFormat="false" ht="15" hidden="false" customHeight="false" outlineLevel="0" collapsed="false">
      <c r="A129" s="7" t="s">
        <v>878</v>
      </c>
      <c r="B129" s="8" t="n">
        <v>45317</v>
      </c>
      <c r="C129" s="8" t="n">
        <v>45336</v>
      </c>
      <c r="D129" s="8" t="n">
        <v>45337</v>
      </c>
      <c r="E129" s="7" t="s">
        <v>777</v>
      </c>
      <c r="F129" s="7" t="s">
        <v>109</v>
      </c>
      <c r="G129" s="7" t="s">
        <v>65</v>
      </c>
      <c r="H129" s="7" t="s">
        <v>31</v>
      </c>
      <c r="I129" s="7" t="n">
        <v>2742</v>
      </c>
      <c r="J129" s="7" t="n">
        <v>2666</v>
      </c>
      <c r="K129" s="10" t="n">
        <v>2964.2</v>
      </c>
      <c r="L129" s="10" t="n">
        <f aca="false">J129*K129</f>
        <v>7902557.2</v>
      </c>
      <c r="M129" s="7" t="n">
        <f aca="false">D129-B129</f>
        <v>20</v>
      </c>
      <c r="N129" s="7" t="str">
        <f aca="false">IF(D129&lt;=C129,"Yes","No")</f>
        <v>No</v>
      </c>
      <c r="O129" s="7" t="n">
        <v>3477</v>
      </c>
    </row>
    <row r="130" customFormat="false" ht="15" hidden="false" customHeight="false" outlineLevel="0" collapsed="false">
      <c r="A130" s="7" t="s">
        <v>879</v>
      </c>
      <c r="B130" s="8" t="n">
        <v>45674</v>
      </c>
      <c r="C130" s="8" t="n">
        <v>45695</v>
      </c>
      <c r="D130" s="8" t="n">
        <v>45698</v>
      </c>
      <c r="E130" s="7" t="s">
        <v>766</v>
      </c>
      <c r="F130" s="7" t="s">
        <v>95</v>
      </c>
      <c r="G130" s="7" t="s">
        <v>83</v>
      </c>
      <c r="H130" s="7" t="s">
        <v>31</v>
      </c>
      <c r="I130" s="7" t="n">
        <v>4854</v>
      </c>
      <c r="J130" s="7" t="n">
        <v>4528</v>
      </c>
      <c r="K130" s="10" t="n">
        <v>4449.13</v>
      </c>
      <c r="L130" s="10" t="n">
        <f aca="false">J130*K130</f>
        <v>20145660.64</v>
      </c>
      <c r="M130" s="7" t="n">
        <f aca="false">D130-B130</f>
        <v>24</v>
      </c>
      <c r="N130" s="7" t="str">
        <f aca="false">IF(D130&lt;=C130,"Yes","No")</f>
        <v>No</v>
      </c>
      <c r="O130" s="7" t="n">
        <v>784</v>
      </c>
    </row>
    <row r="131" customFormat="false" ht="15" hidden="false" customHeight="false" outlineLevel="0" collapsed="false">
      <c r="A131" s="7" t="s">
        <v>880</v>
      </c>
      <c r="B131" s="8" t="n">
        <v>45916</v>
      </c>
      <c r="C131" s="8" t="n">
        <v>45937</v>
      </c>
      <c r="D131" s="8" t="n">
        <v>45936</v>
      </c>
      <c r="E131" s="7" t="s">
        <v>777</v>
      </c>
      <c r="F131" s="7" t="s">
        <v>115</v>
      </c>
      <c r="G131" s="7" t="s">
        <v>87</v>
      </c>
      <c r="H131" s="7" t="s">
        <v>31</v>
      </c>
      <c r="I131" s="7" t="n">
        <v>2062</v>
      </c>
      <c r="J131" s="7" t="n">
        <v>1926</v>
      </c>
      <c r="K131" s="10" t="n">
        <v>1502.68</v>
      </c>
      <c r="L131" s="10" t="n">
        <f aca="false">J131*K131</f>
        <v>2894161.68</v>
      </c>
      <c r="M131" s="7" t="n">
        <f aca="false">D131-B131</f>
        <v>20</v>
      </c>
      <c r="N131" s="7" t="str">
        <f aca="false">IF(D131&lt;=C131,"Yes","No")</f>
        <v>Yes</v>
      </c>
      <c r="O131" s="7" t="n">
        <v>3500</v>
      </c>
    </row>
    <row r="132" customFormat="false" ht="15" hidden="false" customHeight="false" outlineLevel="0" collapsed="false">
      <c r="A132" s="7" t="s">
        <v>881</v>
      </c>
      <c r="B132" s="8" t="n">
        <v>45453</v>
      </c>
      <c r="C132" s="8" t="n">
        <v>45462</v>
      </c>
      <c r="D132" s="8" t="n">
        <v>45460</v>
      </c>
      <c r="E132" s="7" t="s">
        <v>742</v>
      </c>
      <c r="F132" s="7" t="s">
        <v>95</v>
      </c>
      <c r="G132" s="7" t="s">
        <v>87</v>
      </c>
      <c r="H132" s="7" t="s">
        <v>31</v>
      </c>
      <c r="I132" s="7" t="n">
        <v>2119</v>
      </c>
      <c r="J132" s="7" t="n">
        <v>2074</v>
      </c>
      <c r="K132" s="10" t="n">
        <v>3549.34</v>
      </c>
      <c r="L132" s="10" t="n">
        <f aca="false">J132*K132</f>
        <v>7361331.16</v>
      </c>
      <c r="M132" s="7" t="n">
        <f aca="false">D132-B132</f>
        <v>7</v>
      </c>
      <c r="N132" s="7" t="str">
        <f aca="false">IF(D132&lt;=C132,"Yes","No")</f>
        <v>Yes</v>
      </c>
      <c r="O132" s="7" t="n">
        <v>6535</v>
      </c>
    </row>
    <row r="133" customFormat="false" ht="15" hidden="false" customHeight="false" outlineLevel="0" collapsed="false">
      <c r="A133" s="7" t="s">
        <v>882</v>
      </c>
      <c r="B133" s="8" t="n">
        <v>45542</v>
      </c>
      <c r="C133" s="8" t="n">
        <v>45562</v>
      </c>
      <c r="D133" s="8" t="n">
        <v>45563</v>
      </c>
      <c r="E133" s="7" t="s">
        <v>771</v>
      </c>
      <c r="F133" s="7" t="s">
        <v>95</v>
      </c>
      <c r="G133" s="7" t="s">
        <v>65</v>
      </c>
      <c r="H133" s="7" t="s">
        <v>31</v>
      </c>
      <c r="I133" s="7" t="n">
        <v>3399</v>
      </c>
      <c r="J133" s="7" t="n">
        <v>3128</v>
      </c>
      <c r="K133" s="10" t="n">
        <v>848.15</v>
      </c>
      <c r="L133" s="10" t="n">
        <f aca="false">J133*K133</f>
        <v>2653013.2</v>
      </c>
      <c r="M133" s="7" t="n">
        <f aca="false">D133-B133</f>
        <v>21</v>
      </c>
      <c r="N133" s="7" t="str">
        <f aca="false">IF(D133&lt;=C133,"Yes","No")</f>
        <v>No</v>
      </c>
      <c r="O133" s="7" t="n">
        <v>7274</v>
      </c>
    </row>
    <row r="134" customFormat="false" ht="15" hidden="false" customHeight="false" outlineLevel="0" collapsed="false">
      <c r="A134" s="7" t="s">
        <v>883</v>
      </c>
      <c r="B134" s="8" t="n">
        <v>45924</v>
      </c>
      <c r="C134" s="8" t="n">
        <v>45944</v>
      </c>
      <c r="D134" s="8" t="n">
        <v>45945</v>
      </c>
      <c r="E134" s="7" t="s">
        <v>742</v>
      </c>
      <c r="F134" s="7" t="s">
        <v>109</v>
      </c>
      <c r="G134" s="7" t="s">
        <v>68</v>
      </c>
      <c r="H134" s="7" t="s">
        <v>31</v>
      </c>
      <c r="I134" s="7" t="n">
        <v>3086</v>
      </c>
      <c r="J134" s="7" t="n">
        <v>3083</v>
      </c>
      <c r="K134" s="10" t="n">
        <v>1931.27</v>
      </c>
      <c r="L134" s="10" t="n">
        <f aca="false">J134*K134</f>
        <v>5954105.41</v>
      </c>
      <c r="M134" s="7" t="n">
        <f aca="false">D134-B134</f>
        <v>21</v>
      </c>
      <c r="N134" s="7" t="str">
        <f aca="false">IF(D134&lt;=C134,"Yes","No")</f>
        <v>No</v>
      </c>
      <c r="O134" s="7" t="n">
        <v>562</v>
      </c>
    </row>
    <row r="135" customFormat="false" ht="15" hidden="false" customHeight="false" outlineLevel="0" collapsed="false">
      <c r="A135" s="7" t="s">
        <v>884</v>
      </c>
      <c r="B135" s="8" t="n">
        <v>45997</v>
      </c>
      <c r="C135" s="8" t="n">
        <v>46011</v>
      </c>
      <c r="D135" s="8" t="n">
        <v>46014</v>
      </c>
      <c r="E135" s="7" t="s">
        <v>771</v>
      </c>
      <c r="F135" s="7" t="s">
        <v>115</v>
      </c>
      <c r="G135" s="7" t="s">
        <v>65</v>
      </c>
      <c r="H135" s="7" t="s">
        <v>31</v>
      </c>
      <c r="I135" s="7" t="n">
        <v>3309</v>
      </c>
      <c r="J135" s="7" t="n">
        <v>3013</v>
      </c>
      <c r="K135" s="10" t="n">
        <v>1369.34</v>
      </c>
      <c r="L135" s="10" t="n">
        <f aca="false">J135*K135</f>
        <v>4125821.42</v>
      </c>
      <c r="M135" s="7" t="n">
        <f aca="false">D135-B135</f>
        <v>17</v>
      </c>
      <c r="N135" s="7" t="str">
        <f aca="false">IF(D135&lt;=C135,"Yes","No")</f>
        <v>No</v>
      </c>
      <c r="O135" s="7" t="n">
        <v>6569</v>
      </c>
    </row>
    <row r="136" customFormat="false" ht="15" hidden="false" customHeight="false" outlineLevel="0" collapsed="false">
      <c r="A136" s="7" t="s">
        <v>885</v>
      </c>
      <c r="B136" s="8" t="n">
        <v>45763</v>
      </c>
      <c r="C136" s="8" t="n">
        <v>45768</v>
      </c>
      <c r="D136" s="8" t="n">
        <v>45770</v>
      </c>
      <c r="E136" s="7" t="s">
        <v>747</v>
      </c>
      <c r="F136" s="7" t="s">
        <v>115</v>
      </c>
      <c r="G136" s="7" t="s">
        <v>68</v>
      </c>
      <c r="H136" s="7" t="s">
        <v>31</v>
      </c>
      <c r="I136" s="7" t="n">
        <v>1391</v>
      </c>
      <c r="J136" s="7" t="n">
        <v>1325</v>
      </c>
      <c r="K136" s="10" t="n">
        <v>1729.58</v>
      </c>
      <c r="L136" s="10" t="n">
        <f aca="false">J136*K136</f>
        <v>2291693.5</v>
      </c>
      <c r="M136" s="7" t="n">
        <f aca="false">D136-B136</f>
        <v>7</v>
      </c>
      <c r="N136" s="7" t="str">
        <f aca="false">IF(D136&lt;=C136,"Yes","No")</f>
        <v>No</v>
      </c>
      <c r="O136" s="7" t="n">
        <v>3385</v>
      </c>
    </row>
    <row r="137" customFormat="false" ht="15" hidden="false" customHeight="false" outlineLevel="0" collapsed="false">
      <c r="A137" s="7" t="s">
        <v>886</v>
      </c>
      <c r="B137" s="8" t="n">
        <v>45485</v>
      </c>
      <c r="C137" s="8" t="n">
        <v>45496</v>
      </c>
      <c r="D137" s="8" t="n">
        <v>45503</v>
      </c>
      <c r="E137" s="7" t="s">
        <v>771</v>
      </c>
      <c r="F137" s="7" t="s">
        <v>104</v>
      </c>
      <c r="G137" s="7" t="s">
        <v>83</v>
      </c>
      <c r="H137" s="7" t="s">
        <v>31</v>
      </c>
      <c r="I137" s="7" t="n">
        <v>4751</v>
      </c>
      <c r="J137" s="7" t="n">
        <v>4483</v>
      </c>
      <c r="K137" s="10" t="n">
        <v>3509.92</v>
      </c>
      <c r="L137" s="10" t="n">
        <f aca="false">J137*K137</f>
        <v>15734971.36</v>
      </c>
      <c r="M137" s="7" t="n">
        <f aca="false">D137-B137</f>
        <v>18</v>
      </c>
      <c r="N137" s="7" t="str">
        <f aca="false">IF(D137&lt;=C137,"Yes","No")</f>
        <v>No</v>
      </c>
      <c r="O137" s="7" t="n">
        <v>3346</v>
      </c>
    </row>
    <row r="138" customFormat="false" ht="15" hidden="false" customHeight="false" outlineLevel="0" collapsed="false">
      <c r="A138" s="7" t="s">
        <v>887</v>
      </c>
      <c r="B138" s="8" t="n">
        <v>45469</v>
      </c>
      <c r="C138" s="8" t="n">
        <v>45485</v>
      </c>
      <c r="D138" s="8" t="n">
        <v>45484</v>
      </c>
      <c r="E138" s="7" t="s">
        <v>751</v>
      </c>
      <c r="F138" s="7" t="s">
        <v>95</v>
      </c>
      <c r="G138" s="7" t="s">
        <v>65</v>
      </c>
      <c r="H138" s="7" t="s">
        <v>31</v>
      </c>
      <c r="I138" s="7" t="n">
        <v>2253</v>
      </c>
      <c r="J138" s="7" t="n">
        <v>2191</v>
      </c>
      <c r="K138" s="10" t="n">
        <v>2765.68</v>
      </c>
      <c r="L138" s="10" t="n">
        <f aca="false">J138*K138</f>
        <v>6059604.88</v>
      </c>
      <c r="M138" s="7" t="n">
        <f aca="false">D138-B138</f>
        <v>15</v>
      </c>
      <c r="N138" s="7" t="str">
        <f aca="false">IF(D138&lt;=C138,"Yes","No")</f>
        <v>Yes</v>
      </c>
      <c r="O138" s="7" t="n">
        <v>426</v>
      </c>
    </row>
    <row r="139" customFormat="false" ht="15" hidden="false" customHeight="false" outlineLevel="0" collapsed="false">
      <c r="A139" s="7" t="s">
        <v>888</v>
      </c>
      <c r="B139" s="8" t="n">
        <v>45318</v>
      </c>
      <c r="C139" s="8" t="n">
        <v>45323</v>
      </c>
      <c r="D139" s="8" t="n">
        <v>45327</v>
      </c>
      <c r="E139" s="7" t="s">
        <v>771</v>
      </c>
      <c r="F139" s="7" t="s">
        <v>104</v>
      </c>
      <c r="G139" s="7" t="s">
        <v>65</v>
      </c>
      <c r="H139" s="7" t="s">
        <v>31</v>
      </c>
      <c r="I139" s="7" t="n">
        <v>3149</v>
      </c>
      <c r="J139" s="7" t="n">
        <v>2940</v>
      </c>
      <c r="K139" s="10" t="n">
        <v>2870.46</v>
      </c>
      <c r="L139" s="10" t="n">
        <f aca="false">J139*K139</f>
        <v>8439152.4</v>
      </c>
      <c r="M139" s="7" t="n">
        <f aca="false">D139-B139</f>
        <v>9</v>
      </c>
      <c r="N139" s="7" t="str">
        <f aca="false">IF(D139&lt;=C139,"Yes","No")</f>
        <v>No</v>
      </c>
      <c r="O139" s="7" t="n">
        <v>3982</v>
      </c>
    </row>
    <row r="140" customFormat="false" ht="15" hidden="false" customHeight="false" outlineLevel="0" collapsed="false">
      <c r="A140" s="7" t="s">
        <v>889</v>
      </c>
      <c r="B140" s="8" t="n">
        <v>45772</v>
      </c>
      <c r="C140" s="8" t="n">
        <v>45781</v>
      </c>
      <c r="D140" s="8" t="n">
        <v>45778</v>
      </c>
      <c r="E140" s="7" t="s">
        <v>766</v>
      </c>
      <c r="F140" s="7" t="s">
        <v>104</v>
      </c>
      <c r="G140" s="7" t="s">
        <v>83</v>
      </c>
      <c r="H140" s="7" t="s">
        <v>31</v>
      </c>
      <c r="I140" s="7" t="n">
        <v>3634</v>
      </c>
      <c r="J140" s="7" t="n">
        <v>3590</v>
      </c>
      <c r="K140" s="10" t="n">
        <v>1162.82</v>
      </c>
      <c r="L140" s="10" t="n">
        <f aca="false">J140*K140</f>
        <v>4174523.8</v>
      </c>
      <c r="M140" s="7" t="n">
        <f aca="false">D140-B140</f>
        <v>6</v>
      </c>
      <c r="N140" s="7" t="str">
        <f aca="false">IF(D140&lt;=C140,"Yes","No")</f>
        <v>Yes</v>
      </c>
      <c r="O140" s="7" t="n">
        <v>7389</v>
      </c>
    </row>
    <row r="141" customFormat="false" ht="15" hidden="false" customHeight="false" outlineLevel="0" collapsed="false">
      <c r="A141" s="7" t="s">
        <v>890</v>
      </c>
      <c r="B141" s="8" t="n">
        <v>45443</v>
      </c>
      <c r="C141" s="8" t="n">
        <v>45452</v>
      </c>
      <c r="D141" s="8" t="n">
        <v>45456</v>
      </c>
      <c r="E141" s="7" t="s">
        <v>753</v>
      </c>
      <c r="F141" s="7" t="s">
        <v>115</v>
      </c>
      <c r="G141" s="7" t="s">
        <v>65</v>
      </c>
      <c r="H141" s="7" t="s">
        <v>31</v>
      </c>
      <c r="I141" s="7" t="n">
        <v>940</v>
      </c>
      <c r="J141" s="7" t="n">
        <v>926</v>
      </c>
      <c r="K141" s="10" t="n">
        <v>1425.2</v>
      </c>
      <c r="L141" s="10" t="n">
        <f aca="false">J141*K141</f>
        <v>1319735.2</v>
      </c>
      <c r="M141" s="7" t="n">
        <f aca="false">D141-B141</f>
        <v>13</v>
      </c>
      <c r="N141" s="7" t="str">
        <f aca="false">IF(D141&lt;=C141,"Yes","No")</f>
        <v>No</v>
      </c>
      <c r="O141" s="7" t="n">
        <v>5540</v>
      </c>
    </row>
    <row r="142" customFormat="false" ht="15" hidden="false" customHeight="false" outlineLevel="0" collapsed="false">
      <c r="A142" s="7" t="s">
        <v>891</v>
      </c>
      <c r="B142" s="8" t="n">
        <v>45958</v>
      </c>
      <c r="C142" s="8" t="n">
        <v>45968</v>
      </c>
      <c r="D142" s="8" t="n">
        <v>45975</v>
      </c>
      <c r="E142" s="7" t="s">
        <v>753</v>
      </c>
      <c r="F142" s="7" t="s">
        <v>115</v>
      </c>
      <c r="G142" s="7" t="s">
        <v>68</v>
      </c>
      <c r="H142" s="7" t="s">
        <v>31</v>
      </c>
      <c r="I142" s="7" t="n">
        <v>1469</v>
      </c>
      <c r="J142" s="7" t="n">
        <v>1455</v>
      </c>
      <c r="K142" s="10" t="n">
        <v>3016.57</v>
      </c>
      <c r="L142" s="10" t="n">
        <f aca="false">J142*K142</f>
        <v>4389109.35</v>
      </c>
      <c r="M142" s="7" t="n">
        <f aca="false">D142-B142</f>
        <v>17</v>
      </c>
      <c r="N142" s="7" t="str">
        <f aca="false">IF(D142&lt;=C142,"Yes","No")</f>
        <v>No</v>
      </c>
      <c r="O142" s="7" t="n">
        <v>713</v>
      </c>
    </row>
    <row r="143" customFormat="false" ht="15" hidden="false" customHeight="false" outlineLevel="0" collapsed="false">
      <c r="A143" s="7" t="s">
        <v>892</v>
      </c>
      <c r="B143" s="8" t="n">
        <v>45969</v>
      </c>
      <c r="C143" s="8" t="n">
        <v>45979</v>
      </c>
      <c r="D143" s="8" t="n">
        <v>45976</v>
      </c>
      <c r="E143" s="7" t="s">
        <v>777</v>
      </c>
      <c r="F143" s="7" t="s">
        <v>104</v>
      </c>
      <c r="G143" s="7" t="s">
        <v>65</v>
      </c>
      <c r="H143" s="7" t="s">
        <v>31</v>
      </c>
      <c r="I143" s="7" t="n">
        <v>2487</v>
      </c>
      <c r="J143" s="7" t="n">
        <v>2261</v>
      </c>
      <c r="K143" s="10" t="n">
        <v>4411.76</v>
      </c>
      <c r="L143" s="10" t="n">
        <f aca="false">J143*K143</f>
        <v>9974989.36</v>
      </c>
      <c r="M143" s="7" t="n">
        <f aca="false">D143-B143</f>
        <v>7</v>
      </c>
      <c r="N143" s="7" t="str">
        <f aca="false">IF(D143&lt;=C143,"Yes","No")</f>
        <v>Yes</v>
      </c>
      <c r="O143" s="7" t="n">
        <v>6775</v>
      </c>
    </row>
    <row r="144" customFormat="false" ht="15" hidden="false" customHeight="false" outlineLevel="0" collapsed="false">
      <c r="A144" s="7" t="s">
        <v>893</v>
      </c>
      <c r="B144" s="8" t="n">
        <v>45293</v>
      </c>
      <c r="C144" s="8" t="n">
        <v>45310</v>
      </c>
      <c r="D144" s="8" t="n">
        <v>45307</v>
      </c>
      <c r="E144" s="7" t="s">
        <v>777</v>
      </c>
      <c r="F144" s="7" t="s">
        <v>104</v>
      </c>
      <c r="G144" s="7" t="s">
        <v>68</v>
      </c>
      <c r="H144" s="7" t="s">
        <v>31</v>
      </c>
      <c r="I144" s="7" t="n">
        <v>862</v>
      </c>
      <c r="J144" s="7" t="n">
        <v>855</v>
      </c>
      <c r="K144" s="10" t="n">
        <v>3162.97</v>
      </c>
      <c r="L144" s="10" t="n">
        <f aca="false">J144*K144</f>
        <v>2704339.35</v>
      </c>
      <c r="M144" s="7" t="n">
        <f aca="false">D144-B144</f>
        <v>14</v>
      </c>
      <c r="N144" s="7" t="str">
        <f aca="false">IF(D144&lt;=C144,"Yes","No")</f>
        <v>Yes</v>
      </c>
      <c r="O144" s="7" t="n">
        <v>7730</v>
      </c>
    </row>
    <row r="145" customFormat="false" ht="15" hidden="false" customHeight="false" outlineLevel="0" collapsed="false">
      <c r="A145" s="7" t="s">
        <v>894</v>
      </c>
      <c r="B145" s="8" t="n">
        <v>45697</v>
      </c>
      <c r="C145" s="8" t="n">
        <v>45701</v>
      </c>
      <c r="D145" s="8" t="n">
        <v>45700</v>
      </c>
      <c r="E145" s="7" t="s">
        <v>753</v>
      </c>
      <c r="F145" s="7" t="s">
        <v>95</v>
      </c>
      <c r="G145" s="7" t="s">
        <v>87</v>
      </c>
      <c r="H145" s="7" t="s">
        <v>31</v>
      </c>
      <c r="I145" s="7" t="n">
        <v>1350</v>
      </c>
      <c r="J145" s="7" t="n">
        <v>1317</v>
      </c>
      <c r="K145" s="10" t="n">
        <v>4064.63</v>
      </c>
      <c r="L145" s="10" t="n">
        <f aca="false">J145*K145</f>
        <v>5353117.71</v>
      </c>
      <c r="M145" s="7" t="n">
        <f aca="false">D145-B145</f>
        <v>3</v>
      </c>
      <c r="N145" s="7" t="str">
        <f aca="false">IF(D145&lt;=C145,"Yes","No")</f>
        <v>Yes</v>
      </c>
      <c r="O145" s="7" t="n">
        <v>991</v>
      </c>
    </row>
    <row r="146" customFormat="false" ht="15" hidden="false" customHeight="false" outlineLevel="0" collapsed="false">
      <c r="A146" s="7" t="s">
        <v>895</v>
      </c>
      <c r="B146" s="8" t="n">
        <v>45448</v>
      </c>
      <c r="C146" s="8" t="n">
        <v>45467</v>
      </c>
      <c r="D146" s="8" t="n">
        <v>45466</v>
      </c>
      <c r="E146" s="7" t="s">
        <v>744</v>
      </c>
      <c r="F146" s="7" t="s">
        <v>109</v>
      </c>
      <c r="G146" s="7" t="s">
        <v>65</v>
      </c>
      <c r="H146" s="7" t="s">
        <v>31</v>
      </c>
      <c r="I146" s="7" t="n">
        <v>4676</v>
      </c>
      <c r="J146" s="7" t="n">
        <v>4576</v>
      </c>
      <c r="K146" s="10" t="n">
        <v>4091.76</v>
      </c>
      <c r="L146" s="10" t="n">
        <f aca="false">J146*K146</f>
        <v>18723893.76</v>
      </c>
      <c r="M146" s="7" t="n">
        <f aca="false">D146-B146</f>
        <v>18</v>
      </c>
      <c r="N146" s="7" t="str">
        <f aca="false">IF(D146&lt;=C146,"Yes","No")</f>
        <v>Yes</v>
      </c>
      <c r="O146" s="7" t="n">
        <v>7706</v>
      </c>
    </row>
    <row r="147" customFormat="false" ht="15" hidden="false" customHeight="false" outlineLevel="0" collapsed="false">
      <c r="A147" s="7" t="s">
        <v>896</v>
      </c>
      <c r="B147" s="8" t="n">
        <v>45294</v>
      </c>
      <c r="C147" s="8" t="n">
        <v>45297</v>
      </c>
      <c r="D147" s="8" t="n">
        <v>45302</v>
      </c>
      <c r="E147" s="7" t="s">
        <v>758</v>
      </c>
      <c r="F147" s="7" t="s">
        <v>99</v>
      </c>
      <c r="G147" s="7" t="s">
        <v>65</v>
      </c>
      <c r="H147" s="7" t="s">
        <v>31</v>
      </c>
      <c r="I147" s="7" t="n">
        <v>4968</v>
      </c>
      <c r="J147" s="7" t="n">
        <v>4776</v>
      </c>
      <c r="K147" s="10" t="n">
        <v>2491.2</v>
      </c>
      <c r="L147" s="10" t="n">
        <f aca="false">J147*K147</f>
        <v>11897971.2</v>
      </c>
      <c r="M147" s="7" t="n">
        <f aca="false">D147-B147</f>
        <v>8</v>
      </c>
      <c r="N147" s="7" t="str">
        <f aca="false">IF(D147&lt;=C147,"Yes","No")</f>
        <v>No</v>
      </c>
      <c r="O147" s="7" t="n">
        <v>5694</v>
      </c>
    </row>
    <row r="148" customFormat="false" ht="15" hidden="false" customHeight="false" outlineLevel="0" collapsed="false">
      <c r="A148" s="7" t="s">
        <v>897</v>
      </c>
      <c r="B148" s="8" t="n">
        <v>45309</v>
      </c>
      <c r="C148" s="8" t="n">
        <v>45318</v>
      </c>
      <c r="D148" s="8" t="n">
        <v>45315</v>
      </c>
      <c r="E148" s="7" t="s">
        <v>751</v>
      </c>
      <c r="F148" s="7" t="s">
        <v>115</v>
      </c>
      <c r="G148" s="7" t="s">
        <v>68</v>
      </c>
      <c r="H148" s="7" t="s">
        <v>31</v>
      </c>
      <c r="I148" s="7" t="n">
        <v>1500</v>
      </c>
      <c r="J148" s="7" t="n">
        <v>1456</v>
      </c>
      <c r="K148" s="10" t="n">
        <v>3521.52</v>
      </c>
      <c r="L148" s="10" t="n">
        <f aca="false">J148*K148</f>
        <v>5127333.12</v>
      </c>
      <c r="M148" s="7" t="n">
        <f aca="false">D148-B148</f>
        <v>6</v>
      </c>
      <c r="N148" s="7" t="str">
        <f aca="false">IF(D148&lt;=C148,"Yes","No")</f>
        <v>Yes</v>
      </c>
      <c r="O148" s="7" t="n">
        <v>5702</v>
      </c>
    </row>
    <row r="149" customFormat="false" ht="15" hidden="false" customHeight="false" outlineLevel="0" collapsed="false">
      <c r="A149" s="7" t="s">
        <v>898</v>
      </c>
      <c r="B149" s="8" t="n">
        <v>45692</v>
      </c>
      <c r="C149" s="8" t="n">
        <v>45697</v>
      </c>
      <c r="D149" s="8" t="n">
        <v>45702</v>
      </c>
      <c r="E149" s="7" t="s">
        <v>742</v>
      </c>
      <c r="F149" s="7" t="s">
        <v>109</v>
      </c>
      <c r="G149" s="7" t="s">
        <v>65</v>
      </c>
      <c r="H149" s="7" t="s">
        <v>31</v>
      </c>
      <c r="I149" s="7" t="n">
        <v>1219</v>
      </c>
      <c r="J149" s="7" t="n">
        <v>1186</v>
      </c>
      <c r="K149" s="10" t="n">
        <v>3944</v>
      </c>
      <c r="L149" s="10" t="n">
        <f aca="false">J149*K149</f>
        <v>4677584</v>
      </c>
      <c r="M149" s="7" t="n">
        <f aca="false">D149-B149</f>
        <v>10</v>
      </c>
      <c r="N149" s="7" t="str">
        <f aca="false">IF(D149&lt;=C149,"Yes","No")</f>
        <v>No</v>
      </c>
      <c r="O149" s="7" t="n">
        <v>7149</v>
      </c>
    </row>
    <row r="150" customFormat="false" ht="15" hidden="false" customHeight="false" outlineLevel="0" collapsed="false">
      <c r="A150" s="7" t="s">
        <v>899</v>
      </c>
      <c r="B150" s="8" t="n">
        <v>45385</v>
      </c>
      <c r="C150" s="8" t="n">
        <v>45399</v>
      </c>
      <c r="D150" s="8" t="n">
        <v>45400</v>
      </c>
      <c r="E150" s="7" t="s">
        <v>749</v>
      </c>
      <c r="F150" s="7" t="s">
        <v>106</v>
      </c>
      <c r="G150" s="7" t="s">
        <v>83</v>
      </c>
      <c r="H150" s="7" t="s">
        <v>31</v>
      </c>
      <c r="I150" s="7" t="n">
        <v>1710</v>
      </c>
      <c r="J150" s="7" t="n">
        <v>1623</v>
      </c>
      <c r="K150" s="10" t="n">
        <v>2932.08</v>
      </c>
      <c r="L150" s="10" t="n">
        <f aca="false">J150*K150</f>
        <v>4758765.84</v>
      </c>
      <c r="M150" s="7" t="n">
        <f aca="false">D150-B150</f>
        <v>15</v>
      </c>
      <c r="N150" s="7" t="str">
        <f aca="false">IF(D150&lt;=C150,"Yes","No")</f>
        <v>No</v>
      </c>
      <c r="O150" s="7" t="n">
        <v>2943</v>
      </c>
    </row>
    <row r="151" customFormat="false" ht="15" hidden="false" customHeight="false" outlineLevel="0" collapsed="false">
      <c r="A151" s="7" t="s">
        <v>900</v>
      </c>
      <c r="B151" s="8" t="n">
        <v>45474</v>
      </c>
      <c r="C151" s="8" t="n">
        <v>45479</v>
      </c>
      <c r="D151" s="8" t="n">
        <v>45477</v>
      </c>
      <c r="E151" s="7" t="s">
        <v>771</v>
      </c>
      <c r="F151" s="7" t="s">
        <v>99</v>
      </c>
      <c r="G151" s="7" t="s">
        <v>68</v>
      </c>
      <c r="H151" s="7" t="s">
        <v>31</v>
      </c>
      <c r="I151" s="7" t="n">
        <v>4760</v>
      </c>
      <c r="J151" s="7" t="n">
        <v>4467</v>
      </c>
      <c r="K151" s="10" t="n">
        <v>4439.8</v>
      </c>
      <c r="L151" s="10" t="n">
        <f aca="false">J151*K151</f>
        <v>19832586.6</v>
      </c>
      <c r="M151" s="7" t="n">
        <f aca="false">D151-B151</f>
        <v>3</v>
      </c>
      <c r="N151" s="7" t="str">
        <f aca="false">IF(D151&lt;=C151,"Yes","No")</f>
        <v>Yes</v>
      </c>
      <c r="O151" s="7" t="n">
        <v>7767</v>
      </c>
    </row>
    <row r="152" customFormat="false" ht="15" hidden="false" customHeight="false" outlineLevel="0" collapsed="false">
      <c r="A152" s="7" t="s">
        <v>901</v>
      </c>
      <c r="B152" s="8" t="n">
        <v>45888</v>
      </c>
      <c r="C152" s="8" t="n">
        <v>45897</v>
      </c>
      <c r="D152" s="8" t="n">
        <v>45895</v>
      </c>
      <c r="E152" s="7" t="s">
        <v>771</v>
      </c>
      <c r="F152" s="7" t="s">
        <v>95</v>
      </c>
      <c r="G152" s="7" t="s">
        <v>65</v>
      </c>
      <c r="H152" s="7" t="s">
        <v>31</v>
      </c>
      <c r="I152" s="7" t="n">
        <v>1606</v>
      </c>
      <c r="J152" s="7" t="n">
        <v>1581</v>
      </c>
      <c r="K152" s="10" t="n">
        <v>2393.86</v>
      </c>
      <c r="L152" s="10" t="n">
        <f aca="false">J152*K152</f>
        <v>3784692.66</v>
      </c>
      <c r="M152" s="7" t="n">
        <f aca="false">D152-B152</f>
        <v>7</v>
      </c>
      <c r="N152" s="7" t="str">
        <f aca="false">IF(D152&lt;=C152,"Yes","No")</f>
        <v>Yes</v>
      </c>
      <c r="O152" s="7" t="n">
        <v>7393</v>
      </c>
    </row>
    <row r="153" customFormat="false" ht="15" hidden="false" customHeight="false" outlineLevel="0" collapsed="false">
      <c r="A153" s="7" t="s">
        <v>902</v>
      </c>
      <c r="B153" s="8" t="n">
        <v>45328</v>
      </c>
      <c r="C153" s="8" t="n">
        <v>45340</v>
      </c>
      <c r="D153" s="8" t="n">
        <v>45344</v>
      </c>
      <c r="E153" s="7" t="s">
        <v>749</v>
      </c>
      <c r="F153" s="7" t="s">
        <v>102</v>
      </c>
      <c r="G153" s="7" t="s">
        <v>83</v>
      </c>
      <c r="H153" s="7" t="s">
        <v>31</v>
      </c>
      <c r="I153" s="7" t="n">
        <v>2961</v>
      </c>
      <c r="J153" s="7" t="n">
        <v>2915</v>
      </c>
      <c r="K153" s="10" t="n">
        <v>904.91</v>
      </c>
      <c r="L153" s="10" t="n">
        <f aca="false">J153*K153</f>
        <v>2637812.65</v>
      </c>
      <c r="M153" s="7" t="n">
        <f aca="false">D153-B153</f>
        <v>16</v>
      </c>
      <c r="N153" s="7" t="str">
        <f aca="false">IF(D153&lt;=C153,"Yes","No")</f>
        <v>No</v>
      </c>
      <c r="O153" s="7" t="n">
        <v>3331</v>
      </c>
    </row>
    <row r="154" customFormat="false" ht="15" hidden="false" customHeight="false" outlineLevel="0" collapsed="false">
      <c r="A154" s="7" t="s">
        <v>903</v>
      </c>
      <c r="B154" s="8" t="n">
        <v>45388</v>
      </c>
      <c r="C154" s="8" t="n">
        <v>45405</v>
      </c>
      <c r="D154" s="8" t="n">
        <v>45404</v>
      </c>
      <c r="E154" s="7" t="s">
        <v>753</v>
      </c>
      <c r="F154" s="7" t="s">
        <v>109</v>
      </c>
      <c r="G154" s="7" t="s">
        <v>83</v>
      </c>
      <c r="H154" s="7" t="s">
        <v>31</v>
      </c>
      <c r="I154" s="7" t="n">
        <v>2545</v>
      </c>
      <c r="J154" s="7" t="n">
        <v>2293</v>
      </c>
      <c r="K154" s="10" t="n">
        <v>2790</v>
      </c>
      <c r="L154" s="10" t="n">
        <f aca="false">J154*K154</f>
        <v>6397470</v>
      </c>
      <c r="M154" s="7" t="n">
        <f aca="false">D154-B154</f>
        <v>16</v>
      </c>
      <c r="N154" s="7" t="str">
        <f aca="false">IF(D154&lt;=C154,"Yes","No")</f>
        <v>Yes</v>
      </c>
      <c r="O154" s="7" t="n">
        <v>2991</v>
      </c>
    </row>
    <row r="155" customFormat="false" ht="15" hidden="false" customHeight="false" outlineLevel="0" collapsed="false">
      <c r="A155" s="7" t="s">
        <v>904</v>
      </c>
      <c r="B155" s="8" t="n">
        <v>45522</v>
      </c>
      <c r="C155" s="8" t="n">
        <v>45536</v>
      </c>
      <c r="D155" s="8" t="n">
        <v>45538</v>
      </c>
      <c r="E155" s="7" t="s">
        <v>771</v>
      </c>
      <c r="F155" s="7" t="s">
        <v>104</v>
      </c>
      <c r="G155" s="7" t="s">
        <v>83</v>
      </c>
      <c r="H155" s="7" t="s">
        <v>31</v>
      </c>
      <c r="I155" s="7" t="n">
        <v>1149</v>
      </c>
      <c r="J155" s="7" t="n">
        <v>1095</v>
      </c>
      <c r="K155" s="10" t="n">
        <v>1187.96</v>
      </c>
      <c r="L155" s="10" t="n">
        <f aca="false">J155*K155</f>
        <v>1300816.2</v>
      </c>
      <c r="M155" s="7" t="n">
        <f aca="false">D155-B155</f>
        <v>16</v>
      </c>
      <c r="N155" s="7" t="str">
        <f aca="false">IF(D155&lt;=C155,"Yes","No")</f>
        <v>No</v>
      </c>
      <c r="O155" s="7" t="n">
        <v>6962</v>
      </c>
    </row>
    <row r="156" customFormat="false" ht="15" hidden="false" customHeight="false" outlineLevel="0" collapsed="false">
      <c r="A156" s="7" t="s">
        <v>905</v>
      </c>
      <c r="B156" s="8" t="n">
        <v>45610</v>
      </c>
      <c r="C156" s="8" t="n">
        <v>45623</v>
      </c>
      <c r="D156" s="8" t="n">
        <v>45625</v>
      </c>
      <c r="E156" s="7" t="s">
        <v>758</v>
      </c>
      <c r="F156" s="7" t="s">
        <v>99</v>
      </c>
      <c r="G156" s="7" t="s">
        <v>87</v>
      </c>
      <c r="H156" s="7" t="s">
        <v>31</v>
      </c>
      <c r="I156" s="7" t="n">
        <v>1819</v>
      </c>
      <c r="J156" s="7" t="n">
        <v>1675</v>
      </c>
      <c r="K156" s="10" t="n">
        <v>997.59</v>
      </c>
      <c r="L156" s="10" t="n">
        <f aca="false">J156*K156</f>
        <v>1670963.25</v>
      </c>
      <c r="M156" s="7" t="n">
        <f aca="false">D156-B156</f>
        <v>15</v>
      </c>
      <c r="N156" s="7" t="str">
        <f aca="false">IF(D156&lt;=C156,"Yes","No")</f>
        <v>No</v>
      </c>
      <c r="O156" s="7" t="n">
        <v>5635</v>
      </c>
    </row>
    <row r="157" customFormat="false" ht="15" hidden="false" customHeight="false" outlineLevel="0" collapsed="false">
      <c r="A157" s="7" t="s">
        <v>906</v>
      </c>
      <c r="B157" s="8" t="n">
        <v>45816</v>
      </c>
      <c r="C157" s="8" t="n">
        <v>45832</v>
      </c>
      <c r="D157" s="8" t="n">
        <v>45837</v>
      </c>
      <c r="E157" s="7" t="s">
        <v>758</v>
      </c>
      <c r="F157" s="7" t="s">
        <v>104</v>
      </c>
      <c r="G157" s="7" t="s">
        <v>68</v>
      </c>
      <c r="H157" s="7" t="s">
        <v>31</v>
      </c>
      <c r="I157" s="7" t="n">
        <v>2854</v>
      </c>
      <c r="J157" s="7" t="n">
        <v>2784</v>
      </c>
      <c r="K157" s="10" t="n">
        <v>4076.96</v>
      </c>
      <c r="L157" s="10" t="n">
        <f aca="false">J157*K157</f>
        <v>11350256.64</v>
      </c>
      <c r="M157" s="7" t="n">
        <f aca="false">D157-B157</f>
        <v>21</v>
      </c>
      <c r="N157" s="7" t="str">
        <f aca="false">IF(D157&lt;=C157,"Yes","No")</f>
        <v>No</v>
      </c>
      <c r="O157" s="7" t="n">
        <v>6051</v>
      </c>
    </row>
    <row r="158" customFormat="false" ht="15" hidden="false" customHeight="false" outlineLevel="0" collapsed="false">
      <c r="A158" s="7" t="s">
        <v>907</v>
      </c>
      <c r="B158" s="8" t="n">
        <v>45549</v>
      </c>
      <c r="C158" s="8" t="n">
        <v>45555</v>
      </c>
      <c r="D158" s="8" t="n">
        <v>45554</v>
      </c>
      <c r="E158" s="7" t="s">
        <v>744</v>
      </c>
      <c r="F158" s="7" t="s">
        <v>115</v>
      </c>
      <c r="G158" s="7" t="s">
        <v>68</v>
      </c>
      <c r="H158" s="7" t="s">
        <v>31</v>
      </c>
      <c r="I158" s="7" t="n">
        <v>2829</v>
      </c>
      <c r="J158" s="7" t="n">
        <v>2759</v>
      </c>
      <c r="K158" s="10" t="n">
        <v>1719.41</v>
      </c>
      <c r="L158" s="10" t="n">
        <f aca="false">J158*K158</f>
        <v>4743852.19</v>
      </c>
      <c r="M158" s="7" t="n">
        <f aca="false">D158-B158</f>
        <v>5</v>
      </c>
      <c r="N158" s="7" t="str">
        <f aca="false">IF(D158&lt;=C158,"Yes","No")</f>
        <v>Yes</v>
      </c>
      <c r="O158" s="7" t="n">
        <v>2306</v>
      </c>
    </row>
    <row r="159" customFormat="false" ht="15" hidden="false" customHeight="false" outlineLevel="0" collapsed="false">
      <c r="A159" s="7" t="s">
        <v>908</v>
      </c>
      <c r="B159" s="8" t="n">
        <v>45294</v>
      </c>
      <c r="C159" s="8" t="n">
        <v>45303</v>
      </c>
      <c r="D159" s="8" t="n">
        <v>45310</v>
      </c>
      <c r="E159" s="7" t="s">
        <v>749</v>
      </c>
      <c r="F159" s="7" t="s">
        <v>102</v>
      </c>
      <c r="G159" s="7" t="s">
        <v>65</v>
      </c>
      <c r="H159" s="7" t="s">
        <v>31</v>
      </c>
      <c r="I159" s="7" t="n">
        <v>1056</v>
      </c>
      <c r="J159" s="7" t="n">
        <v>1023</v>
      </c>
      <c r="K159" s="10" t="n">
        <v>1924.43</v>
      </c>
      <c r="L159" s="10" t="n">
        <f aca="false">J159*K159</f>
        <v>1968691.89</v>
      </c>
      <c r="M159" s="7" t="n">
        <f aca="false">D159-B159</f>
        <v>16</v>
      </c>
      <c r="N159" s="7" t="str">
        <f aca="false">IF(D159&lt;=C159,"Yes","No")</f>
        <v>No</v>
      </c>
      <c r="O159" s="7" t="n">
        <v>723</v>
      </c>
    </row>
    <row r="160" customFormat="false" ht="15" hidden="false" customHeight="false" outlineLevel="0" collapsed="false">
      <c r="A160" s="7" t="s">
        <v>909</v>
      </c>
      <c r="B160" s="8" t="n">
        <v>45994</v>
      </c>
      <c r="C160" s="8" t="n">
        <v>46014</v>
      </c>
      <c r="D160" s="8" t="n">
        <v>46011</v>
      </c>
      <c r="E160" s="7" t="s">
        <v>758</v>
      </c>
      <c r="F160" s="7" t="s">
        <v>109</v>
      </c>
      <c r="G160" s="7" t="s">
        <v>65</v>
      </c>
      <c r="H160" s="7" t="s">
        <v>31</v>
      </c>
      <c r="I160" s="7" t="n">
        <v>1665</v>
      </c>
      <c r="J160" s="7" t="n">
        <v>1591</v>
      </c>
      <c r="K160" s="10" t="n">
        <v>3473.05</v>
      </c>
      <c r="L160" s="10" t="n">
        <f aca="false">J160*K160</f>
        <v>5525622.55</v>
      </c>
      <c r="M160" s="7" t="n">
        <f aca="false">D160-B160</f>
        <v>17</v>
      </c>
      <c r="N160" s="7" t="str">
        <f aca="false">IF(D160&lt;=C160,"Yes","No")</f>
        <v>Yes</v>
      </c>
      <c r="O160" s="7" t="n">
        <v>5511</v>
      </c>
    </row>
    <row r="161" customFormat="false" ht="15" hidden="false" customHeight="false" outlineLevel="0" collapsed="false">
      <c r="A161" s="7" t="s">
        <v>910</v>
      </c>
      <c r="B161" s="8" t="n">
        <v>45800</v>
      </c>
      <c r="C161" s="8" t="n">
        <v>45811</v>
      </c>
      <c r="D161" s="8" t="n">
        <v>45815</v>
      </c>
      <c r="E161" s="7" t="s">
        <v>751</v>
      </c>
      <c r="F161" s="7" t="s">
        <v>99</v>
      </c>
      <c r="G161" s="7" t="s">
        <v>83</v>
      </c>
      <c r="H161" s="7" t="s">
        <v>31</v>
      </c>
      <c r="I161" s="7" t="n">
        <v>2983</v>
      </c>
      <c r="J161" s="7" t="n">
        <v>2802</v>
      </c>
      <c r="K161" s="10" t="n">
        <v>3378.05</v>
      </c>
      <c r="L161" s="10" t="n">
        <f aca="false">J161*K161</f>
        <v>9465296.1</v>
      </c>
      <c r="M161" s="7" t="n">
        <f aca="false">D161-B161</f>
        <v>15</v>
      </c>
      <c r="N161" s="7" t="str">
        <f aca="false">IF(D161&lt;=C161,"Yes","No")</f>
        <v>No</v>
      </c>
      <c r="O161" s="7" t="n">
        <v>1619</v>
      </c>
    </row>
    <row r="162" customFormat="false" ht="15" hidden="false" customHeight="false" outlineLevel="0" collapsed="false">
      <c r="A162" s="7" t="s">
        <v>911</v>
      </c>
      <c r="B162" s="8" t="n">
        <v>45740</v>
      </c>
      <c r="C162" s="8" t="n">
        <v>45746</v>
      </c>
      <c r="D162" s="8" t="n">
        <v>45750</v>
      </c>
      <c r="E162" s="7" t="s">
        <v>747</v>
      </c>
      <c r="F162" s="7" t="s">
        <v>109</v>
      </c>
      <c r="G162" s="7" t="s">
        <v>68</v>
      </c>
      <c r="H162" s="7" t="s">
        <v>31</v>
      </c>
      <c r="I162" s="7" t="n">
        <v>751</v>
      </c>
      <c r="J162" s="7" t="n">
        <v>705</v>
      </c>
      <c r="K162" s="10" t="n">
        <v>3702.64</v>
      </c>
      <c r="L162" s="10" t="n">
        <f aca="false">J162*K162</f>
        <v>2610361.2</v>
      </c>
      <c r="M162" s="7" t="n">
        <f aca="false">D162-B162</f>
        <v>10</v>
      </c>
      <c r="N162" s="7" t="str">
        <f aca="false">IF(D162&lt;=C162,"Yes","No")</f>
        <v>No</v>
      </c>
      <c r="O162" s="7" t="n">
        <v>1073</v>
      </c>
    </row>
    <row r="163" customFormat="false" ht="15" hidden="false" customHeight="false" outlineLevel="0" collapsed="false">
      <c r="A163" s="7" t="s">
        <v>912</v>
      </c>
      <c r="B163" s="8" t="n">
        <v>45499</v>
      </c>
      <c r="C163" s="8" t="n">
        <v>45513</v>
      </c>
      <c r="D163" s="8" t="n">
        <v>45520</v>
      </c>
      <c r="E163" s="7" t="s">
        <v>747</v>
      </c>
      <c r="F163" s="7" t="s">
        <v>106</v>
      </c>
      <c r="G163" s="7" t="s">
        <v>65</v>
      </c>
      <c r="H163" s="7" t="s">
        <v>31</v>
      </c>
      <c r="I163" s="7" t="n">
        <v>2056</v>
      </c>
      <c r="J163" s="7" t="n">
        <v>1865</v>
      </c>
      <c r="K163" s="10" t="n">
        <v>1131.1</v>
      </c>
      <c r="L163" s="10" t="n">
        <f aca="false">J163*K163</f>
        <v>2109501.5</v>
      </c>
      <c r="M163" s="7" t="n">
        <f aca="false">D163-B163</f>
        <v>21</v>
      </c>
      <c r="N163" s="7" t="str">
        <f aca="false">IF(D163&lt;=C163,"Yes","No")</f>
        <v>No</v>
      </c>
      <c r="O163" s="7" t="n">
        <v>6609</v>
      </c>
    </row>
    <row r="164" customFormat="false" ht="15" hidden="false" customHeight="false" outlineLevel="0" collapsed="false">
      <c r="A164" s="7" t="s">
        <v>913</v>
      </c>
      <c r="B164" s="8" t="n">
        <v>45952</v>
      </c>
      <c r="C164" s="8" t="n">
        <v>45973</v>
      </c>
      <c r="D164" s="8" t="n">
        <v>45974</v>
      </c>
      <c r="E164" s="7" t="s">
        <v>749</v>
      </c>
      <c r="F164" s="7" t="s">
        <v>102</v>
      </c>
      <c r="G164" s="7" t="s">
        <v>65</v>
      </c>
      <c r="H164" s="7" t="s">
        <v>31</v>
      </c>
      <c r="I164" s="7" t="n">
        <v>1676</v>
      </c>
      <c r="J164" s="7" t="n">
        <v>1589</v>
      </c>
      <c r="K164" s="10" t="n">
        <v>3896.41</v>
      </c>
      <c r="L164" s="10" t="n">
        <f aca="false">J164*K164</f>
        <v>6191395.49</v>
      </c>
      <c r="M164" s="7" t="n">
        <f aca="false">D164-B164</f>
        <v>22</v>
      </c>
      <c r="N164" s="7" t="str">
        <f aca="false">IF(D164&lt;=C164,"Yes","No")</f>
        <v>No</v>
      </c>
      <c r="O164" s="7" t="n">
        <v>668</v>
      </c>
    </row>
    <row r="165" customFormat="false" ht="15" hidden="false" customHeight="false" outlineLevel="0" collapsed="false">
      <c r="A165" s="7" t="s">
        <v>914</v>
      </c>
      <c r="B165" s="8" t="n">
        <v>45666</v>
      </c>
      <c r="C165" s="8" t="n">
        <v>45671</v>
      </c>
      <c r="D165" s="8" t="n">
        <v>45677</v>
      </c>
      <c r="E165" s="7" t="s">
        <v>744</v>
      </c>
      <c r="F165" s="7" t="s">
        <v>104</v>
      </c>
      <c r="G165" s="7" t="s">
        <v>65</v>
      </c>
      <c r="H165" s="7" t="s">
        <v>31</v>
      </c>
      <c r="I165" s="7" t="n">
        <v>1030</v>
      </c>
      <c r="J165" s="7" t="n">
        <v>957</v>
      </c>
      <c r="K165" s="10" t="n">
        <v>1792.81</v>
      </c>
      <c r="L165" s="10" t="n">
        <f aca="false">J165*K165</f>
        <v>1715719.17</v>
      </c>
      <c r="M165" s="7" t="n">
        <f aca="false">D165-B165</f>
        <v>11</v>
      </c>
      <c r="N165" s="7" t="str">
        <f aca="false">IF(D165&lt;=C165,"Yes","No")</f>
        <v>No</v>
      </c>
      <c r="O165" s="7" t="n">
        <v>7824</v>
      </c>
    </row>
    <row r="166" customFormat="false" ht="15" hidden="false" customHeight="false" outlineLevel="0" collapsed="false">
      <c r="A166" s="7" t="s">
        <v>915</v>
      </c>
      <c r="B166" s="8" t="n">
        <v>45442</v>
      </c>
      <c r="C166" s="8" t="n">
        <v>45456</v>
      </c>
      <c r="D166" s="8" t="n">
        <v>45458</v>
      </c>
      <c r="E166" s="7" t="s">
        <v>742</v>
      </c>
      <c r="F166" s="7" t="s">
        <v>102</v>
      </c>
      <c r="G166" s="7" t="s">
        <v>68</v>
      </c>
      <c r="H166" s="7" t="s">
        <v>31</v>
      </c>
      <c r="I166" s="7" t="n">
        <v>3525</v>
      </c>
      <c r="J166" s="7" t="n">
        <v>3450</v>
      </c>
      <c r="K166" s="10" t="n">
        <v>1731.09</v>
      </c>
      <c r="L166" s="10" t="n">
        <f aca="false">J166*K166</f>
        <v>5972260.5</v>
      </c>
      <c r="M166" s="7" t="n">
        <f aca="false">D166-B166</f>
        <v>16</v>
      </c>
      <c r="N166" s="7" t="str">
        <f aca="false">IF(D166&lt;=C166,"Yes","No")</f>
        <v>No</v>
      </c>
      <c r="O166" s="7" t="n">
        <v>3200</v>
      </c>
    </row>
    <row r="167" customFormat="false" ht="15" hidden="false" customHeight="false" outlineLevel="0" collapsed="false">
      <c r="A167" s="7" t="s">
        <v>916</v>
      </c>
      <c r="B167" s="8" t="n">
        <v>45460</v>
      </c>
      <c r="C167" s="8" t="n">
        <v>45466</v>
      </c>
      <c r="D167" s="8" t="n">
        <v>45466</v>
      </c>
      <c r="E167" s="7" t="s">
        <v>751</v>
      </c>
      <c r="F167" s="7" t="s">
        <v>106</v>
      </c>
      <c r="G167" s="7" t="s">
        <v>87</v>
      </c>
      <c r="H167" s="7" t="s">
        <v>31</v>
      </c>
      <c r="I167" s="7" t="n">
        <v>746</v>
      </c>
      <c r="J167" s="7" t="n">
        <v>688</v>
      </c>
      <c r="K167" s="10" t="n">
        <v>1517.54</v>
      </c>
      <c r="L167" s="10" t="n">
        <f aca="false">J167*K167</f>
        <v>1044067.52</v>
      </c>
      <c r="M167" s="7" t="n">
        <f aca="false">D167-B167</f>
        <v>6</v>
      </c>
      <c r="N167" s="7" t="str">
        <f aca="false">IF(D167&lt;=C167,"Yes","No")</f>
        <v>Yes</v>
      </c>
      <c r="O167" s="7" t="n">
        <v>1994</v>
      </c>
    </row>
    <row r="168" customFormat="false" ht="15" hidden="false" customHeight="false" outlineLevel="0" collapsed="false">
      <c r="A168" s="7" t="s">
        <v>917</v>
      </c>
      <c r="B168" s="8" t="n">
        <v>45685</v>
      </c>
      <c r="C168" s="8" t="n">
        <v>45699</v>
      </c>
      <c r="D168" s="8" t="n">
        <v>45699</v>
      </c>
      <c r="E168" s="7" t="s">
        <v>753</v>
      </c>
      <c r="F168" s="7" t="s">
        <v>106</v>
      </c>
      <c r="G168" s="7" t="s">
        <v>65</v>
      </c>
      <c r="H168" s="7" t="s">
        <v>31</v>
      </c>
      <c r="I168" s="7" t="n">
        <v>914</v>
      </c>
      <c r="J168" s="7" t="n">
        <v>831</v>
      </c>
      <c r="K168" s="10" t="n">
        <v>2196.43</v>
      </c>
      <c r="L168" s="10" t="n">
        <f aca="false">J168*K168</f>
        <v>1825233.33</v>
      </c>
      <c r="M168" s="7" t="n">
        <f aca="false">D168-B168</f>
        <v>14</v>
      </c>
      <c r="N168" s="7" t="str">
        <f aca="false">IF(D168&lt;=C168,"Yes","No")</f>
        <v>Yes</v>
      </c>
      <c r="O168" s="7" t="n">
        <v>3225</v>
      </c>
    </row>
    <row r="169" customFormat="false" ht="15" hidden="false" customHeight="false" outlineLevel="0" collapsed="false">
      <c r="A169" s="7" t="s">
        <v>918</v>
      </c>
      <c r="B169" s="8" t="n">
        <v>45514</v>
      </c>
      <c r="C169" s="8" t="n">
        <v>45517</v>
      </c>
      <c r="D169" s="8" t="n">
        <v>45521</v>
      </c>
      <c r="E169" s="7" t="s">
        <v>753</v>
      </c>
      <c r="F169" s="7" t="s">
        <v>115</v>
      </c>
      <c r="G169" s="7" t="s">
        <v>65</v>
      </c>
      <c r="H169" s="7" t="s">
        <v>31</v>
      </c>
      <c r="I169" s="7" t="n">
        <v>1400</v>
      </c>
      <c r="J169" s="7" t="n">
        <v>1324</v>
      </c>
      <c r="K169" s="10" t="n">
        <v>3432.63</v>
      </c>
      <c r="L169" s="10" t="n">
        <f aca="false">J169*K169</f>
        <v>4544802.12</v>
      </c>
      <c r="M169" s="7" t="n">
        <f aca="false">D169-B169</f>
        <v>7</v>
      </c>
      <c r="N169" s="7" t="str">
        <f aca="false">IF(D169&lt;=C169,"Yes","No")</f>
        <v>No</v>
      </c>
      <c r="O169" s="7" t="n">
        <v>967</v>
      </c>
    </row>
    <row r="170" customFormat="false" ht="15" hidden="false" customHeight="false" outlineLevel="0" collapsed="false">
      <c r="A170" s="7" t="s">
        <v>919</v>
      </c>
      <c r="B170" s="8" t="n">
        <v>45661</v>
      </c>
      <c r="C170" s="8" t="n">
        <v>45679</v>
      </c>
      <c r="D170" s="8" t="n">
        <v>45683</v>
      </c>
      <c r="E170" s="7" t="s">
        <v>751</v>
      </c>
      <c r="F170" s="7" t="s">
        <v>104</v>
      </c>
      <c r="G170" s="7" t="s">
        <v>87</v>
      </c>
      <c r="H170" s="7" t="s">
        <v>31</v>
      </c>
      <c r="I170" s="7" t="n">
        <v>4106</v>
      </c>
      <c r="J170" s="7" t="n">
        <v>3720</v>
      </c>
      <c r="K170" s="10" t="n">
        <v>1505.92</v>
      </c>
      <c r="L170" s="10" t="n">
        <f aca="false">J170*K170</f>
        <v>5602022.4</v>
      </c>
      <c r="M170" s="7" t="n">
        <f aca="false">D170-B170</f>
        <v>22</v>
      </c>
      <c r="N170" s="7" t="str">
        <f aca="false">IF(D170&lt;=C170,"Yes","No")</f>
        <v>No</v>
      </c>
      <c r="O170" s="7" t="n">
        <v>2379</v>
      </c>
    </row>
    <row r="171" customFormat="false" ht="15" hidden="false" customHeight="false" outlineLevel="0" collapsed="false">
      <c r="A171" s="7" t="s">
        <v>920</v>
      </c>
      <c r="B171" s="8" t="n">
        <v>45641</v>
      </c>
      <c r="C171" s="8" t="n">
        <v>45659</v>
      </c>
      <c r="D171" s="8" t="n">
        <v>45659</v>
      </c>
      <c r="E171" s="7" t="s">
        <v>747</v>
      </c>
      <c r="F171" s="7" t="s">
        <v>95</v>
      </c>
      <c r="G171" s="7" t="s">
        <v>65</v>
      </c>
      <c r="H171" s="7" t="s">
        <v>31</v>
      </c>
      <c r="I171" s="7" t="n">
        <v>4672</v>
      </c>
      <c r="J171" s="7" t="n">
        <v>4308</v>
      </c>
      <c r="K171" s="10" t="n">
        <v>3553.62</v>
      </c>
      <c r="L171" s="10" t="n">
        <f aca="false">J171*K171</f>
        <v>15308994.96</v>
      </c>
      <c r="M171" s="7" t="n">
        <f aca="false">D171-B171</f>
        <v>18</v>
      </c>
      <c r="N171" s="7" t="str">
        <f aca="false">IF(D171&lt;=C171,"Yes","No")</f>
        <v>Yes</v>
      </c>
      <c r="O171" s="7" t="n">
        <v>4811</v>
      </c>
    </row>
    <row r="172" customFormat="false" ht="15" hidden="false" customHeight="false" outlineLevel="0" collapsed="false">
      <c r="A172" s="7" t="s">
        <v>921</v>
      </c>
      <c r="B172" s="8" t="n">
        <v>45897</v>
      </c>
      <c r="C172" s="8" t="n">
        <v>45912</v>
      </c>
      <c r="D172" s="8" t="n">
        <v>45910</v>
      </c>
      <c r="E172" s="7" t="s">
        <v>771</v>
      </c>
      <c r="F172" s="7" t="s">
        <v>113</v>
      </c>
      <c r="G172" s="7" t="s">
        <v>65</v>
      </c>
      <c r="H172" s="7" t="s">
        <v>31</v>
      </c>
      <c r="I172" s="7" t="n">
        <v>2463</v>
      </c>
      <c r="J172" s="7" t="n">
        <v>2345</v>
      </c>
      <c r="K172" s="10" t="n">
        <v>2688.79</v>
      </c>
      <c r="L172" s="10" t="n">
        <f aca="false">J172*K172</f>
        <v>6305212.55</v>
      </c>
      <c r="M172" s="7" t="n">
        <f aca="false">D172-B172</f>
        <v>13</v>
      </c>
      <c r="N172" s="7" t="str">
        <f aca="false">IF(D172&lt;=C172,"Yes","No")</f>
        <v>Yes</v>
      </c>
      <c r="O172" s="7" t="n">
        <v>2790</v>
      </c>
    </row>
    <row r="173" customFormat="false" ht="15" hidden="false" customHeight="false" outlineLevel="0" collapsed="false">
      <c r="A173" s="7" t="s">
        <v>922</v>
      </c>
      <c r="B173" s="8" t="n">
        <v>45477</v>
      </c>
      <c r="C173" s="8" t="n">
        <v>45482</v>
      </c>
      <c r="D173" s="8" t="n">
        <v>45486</v>
      </c>
      <c r="E173" s="7" t="s">
        <v>749</v>
      </c>
      <c r="F173" s="7" t="s">
        <v>115</v>
      </c>
      <c r="G173" s="7" t="s">
        <v>87</v>
      </c>
      <c r="H173" s="7" t="s">
        <v>31</v>
      </c>
      <c r="I173" s="7" t="n">
        <v>1579</v>
      </c>
      <c r="J173" s="7" t="n">
        <v>1432</v>
      </c>
      <c r="K173" s="10" t="n">
        <v>2476.15</v>
      </c>
      <c r="L173" s="10" t="n">
        <f aca="false">J173*K173</f>
        <v>3545846.8</v>
      </c>
      <c r="M173" s="7" t="n">
        <f aca="false">D173-B173</f>
        <v>9</v>
      </c>
      <c r="N173" s="7" t="str">
        <f aca="false">IF(D173&lt;=C173,"Yes","No")</f>
        <v>No</v>
      </c>
      <c r="O173" s="7" t="n">
        <v>2803</v>
      </c>
    </row>
    <row r="174" customFormat="false" ht="15" hidden="false" customHeight="false" outlineLevel="0" collapsed="false">
      <c r="A174" s="7" t="s">
        <v>923</v>
      </c>
      <c r="B174" s="8" t="n">
        <v>45389</v>
      </c>
      <c r="C174" s="8" t="n">
        <v>45400</v>
      </c>
      <c r="D174" s="8" t="n">
        <v>45407</v>
      </c>
      <c r="E174" s="7" t="s">
        <v>747</v>
      </c>
      <c r="F174" s="7" t="s">
        <v>99</v>
      </c>
      <c r="G174" s="7" t="s">
        <v>65</v>
      </c>
      <c r="H174" s="7" t="s">
        <v>31</v>
      </c>
      <c r="I174" s="7" t="n">
        <v>4390</v>
      </c>
      <c r="J174" s="7" t="n">
        <v>4162</v>
      </c>
      <c r="K174" s="10" t="n">
        <v>1465.9</v>
      </c>
      <c r="L174" s="10" t="n">
        <f aca="false">J174*K174</f>
        <v>6101075.8</v>
      </c>
      <c r="M174" s="7" t="n">
        <f aca="false">D174-B174</f>
        <v>18</v>
      </c>
      <c r="N174" s="7" t="str">
        <f aca="false">IF(D174&lt;=C174,"Yes","No")</f>
        <v>No</v>
      </c>
      <c r="O174" s="7" t="n">
        <v>289</v>
      </c>
    </row>
    <row r="175" customFormat="false" ht="15" hidden="false" customHeight="false" outlineLevel="0" collapsed="false">
      <c r="A175" s="7" t="s">
        <v>924</v>
      </c>
      <c r="B175" s="8" t="n">
        <v>45921</v>
      </c>
      <c r="C175" s="8" t="n">
        <v>45940</v>
      </c>
      <c r="D175" s="8" t="n">
        <v>45937</v>
      </c>
      <c r="E175" s="7" t="s">
        <v>753</v>
      </c>
      <c r="F175" s="7" t="s">
        <v>95</v>
      </c>
      <c r="G175" s="7" t="s">
        <v>68</v>
      </c>
      <c r="H175" s="7" t="s">
        <v>31</v>
      </c>
      <c r="I175" s="7" t="n">
        <v>4587</v>
      </c>
      <c r="J175" s="7" t="n">
        <v>4433</v>
      </c>
      <c r="K175" s="10" t="n">
        <v>1315.41</v>
      </c>
      <c r="L175" s="10" t="n">
        <f aca="false">J175*K175</f>
        <v>5831212.53</v>
      </c>
      <c r="M175" s="7" t="n">
        <f aca="false">D175-B175</f>
        <v>16</v>
      </c>
      <c r="N175" s="7" t="str">
        <f aca="false">IF(D175&lt;=C175,"Yes","No")</f>
        <v>Yes</v>
      </c>
      <c r="O175" s="7" t="n">
        <v>3185</v>
      </c>
    </row>
    <row r="176" customFormat="false" ht="15" hidden="false" customHeight="false" outlineLevel="0" collapsed="false">
      <c r="A176" s="7" t="s">
        <v>925</v>
      </c>
      <c r="B176" s="8" t="n">
        <v>45425</v>
      </c>
      <c r="C176" s="8" t="n">
        <v>45438</v>
      </c>
      <c r="D176" s="8" t="n">
        <v>45435</v>
      </c>
      <c r="E176" s="7" t="s">
        <v>747</v>
      </c>
      <c r="F176" s="7" t="s">
        <v>102</v>
      </c>
      <c r="G176" s="7" t="s">
        <v>68</v>
      </c>
      <c r="H176" s="7" t="s">
        <v>31</v>
      </c>
      <c r="I176" s="7" t="n">
        <v>628</v>
      </c>
      <c r="J176" s="7" t="n">
        <v>602</v>
      </c>
      <c r="K176" s="10" t="n">
        <v>4135.88</v>
      </c>
      <c r="L176" s="10" t="n">
        <f aca="false">J176*K176</f>
        <v>2489799.76</v>
      </c>
      <c r="M176" s="7" t="n">
        <f aca="false">D176-B176</f>
        <v>10</v>
      </c>
      <c r="N176" s="7" t="str">
        <f aca="false">IF(D176&lt;=C176,"Yes","No")</f>
        <v>Yes</v>
      </c>
      <c r="O176" s="7" t="n">
        <v>871</v>
      </c>
    </row>
    <row r="177" customFormat="false" ht="15" hidden="false" customHeight="false" outlineLevel="0" collapsed="false">
      <c r="A177" s="7" t="s">
        <v>926</v>
      </c>
      <c r="B177" s="8" t="n">
        <v>45723</v>
      </c>
      <c r="C177" s="8" t="n">
        <v>45727</v>
      </c>
      <c r="D177" s="8" t="n">
        <v>45728</v>
      </c>
      <c r="E177" s="7" t="s">
        <v>753</v>
      </c>
      <c r="F177" s="7" t="s">
        <v>102</v>
      </c>
      <c r="G177" s="7" t="s">
        <v>68</v>
      </c>
      <c r="H177" s="7" t="s">
        <v>31</v>
      </c>
      <c r="I177" s="7" t="n">
        <v>2994</v>
      </c>
      <c r="J177" s="7" t="n">
        <v>2918</v>
      </c>
      <c r="K177" s="10" t="n">
        <v>2958.22</v>
      </c>
      <c r="L177" s="10" t="n">
        <f aca="false">J177*K177</f>
        <v>8632085.96</v>
      </c>
      <c r="M177" s="7" t="n">
        <f aca="false">D177-B177</f>
        <v>5</v>
      </c>
      <c r="N177" s="7" t="str">
        <f aca="false">IF(D177&lt;=C177,"Yes","No")</f>
        <v>No</v>
      </c>
      <c r="O177" s="7" t="n">
        <v>7895</v>
      </c>
    </row>
    <row r="178" customFormat="false" ht="15" hidden="false" customHeight="false" outlineLevel="0" collapsed="false">
      <c r="A178" s="7" t="s">
        <v>927</v>
      </c>
      <c r="B178" s="8" t="n">
        <v>45364</v>
      </c>
      <c r="C178" s="8" t="n">
        <v>45367</v>
      </c>
      <c r="D178" s="8" t="n">
        <v>45374</v>
      </c>
      <c r="E178" s="7" t="s">
        <v>751</v>
      </c>
      <c r="F178" s="7" t="s">
        <v>95</v>
      </c>
      <c r="G178" s="7" t="s">
        <v>83</v>
      </c>
      <c r="H178" s="7" t="s">
        <v>31</v>
      </c>
      <c r="I178" s="7" t="n">
        <v>4466</v>
      </c>
      <c r="J178" s="7" t="n">
        <v>4123</v>
      </c>
      <c r="K178" s="10" t="n">
        <v>2565.09</v>
      </c>
      <c r="L178" s="10" t="n">
        <f aca="false">J178*K178</f>
        <v>10575866.07</v>
      </c>
      <c r="M178" s="7" t="n">
        <f aca="false">D178-B178</f>
        <v>10</v>
      </c>
      <c r="N178" s="7" t="str">
        <f aca="false">IF(D178&lt;=C178,"Yes","No")</f>
        <v>No</v>
      </c>
      <c r="O178" s="7" t="n">
        <v>4391</v>
      </c>
    </row>
    <row r="179" customFormat="false" ht="15" hidden="false" customHeight="false" outlineLevel="0" collapsed="false">
      <c r="A179" s="7" t="s">
        <v>928</v>
      </c>
      <c r="B179" s="8" t="n">
        <v>46007</v>
      </c>
      <c r="C179" s="8" t="n">
        <v>46016</v>
      </c>
      <c r="D179" s="8" t="n">
        <v>46022</v>
      </c>
      <c r="E179" s="7" t="s">
        <v>766</v>
      </c>
      <c r="F179" s="7" t="s">
        <v>104</v>
      </c>
      <c r="G179" s="7" t="s">
        <v>87</v>
      </c>
      <c r="H179" s="7" t="s">
        <v>31</v>
      </c>
      <c r="I179" s="7" t="n">
        <v>2154</v>
      </c>
      <c r="J179" s="7" t="n">
        <v>2005</v>
      </c>
      <c r="K179" s="10" t="n">
        <v>3702.07</v>
      </c>
      <c r="L179" s="10" t="n">
        <f aca="false">J179*K179</f>
        <v>7422650.35</v>
      </c>
      <c r="M179" s="7" t="n">
        <f aca="false">D179-B179</f>
        <v>15</v>
      </c>
      <c r="N179" s="7" t="str">
        <f aca="false">IF(D179&lt;=C179,"Yes","No")</f>
        <v>No</v>
      </c>
      <c r="O179" s="7" t="n">
        <v>2419</v>
      </c>
    </row>
    <row r="180" customFormat="false" ht="15" hidden="false" customHeight="false" outlineLevel="0" collapsed="false">
      <c r="A180" s="7" t="s">
        <v>929</v>
      </c>
      <c r="B180" s="8" t="n">
        <v>45535</v>
      </c>
      <c r="C180" s="8" t="n">
        <v>45548</v>
      </c>
      <c r="D180" s="8" t="n">
        <v>45545</v>
      </c>
      <c r="E180" s="7" t="s">
        <v>777</v>
      </c>
      <c r="F180" s="7" t="s">
        <v>102</v>
      </c>
      <c r="G180" s="7" t="s">
        <v>83</v>
      </c>
      <c r="H180" s="7" t="s">
        <v>31</v>
      </c>
      <c r="I180" s="7" t="n">
        <v>3883</v>
      </c>
      <c r="J180" s="7" t="n">
        <v>3754</v>
      </c>
      <c r="K180" s="10" t="n">
        <v>884.93</v>
      </c>
      <c r="L180" s="10" t="n">
        <f aca="false">J180*K180</f>
        <v>3322027.22</v>
      </c>
      <c r="M180" s="7" t="n">
        <f aca="false">D180-B180</f>
        <v>10</v>
      </c>
      <c r="N180" s="7" t="str">
        <f aca="false">IF(D180&lt;=C180,"Yes","No")</f>
        <v>Yes</v>
      </c>
      <c r="O180" s="7" t="n">
        <v>3263</v>
      </c>
    </row>
    <row r="181" customFormat="false" ht="15" hidden="false" customHeight="false" outlineLevel="0" collapsed="false">
      <c r="A181" s="7" t="s">
        <v>930</v>
      </c>
      <c r="B181" s="8" t="n">
        <v>45451</v>
      </c>
      <c r="C181" s="8" t="n">
        <v>45454</v>
      </c>
      <c r="D181" s="8" t="n">
        <v>45453</v>
      </c>
      <c r="E181" s="7" t="s">
        <v>744</v>
      </c>
      <c r="F181" s="7" t="s">
        <v>106</v>
      </c>
      <c r="G181" s="7" t="s">
        <v>87</v>
      </c>
      <c r="H181" s="7" t="s">
        <v>31</v>
      </c>
      <c r="I181" s="7" t="n">
        <v>4391</v>
      </c>
      <c r="J181" s="7" t="n">
        <v>4198</v>
      </c>
      <c r="K181" s="10" t="n">
        <v>3433.41</v>
      </c>
      <c r="L181" s="10" t="n">
        <f aca="false">J181*K181</f>
        <v>14413455.18</v>
      </c>
      <c r="M181" s="7" t="n">
        <f aca="false">D181-B181</f>
        <v>2</v>
      </c>
      <c r="N181" s="7" t="str">
        <f aca="false">IF(D181&lt;=C181,"Yes","No")</f>
        <v>Yes</v>
      </c>
      <c r="O181" s="7" t="n">
        <v>1327</v>
      </c>
    </row>
    <row r="182" customFormat="false" ht="15" hidden="false" customHeight="false" outlineLevel="0" collapsed="false">
      <c r="A182" s="7" t="s">
        <v>931</v>
      </c>
      <c r="B182" s="8" t="n">
        <v>45543</v>
      </c>
      <c r="C182" s="8" t="n">
        <v>45563</v>
      </c>
      <c r="D182" s="8" t="n">
        <v>45561</v>
      </c>
      <c r="E182" s="7" t="s">
        <v>749</v>
      </c>
      <c r="F182" s="7" t="s">
        <v>113</v>
      </c>
      <c r="G182" s="7" t="s">
        <v>68</v>
      </c>
      <c r="H182" s="7" t="s">
        <v>31</v>
      </c>
      <c r="I182" s="7" t="n">
        <v>1622</v>
      </c>
      <c r="J182" s="7" t="n">
        <v>1621</v>
      </c>
      <c r="K182" s="10" t="n">
        <v>1300.47</v>
      </c>
      <c r="L182" s="10" t="n">
        <f aca="false">J182*K182</f>
        <v>2108061.87</v>
      </c>
      <c r="M182" s="7" t="n">
        <f aca="false">D182-B182</f>
        <v>18</v>
      </c>
      <c r="N182" s="7" t="str">
        <f aca="false">IF(D182&lt;=C182,"Yes","No")</f>
        <v>Yes</v>
      </c>
      <c r="O182" s="7" t="n">
        <v>2831</v>
      </c>
    </row>
    <row r="183" customFormat="false" ht="15" hidden="false" customHeight="false" outlineLevel="0" collapsed="false">
      <c r="A183" s="7" t="s">
        <v>932</v>
      </c>
      <c r="B183" s="8" t="n">
        <v>45328</v>
      </c>
      <c r="C183" s="8" t="n">
        <v>45338</v>
      </c>
      <c r="D183" s="8" t="n">
        <v>45341</v>
      </c>
      <c r="E183" s="7" t="s">
        <v>751</v>
      </c>
      <c r="F183" s="7" t="s">
        <v>99</v>
      </c>
      <c r="G183" s="7" t="s">
        <v>87</v>
      </c>
      <c r="H183" s="7" t="s">
        <v>31</v>
      </c>
      <c r="I183" s="7" t="n">
        <v>3849</v>
      </c>
      <c r="J183" s="7" t="n">
        <v>3561</v>
      </c>
      <c r="K183" s="10" t="n">
        <v>2909.63</v>
      </c>
      <c r="L183" s="10" t="n">
        <f aca="false">J183*K183</f>
        <v>10361192.43</v>
      </c>
      <c r="M183" s="7" t="n">
        <f aca="false">D183-B183</f>
        <v>13</v>
      </c>
      <c r="N183" s="7" t="str">
        <f aca="false">IF(D183&lt;=C183,"Yes","No")</f>
        <v>No</v>
      </c>
      <c r="O183" s="7" t="n">
        <v>2026</v>
      </c>
    </row>
    <row r="184" customFormat="false" ht="15" hidden="false" customHeight="false" outlineLevel="0" collapsed="false">
      <c r="A184" s="7" t="s">
        <v>933</v>
      </c>
      <c r="B184" s="8" t="n">
        <v>45443</v>
      </c>
      <c r="C184" s="8" t="n">
        <v>45454</v>
      </c>
      <c r="D184" s="8" t="n">
        <v>45457</v>
      </c>
      <c r="E184" s="7" t="s">
        <v>758</v>
      </c>
      <c r="F184" s="7" t="s">
        <v>95</v>
      </c>
      <c r="G184" s="7" t="s">
        <v>87</v>
      </c>
      <c r="H184" s="7" t="s">
        <v>31</v>
      </c>
      <c r="I184" s="7" t="n">
        <v>1352</v>
      </c>
      <c r="J184" s="7" t="n">
        <v>1347</v>
      </c>
      <c r="K184" s="10" t="n">
        <v>4144.67</v>
      </c>
      <c r="L184" s="10" t="n">
        <f aca="false">J184*K184</f>
        <v>5582870.49</v>
      </c>
      <c r="M184" s="7" t="n">
        <f aca="false">D184-B184</f>
        <v>14</v>
      </c>
      <c r="N184" s="7" t="str">
        <f aca="false">IF(D184&lt;=C184,"Yes","No")</f>
        <v>No</v>
      </c>
      <c r="O184" s="7" t="n">
        <v>777</v>
      </c>
    </row>
    <row r="185" customFormat="false" ht="15" hidden="false" customHeight="false" outlineLevel="0" collapsed="false">
      <c r="A185" s="7" t="s">
        <v>934</v>
      </c>
      <c r="B185" s="8" t="n">
        <v>45590</v>
      </c>
      <c r="C185" s="8" t="n">
        <v>45598</v>
      </c>
      <c r="D185" s="8" t="n">
        <v>45597</v>
      </c>
      <c r="E185" s="7" t="s">
        <v>777</v>
      </c>
      <c r="F185" s="7" t="s">
        <v>99</v>
      </c>
      <c r="G185" s="7" t="s">
        <v>87</v>
      </c>
      <c r="H185" s="7" t="s">
        <v>31</v>
      </c>
      <c r="I185" s="7" t="n">
        <v>2959</v>
      </c>
      <c r="J185" s="7" t="n">
        <v>2901</v>
      </c>
      <c r="K185" s="10" t="n">
        <v>3217.63</v>
      </c>
      <c r="L185" s="10" t="n">
        <f aca="false">J185*K185</f>
        <v>9334344.63</v>
      </c>
      <c r="M185" s="7" t="n">
        <f aca="false">D185-B185</f>
        <v>7</v>
      </c>
      <c r="N185" s="7" t="str">
        <f aca="false">IF(D185&lt;=C185,"Yes","No")</f>
        <v>Yes</v>
      </c>
      <c r="O185" s="7" t="n">
        <v>4400</v>
      </c>
    </row>
    <row r="186" customFormat="false" ht="15" hidden="false" customHeight="false" outlineLevel="0" collapsed="false">
      <c r="A186" s="7" t="s">
        <v>935</v>
      </c>
      <c r="B186" s="8" t="n">
        <v>45842</v>
      </c>
      <c r="C186" s="8" t="n">
        <v>45859</v>
      </c>
      <c r="D186" s="8" t="n">
        <v>45859</v>
      </c>
      <c r="E186" s="7" t="s">
        <v>753</v>
      </c>
      <c r="F186" s="7" t="s">
        <v>109</v>
      </c>
      <c r="G186" s="7" t="s">
        <v>68</v>
      </c>
      <c r="H186" s="7" t="s">
        <v>31</v>
      </c>
      <c r="I186" s="7" t="n">
        <v>4071</v>
      </c>
      <c r="J186" s="7" t="n">
        <v>3694</v>
      </c>
      <c r="K186" s="10" t="n">
        <v>4120.91</v>
      </c>
      <c r="L186" s="10" t="n">
        <f aca="false">J186*K186</f>
        <v>15222641.54</v>
      </c>
      <c r="M186" s="7" t="n">
        <f aca="false">D186-B186</f>
        <v>17</v>
      </c>
      <c r="N186" s="7" t="str">
        <f aca="false">IF(D186&lt;=C186,"Yes","No")</f>
        <v>Yes</v>
      </c>
      <c r="O186" s="7" t="n">
        <v>4872</v>
      </c>
    </row>
    <row r="187" customFormat="false" ht="15" hidden="false" customHeight="false" outlineLevel="0" collapsed="false">
      <c r="A187" s="7" t="s">
        <v>936</v>
      </c>
      <c r="B187" s="8" t="n">
        <v>45663</v>
      </c>
      <c r="C187" s="8" t="n">
        <v>45674</v>
      </c>
      <c r="D187" s="8" t="n">
        <v>45681</v>
      </c>
      <c r="E187" s="7" t="s">
        <v>766</v>
      </c>
      <c r="F187" s="7" t="s">
        <v>113</v>
      </c>
      <c r="G187" s="7" t="s">
        <v>83</v>
      </c>
      <c r="H187" s="7" t="s">
        <v>31</v>
      </c>
      <c r="I187" s="7" t="n">
        <v>4791</v>
      </c>
      <c r="J187" s="7" t="n">
        <v>4435</v>
      </c>
      <c r="K187" s="10" t="n">
        <v>3841.63</v>
      </c>
      <c r="L187" s="10" t="n">
        <f aca="false">J187*K187</f>
        <v>17037629.05</v>
      </c>
      <c r="M187" s="7" t="n">
        <f aca="false">D187-B187</f>
        <v>18</v>
      </c>
      <c r="N187" s="7" t="str">
        <f aca="false">IF(D187&lt;=C187,"Yes","No")</f>
        <v>No</v>
      </c>
      <c r="O187" s="7" t="n">
        <v>5942</v>
      </c>
    </row>
    <row r="188" customFormat="false" ht="15" hidden="false" customHeight="false" outlineLevel="0" collapsed="false">
      <c r="A188" s="7" t="s">
        <v>937</v>
      </c>
      <c r="B188" s="8" t="n">
        <v>45993</v>
      </c>
      <c r="C188" s="8" t="n">
        <v>46011</v>
      </c>
      <c r="D188" s="8" t="n">
        <v>46011</v>
      </c>
      <c r="E188" s="7" t="s">
        <v>747</v>
      </c>
      <c r="F188" s="7" t="s">
        <v>95</v>
      </c>
      <c r="G188" s="7" t="s">
        <v>87</v>
      </c>
      <c r="H188" s="7" t="s">
        <v>31</v>
      </c>
      <c r="I188" s="7" t="n">
        <v>4394</v>
      </c>
      <c r="J188" s="7" t="n">
        <v>4104</v>
      </c>
      <c r="K188" s="10" t="n">
        <v>3614.89</v>
      </c>
      <c r="L188" s="10" t="n">
        <f aca="false">J188*K188</f>
        <v>14835508.56</v>
      </c>
      <c r="M188" s="7" t="n">
        <f aca="false">D188-B188</f>
        <v>18</v>
      </c>
      <c r="N188" s="7" t="str">
        <f aca="false">IF(D188&lt;=C188,"Yes","No")</f>
        <v>Yes</v>
      </c>
      <c r="O188" s="7" t="n">
        <v>5504</v>
      </c>
    </row>
    <row r="189" customFormat="false" ht="15" hidden="false" customHeight="false" outlineLevel="0" collapsed="false">
      <c r="A189" s="7" t="s">
        <v>938</v>
      </c>
      <c r="B189" s="8" t="n">
        <v>45458</v>
      </c>
      <c r="C189" s="8" t="n">
        <v>45471</v>
      </c>
      <c r="D189" s="8" t="n">
        <v>45471</v>
      </c>
      <c r="E189" s="7" t="s">
        <v>777</v>
      </c>
      <c r="F189" s="7" t="s">
        <v>99</v>
      </c>
      <c r="G189" s="7" t="s">
        <v>68</v>
      </c>
      <c r="H189" s="7" t="s">
        <v>31</v>
      </c>
      <c r="I189" s="7" t="n">
        <v>4944</v>
      </c>
      <c r="J189" s="7" t="n">
        <v>4651</v>
      </c>
      <c r="K189" s="10" t="n">
        <v>4357.89</v>
      </c>
      <c r="L189" s="10" t="n">
        <f aca="false">J189*K189</f>
        <v>20268546.39</v>
      </c>
      <c r="M189" s="7" t="n">
        <f aca="false">D189-B189</f>
        <v>13</v>
      </c>
      <c r="N189" s="7" t="str">
        <f aca="false">IF(D189&lt;=C189,"Yes","No")</f>
        <v>Yes</v>
      </c>
      <c r="O189" s="7" t="n">
        <v>7573</v>
      </c>
    </row>
    <row r="190" customFormat="false" ht="15" hidden="false" customHeight="false" outlineLevel="0" collapsed="false">
      <c r="A190" s="7" t="s">
        <v>939</v>
      </c>
      <c r="B190" s="8" t="n">
        <v>45999</v>
      </c>
      <c r="C190" s="8" t="n">
        <v>46013</v>
      </c>
      <c r="D190" s="8" t="n">
        <v>46015</v>
      </c>
      <c r="E190" s="7" t="s">
        <v>777</v>
      </c>
      <c r="F190" s="7" t="s">
        <v>115</v>
      </c>
      <c r="G190" s="7" t="s">
        <v>83</v>
      </c>
      <c r="H190" s="7" t="s">
        <v>31</v>
      </c>
      <c r="I190" s="7" t="n">
        <v>1545</v>
      </c>
      <c r="J190" s="7" t="n">
        <v>1544</v>
      </c>
      <c r="K190" s="10" t="n">
        <v>3167.25</v>
      </c>
      <c r="L190" s="10" t="n">
        <f aca="false">J190*K190</f>
        <v>4890234</v>
      </c>
      <c r="M190" s="7" t="n">
        <f aca="false">D190-B190</f>
        <v>16</v>
      </c>
      <c r="N190" s="7" t="str">
        <f aca="false">IF(D190&lt;=C190,"Yes","No")</f>
        <v>No</v>
      </c>
      <c r="O190" s="7" t="n">
        <v>7400</v>
      </c>
    </row>
    <row r="191" customFormat="false" ht="15" hidden="false" customHeight="false" outlineLevel="0" collapsed="false">
      <c r="A191" s="7" t="s">
        <v>940</v>
      </c>
      <c r="B191" s="8" t="n">
        <v>45539</v>
      </c>
      <c r="C191" s="8" t="n">
        <v>45543</v>
      </c>
      <c r="D191" s="8" t="n">
        <v>45548</v>
      </c>
      <c r="E191" s="7" t="s">
        <v>751</v>
      </c>
      <c r="F191" s="7" t="s">
        <v>113</v>
      </c>
      <c r="G191" s="7" t="s">
        <v>87</v>
      </c>
      <c r="H191" s="7" t="s">
        <v>31</v>
      </c>
      <c r="I191" s="7" t="n">
        <v>1137</v>
      </c>
      <c r="J191" s="7" t="n">
        <v>1076</v>
      </c>
      <c r="K191" s="10" t="n">
        <v>2480.25</v>
      </c>
      <c r="L191" s="10" t="n">
        <f aca="false">J191*K191</f>
        <v>2668749</v>
      </c>
      <c r="M191" s="7" t="n">
        <f aca="false">D191-B191</f>
        <v>9</v>
      </c>
      <c r="N191" s="7" t="str">
        <f aca="false">IF(D191&lt;=C191,"Yes","No")</f>
        <v>No</v>
      </c>
      <c r="O191" s="7" t="n">
        <v>2920</v>
      </c>
    </row>
    <row r="192" customFormat="false" ht="15" hidden="false" customHeight="false" outlineLevel="0" collapsed="false">
      <c r="A192" s="7" t="s">
        <v>941</v>
      </c>
      <c r="B192" s="8" t="n">
        <v>45856</v>
      </c>
      <c r="C192" s="8" t="n">
        <v>45870</v>
      </c>
      <c r="D192" s="8" t="n">
        <v>45872</v>
      </c>
      <c r="E192" s="7" t="s">
        <v>777</v>
      </c>
      <c r="F192" s="7" t="s">
        <v>109</v>
      </c>
      <c r="G192" s="7" t="s">
        <v>68</v>
      </c>
      <c r="H192" s="7" t="s">
        <v>31</v>
      </c>
      <c r="I192" s="7" t="n">
        <v>4446</v>
      </c>
      <c r="J192" s="7" t="n">
        <v>4309</v>
      </c>
      <c r="K192" s="10" t="n">
        <v>3302.86</v>
      </c>
      <c r="L192" s="10" t="n">
        <f aca="false">J192*K192</f>
        <v>14232023.74</v>
      </c>
      <c r="M192" s="7" t="n">
        <f aca="false">D192-B192</f>
        <v>16</v>
      </c>
      <c r="N192" s="7" t="str">
        <f aca="false">IF(D192&lt;=C192,"Yes","No")</f>
        <v>No</v>
      </c>
      <c r="O192" s="7" t="n">
        <v>6598</v>
      </c>
    </row>
    <row r="193" customFormat="false" ht="15" hidden="false" customHeight="false" outlineLevel="0" collapsed="false">
      <c r="A193" s="7" t="s">
        <v>942</v>
      </c>
      <c r="B193" s="8" t="n">
        <v>45456</v>
      </c>
      <c r="C193" s="8" t="n">
        <v>45470</v>
      </c>
      <c r="D193" s="8" t="n">
        <v>45468</v>
      </c>
      <c r="E193" s="7" t="s">
        <v>749</v>
      </c>
      <c r="F193" s="7" t="s">
        <v>104</v>
      </c>
      <c r="G193" s="7" t="s">
        <v>68</v>
      </c>
      <c r="H193" s="7" t="s">
        <v>31</v>
      </c>
      <c r="I193" s="7" t="n">
        <v>2108</v>
      </c>
      <c r="J193" s="7" t="n">
        <v>1975</v>
      </c>
      <c r="K193" s="10" t="n">
        <v>3946.04</v>
      </c>
      <c r="L193" s="10" t="n">
        <f aca="false">J193*K193</f>
        <v>7793429</v>
      </c>
      <c r="M193" s="7" t="n">
        <f aca="false">D193-B193</f>
        <v>12</v>
      </c>
      <c r="N193" s="7" t="str">
        <f aca="false">IF(D193&lt;=C193,"Yes","No")</f>
        <v>Yes</v>
      </c>
      <c r="O193" s="7" t="n">
        <v>5514</v>
      </c>
    </row>
    <row r="194" customFormat="false" ht="15" hidden="false" customHeight="false" outlineLevel="0" collapsed="false">
      <c r="A194" s="7" t="s">
        <v>943</v>
      </c>
      <c r="B194" s="8" t="n">
        <v>45541</v>
      </c>
      <c r="C194" s="8" t="n">
        <v>45546</v>
      </c>
      <c r="D194" s="8" t="n">
        <v>45552</v>
      </c>
      <c r="E194" s="7" t="s">
        <v>753</v>
      </c>
      <c r="F194" s="7" t="s">
        <v>95</v>
      </c>
      <c r="G194" s="7" t="s">
        <v>68</v>
      </c>
      <c r="H194" s="7" t="s">
        <v>31</v>
      </c>
      <c r="I194" s="7" t="n">
        <v>622</v>
      </c>
      <c r="J194" s="7" t="n">
        <v>596</v>
      </c>
      <c r="K194" s="10" t="n">
        <v>2325.35</v>
      </c>
      <c r="L194" s="10" t="n">
        <f aca="false">J194*K194</f>
        <v>1385908.6</v>
      </c>
      <c r="M194" s="7" t="n">
        <f aca="false">D194-B194</f>
        <v>11</v>
      </c>
      <c r="N194" s="7" t="str">
        <f aca="false">IF(D194&lt;=C194,"Yes","No")</f>
        <v>No</v>
      </c>
      <c r="O194" s="7" t="n">
        <v>4792</v>
      </c>
    </row>
    <row r="195" customFormat="false" ht="15" hidden="false" customHeight="false" outlineLevel="0" collapsed="false">
      <c r="A195" s="7" t="s">
        <v>944</v>
      </c>
      <c r="B195" s="8" t="n">
        <v>45536</v>
      </c>
      <c r="C195" s="8" t="n">
        <v>45541</v>
      </c>
      <c r="D195" s="8" t="n">
        <v>45538</v>
      </c>
      <c r="E195" s="7" t="s">
        <v>751</v>
      </c>
      <c r="F195" s="7" t="s">
        <v>99</v>
      </c>
      <c r="G195" s="7" t="s">
        <v>68</v>
      </c>
      <c r="H195" s="7" t="s">
        <v>31</v>
      </c>
      <c r="I195" s="7" t="n">
        <v>532</v>
      </c>
      <c r="J195" s="7" t="n">
        <v>488</v>
      </c>
      <c r="K195" s="10" t="n">
        <v>1445.78</v>
      </c>
      <c r="L195" s="10" t="n">
        <f aca="false">J195*K195</f>
        <v>705540.64</v>
      </c>
      <c r="M195" s="7" t="n">
        <f aca="false">D195-B195</f>
        <v>2</v>
      </c>
      <c r="N195" s="7" t="str">
        <f aca="false">IF(D195&lt;=C195,"Yes","No")</f>
        <v>Yes</v>
      </c>
      <c r="O195" s="7" t="n">
        <v>7577</v>
      </c>
    </row>
    <row r="196" customFormat="false" ht="15" hidden="false" customHeight="false" outlineLevel="0" collapsed="false">
      <c r="A196" s="7" t="s">
        <v>945</v>
      </c>
      <c r="B196" s="8" t="n">
        <v>45987</v>
      </c>
      <c r="C196" s="8" t="n">
        <v>45997</v>
      </c>
      <c r="D196" s="8" t="n">
        <v>45994</v>
      </c>
      <c r="E196" s="7" t="s">
        <v>771</v>
      </c>
      <c r="F196" s="7" t="s">
        <v>99</v>
      </c>
      <c r="G196" s="7" t="s">
        <v>65</v>
      </c>
      <c r="H196" s="7" t="s">
        <v>31</v>
      </c>
      <c r="I196" s="7" t="n">
        <v>1224</v>
      </c>
      <c r="J196" s="7" t="n">
        <v>1220</v>
      </c>
      <c r="K196" s="10" t="n">
        <v>1349.88</v>
      </c>
      <c r="L196" s="10" t="n">
        <f aca="false">J196*K196</f>
        <v>1646853.6</v>
      </c>
      <c r="M196" s="7" t="n">
        <f aca="false">D196-B196</f>
        <v>7</v>
      </c>
      <c r="N196" s="7" t="str">
        <f aca="false">IF(D196&lt;=C196,"Yes","No")</f>
        <v>Yes</v>
      </c>
      <c r="O196" s="7" t="n">
        <v>2947</v>
      </c>
    </row>
    <row r="197" customFormat="false" ht="15" hidden="false" customHeight="false" outlineLevel="0" collapsed="false">
      <c r="A197" s="7" t="s">
        <v>946</v>
      </c>
      <c r="B197" s="8" t="n">
        <v>45368</v>
      </c>
      <c r="C197" s="8" t="n">
        <v>45382</v>
      </c>
      <c r="D197" s="8" t="n">
        <v>45384</v>
      </c>
      <c r="E197" s="7" t="s">
        <v>749</v>
      </c>
      <c r="F197" s="7" t="s">
        <v>113</v>
      </c>
      <c r="G197" s="7" t="s">
        <v>87</v>
      </c>
      <c r="H197" s="7" t="s">
        <v>31</v>
      </c>
      <c r="I197" s="7" t="n">
        <v>2617</v>
      </c>
      <c r="J197" s="7" t="n">
        <v>2442</v>
      </c>
      <c r="K197" s="10" t="n">
        <v>4230.72</v>
      </c>
      <c r="L197" s="10" t="n">
        <f aca="false">J197*K197</f>
        <v>10331418.24</v>
      </c>
      <c r="M197" s="7" t="n">
        <f aca="false">D197-B197</f>
        <v>16</v>
      </c>
      <c r="N197" s="7" t="str">
        <f aca="false">IF(D197&lt;=C197,"Yes","No")</f>
        <v>No</v>
      </c>
      <c r="O197" s="7" t="n">
        <v>2362</v>
      </c>
    </row>
    <row r="198" customFormat="false" ht="15" hidden="false" customHeight="false" outlineLevel="0" collapsed="false">
      <c r="A198" s="7" t="s">
        <v>947</v>
      </c>
      <c r="B198" s="8" t="n">
        <v>45452</v>
      </c>
      <c r="C198" s="8" t="n">
        <v>45457</v>
      </c>
      <c r="D198" s="8" t="n">
        <v>45455</v>
      </c>
      <c r="E198" s="7" t="s">
        <v>744</v>
      </c>
      <c r="F198" s="7" t="s">
        <v>95</v>
      </c>
      <c r="G198" s="7" t="s">
        <v>83</v>
      </c>
      <c r="H198" s="7" t="s">
        <v>31</v>
      </c>
      <c r="I198" s="7" t="n">
        <v>1579</v>
      </c>
      <c r="J198" s="7" t="n">
        <v>1546</v>
      </c>
      <c r="K198" s="10" t="n">
        <v>3496.45</v>
      </c>
      <c r="L198" s="10" t="n">
        <f aca="false">J198*K198</f>
        <v>5405511.7</v>
      </c>
      <c r="M198" s="7" t="n">
        <f aca="false">D198-B198</f>
        <v>3</v>
      </c>
      <c r="N198" s="7" t="str">
        <f aca="false">IF(D198&lt;=C198,"Yes","No")</f>
        <v>Yes</v>
      </c>
      <c r="O198" s="7" t="n">
        <v>2999</v>
      </c>
    </row>
    <row r="199" customFormat="false" ht="15" hidden="false" customHeight="false" outlineLevel="0" collapsed="false">
      <c r="A199" s="7" t="s">
        <v>948</v>
      </c>
      <c r="B199" s="8" t="n">
        <v>45793</v>
      </c>
      <c r="C199" s="8" t="n">
        <v>45800</v>
      </c>
      <c r="D199" s="8" t="n">
        <v>45800</v>
      </c>
      <c r="E199" s="7" t="s">
        <v>744</v>
      </c>
      <c r="F199" s="7" t="s">
        <v>95</v>
      </c>
      <c r="G199" s="7" t="s">
        <v>68</v>
      </c>
      <c r="H199" s="7" t="s">
        <v>31</v>
      </c>
      <c r="I199" s="7" t="n">
        <v>3963</v>
      </c>
      <c r="J199" s="7" t="n">
        <v>3719</v>
      </c>
      <c r="K199" s="10" t="n">
        <v>3452.94</v>
      </c>
      <c r="L199" s="10" t="n">
        <f aca="false">J199*K199</f>
        <v>12841483.86</v>
      </c>
      <c r="M199" s="7" t="n">
        <f aca="false">D199-B199</f>
        <v>7</v>
      </c>
      <c r="N199" s="7" t="str">
        <f aca="false">IF(D199&lt;=C199,"Yes","No")</f>
        <v>Yes</v>
      </c>
      <c r="O199" s="7" t="n">
        <v>2079</v>
      </c>
    </row>
    <row r="200" customFormat="false" ht="15" hidden="false" customHeight="false" outlineLevel="0" collapsed="false">
      <c r="A200" s="7" t="s">
        <v>949</v>
      </c>
      <c r="B200" s="8" t="n">
        <v>45591</v>
      </c>
      <c r="C200" s="8" t="n">
        <v>45596</v>
      </c>
      <c r="D200" s="8" t="n">
        <v>45600</v>
      </c>
      <c r="E200" s="7" t="s">
        <v>758</v>
      </c>
      <c r="F200" s="7" t="s">
        <v>99</v>
      </c>
      <c r="G200" s="7" t="s">
        <v>68</v>
      </c>
      <c r="H200" s="7" t="s">
        <v>31</v>
      </c>
      <c r="I200" s="7" t="n">
        <v>2067</v>
      </c>
      <c r="J200" s="7" t="n">
        <v>2024</v>
      </c>
      <c r="K200" s="10" t="n">
        <v>2473</v>
      </c>
      <c r="L200" s="10" t="n">
        <f aca="false">J200*K200</f>
        <v>5005352</v>
      </c>
      <c r="M200" s="7" t="n">
        <f aca="false">D200-B200</f>
        <v>9</v>
      </c>
      <c r="N200" s="7" t="str">
        <f aca="false">IF(D200&lt;=C200,"Yes","No")</f>
        <v>No</v>
      </c>
      <c r="O200" s="7" t="n">
        <v>4037</v>
      </c>
    </row>
    <row r="201" customFormat="false" ht="15" hidden="false" customHeight="false" outlineLevel="0" collapsed="false">
      <c r="A201" s="7" t="s">
        <v>950</v>
      </c>
      <c r="B201" s="8" t="n">
        <v>45524</v>
      </c>
      <c r="C201" s="8" t="n">
        <v>45529</v>
      </c>
      <c r="D201" s="8" t="n">
        <v>45536</v>
      </c>
      <c r="E201" s="7" t="s">
        <v>753</v>
      </c>
      <c r="F201" s="7" t="s">
        <v>113</v>
      </c>
      <c r="G201" s="7" t="s">
        <v>68</v>
      </c>
      <c r="H201" s="7" t="s">
        <v>31</v>
      </c>
      <c r="I201" s="7" t="n">
        <v>607</v>
      </c>
      <c r="J201" s="7" t="n">
        <v>557</v>
      </c>
      <c r="K201" s="10" t="n">
        <v>2955.23</v>
      </c>
      <c r="L201" s="10" t="n">
        <f aca="false">J201*K201</f>
        <v>1646063.11</v>
      </c>
      <c r="M201" s="7" t="n">
        <f aca="false">D201-B201</f>
        <v>12</v>
      </c>
      <c r="N201" s="7" t="str">
        <f aca="false">IF(D201&lt;=C201,"Yes","No")</f>
        <v>No</v>
      </c>
      <c r="O201" s="7" t="n">
        <v>1083</v>
      </c>
    </row>
    <row r="202" customFormat="false" ht="15" hidden="false" customHeight="false" outlineLevel="0" collapsed="false">
      <c r="A202" s="7" t="s">
        <v>951</v>
      </c>
      <c r="B202" s="8" t="n">
        <v>45915</v>
      </c>
      <c r="C202" s="8" t="n">
        <v>45925</v>
      </c>
      <c r="D202" s="8" t="n">
        <v>45926</v>
      </c>
      <c r="E202" s="7" t="s">
        <v>742</v>
      </c>
      <c r="F202" s="7" t="s">
        <v>113</v>
      </c>
      <c r="G202" s="7" t="s">
        <v>83</v>
      </c>
      <c r="H202" s="7" t="s">
        <v>31</v>
      </c>
      <c r="I202" s="7" t="n">
        <v>967</v>
      </c>
      <c r="J202" s="7" t="n">
        <v>873</v>
      </c>
      <c r="K202" s="10" t="n">
        <v>3480.13</v>
      </c>
      <c r="L202" s="10" t="n">
        <f aca="false">J202*K202</f>
        <v>3038153.49</v>
      </c>
      <c r="M202" s="7" t="n">
        <f aca="false">D202-B202</f>
        <v>11</v>
      </c>
      <c r="N202" s="7" t="str">
        <f aca="false">IF(D202&lt;=C202,"Yes","No")</f>
        <v>No</v>
      </c>
      <c r="O202" s="7" t="n">
        <v>2010</v>
      </c>
    </row>
    <row r="203" customFormat="false" ht="15" hidden="false" customHeight="false" outlineLevel="0" collapsed="false">
      <c r="A203" s="7" t="s">
        <v>952</v>
      </c>
      <c r="B203" s="8" t="n">
        <v>45787</v>
      </c>
      <c r="C203" s="8" t="n">
        <v>45796</v>
      </c>
      <c r="D203" s="8" t="n">
        <v>45803</v>
      </c>
      <c r="E203" s="7" t="s">
        <v>753</v>
      </c>
      <c r="F203" s="7" t="s">
        <v>104</v>
      </c>
      <c r="G203" s="7" t="s">
        <v>68</v>
      </c>
      <c r="H203" s="7" t="s">
        <v>31</v>
      </c>
      <c r="I203" s="7" t="n">
        <v>2176</v>
      </c>
      <c r="J203" s="7" t="n">
        <v>2173</v>
      </c>
      <c r="K203" s="10" t="n">
        <v>4482.76</v>
      </c>
      <c r="L203" s="10" t="n">
        <f aca="false">J203*K203</f>
        <v>9741037.48</v>
      </c>
      <c r="M203" s="7" t="n">
        <f aca="false">D203-B203</f>
        <v>16</v>
      </c>
      <c r="N203" s="7" t="str">
        <f aca="false">IF(D203&lt;=C203,"Yes","No")</f>
        <v>No</v>
      </c>
      <c r="O203" s="7" t="n">
        <v>7561</v>
      </c>
    </row>
    <row r="204" customFormat="false" ht="15" hidden="false" customHeight="false" outlineLevel="0" collapsed="false">
      <c r="A204" s="7" t="s">
        <v>953</v>
      </c>
      <c r="B204" s="8" t="n">
        <v>45540</v>
      </c>
      <c r="C204" s="8" t="n">
        <v>45548</v>
      </c>
      <c r="D204" s="8" t="n">
        <v>45545</v>
      </c>
      <c r="E204" s="7" t="s">
        <v>766</v>
      </c>
      <c r="F204" s="7" t="s">
        <v>115</v>
      </c>
      <c r="G204" s="7" t="s">
        <v>83</v>
      </c>
      <c r="H204" s="7" t="s">
        <v>31</v>
      </c>
      <c r="I204" s="7" t="n">
        <v>3036</v>
      </c>
      <c r="J204" s="7" t="n">
        <v>2852</v>
      </c>
      <c r="K204" s="10" t="n">
        <v>2734.76</v>
      </c>
      <c r="L204" s="10" t="n">
        <f aca="false">J204*K204</f>
        <v>7799535.52</v>
      </c>
      <c r="M204" s="7" t="n">
        <f aca="false">D204-B204</f>
        <v>5</v>
      </c>
      <c r="N204" s="7" t="str">
        <f aca="false">IF(D204&lt;=C204,"Yes","No")</f>
        <v>Yes</v>
      </c>
      <c r="O204" s="7" t="n">
        <v>2709</v>
      </c>
    </row>
    <row r="205" customFormat="false" ht="15" hidden="false" customHeight="false" outlineLevel="0" collapsed="false">
      <c r="A205" s="7" t="s">
        <v>954</v>
      </c>
      <c r="B205" s="8" t="n">
        <v>45347</v>
      </c>
      <c r="C205" s="8" t="n">
        <v>45360</v>
      </c>
      <c r="D205" s="8" t="n">
        <v>45358</v>
      </c>
      <c r="E205" s="7" t="s">
        <v>749</v>
      </c>
      <c r="F205" s="7" t="s">
        <v>95</v>
      </c>
      <c r="G205" s="7" t="s">
        <v>83</v>
      </c>
      <c r="H205" s="7" t="s">
        <v>31</v>
      </c>
      <c r="I205" s="7" t="n">
        <v>4708</v>
      </c>
      <c r="J205" s="7" t="n">
        <v>4348</v>
      </c>
      <c r="K205" s="10" t="n">
        <v>1448.55</v>
      </c>
      <c r="L205" s="10" t="n">
        <f aca="false">J205*K205</f>
        <v>6298295.4</v>
      </c>
      <c r="M205" s="7" t="n">
        <f aca="false">D205-B205</f>
        <v>11</v>
      </c>
      <c r="N205" s="7" t="str">
        <f aca="false">IF(D205&lt;=C205,"Yes","No")</f>
        <v>Yes</v>
      </c>
      <c r="O205" s="7" t="n">
        <v>5356</v>
      </c>
    </row>
    <row r="206" customFormat="false" ht="15" hidden="false" customHeight="false" outlineLevel="0" collapsed="false">
      <c r="A206" s="7" t="s">
        <v>955</v>
      </c>
      <c r="B206" s="8" t="n">
        <v>45519</v>
      </c>
      <c r="C206" s="8" t="n">
        <v>45522</v>
      </c>
      <c r="D206" s="8" t="n">
        <v>45522</v>
      </c>
      <c r="E206" s="7" t="s">
        <v>747</v>
      </c>
      <c r="F206" s="7" t="s">
        <v>99</v>
      </c>
      <c r="G206" s="7" t="s">
        <v>83</v>
      </c>
      <c r="H206" s="7" t="s">
        <v>31</v>
      </c>
      <c r="I206" s="7" t="n">
        <v>4403</v>
      </c>
      <c r="J206" s="7" t="n">
        <v>4195</v>
      </c>
      <c r="K206" s="10" t="n">
        <v>3669.08</v>
      </c>
      <c r="L206" s="10" t="n">
        <f aca="false">J206*K206</f>
        <v>15391790.6</v>
      </c>
      <c r="M206" s="7" t="n">
        <f aca="false">D206-B206</f>
        <v>3</v>
      </c>
      <c r="N206" s="7" t="str">
        <f aca="false">IF(D206&lt;=C206,"Yes","No")</f>
        <v>Yes</v>
      </c>
      <c r="O206" s="7" t="n">
        <v>1070</v>
      </c>
    </row>
    <row r="207" customFormat="false" ht="15" hidden="false" customHeight="false" outlineLevel="0" collapsed="false">
      <c r="A207" s="7" t="s">
        <v>956</v>
      </c>
      <c r="B207" s="8" t="n">
        <v>45933</v>
      </c>
      <c r="C207" s="8" t="n">
        <v>45948</v>
      </c>
      <c r="D207" s="8" t="n">
        <v>45951</v>
      </c>
      <c r="E207" s="7" t="s">
        <v>753</v>
      </c>
      <c r="F207" s="7" t="s">
        <v>99</v>
      </c>
      <c r="G207" s="7" t="s">
        <v>83</v>
      </c>
      <c r="H207" s="7" t="s">
        <v>31</v>
      </c>
      <c r="I207" s="7" t="n">
        <v>4707</v>
      </c>
      <c r="J207" s="7" t="n">
        <v>4340</v>
      </c>
      <c r="K207" s="10" t="n">
        <v>1977.49</v>
      </c>
      <c r="L207" s="10" t="n">
        <f aca="false">J207*K207</f>
        <v>8582306.6</v>
      </c>
      <c r="M207" s="7" t="n">
        <f aca="false">D207-B207</f>
        <v>18</v>
      </c>
      <c r="N207" s="7" t="str">
        <f aca="false">IF(D207&lt;=C207,"Yes","No")</f>
        <v>No</v>
      </c>
      <c r="O207" s="7" t="n">
        <v>4106</v>
      </c>
    </row>
    <row r="208" customFormat="false" ht="15" hidden="false" customHeight="false" outlineLevel="0" collapsed="false">
      <c r="A208" s="7" t="s">
        <v>957</v>
      </c>
      <c r="B208" s="8" t="n">
        <v>45975</v>
      </c>
      <c r="C208" s="8" t="n">
        <v>45989</v>
      </c>
      <c r="D208" s="8" t="n">
        <v>45994</v>
      </c>
      <c r="E208" s="7" t="s">
        <v>753</v>
      </c>
      <c r="F208" s="7" t="s">
        <v>109</v>
      </c>
      <c r="G208" s="7" t="s">
        <v>65</v>
      </c>
      <c r="H208" s="7" t="s">
        <v>31</v>
      </c>
      <c r="I208" s="7" t="n">
        <v>1359</v>
      </c>
      <c r="J208" s="7" t="n">
        <v>1327</v>
      </c>
      <c r="K208" s="10" t="n">
        <v>1125.08</v>
      </c>
      <c r="L208" s="10" t="n">
        <f aca="false">J208*K208</f>
        <v>1492981.16</v>
      </c>
      <c r="M208" s="7" t="n">
        <f aca="false">D208-B208</f>
        <v>19</v>
      </c>
      <c r="N208" s="7" t="str">
        <f aca="false">IF(D208&lt;=C208,"Yes","No")</f>
        <v>No</v>
      </c>
      <c r="O208" s="7" t="n">
        <v>7756</v>
      </c>
    </row>
    <row r="209" customFormat="false" ht="15" hidden="false" customHeight="false" outlineLevel="0" collapsed="false">
      <c r="A209" s="7" t="s">
        <v>958</v>
      </c>
      <c r="B209" s="8" t="n">
        <v>45540</v>
      </c>
      <c r="C209" s="8" t="n">
        <v>45544</v>
      </c>
      <c r="D209" s="8" t="n">
        <v>45549</v>
      </c>
      <c r="E209" s="7" t="s">
        <v>751</v>
      </c>
      <c r="F209" s="7" t="s">
        <v>99</v>
      </c>
      <c r="G209" s="7" t="s">
        <v>87</v>
      </c>
      <c r="H209" s="7" t="s">
        <v>31</v>
      </c>
      <c r="I209" s="7" t="n">
        <v>787</v>
      </c>
      <c r="J209" s="7" t="n">
        <v>731</v>
      </c>
      <c r="K209" s="10" t="n">
        <v>1053.6</v>
      </c>
      <c r="L209" s="10" t="n">
        <f aca="false">J209*K209</f>
        <v>770181.6</v>
      </c>
      <c r="M209" s="7" t="n">
        <f aca="false">D209-B209</f>
        <v>9</v>
      </c>
      <c r="N209" s="7" t="str">
        <f aca="false">IF(D209&lt;=C209,"Yes","No")</f>
        <v>No</v>
      </c>
      <c r="O209" s="7" t="n">
        <v>6349</v>
      </c>
    </row>
    <row r="210" customFormat="false" ht="15" hidden="false" customHeight="false" outlineLevel="0" collapsed="false">
      <c r="A210" s="7" t="s">
        <v>959</v>
      </c>
      <c r="B210" s="8" t="n">
        <v>45955</v>
      </c>
      <c r="C210" s="8" t="n">
        <v>45968</v>
      </c>
      <c r="D210" s="8" t="n">
        <v>45971</v>
      </c>
      <c r="E210" s="7" t="s">
        <v>742</v>
      </c>
      <c r="F210" s="7" t="s">
        <v>99</v>
      </c>
      <c r="G210" s="7" t="s">
        <v>68</v>
      </c>
      <c r="H210" s="7" t="s">
        <v>31</v>
      </c>
      <c r="I210" s="7" t="n">
        <v>3726</v>
      </c>
      <c r="J210" s="7" t="n">
        <v>3613</v>
      </c>
      <c r="K210" s="10" t="n">
        <v>3448.73</v>
      </c>
      <c r="L210" s="10" t="n">
        <f aca="false">J210*K210</f>
        <v>12460261.49</v>
      </c>
      <c r="M210" s="7" t="n">
        <f aca="false">D210-B210</f>
        <v>16</v>
      </c>
      <c r="N210" s="7" t="str">
        <f aca="false">IF(D210&lt;=C210,"Yes","No")</f>
        <v>No</v>
      </c>
      <c r="O210" s="7" t="n">
        <v>6229</v>
      </c>
    </row>
    <row r="211" customFormat="false" ht="15" hidden="false" customHeight="false" outlineLevel="0" collapsed="false">
      <c r="A211" s="7" t="s">
        <v>960</v>
      </c>
      <c r="B211" s="8" t="n">
        <v>45324</v>
      </c>
      <c r="C211" s="8" t="n">
        <v>45336</v>
      </c>
      <c r="D211" s="8" t="n">
        <v>45343</v>
      </c>
      <c r="E211" s="7" t="s">
        <v>751</v>
      </c>
      <c r="F211" s="7" t="s">
        <v>99</v>
      </c>
      <c r="G211" s="7" t="s">
        <v>65</v>
      </c>
      <c r="H211" s="7" t="s">
        <v>31</v>
      </c>
      <c r="I211" s="7" t="n">
        <v>3088</v>
      </c>
      <c r="J211" s="7" t="n">
        <v>2829</v>
      </c>
      <c r="K211" s="10" t="n">
        <v>2767.87</v>
      </c>
      <c r="L211" s="10" t="n">
        <f aca="false">J211*K211</f>
        <v>7830304.23</v>
      </c>
      <c r="M211" s="7" t="n">
        <f aca="false">D211-B211</f>
        <v>19</v>
      </c>
      <c r="N211" s="7" t="str">
        <f aca="false">IF(D211&lt;=C211,"Yes","No")</f>
        <v>No</v>
      </c>
      <c r="O211" s="7" t="n">
        <v>7024</v>
      </c>
    </row>
    <row r="212" customFormat="false" ht="15" hidden="false" customHeight="false" outlineLevel="0" collapsed="false">
      <c r="A212" s="7" t="s">
        <v>961</v>
      </c>
      <c r="B212" s="8" t="n">
        <v>45694</v>
      </c>
      <c r="C212" s="8" t="n">
        <v>45704</v>
      </c>
      <c r="D212" s="8" t="n">
        <v>45703</v>
      </c>
      <c r="E212" s="7" t="s">
        <v>777</v>
      </c>
      <c r="F212" s="7" t="s">
        <v>113</v>
      </c>
      <c r="G212" s="7" t="s">
        <v>83</v>
      </c>
      <c r="H212" s="7" t="s">
        <v>31</v>
      </c>
      <c r="I212" s="7" t="n">
        <v>3469</v>
      </c>
      <c r="J212" s="7" t="n">
        <v>3164</v>
      </c>
      <c r="K212" s="10" t="n">
        <v>1698.46</v>
      </c>
      <c r="L212" s="10" t="n">
        <f aca="false">J212*K212</f>
        <v>5373927.44</v>
      </c>
      <c r="M212" s="7" t="n">
        <f aca="false">D212-B212</f>
        <v>9</v>
      </c>
      <c r="N212" s="7" t="str">
        <f aca="false">IF(D212&lt;=C212,"Yes","No")</f>
        <v>Yes</v>
      </c>
      <c r="O212" s="7" t="n">
        <v>4721</v>
      </c>
    </row>
    <row r="213" customFormat="false" ht="15" hidden="false" customHeight="false" outlineLevel="0" collapsed="false">
      <c r="A213" s="7" t="s">
        <v>962</v>
      </c>
      <c r="B213" s="8" t="n">
        <v>45385</v>
      </c>
      <c r="C213" s="8" t="n">
        <v>45396</v>
      </c>
      <c r="D213" s="8" t="n">
        <v>45399</v>
      </c>
      <c r="E213" s="7" t="s">
        <v>753</v>
      </c>
      <c r="F213" s="7" t="s">
        <v>104</v>
      </c>
      <c r="G213" s="7" t="s">
        <v>68</v>
      </c>
      <c r="H213" s="7" t="s">
        <v>31</v>
      </c>
      <c r="I213" s="7" t="n">
        <v>2865</v>
      </c>
      <c r="J213" s="7" t="n">
        <v>2795</v>
      </c>
      <c r="K213" s="10" t="n">
        <v>2254.85</v>
      </c>
      <c r="L213" s="10" t="n">
        <f aca="false">J213*K213</f>
        <v>6302305.75</v>
      </c>
      <c r="M213" s="7" t="n">
        <f aca="false">D213-B213</f>
        <v>14</v>
      </c>
      <c r="N213" s="7" t="str">
        <f aca="false">IF(D213&lt;=C213,"Yes","No")</f>
        <v>No</v>
      </c>
      <c r="O213" s="7" t="n">
        <v>1853</v>
      </c>
    </row>
    <row r="214" customFormat="false" ht="15" hidden="false" customHeight="false" outlineLevel="0" collapsed="false">
      <c r="A214" s="7" t="s">
        <v>963</v>
      </c>
      <c r="B214" s="8" t="n">
        <v>46017</v>
      </c>
      <c r="C214" s="8" t="n">
        <v>46024</v>
      </c>
      <c r="D214" s="8" t="n">
        <v>46024</v>
      </c>
      <c r="E214" s="7" t="s">
        <v>753</v>
      </c>
      <c r="F214" s="7" t="s">
        <v>99</v>
      </c>
      <c r="G214" s="7" t="s">
        <v>83</v>
      </c>
      <c r="H214" s="7" t="s">
        <v>31</v>
      </c>
      <c r="I214" s="7" t="n">
        <v>2530</v>
      </c>
      <c r="J214" s="7" t="n">
        <v>2283</v>
      </c>
      <c r="K214" s="10" t="n">
        <v>2697.44</v>
      </c>
      <c r="L214" s="10" t="n">
        <f aca="false">J214*K214</f>
        <v>6158255.52</v>
      </c>
      <c r="M214" s="7" t="n">
        <f aca="false">D214-B214</f>
        <v>7</v>
      </c>
      <c r="N214" s="7" t="str">
        <f aca="false">IF(D214&lt;=C214,"Yes","No")</f>
        <v>Yes</v>
      </c>
      <c r="O214" s="7" t="n">
        <v>6869</v>
      </c>
    </row>
    <row r="215" customFormat="false" ht="15" hidden="false" customHeight="false" outlineLevel="0" collapsed="false">
      <c r="A215" s="7" t="s">
        <v>964</v>
      </c>
      <c r="B215" s="8" t="n">
        <v>45966</v>
      </c>
      <c r="C215" s="8" t="n">
        <v>45979</v>
      </c>
      <c r="D215" s="8" t="n">
        <v>45981</v>
      </c>
      <c r="E215" s="7" t="s">
        <v>751</v>
      </c>
      <c r="F215" s="7" t="s">
        <v>109</v>
      </c>
      <c r="G215" s="7" t="s">
        <v>68</v>
      </c>
      <c r="H215" s="7" t="s">
        <v>31</v>
      </c>
      <c r="I215" s="7" t="n">
        <v>3927</v>
      </c>
      <c r="J215" s="7" t="n">
        <v>3556</v>
      </c>
      <c r="K215" s="10" t="n">
        <v>800.44</v>
      </c>
      <c r="L215" s="10" t="n">
        <f aca="false">J215*K215</f>
        <v>2846364.64</v>
      </c>
      <c r="M215" s="7" t="n">
        <f aca="false">D215-B215</f>
        <v>15</v>
      </c>
      <c r="N215" s="7" t="str">
        <f aca="false">IF(D215&lt;=C215,"Yes","No")</f>
        <v>No</v>
      </c>
      <c r="O215" s="7" t="n">
        <v>2098</v>
      </c>
    </row>
    <row r="216" customFormat="false" ht="15" hidden="false" customHeight="false" outlineLevel="0" collapsed="false">
      <c r="A216" s="7" t="s">
        <v>965</v>
      </c>
      <c r="B216" s="8" t="n">
        <v>45850</v>
      </c>
      <c r="C216" s="8" t="n">
        <v>45853</v>
      </c>
      <c r="D216" s="8" t="n">
        <v>45854</v>
      </c>
      <c r="E216" s="7" t="s">
        <v>744</v>
      </c>
      <c r="F216" s="7" t="s">
        <v>95</v>
      </c>
      <c r="G216" s="7" t="s">
        <v>65</v>
      </c>
      <c r="H216" s="7" t="s">
        <v>31</v>
      </c>
      <c r="I216" s="7" t="n">
        <v>3179</v>
      </c>
      <c r="J216" s="7" t="n">
        <v>2933</v>
      </c>
      <c r="K216" s="10" t="n">
        <v>1975.82</v>
      </c>
      <c r="L216" s="10" t="n">
        <f aca="false">J216*K216</f>
        <v>5795080.06</v>
      </c>
      <c r="M216" s="7" t="n">
        <f aca="false">D216-B216</f>
        <v>4</v>
      </c>
      <c r="N216" s="7" t="str">
        <f aca="false">IF(D216&lt;=C216,"Yes","No")</f>
        <v>No</v>
      </c>
      <c r="O216" s="7" t="n">
        <v>7418</v>
      </c>
    </row>
    <row r="217" customFormat="false" ht="15" hidden="false" customHeight="false" outlineLevel="0" collapsed="false">
      <c r="A217" s="7" t="s">
        <v>966</v>
      </c>
      <c r="B217" s="8" t="n">
        <v>45547</v>
      </c>
      <c r="C217" s="8" t="n">
        <v>45559</v>
      </c>
      <c r="D217" s="8" t="n">
        <v>45561</v>
      </c>
      <c r="E217" s="7" t="s">
        <v>744</v>
      </c>
      <c r="F217" s="7" t="s">
        <v>109</v>
      </c>
      <c r="G217" s="7" t="s">
        <v>87</v>
      </c>
      <c r="H217" s="7" t="s">
        <v>31</v>
      </c>
      <c r="I217" s="7" t="n">
        <v>3598</v>
      </c>
      <c r="J217" s="7" t="n">
        <v>3340</v>
      </c>
      <c r="K217" s="10" t="n">
        <v>4288.2</v>
      </c>
      <c r="L217" s="10" t="n">
        <f aca="false">J217*K217</f>
        <v>14322588</v>
      </c>
      <c r="M217" s="7" t="n">
        <f aca="false">D217-B217</f>
        <v>14</v>
      </c>
      <c r="N217" s="7" t="str">
        <f aca="false">IF(D217&lt;=C217,"Yes","No")</f>
        <v>No</v>
      </c>
      <c r="O217" s="7" t="n">
        <v>303</v>
      </c>
    </row>
    <row r="218" customFormat="false" ht="15" hidden="false" customHeight="false" outlineLevel="0" collapsed="false">
      <c r="A218" s="7" t="s">
        <v>967</v>
      </c>
      <c r="B218" s="8" t="n">
        <v>45944</v>
      </c>
      <c r="C218" s="8" t="n">
        <v>45965</v>
      </c>
      <c r="D218" s="8" t="n">
        <v>45965</v>
      </c>
      <c r="E218" s="7" t="s">
        <v>771</v>
      </c>
      <c r="F218" s="7" t="s">
        <v>102</v>
      </c>
      <c r="G218" s="7" t="s">
        <v>68</v>
      </c>
      <c r="H218" s="7" t="s">
        <v>31</v>
      </c>
      <c r="I218" s="7" t="n">
        <v>3013</v>
      </c>
      <c r="J218" s="7" t="n">
        <v>2787</v>
      </c>
      <c r="K218" s="10" t="n">
        <v>3226.95</v>
      </c>
      <c r="L218" s="10" t="n">
        <f aca="false">J218*K218</f>
        <v>8993509.65</v>
      </c>
      <c r="M218" s="7" t="n">
        <f aca="false">D218-B218</f>
        <v>21</v>
      </c>
      <c r="N218" s="7" t="str">
        <f aca="false">IF(D218&lt;=C218,"Yes","No")</f>
        <v>Yes</v>
      </c>
      <c r="O218" s="7" t="n">
        <v>3318</v>
      </c>
    </row>
    <row r="219" customFormat="false" ht="15" hidden="false" customHeight="false" outlineLevel="0" collapsed="false">
      <c r="A219" s="7" t="s">
        <v>968</v>
      </c>
      <c r="B219" s="8" t="n">
        <v>45715</v>
      </c>
      <c r="C219" s="8" t="n">
        <v>45727</v>
      </c>
      <c r="D219" s="8" t="n">
        <v>45726</v>
      </c>
      <c r="E219" s="7" t="s">
        <v>766</v>
      </c>
      <c r="F219" s="7" t="s">
        <v>109</v>
      </c>
      <c r="G219" s="7" t="s">
        <v>65</v>
      </c>
      <c r="H219" s="7" t="s">
        <v>31</v>
      </c>
      <c r="I219" s="7" t="n">
        <v>3328</v>
      </c>
      <c r="J219" s="7" t="n">
        <v>3293</v>
      </c>
      <c r="K219" s="10" t="n">
        <v>1438.84</v>
      </c>
      <c r="L219" s="10" t="n">
        <f aca="false">J219*K219</f>
        <v>4738100.12</v>
      </c>
      <c r="M219" s="7" t="n">
        <f aca="false">D219-B219</f>
        <v>11</v>
      </c>
      <c r="N219" s="7" t="str">
        <f aca="false">IF(D219&lt;=C219,"Yes","No")</f>
        <v>Yes</v>
      </c>
      <c r="O219" s="7" t="n">
        <v>2819</v>
      </c>
    </row>
    <row r="220" customFormat="false" ht="15" hidden="false" customHeight="false" outlineLevel="0" collapsed="false">
      <c r="A220" s="7" t="s">
        <v>969</v>
      </c>
      <c r="B220" s="8" t="n">
        <v>45440</v>
      </c>
      <c r="C220" s="8" t="n">
        <v>45460</v>
      </c>
      <c r="D220" s="8" t="n">
        <v>45467</v>
      </c>
      <c r="E220" s="7" t="s">
        <v>771</v>
      </c>
      <c r="F220" s="7" t="s">
        <v>115</v>
      </c>
      <c r="G220" s="7" t="s">
        <v>83</v>
      </c>
      <c r="H220" s="7" t="s">
        <v>31</v>
      </c>
      <c r="I220" s="7" t="n">
        <v>4352</v>
      </c>
      <c r="J220" s="7" t="n">
        <v>4257</v>
      </c>
      <c r="K220" s="10" t="n">
        <v>3694.27</v>
      </c>
      <c r="L220" s="10" t="n">
        <f aca="false">J220*K220</f>
        <v>15726507.39</v>
      </c>
      <c r="M220" s="7" t="n">
        <f aca="false">D220-B220</f>
        <v>27</v>
      </c>
      <c r="N220" s="7" t="str">
        <f aca="false">IF(D220&lt;=C220,"Yes","No")</f>
        <v>No</v>
      </c>
      <c r="O220" s="7" t="n">
        <v>7325</v>
      </c>
    </row>
    <row r="221" customFormat="false" ht="15" hidden="false" customHeight="false" outlineLevel="0" collapsed="false">
      <c r="A221" s="7" t="s">
        <v>970</v>
      </c>
      <c r="B221" s="8" t="n">
        <v>45497</v>
      </c>
      <c r="C221" s="8" t="n">
        <v>45510</v>
      </c>
      <c r="D221" s="8" t="n">
        <v>45512</v>
      </c>
      <c r="E221" s="7" t="s">
        <v>766</v>
      </c>
      <c r="F221" s="7" t="s">
        <v>99</v>
      </c>
      <c r="G221" s="7" t="s">
        <v>65</v>
      </c>
      <c r="H221" s="7" t="s">
        <v>31</v>
      </c>
      <c r="I221" s="7" t="n">
        <v>1469</v>
      </c>
      <c r="J221" s="7" t="n">
        <v>1370</v>
      </c>
      <c r="K221" s="10" t="n">
        <v>896.16</v>
      </c>
      <c r="L221" s="10" t="n">
        <f aca="false">J221*K221</f>
        <v>1227739.2</v>
      </c>
      <c r="M221" s="7" t="n">
        <f aca="false">D221-B221</f>
        <v>15</v>
      </c>
      <c r="N221" s="7" t="str">
        <f aca="false">IF(D221&lt;=C221,"Yes","No")</f>
        <v>No</v>
      </c>
      <c r="O221" s="7" t="n">
        <v>6725</v>
      </c>
    </row>
    <row r="222" customFormat="false" ht="15" hidden="false" customHeight="false" outlineLevel="0" collapsed="false">
      <c r="A222" s="7" t="s">
        <v>971</v>
      </c>
      <c r="B222" s="8" t="n">
        <v>45299</v>
      </c>
      <c r="C222" s="8" t="n">
        <v>45313</v>
      </c>
      <c r="D222" s="8" t="n">
        <v>45311</v>
      </c>
      <c r="E222" s="7" t="s">
        <v>744</v>
      </c>
      <c r="F222" s="7" t="s">
        <v>99</v>
      </c>
      <c r="G222" s="7" t="s">
        <v>87</v>
      </c>
      <c r="H222" s="7" t="s">
        <v>31</v>
      </c>
      <c r="I222" s="7" t="n">
        <v>930</v>
      </c>
      <c r="J222" s="7" t="n">
        <v>855</v>
      </c>
      <c r="K222" s="10" t="n">
        <v>2509.65</v>
      </c>
      <c r="L222" s="10" t="n">
        <f aca="false">J222*K222</f>
        <v>2145750.75</v>
      </c>
      <c r="M222" s="7" t="n">
        <f aca="false">D222-B222</f>
        <v>12</v>
      </c>
      <c r="N222" s="7" t="str">
        <f aca="false">IF(D222&lt;=C222,"Yes","No")</f>
        <v>Yes</v>
      </c>
      <c r="O222" s="7" t="n">
        <v>3491</v>
      </c>
    </row>
    <row r="223" customFormat="false" ht="15" hidden="false" customHeight="false" outlineLevel="0" collapsed="false">
      <c r="A223" s="7" t="s">
        <v>972</v>
      </c>
      <c r="B223" s="8" t="n">
        <v>45591</v>
      </c>
      <c r="C223" s="8" t="n">
        <v>45609</v>
      </c>
      <c r="D223" s="8" t="n">
        <v>45612</v>
      </c>
      <c r="E223" s="7" t="s">
        <v>749</v>
      </c>
      <c r="F223" s="7" t="s">
        <v>115</v>
      </c>
      <c r="G223" s="7" t="s">
        <v>83</v>
      </c>
      <c r="H223" s="7" t="s">
        <v>31</v>
      </c>
      <c r="I223" s="7" t="n">
        <v>3325</v>
      </c>
      <c r="J223" s="7" t="n">
        <v>3236</v>
      </c>
      <c r="K223" s="10" t="n">
        <v>1952.64</v>
      </c>
      <c r="L223" s="10" t="n">
        <f aca="false">J223*K223</f>
        <v>6318743.04</v>
      </c>
      <c r="M223" s="7" t="n">
        <f aca="false">D223-B223</f>
        <v>21</v>
      </c>
      <c r="N223" s="7" t="str">
        <f aca="false">IF(D223&lt;=C223,"Yes","No")</f>
        <v>No</v>
      </c>
      <c r="O223" s="7" t="n">
        <v>7359</v>
      </c>
    </row>
    <row r="224" customFormat="false" ht="15" hidden="false" customHeight="false" outlineLevel="0" collapsed="false">
      <c r="A224" s="7" t="s">
        <v>973</v>
      </c>
      <c r="B224" s="8" t="n">
        <v>45645</v>
      </c>
      <c r="C224" s="8" t="n">
        <v>45651</v>
      </c>
      <c r="D224" s="8" t="n">
        <v>45657</v>
      </c>
      <c r="E224" s="7" t="s">
        <v>744</v>
      </c>
      <c r="F224" s="7" t="s">
        <v>99</v>
      </c>
      <c r="G224" s="7" t="s">
        <v>87</v>
      </c>
      <c r="H224" s="7" t="s">
        <v>31</v>
      </c>
      <c r="I224" s="7" t="n">
        <v>4154</v>
      </c>
      <c r="J224" s="7" t="n">
        <v>3911</v>
      </c>
      <c r="K224" s="10" t="n">
        <v>4057.71</v>
      </c>
      <c r="L224" s="10" t="n">
        <f aca="false">J224*K224</f>
        <v>15869703.81</v>
      </c>
      <c r="M224" s="7" t="n">
        <f aca="false">D224-B224</f>
        <v>12</v>
      </c>
      <c r="N224" s="7" t="str">
        <f aca="false">IF(D224&lt;=C224,"Yes","No")</f>
        <v>No</v>
      </c>
      <c r="O224" s="7" t="n">
        <v>5652</v>
      </c>
    </row>
    <row r="225" customFormat="false" ht="15" hidden="false" customHeight="false" outlineLevel="0" collapsed="false">
      <c r="A225" s="7" t="s">
        <v>974</v>
      </c>
      <c r="B225" s="8" t="n">
        <v>45511</v>
      </c>
      <c r="C225" s="8" t="n">
        <v>45520</v>
      </c>
      <c r="D225" s="8" t="n">
        <v>45522</v>
      </c>
      <c r="E225" s="7" t="s">
        <v>742</v>
      </c>
      <c r="F225" s="7" t="s">
        <v>109</v>
      </c>
      <c r="G225" s="7" t="s">
        <v>65</v>
      </c>
      <c r="H225" s="7" t="s">
        <v>31</v>
      </c>
      <c r="I225" s="7" t="n">
        <v>785</v>
      </c>
      <c r="J225" s="7" t="n">
        <v>742</v>
      </c>
      <c r="K225" s="10" t="n">
        <v>2906.16</v>
      </c>
      <c r="L225" s="10" t="n">
        <f aca="false">J225*K225</f>
        <v>2156370.72</v>
      </c>
      <c r="M225" s="7" t="n">
        <f aca="false">D225-B225</f>
        <v>11</v>
      </c>
      <c r="N225" s="7" t="str">
        <f aca="false">IF(D225&lt;=C225,"Yes","No")</f>
        <v>No</v>
      </c>
      <c r="O225" s="7" t="n">
        <v>393</v>
      </c>
    </row>
    <row r="226" customFormat="false" ht="15" hidden="false" customHeight="false" outlineLevel="0" collapsed="false">
      <c r="A226" s="7" t="s">
        <v>975</v>
      </c>
      <c r="B226" s="8" t="n">
        <v>45966</v>
      </c>
      <c r="C226" s="8" t="n">
        <v>45982</v>
      </c>
      <c r="D226" s="8" t="n">
        <v>45980</v>
      </c>
      <c r="E226" s="7" t="s">
        <v>751</v>
      </c>
      <c r="F226" s="7" t="s">
        <v>106</v>
      </c>
      <c r="G226" s="7" t="s">
        <v>83</v>
      </c>
      <c r="H226" s="7" t="s">
        <v>31</v>
      </c>
      <c r="I226" s="7" t="n">
        <v>1331</v>
      </c>
      <c r="J226" s="7" t="n">
        <v>1227</v>
      </c>
      <c r="K226" s="10" t="n">
        <v>3555.82</v>
      </c>
      <c r="L226" s="10" t="n">
        <f aca="false">J226*K226</f>
        <v>4362991.14</v>
      </c>
      <c r="M226" s="7" t="n">
        <f aca="false">D226-B226</f>
        <v>14</v>
      </c>
      <c r="N226" s="7" t="str">
        <f aca="false">IF(D226&lt;=C226,"Yes","No")</f>
        <v>Yes</v>
      </c>
      <c r="O226" s="7" t="n">
        <v>6767</v>
      </c>
    </row>
    <row r="227" customFormat="false" ht="15" hidden="false" customHeight="false" outlineLevel="0" collapsed="false">
      <c r="A227" s="7" t="s">
        <v>976</v>
      </c>
      <c r="B227" s="8" t="n">
        <v>45330</v>
      </c>
      <c r="C227" s="8" t="n">
        <v>45344</v>
      </c>
      <c r="D227" s="8" t="n">
        <v>45347</v>
      </c>
      <c r="E227" s="7" t="s">
        <v>751</v>
      </c>
      <c r="F227" s="7" t="s">
        <v>113</v>
      </c>
      <c r="G227" s="7" t="s">
        <v>65</v>
      </c>
      <c r="H227" s="7" t="s">
        <v>31</v>
      </c>
      <c r="I227" s="7" t="n">
        <v>3914</v>
      </c>
      <c r="J227" s="7" t="n">
        <v>3601</v>
      </c>
      <c r="K227" s="10" t="n">
        <v>1916.53</v>
      </c>
      <c r="L227" s="10" t="n">
        <f aca="false">J227*K227</f>
        <v>6901424.53</v>
      </c>
      <c r="M227" s="7" t="n">
        <f aca="false">D227-B227</f>
        <v>17</v>
      </c>
      <c r="N227" s="7" t="str">
        <f aca="false">IF(D227&lt;=C227,"Yes","No")</f>
        <v>No</v>
      </c>
      <c r="O227" s="7" t="n">
        <v>2895</v>
      </c>
    </row>
    <row r="228" customFormat="false" ht="15" hidden="false" customHeight="false" outlineLevel="0" collapsed="false">
      <c r="A228" s="7" t="s">
        <v>977</v>
      </c>
      <c r="B228" s="8" t="n">
        <v>45801</v>
      </c>
      <c r="C228" s="8" t="n">
        <v>45809</v>
      </c>
      <c r="D228" s="8" t="n">
        <v>45813</v>
      </c>
      <c r="E228" s="7" t="s">
        <v>742</v>
      </c>
      <c r="F228" s="7" t="s">
        <v>95</v>
      </c>
      <c r="G228" s="7" t="s">
        <v>68</v>
      </c>
      <c r="H228" s="7" t="s">
        <v>31</v>
      </c>
      <c r="I228" s="7" t="n">
        <v>3596</v>
      </c>
      <c r="J228" s="7" t="n">
        <v>3595</v>
      </c>
      <c r="K228" s="10" t="n">
        <v>2876.06</v>
      </c>
      <c r="L228" s="10" t="n">
        <f aca="false">J228*K228</f>
        <v>10339435.7</v>
      </c>
      <c r="M228" s="7" t="n">
        <f aca="false">D228-B228</f>
        <v>12</v>
      </c>
      <c r="N228" s="7" t="str">
        <f aca="false">IF(D228&lt;=C228,"Yes","No")</f>
        <v>No</v>
      </c>
      <c r="O228" s="7" t="n">
        <v>6714</v>
      </c>
    </row>
    <row r="229" customFormat="false" ht="15" hidden="false" customHeight="false" outlineLevel="0" collapsed="false">
      <c r="A229" s="7" t="s">
        <v>978</v>
      </c>
      <c r="B229" s="8" t="n">
        <v>45449</v>
      </c>
      <c r="C229" s="8" t="n">
        <v>45452</v>
      </c>
      <c r="D229" s="8" t="n">
        <v>45459</v>
      </c>
      <c r="E229" s="7" t="s">
        <v>742</v>
      </c>
      <c r="F229" s="7" t="s">
        <v>99</v>
      </c>
      <c r="G229" s="7" t="s">
        <v>83</v>
      </c>
      <c r="H229" s="7" t="s">
        <v>31</v>
      </c>
      <c r="I229" s="7" t="n">
        <v>937</v>
      </c>
      <c r="J229" s="7" t="n">
        <v>929</v>
      </c>
      <c r="K229" s="10" t="n">
        <v>1567.36</v>
      </c>
      <c r="L229" s="10" t="n">
        <f aca="false">J229*K229</f>
        <v>1456077.44</v>
      </c>
      <c r="M229" s="7" t="n">
        <f aca="false">D229-B229</f>
        <v>10</v>
      </c>
      <c r="N229" s="7" t="str">
        <f aca="false">IF(D229&lt;=C229,"Yes","No")</f>
        <v>No</v>
      </c>
      <c r="O229" s="7" t="n">
        <v>391</v>
      </c>
    </row>
    <row r="230" customFormat="false" ht="15" hidden="false" customHeight="false" outlineLevel="0" collapsed="false">
      <c r="A230" s="7" t="s">
        <v>979</v>
      </c>
      <c r="B230" s="8" t="n">
        <v>45805</v>
      </c>
      <c r="C230" s="8" t="n">
        <v>45814</v>
      </c>
      <c r="D230" s="8" t="n">
        <v>45819</v>
      </c>
      <c r="E230" s="7" t="s">
        <v>753</v>
      </c>
      <c r="F230" s="7" t="s">
        <v>102</v>
      </c>
      <c r="G230" s="7" t="s">
        <v>68</v>
      </c>
      <c r="H230" s="7" t="s">
        <v>31</v>
      </c>
      <c r="I230" s="7" t="n">
        <v>1677</v>
      </c>
      <c r="J230" s="7" t="n">
        <v>1534</v>
      </c>
      <c r="K230" s="10" t="n">
        <v>2421.58</v>
      </c>
      <c r="L230" s="10" t="n">
        <f aca="false">J230*K230</f>
        <v>3714703.72</v>
      </c>
      <c r="M230" s="7" t="n">
        <f aca="false">D230-B230</f>
        <v>14</v>
      </c>
      <c r="N230" s="7" t="str">
        <f aca="false">IF(D230&lt;=C230,"Yes","No")</f>
        <v>No</v>
      </c>
      <c r="O230" s="7" t="n">
        <v>449</v>
      </c>
    </row>
    <row r="231" customFormat="false" ht="15" hidden="false" customHeight="false" outlineLevel="0" collapsed="false">
      <c r="A231" s="7" t="s">
        <v>980</v>
      </c>
      <c r="B231" s="8" t="n">
        <v>45693</v>
      </c>
      <c r="C231" s="8" t="n">
        <v>45704</v>
      </c>
      <c r="D231" s="8" t="n">
        <v>45710</v>
      </c>
      <c r="E231" s="7" t="s">
        <v>749</v>
      </c>
      <c r="F231" s="7" t="s">
        <v>104</v>
      </c>
      <c r="G231" s="7" t="s">
        <v>87</v>
      </c>
      <c r="H231" s="7" t="s">
        <v>31</v>
      </c>
      <c r="I231" s="7" t="n">
        <v>2273</v>
      </c>
      <c r="J231" s="7" t="n">
        <v>2162</v>
      </c>
      <c r="K231" s="10" t="n">
        <v>2532.67</v>
      </c>
      <c r="L231" s="10" t="n">
        <f aca="false">J231*K231</f>
        <v>5475632.54</v>
      </c>
      <c r="M231" s="7" t="n">
        <f aca="false">D231-B231</f>
        <v>17</v>
      </c>
      <c r="N231" s="7" t="str">
        <f aca="false">IF(D231&lt;=C231,"Yes","No")</f>
        <v>No</v>
      </c>
      <c r="O231" s="7" t="n">
        <v>956</v>
      </c>
    </row>
    <row r="232" customFormat="false" ht="15" hidden="false" customHeight="false" outlineLevel="0" collapsed="false">
      <c r="A232" s="7" t="s">
        <v>981</v>
      </c>
      <c r="B232" s="8" t="n">
        <v>45317</v>
      </c>
      <c r="C232" s="8" t="n">
        <v>45330</v>
      </c>
      <c r="D232" s="8" t="n">
        <v>45329</v>
      </c>
      <c r="E232" s="7" t="s">
        <v>766</v>
      </c>
      <c r="F232" s="7" t="s">
        <v>106</v>
      </c>
      <c r="G232" s="7" t="s">
        <v>68</v>
      </c>
      <c r="H232" s="7" t="s">
        <v>31</v>
      </c>
      <c r="I232" s="7" t="n">
        <v>4732</v>
      </c>
      <c r="J232" s="7" t="n">
        <v>4647</v>
      </c>
      <c r="K232" s="10" t="n">
        <v>1658.98</v>
      </c>
      <c r="L232" s="10" t="n">
        <f aca="false">J232*K232</f>
        <v>7709280.06</v>
      </c>
      <c r="M232" s="7" t="n">
        <f aca="false">D232-B232</f>
        <v>12</v>
      </c>
      <c r="N232" s="7" t="str">
        <f aca="false">IF(D232&lt;=C232,"Yes","No")</f>
        <v>Yes</v>
      </c>
      <c r="O232" s="7" t="n">
        <v>1632</v>
      </c>
    </row>
    <row r="233" customFormat="false" ht="15" hidden="false" customHeight="false" outlineLevel="0" collapsed="false">
      <c r="A233" s="7" t="s">
        <v>982</v>
      </c>
      <c r="B233" s="8" t="n">
        <v>45492</v>
      </c>
      <c r="C233" s="8" t="n">
        <v>45498</v>
      </c>
      <c r="D233" s="8" t="n">
        <v>45502</v>
      </c>
      <c r="E233" s="7" t="s">
        <v>744</v>
      </c>
      <c r="F233" s="7" t="s">
        <v>104</v>
      </c>
      <c r="G233" s="7" t="s">
        <v>83</v>
      </c>
      <c r="H233" s="7" t="s">
        <v>31</v>
      </c>
      <c r="I233" s="7" t="n">
        <v>3976</v>
      </c>
      <c r="J233" s="7" t="n">
        <v>3946</v>
      </c>
      <c r="K233" s="10" t="n">
        <v>994.46</v>
      </c>
      <c r="L233" s="10" t="n">
        <f aca="false">J233*K233</f>
        <v>3924139.16</v>
      </c>
      <c r="M233" s="7" t="n">
        <f aca="false">D233-B233</f>
        <v>10</v>
      </c>
      <c r="N233" s="7" t="str">
        <f aca="false">IF(D233&lt;=C233,"Yes","No")</f>
        <v>No</v>
      </c>
      <c r="O233" s="7" t="n">
        <v>7934</v>
      </c>
    </row>
    <row r="234" customFormat="false" ht="15" hidden="false" customHeight="false" outlineLevel="0" collapsed="false">
      <c r="A234" s="7" t="s">
        <v>983</v>
      </c>
      <c r="B234" s="8" t="n">
        <v>45306</v>
      </c>
      <c r="C234" s="8" t="n">
        <v>45311</v>
      </c>
      <c r="D234" s="8" t="n">
        <v>45309</v>
      </c>
      <c r="E234" s="7" t="s">
        <v>742</v>
      </c>
      <c r="F234" s="7" t="s">
        <v>113</v>
      </c>
      <c r="G234" s="7" t="s">
        <v>68</v>
      </c>
      <c r="H234" s="7" t="s">
        <v>31</v>
      </c>
      <c r="I234" s="7" t="n">
        <v>3120</v>
      </c>
      <c r="J234" s="7" t="n">
        <v>2951</v>
      </c>
      <c r="K234" s="10" t="n">
        <v>3163.22</v>
      </c>
      <c r="L234" s="10" t="n">
        <f aca="false">J234*K234</f>
        <v>9334662.22</v>
      </c>
      <c r="M234" s="7" t="n">
        <f aca="false">D234-B234</f>
        <v>3</v>
      </c>
      <c r="N234" s="7" t="str">
        <f aca="false">IF(D234&lt;=C234,"Yes","No")</f>
        <v>Yes</v>
      </c>
      <c r="O234" s="7" t="n">
        <v>4648</v>
      </c>
    </row>
    <row r="235" customFormat="false" ht="15" hidden="false" customHeight="false" outlineLevel="0" collapsed="false">
      <c r="A235" s="7" t="s">
        <v>984</v>
      </c>
      <c r="B235" s="8" t="n">
        <v>45610</v>
      </c>
      <c r="C235" s="8" t="n">
        <v>45620</v>
      </c>
      <c r="D235" s="8" t="n">
        <v>45620</v>
      </c>
      <c r="E235" s="7" t="s">
        <v>766</v>
      </c>
      <c r="F235" s="7" t="s">
        <v>102</v>
      </c>
      <c r="G235" s="7" t="s">
        <v>87</v>
      </c>
      <c r="H235" s="7" t="s">
        <v>31</v>
      </c>
      <c r="I235" s="7" t="n">
        <v>3420</v>
      </c>
      <c r="J235" s="7" t="n">
        <v>3289</v>
      </c>
      <c r="K235" s="10" t="n">
        <v>1921.8</v>
      </c>
      <c r="L235" s="10" t="n">
        <f aca="false">J235*K235</f>
        <v>6320800.2</v>
      </c>
      <c r="M235" s="7" t="n">
        <f aca="false">D235-B235</f>
        <v>10</v>
      </c>
      <c r="N235" s="7" t="str">
        <f aca="false">IF(D235&lt;=C235,"Yes","No")</f>
        <v>Yes</v>
      </c>
      <c r="O235" s="7" t="n">
        <v>1526</v>
      </c>
    </row>
    <row r="236" customFormat="false" ht="15" hidden="false" customHeight="false" outlineLevel="0" collapsed="false">
      <c r="A236" s="7" t="s">
        <v>985</v>
      </c>
      <c r="B236" s="8" t="n">
        <v>45907</v>
      </c>
      <c r="C236" s="8" t="n">
        <v>45924</v>
      </c>
      <c r="D236" s="8" t="n">
        <v>45922</v>
      </c>
      <c r="E236" s="7" t="s">
        <v>751</v>
      </c>
      <c r="F236" s="7" t="s">
        <v>104</v>
      </c>
      <c r="G236" s="7" t="s">
        <v>83</v>
      </c>
      <c r="H236" s="7" t="s">
        <v>31</v>
      </c>
      <c r="I236" s="7" t="n">
        <v>1519</v>
      </c>
      <c r="J236" s="7" t="n">
        <v>1443</v>
      </c>
      <c r="K236" s="10" t="n">
        <v>1479.32</v>
      </c>
      <c r="L236" s="10" t="n">
        <f aca="false">J236*K236</f>
        <v>2134658.76</v>
      </c>
      <c r="M236" s="7" t="n">
        <f aca="false">D236-B236</f>
        <v>15</v>
      </c>
      <c r="N236" s="7" t="str">
        <f aca="false">IF(D236&lt;=C236,"Yes","No")</f>
        <v>Yes</v>
      </c>
      <c r="O236" s="7" t="n">
        <v>4129</v>
      </c>
    </row>
    <row r="237" customFormat="false" ht="15" hidden="false" customHeight="false" outlineLevel="0" collapsed="false">
      <c r="A237" s="7" t="s">
        <v>986</v>
      </c>
      <c r="B237" s="8" t="n">
        <v>45741</v>
      </c>
      <c r="C237" s="8" t="n">
        <v>45762</v>
      </c>
      <c r="D237" s="8" t="n">
        <v>45766</v>
      </c>
      <c r="E237" s="7" t="s">
        <v>753</v>
      </c>
      <c r="F237" s="7" t="s">
        <v>106</v>
      </c>
      <c r="G237" s="7" t="s">
        <v>87</v>
      </c>
      <c r="H237" s="7" t="s">
        <v>31</v>
      </c>
      <c r="I237" s="7" t="n">
        <v>4747</v>
      </c>
      <c r="J237" s="7" t="n">
        <v>4366</v>
      </c>
      <c r="K237" s="10" t="n">
        <v>2990.28</v>
      </c>
      <c r="L237" s="10" t="n">
        <f aca="false">J237*K237</f>
        <v>13055562.48</v>
      </c>
      <c r="M237" s="7" t="n">
        <f aca="false">D237-B237</f>
        <v>25</v>
      </c>
      <c r="N237" s="7" t="str">
        <f aca="false">IF(D237&lt;=C237,"Yes","No")</f>
        <v>No</v>
      </c>
      <c r="O237" s="7" t="n">
        <v>1384</v>
      </c>
    </row>
    <row r="238" customFormat="false" ht="15" hidden="false" customHeight="false" outlineLevel="0" collapsed="false">
      <c r="A238" s="7" t="s">
        <v>987</v>
      </c>
      <c r="B238" s="8" t="n">
        <v>45783</v>
      </c>
      <c r="C238" s="8" t="n">
        <v>45793</v>
      </c>
      <c r="D238" s="8" t="n">
        <v>45791</v>
      </c>
      <c r="E238" s="7" t="s">
        <v>747</v>
      </c>
      <c r="F238" s="7" t="s">
        <v>113</v>
      </c>
      <c r="G238" s="7" t="s">
        <v>65</v>
      </c>
      <c r="H238" s="7" t="s">
        <v>31</v>
      </c>
      <c r="I238" s="7" t="n">
        <v>3804</v>
      </c>
      <c r="J238" s="7" t="n">
        <v>3461</v>
      </c>
      <c r="K238" s="10" t="n">
        <v>3515.99</v>
      </c>
      <c r="L238" s="10" t="n">
        <f aca="false">J238*K238</f>
        <v>12168841.39</v>
      </c>
      <c r="M238" s="7" t="n">
        <f aca="false">D238-B238</f>
        <v>8</v>
      </c>
      <c r="N238" s="7" t="str">
        <f aca="false">IF(D238&lt;=C238,"Yes","No")</f>
        <v>Yes</v>
      </c>
      <c r="O238" s="7" t="n">
        <v>2949</v>
      </c>
    </row>
    <row r="239" customFormat="false" ht="15" hidden="false" customHeight="false" outlineLevel="0" collapsed="false">
      <c r="A239" s="7" t="s">
        <v>988</v>
      </c>
      <c r="B239" s="8" t="n">
        <v>45649</v>
      </c>
      <c r="C239" s="8" t="n">
        <v>45664</v>
      </c>
      <c r="D239" s="8" t="n">
        <v>45671</v>
      </c>
      <c r="E239" s="7" t="s">
        <v>751</v>
      </c>
      <c r="F239" s="7" t="s">
        <v>115</v>
      </c>
      <c r="G239" s="7" t="s">
        <v>65</v>
      </c>
      <c r="H239" s="7" t="s">
        <v>31</v>
      </c>
      <c r="I239" s="7" t="n">
        <v>841</v>
      </c>
      <c r="J239" s="7" t="n">
        <v>828</v>
      </c>
      <c r="K239" s="10" t="n">
        <v>3495.3</v>
      </c>
      <c r="L239" s="10" t="n">
        <f aca="false">J239*K239</f>
        <v>2894108.4</v>
      </c>
      <c r="M239" s="7" t="n">
        <f aca="false">D239-B239</f>
        <v>22</v>
      </c>
      <c r="N239" s="7" t="str">
        <f aca="false">IF(D239&lt;=C239,"Yes","No")</f>
        <v>No</v>
      </c>
      <c r="O239" s="7" t="n">
        <v>3103</v>
      </c>
    </row>
    <row r="240" customFormat="false" ht="15" hidden="false" customHeight="false" outlineLevel="0" collapsed="false">
      <c r="A240" s="7" t="s">
        <v>989</v>
      </c>
      <c r="B240" s="8" t="n">
        <v>45798</v>
      </c>
      <c r="C240" s="8" t="n">
        <v>45813</v>
      </c>
      <c r="D240" s="8" t="n">
        <v>45816</v>
      </c>
      <c r="E240" s="7" t="s">
        <v>744</v>
      </c>
      <c r="F240" s="7" t="s">
        <v>106</v>
      </c>
      <c r="G240" s="7" t="s">
        <v>68</v>
      </c>
      <c r="H240" s="7" t="s">
        <v>31</v>
      </c>
      <c r="I240" s="7" t="n">
        <v>532</v>
      </c>
      <c r="J240" s="7" t="n">
        <v>529</v>
      </c>
      <c r="K240" s="10" t="n">
        <v>1337.67</v>
      </c>
      <c r="L240" s="10" t="n">
        <f aca="false">J240*K240</f>
        <v>707627.43</v>
      </c>
      <c r="M240" s="7" t="n">
        <f aca="false">D240-B240</f>
        <v>18</v>
      </c>
      <c r="N240" s="7" t="str">
        <f aca="false">IF(D240&lt;=C240,"Yes","No")</f>
        <v>No</v>
      </c>
      <c r="O240" s="7" t="n">
        <v>3197</v>
      </c>
    </row>
    <row r="241" customFormat="false" ht="15" hidden="false" customHeight="false" outlineLevel="0" collapsed="false">
      <c r="A241" s="7" t="s">
        <v>990</v>
      </c>
      <c r="B241" s="8" t="n">
        <v>45958</v>
      </c>
      <c r="C241" s="8" t="n">
        <v>45973</v>
      </c>
      <c r="D241" s="8" t="n">
        <v>45975</v>
      </c>
      <c r="E241" s="7" t="s">
        <v>744</v>
      </c>
      <c r="F241" s="7" t="s">
        <v>104</v>
      </c>
      <c r="G241" s="7" t="s">
        <v>83</v>
      </c>
      <c r="H241" s="7" t="s">
        <v>31</v>
      </c>
      <c r="I241" s="7" t="n">
        <v>1781</v>
      </c>
      <c r="J241" s="7" t="n">
        <v>1700</v>
      </c>
      <c r="K241" s="10" t="n">
        <v>2289.34</v>
      </c>
      <c r="L241" s="10" t="n">
        <f aca="false">J241*K241</f>
        <v>3891878</v>
      </c>
      <c r="M241" s="7" t="n">
        <f aca="false">D241-B241</f>
        <v>17</v>
      </c>
      <c r="N241" s="7" t="str">
        <f aca="false">IF(D241&lt;=C241,"Yes","No")</f>
        <v>No</v>
      </c>
      <c r="O241" s="7" t="n">
        <v>1694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20"/>
    <col collapsed="false" customWidth="true" hidden="false" outlineLevel="0" max="4" min="4" style="0" width="16"/>
    <col collapsed="false" customWidth="true" hidden="false" outlineLevel="0" max="5" min="5" style="0" width="10"/>
    <col collapsed="false" customWidth="true" hidden="false" outlineLevel="0" max="6" min="6" style="0" width="16"/>
    <col collapsed="false" customWidth="true" hidden="false" outlineLevel="0" max="7" min="7" style="0" width="10"/>
    <col collapsed="false" customWidth="true" hidden="false" outlineLevel="0" max="8" min="8" style="0" width="16"/>
    <col collapsed="false" customWidth="true" hidden="false" outlineLevel="0" max="9" min="9" style="0" width="17"/>
    <col collapsed="false" customWidth="true" hidden="false" outlineLevel="0" max="10" min="10" style="0" width="10"/>
    <col collapsed="false" customWidth="true" hidden="false" outlineLevel="0" max="11" min="11" style="0" width="12"/>
    <col collapsed="false" customWidth="true" hidden="false" outlineLevel="0" max="12" min="12" style="0" width="10"/>
  </cols>
  <sheetData>
    <row r="1" customFormat="false" ht="23.85" hidden="false" customHeight="false" outlineLevel="0" collapsed="false">
      <c r="A1" s="6" t="s">
        <v>991</v>
      </c>
      <c r="B1" s="6" t="s">
        <v>992</v>
      </c>
      <c r="C1" s="6" t="s">
        <v>993</v>
      </c>
      <c r="D1" s="6" t="s">
        <v>994</v>
      </c>
      <c r="E1" s="6" t="s">
        <v>55</v>
      </c>
      <c r="F1" s="6" t="s">
        <v>995</v>
      </c>
      <c r="G1" s="6" t="s">
        <v>996</v>
      </c>
      <c r="H1" s="6" t="s">
        <v>997</v>
      </c>
      <c r="I1" s="6" t="s">
        <v>998</v>
      </c>
      <c r="J1" s="6" t="s">
        <v>999</v>
      </c>
      <c r="K1" s="6" t="s">
        <v>1000</v>
      </c>
      <c r="L1" s="6" t="s">
        <v>1001</v>
      </c>
    </row>
    <row r="2" customFormat="false" ht="15" hidden="false" customHeight="false" outlineLevel="0" collapsed="false">
      <c r="A2" s="7" t="s">
        <v>1002</v>
      </c>
      <c r="B2" s="8" t="n">
        <v>45569</v>
      </c>
      <c r="C2" s="7" t="s">
        <v>1003</v>
      </c>
      <c r="D2" s="7" t="s">
        <v>25</v>
      </c>
      <c r="E2" s="7" t="s">
        <v>79</v>
      </c>
      <c r="F2" s="7" t="s">
        <v>199</v>
      </c>
      <c r="G2" s="7" t="s">
        <v>1004</v>
      </c>
      <c r="H2" s="7" t="s">
        <v>1005</v>
      </c>
      <c r="I2" s="7" t="n">
        <v>0</v>
      </c>
      <c r="J2" s="7" t="s">
        <v>1006</v>
      </c>
      <c r="K2" s="8" t="n">
        <v>45712</v>
      </c>
      <c r="L2" s="7" t="n">
        <f aca="false">IF(K2="","Open Case",K2-B2)</f>
        <v>143</v>
      </c>
    </row>
    <row r="3" customFormat="false" ht="15" hidden="false" customHeight="false" outlineLevel="0" collapsed="false">
      <c r="A3" s="7" t="s">
        <v>1007</v>
      </c>
      <c r="B3" s="8" t="n">
        <v>45303</v>
      </c>
      <c r="C3" s="7" t="s">
        <v>1008</v>
      </c>
      <c r="D3" s="7" t="s">
        <v>52</v>
      </c>
      <c r="E3" s="7" t="s">
        <v>79</v>
      </c>
      <c r="F3" s="7" t="s">
        <v>199</v>
      </c>
      <c r="G3" s="7" t="s">
        <v>1009</v>
      </c>
      <c r="H3" s="7" t="s">
        <v>1005</v>
      </c>
      <c r="I3" s="7" t="n">
        <v>0</v>
      </c>
      <c r="J3" s="7" t="s">
        <v>1006</v>
      </c>
      <c r="K3" s="8" t="n">
        <v>45469</v>
      </c>
      <c r="L3" s="7" t="n">
        <f aca="false">IF(K3="","Open Case",K3-B3)</f>
        <v>166</v>
      </c>
    </row>
    <row r="4" customFormat="false" ht="15" hidden="false" customHeight="false" outlineLevel="0" collapsed="false">
      <c r="A4" s="7" t="s">
        <v>1010</v>
      </c>
      <c r="B4" s="8" t="n">
        <v>45888</v>
      </c>
      <c r="C4" s="7" t="s">
        <v>1011</v>
      </c>
      <c r="D4" s="7" t="s">
        <v>40</v>
      </c>
      <c r="E4" s="7" t="s">
        <v>60</v>
      </c>
      <c r="F4" s="7" t="s">
        <v>192</v>
      </c>
      <c r="G4" s="7" t="s">
        <v>1004</v>
      </c>
      <c r="H4" s="7" t="s">
        <v>1012</v>
      </c>
      <c r="I4" s="7" t="n">
        <v>3043885</v>
      </c>
      <c r="J4" s="7" t="s">
        <v>1013</v>
      </c>
      <c r="K4" s="7"/>
      <c r="L4" s="7" t="str">
        <f aca="false">IF(K4="","Open Case",K4-B4)</f>
        <v>Open Case</v>
      </c>
    </row>
    <row r="5" customFormat="false" ht="15" hidden="false" customHeight="false" outlineLevel="0" collapsed="false">
      <c r="A5" s="7" t="s">
        <v>1014</v>
      </c>
      <c r="B5" s="8" t="n">
        <v>45918</v>
      </c>
      <c r="C5" s="7" t="s">
        <v>1015</v>
      </c>
      <c r="D5" s="7" t="s">
        <v>40</v>
      </c>
      <c r="E5" s="7" t="s">
        <v>79</v>
      </c>
      <c r="F5" s="7" t="s">
        <v>188</v>
      </c>
      <c r="G5" s="7" t="s">
        <v>1004</v>
      </c>
      <c r="H5" s="7" t="s">
        <v>1012</v>
      </c>
      <c r="I5" s="7" t="n">
        <v>5787824</v>
      </c>
      <c r="J5" s="7" t="s">
        <v>1006</v>
      </c>
      <c r="K5" s="8" t="n">
        <v>45947</v>
      </c>
      <c r="L5" s="7" t="n">
        <f aca="false">IF(K5="","Open Case",K5-B5)</f>
        <v>29</v>
      </c>
    </row>
    <row r="6" customFormat="false" ht="15" hidden="false" customHeight="false" outlineLevel="0" collapsed="false">
      <c r="A6" s="7" t="s">
        <v>1016</v>
      </c>
      <c r="B6" s="8" t="n">
        <v>45480</v>
      </c>
      <c r="C6" s="7" t="s">
        <v>1015</v>
      </c>
      <c r="D6" s="7" t="s">
        <v>34</v>
      </c>
      <c r="E6" s="7" t="s">
        <v>68</v>
      </c>
      <c r="F6" s="7" t="s">
        <v>188</v>
      </c>
      <c r="G6" s="7" t="s">
        <v>1009</v>
      </c>
      <c r="H6" s="7" t="s">
        <v>1012</v>
      </c>
      <c r="I6" s="7" t="n">
        <v>483087</v>
      </c>
      <c r="J6" s="7" t="s">
        <v>1006</v>
      </c>
      <c r="K6" s="8" t="n">
        <v>45521</v>
      </c>
      <c r="L6" s="7" t="n">
        <f aca="false">IF(K6="","Open Case",K6-B6)</f>
        <v>41</v>
      </c>
    </row>
    <row r="7" customFormat="false" ht="15" hidden="false" customHeight="false" outlineLevel="0" collapsed="false">
      <c r="A7" s="7" t="s">
        <v>1017</v>
      </c>
      <c r="B7" s="8" t="n">
        <v>46015</v>
      </c>
      <c r="C7" s="7" t="s">
        <v>1015</v>
      </c>
      <c r="D7" s="7" t="s">
        <v>34</v>
      </c>
      <c r="E7" s="7" t="s">
        <v>65</v>
      </c>
      <c r="F7" s="7" t="s">
        <v>178</v>
      </c>
      <c r="G7" s="7" t="s">
        <v>1004</v>
      </c>
      <c r="H7" s="7" t="s">
        <v>1012</v>
      </c>
      <c r="I7" s="7" t="n">
        <v>334417</v>
      </c>
      <c r="J7" s="7" t="s">
        <v>1013</v>
      </c>
      <c r="K7" s="7"/>
      <c r="L7" s="7" t="str">
        <f aca="false">IF(K7="","Open Case",K7-B7)</f>
        <v>Open Case</v>
      </c>
    </row>
    <row r="8" customFormat="false" ht="15" hidden="false" customHeight="false" outlineLevel="0" collapsed="false">
      <c r="A8" s="7" t="s">
        <v>1018</v>
      </c>
      <c r="B8" s="8" t="n">
        <v>46004</v>
      </c>
      <c r="C8" s="7" t="s">
        <v>1019</v>
      </c>
      <c r="D8" s="7" t="s">
        <v>31</v>
      </c>
      <c r="E8" s="7" t="s">
        <v>68</v>
      </c>
      <c r="F8" s="7" t="s">
        <v>178</v>
      </c>
      <c r="G8" s="7" t="s">
        <v>1004</v>
      </c>
      <c r="H8" s="7" t="s">
        <v>1012</v>
      </c>
      <c r="I8" s="7" t="n">
        <v>705533</v>
      </c>
      <c r="J8" s="7" t="s">
        <v>1006</v>
      </c>
      <c r="K8" s="8" t="n">
        <v>46045</v>
      </c>
      <c r="L8" s="7" t="n">
        <f aca="false">IF(K8="","Open Case",K8-B8)</f>
        <v>41</v>
      </c>
    </row>
    <row r="9" customFormat="false" ht="15" hidden="false" customHeight="false" outlineLevel="0" collapsed="false">
      <c r="A9" s="7" t="s">
        <v>1020</v>
      </c>
      <c r="B9" s="8" t="n">
        <v>45323</v>
      </c>
      <c r="C9" s="7" t="s">
        <v>1021</v>
      </c>
      <c r="D9" s="7" t="s">
        <v>34</v>
      </c>
      <c r="E9" s="7" t="s">
        <v>65</v>
      </c>
      <c r="F9" s="7" t="s">
        <v>197</v>
      </c>
      <c r="G9" s="7" t="s">
        <v>1009</v>
      </c>
      <c r="H9" s="7" t="s">
        <v>1012</v>
      </c>
      <c r="I9" s="7" t="n">
        <v>1517701</v>
      </c>
      <c r="J9" s="7" t="s">
        <v>1006</v>
      </c>
      <c r="K9" s="8" t="n">
        <v>45424</v>
      </c>
      <c r="L9" s="7" t="n">
        <f aca="false">IF(K9="","Open Case",K9-B9)</f>
        <v>101</v>
      </c>
    </row>
    <row r="10" customFormat="false" ht="15" hidden="false" customHeight="false" outlineLevel="0" collapsed="false">
      <c r="A10" s="7" t="s">
        <v>1022</v>
      </c>
      <c r="B10" s="8" t="n">
        <v>45961</v>
      </c>
      <c r="C10" s="7" t="s">
        <v>1003</v>
      </c>
      <c r="D10" s="7" t="s">
        <v>43</v>
      </c>
      <c r="E10" s="7" t="s">
        <v>65</v>
      </c>
      <c r="F10" s="7" t="s">
        <v>195</v>
      </c>
      <c r="G10" s="7" t="s">
        <v>1004</v>
      </c>
      <c r="H10" s="7" t="s">
        <v>1005</v>
      </c>
      <c r="I10" s="7" t="n">
        <v>0</v>
      </c>
      <c r="J10" s="7" t="s">
        <v>1006</v>
      </c>
      <c r="K10" s="8" t="n">
        <v>46085</v>
      </c>
      <c r="L10" s="7" t="n">
        <f aca="false">IF(K10="","Open Case",K10-B10)</f>
        <v>124</v>
      </c>
    </row>
    <row r="11" customFormat="false" ht="15" hidden="false" customHeight="false" outlineLevel="0" collapsed="false">
      <c r="A11" s="7" t="s">
        <v>1023</v>
      </c>
      <c r="B11" s="8" t="n">
        <v>45520</v>
      </c>
      <c r="C11" s="7" t="s">
        <v>1015</v>
      </c>
      <c r="D11" s="7" t="s">
        <v>34</v>
      </c>
      <c r="E11" s="7" t="s">
        <v>68</v>
      </c>
      <c r="F11" s="7" t="s">
        <v>180</v>
      </c>
      <c r="G11" s="7" t="s">
        <v>1009</v>
      </c>
      <c r="H11" s="7" t="s">
        <v>1005</v>
      </c>
      <c r="I11" s="7" t="n">
        <v>0</v>
      </c>
      <c r="J11" s="7" t="s">
        <v>1006</v>
      </c>
      <c r="K11" s="8" t="n">
        <v>45697</v>
      </c>
      <c r="L11" s="7" t="n">
        <f aca="false">IF(K11="","Open Case",K11-B11)</f>
        <v>177</v>
      </c>
    </row>
    <row r="12" customFormat="false" ht="15" hidden="false" customHeight="false" outlineLevel="0" collapsed="false">
      <c r="A12" s="7" t="s">
        <v>1024</v>
      </c>
      <c r="B12" s="8" t="n">
        <v>45337</v>
      </c>
      <c r="C12" s="7" t="s">
        <v>1008</v>
      </c>
      <c r="D12" s="7" t="s">
        <v>25</v>
      </c>
      <c r="E12" s="7" t="s">
        <v>87</v>
      </c>
      <c r="F12" s="7" t="s">
        <v>170</v>
      </c>
      <c r="G12" s="7" t="s">
        <v>1004</v>
      </c>
      <c r="H12" s="7" t="s">
        <v>1005</v>
      </c>
      <c r="I12" s="7" t="n">
        <v>0</v>
      </c>
      <c r="J12" s="7" t="s">
        <v>1013</v>
      </c>
      <c r="K12" s="7"/>
      <c r="L12" s="7" t="str">
        <f aca="false">IF(K12="","Open Case",K12-B12)</f>
        <v>Open Case</v>
      </c>
    </row>
    <row r="13" customFormat="false" ht="15" hidden="false" customHeight="false" outlineLevel="0" collapsed="false">
      <c r="A13" s="7" t="s">
        <v>1025</v>
      </c>
      <c r="B13" s="8" t="n">
        <v>45890</v>
      </c>
      <c r="C13" s="7" t="s">
        <v>1021</v>
      </c>
      <c r="D13" s="7" t="s">
        <v>46</v>
      </c>
      <c r="E13" s="7" t="s">
        <v>68</v>
      </c>
      <c r="F13" s="7" t="s">
        <v>172</v>
      </c>
      <c r="G13" s="7" t="s">
        <v>1026</v>
      </c>
      <c r="H13" s="7" t="s">
        <v>1012</v>
      </c>
      <c r="I13" s="7" t="n">
        <v>4167113</v>
      </c>
      <c r="J13" s="7" t="s">
        <v>1006</v>
      </c>
      <c r="K13" s="8" t="n">
        <v>45998</v>
      </c>
      <c r="L13" s="7" t="n">
        <f aca="false">IF(K13="","Open Case",K13-B13)</f>
        <v>108</v>
      </c>
    </row>
    <row r="14" customFormat="false" ht="15" hidden="false" customHeight="false" outlineLevel="0" collapsed="false">
      <c r="A14" s="7" t="s">
        <v>1027</v>
      </c>
      <c r="B14" s="8" t="n">
        <v>45466</v>
      </c>
      <c r="C14" s="7" t="s">
        <v>1028</v>
      </c>
      <c r="D14" s="7" t="s">
        <v>25</v>
      </c>
      <c r="E14" s="7" t="s">
        <v>60</v>
      </c>
      <c r="F14" s="7" t="s">
        <v>192</v>
      </c>
      <c r="G14" s="7" t="s">
        <v>1004</v>
      </c>
      <c r="H14" s="7" t="s">
        <v>1012</v>
      </c>
      <c r="I14" s="7" t="n">
        <v>4780507</v>
      </c>
      <c r="J14" s="7" t="s">
        <v>1006</v>
      </c>
      <c r="K14" s="8" t="n">
        <v>45645</v>
      </c>
      <c r="L14" s="7" t="n">
        <f aca="false">IF(K14="","Open Case",K14-B14)</f>
        <v>179</v>
      </c>
    </row>
    <row r="15" customFormat="false" ht="15" hidden="false" customHeight="false" outlineLevel="0" collapsed="false">
      <c r="A15" s="7" t="s">
        <v>1029</v>
      </c>
      <c r="B15" s="8" t="n">
        <v>45699</v>
      </c>
      <c r="C15" s="7" t="s">
        <v>1019</v>
      </c>
      <c r="D15" s="7" t="s">
        <v>34</v>
      </c>
      <c r="E15" s="7" t="s">
        <v>79</v>
      </c>
      <c r="F15" s="7" t="s">
        <v>194</v>
      </c>
      <c r="G15" s="7" t="s">
        <v>1009</v>
      </c>
      <c r="H15" s="7" t="s">
        <v>1005</v>
      </c>
      <c r="I15" s="7" t="n">
        <v>0</v>
      </c>
      <c r="J15" s="7" t="s">
        <v>1013</v>
      </c>
      <c r="K15" s="7"/>
      <c r="L15" s="7" t="str">
        <f aca="false">IF(K15="","Open Case",K15-B15)</f>
        <v>Open Case</v>
      </c>
    </row>
    <row r="16" customFormat="false" ht="15" hidden="false" customHeight="false" outlineLevel="0" collapsed="false">
      <c r="A16" s="7" t="s">
        <v>1030</v>
      </c>
      <c r="B16" s="8" t="n">
        <v>45499</v>
      </c>
      <c r="C16" s="7" t="s">
        <v>1028</v>
      </c>
      <c r="D16" s="7" t="s">
        <v>25</v>
      </c>
      <c r="E16" s="7" t="s">
        <v>79</v>
      </c>
      <c r="F16" s="7" t="s">
        <v>190</v>
      </c>
      <c r="G16" s="7" t="s">
        <v>1026</v>
      </c>
      <c r="H16" s="7" t="s">
        <v>1005</v>
      </c>
      <c r="I16" s="7" t="n">
        <v>0</v>
      </c>
      <c r="J16" s="7" t="s">
        <v>1013</v>
      </c>
      <c r="K16" s="7"/>
      <c r="L16" s="7" t="str">
        <f aca="false">IF(K16="","Open Case",K16-B16)</f>
        <v>Open Case</v>
      </c>
    </row>
    <row r="17" customFormat="false" ht="15" hidden="false" customHeight="false" outlineLevel="0" collapsed="false">
      <c r="A17" s="7" t="s">
        <v>1031</v>
      </c>
      <c r="B17" s="8" t="n">
        <v>45602</v>
      </c>
      <c r="C17" s="7" t="s">
        <v>1008</v>
      </c>
      <c r="D17" s="7" t="s">
        <v>52</v>
      </c>
      <c r="E17" s="7" t="s">
        <v>87</v>
      </c>
      <c r="F17" s="7" t="s">
        <v>186</v>
      </c>
      <c r="G17" s="7" t="s">
        <v>1009</v>
      </c>
      <c r="H17" s="7" t="s">
        <v>1005</v>
      </c>
      <c r="I17" s="7" t="n">
        <v>0</v>
      </c>
      <c r="J17" s="7" t="s">
        <v>1013</v>
      </c>
      <c r="K17" s="7"/>
      <c r="L17" s="7" t="str">
        <f aca="false">IF(K17="","Open Case",K17-B17)</f>
        <v>Open Case</v>
      </c>
    </row>
    <row r="18" customFormat="false" ht="15" hidden="false" customHeight="false" outlineLevel="0" collapsed="false">
      <c r="A18" s="7" t="s">
        <v>1032</v>
      </c>
      <c r="B18" s="8" t="n">
        <v>45327</v>
      </c>
      <c r="C18" s="7" t="s">
        <v>1019</v>
      </c>
      <c r="D18" s="7" t="s">
        <v>31</v>
      </c>
      <c r="E18" s="7" t="s">
        <v>83</v>
      </c>
      <c r="F18" s="7" t="s">
        <v>188</v>
      </c>
      <c r="G18" s="7" t="s">
        <v>1026</v>
      </c>
      <c r="H18" s="7" t="s">
        <v>1005</v>
      </c>
      <c r="I18" s="7" t="n">
        <v>0</v>
      </c>
      <c r="J18" s="7" t="s">
        <v>1013</v>
      </c>
      <c r="K18" s="7"/>
      <c r="L18" s="7" t="str">
        <f aca="false">IF(K18="","Open Case",K18-B18)</f>
        <v>Open Case</v>
      </c>
    </row>
    <row r="19" customFormat="false" ht="15" hidden="false" customHeight="false" outlineLevel="0" collapsed="false">
      <c r="A19" s="7" t="s">
        <v>1033</v>
      </c>
      <c r="B19" s="8" t="n">
        <v>45294</v>
      </c>
      <c r="C19" s="7" t="s">
        <v>1008</v>
      </c>
      <c r="D19" s="7" t="s">
        <v>34</v>
      </c>
      <c r="E19" s="7" t="s">
        <v>65</v>
      </c>
      <c r="F19" s="7" t="s">
        <v>194</v>
      </c>
      <c r="G19" s="7" t="s">
        <v>1004</v>
      </c>
      <c r="H19" s="7" t="s">
        <v>1012</v>
      </c>
      <c r="I19" s="7" t="n">
        <v>5084730</v>
      </c>
      <c r="J19" s="7" t="s">
        <v>1013</v>
      </c>
      <c r="K19" s="7"/>
      <c r="L19" s="7" t="str">
        <f aca="false">IF(K19="","Open Case",K19-B19)</f>
        <v>Open Case</v>
      </c>
    </row>
    <row r="20" customFormat="false" ht="15" hidden="false" customHeight="false" outlineLevel="0" collapsed="false">
      <c r="A20" s="7" t="s">
        <v>1034</v>
      </c>
      <c r="B20" s="8" t="n">
        <v>45745</v>
      </c>
      <c r="C20" s="7" t="s">
        <v>1028</v>
      </c>
      <c r="D20" s="7" t="s">
        <v>40</v>
      </c>
      <c r="E20" s="7" t="s">
        <v>65</v>
      </c>
      <c r="F20" s="7" t="s">
        <v>197</v>
      </c>
      <c r="G20" s="7" t="s">
        <v>1026</v>
      </c>
      <c r="H20" s="7" t="s">
        <v>1005</v>
      </c>
      <c r="I20" s="7" t="n">
        <v>0</v>
      </c>
      <c r="J20" s="7" t="s">
        <v>1006</v>
      </c>
      <c r="K20" s="8" t="n">
        <v>45881</v>
      </c>
      <c r="L20" s="7" t="n">
        <f aca="false">IF(K20="","Open Case",K20-B20)</f>
        <v>136</v>
      </c>
    </row>
    <row r="21" customFormat="false" ht="15" hidden="false" customHeight="false" outlineLevel="0" collapsed="false">
      <c r="A21" s="7" t="s">
        <v>1035</v>
      </c>
      <c r="B21" s="8" t="n">
        <v>46001</v>
      </c>
      <c r="C21" s="7" t="s">
        <v>1003</v>
      </c>
      <c r="D21" s="7" t="s">
        <v>31</v>
      </c>
      <c r="E21" s="7" t="s">
        <v>75</v>
      </c>
      <c r="F21" s="7" t="s">
        <v>186</v>
      </c>
      <c r="G21" s="7" t="s">
        <v>1004</v>
      </c>
      <c r="H21" s="7" t="s">
        <v>1012</v>
      </c>
      <c r="I21" s="7" t="n">
        <v>4260675</v>
      </c>
      <c r="J21" s="7" t="s">
        <v>1013</v>
      </c>
      <c r="K21" s="7"/>
      <c r="L21" s="7" t="str">
        <f aca="false">IF(K21="","Open Case",K21-B21)</f>
        <v>Open Case</v>
      </c>
    </row>
    <row r="22" customFormat="false" ht="15" hidden="false" customHeight="false" outlineLevel="0" collapsed="false">
      <c r="A22" s="7" t="s">
        <v>1036</v>
      </c>
      <c r="B22" s="8" t="n">
        <v>45791</v>
      </c>
      <c r="C22" s="7" t="s">
        <v>1011</v>
      </c>
      <c r="D22" s="7" t="s">
        <v>40</v>
      </c>
      <c r="E22" s="7" t="s">
        <v>87</v>
      </c>
      <c r="F22" s="7" t="s">
        <v>190</v>
      </c>
      <c r="G22" s="7" t="s">
        <v>1004</v>
      </c>
      <c r="H22" s="7" t="s">
        <v>1005</v>
      </c>
      <c r="I22" s="7" t="n">
        <v>0</v>
      </c>
      <c r="J22" s="7" t="s">
        <v>1013</v>
      </c>
      <c r="K22" s="7"/>
      <c r="L22" s="7" t="str">
        <f aca="false">IF(K22="","Open Case",K22-B22)</f>
        <v>Open Case</v>
      </c>
    </row>
    <row r="23" customFormat="false" ht="15" hidden="false" customHeight="false" outlineLevel="0" collapsed="false">
      <c r="A23" s="7" t="s">
        <v>1037</v>
      </c>
      <c r="B23" s="8" t="n">
        <v>45346</v>
      </c>
      <c r="C23" s="7" t="s">
        <v>1011</v>
      </c>
      <c r="D23" s="7" t="s">
        <v>34</v>
      </c>
      <c r="E23" s="7" t="s">
        <v>75</v>
      </c>
      <c r="F23" s="7" t="s">
        <v>172</v>
      </c>
      <c r="G23" s="7" t="s">
        <v>1026</v>
      </c>
      <c r="H23" s="7" t="s">
        <v>1012</v>
      </c>
      <c r="I23" s="7" t="n">
        <v>2949630</v>
      </c>
      <c r="J23" s="7" t="s">
        <v>1006</v>
      </c>
      <c r="K23" s="8" t="n">
        <v>45452</v>
      </c>
      <c r="L23" s="7" t="n">
        <f aca="false">IF(K23="","Open Case",K23-B23)</f>
        <v>106</v>
      </c>
    </row>
    <row r="24" customFormat="false" ht="15" hidden="false" customHeight="false" outlineLevel="0" collapsed="false">
      <c r="A24" s="7" t="s">
        <v>1038</v>
      </c>
      <c r="B24" s="8" t="n">
        <v>45513</v>
      </c>
      <c r="C24" s="7" t="s">
        <v>1011</v>
      </c>
      <c r="D24" s="7" t="s">
        <v>52</v>
      </c>
      <c r="E24" s="7" t="s">
        <v>60</v>
      </c>
      <c r="F24" s="7" t="s">
        <v>197</v>
      </c>
      <c r="G24" s="7" t="s">
        <v>1004</v>
      </c>
      <c r="H24" s="7" t="s">
        <v>1012</v>
      </c>
      <c r="I24" s="7" t="n">
        <v>728871</v>
      </c>
      <c r="J24" s="7" t="s">
        <v>1006</v>
      </c>
      <c r="K24" s="8" t="n">
        <v>45725</v>
      </c>
      <c r="L24" s="7" t="n">
        <f aca="false">IF(K24="","Open Case",K24-B24)</f>
        <v>212</v>
      </c>
    </row>
    <row r="25" customFormat="false" ht="15" hidden="false" customHeight="false" outlineLevel="0" collapsed="false">
      <c r="A25" s="7" t="s">
        <v>1039</v>
      </c>
      <c r="B25" s="8" t="n">
        <v>45329</v>
      </c>
      <c r="C25" s="7" t="s">
        <v>1019</v>
      </c>
      <c r="D25" s="7" t="s">
        <v>49</v>
      </c>
      <c r="E25" s="7" t="s">
        <v>65</v>
      </c>
      <c r="F25" s="7" t="s">
        <v>188</v>
      </c>
      <c r="G25" s="7" t="s">
        <v>1004</v>
      </c>
      <c r="H25" s="7" t="s">
        <v>1012</v>
      </c>
      <c r="I25" s="7" t="n">
        <v>1146111</v>
      </c>
      <c r="J25" s="7" t="s">
        <v>1006</v>
      </c>
      <c r="K25" s="8" t="n">
        <v>45533</v>
      </c>
      <c r="L25" s="7" t="n">
        <f aca="false">IF(K25="","Open Case",K25-B25)</f>
        <v>204</v>
      </c>
    </row>
    <row r="26" customFormat="false" ht="15" hidden="false" customHeight="false" outlineLevel="0" collapsed="false">
      <c r="A26" s="7" t="s">
        <v>1040</v>
      </c>
      <c r="B26" s="8" t="n">
        <v>45403</v>
      </c>
      <c r="C26" s="7" t="s">
        <v>1003</v>
      </c>
      <c r="D26" s="7" t="s">
        <v>52</v>
      </c>
      <c r="E26" s="7" t="s">
        <v>75</v>
      </c>
      <c r="F26" s="7" t="s">
        <v>190</v>
      </c>
      <c r="G26" s="7" t="s">
        <v>1009</v>
      </c>
      <c r="H26" s="7" t="s">
        <v>1012</v>
      </c>
      <c r="I26" s="7" t="n">
        <v>1871718</v>
      </c>
      <c r="J26" s="7" t="s">
        <v>1006</v>
      </c>
      <c r="K26" s="8" t="n">
        <v>45614</v>
      </c>
      <c r="L26" s="7" t="n">
        <f aca="false">IF(K26="","Open Case",K26-B26)</f>
        <v>211</v>
      </c>
    </row>
    <row r="27" customFormat="false" ht="15" hidden="false" customHeight="false" outlineLevel="0" collapsed="false">
      <c r="A27" s="7" t="s">
        <v>1041</v>
      </c>
      <c r="B27" s="8" t="n">
        <v>45513</v>
      </c>
      <c r="C27" s="7" t="s">
        <v>1021</v>
      </c>
      <c r="D27" s="7" t="s">
        <v>25</v>
      </c>
      <c r="E27" s="7" t="s">
        <v>71</v>
      </c>
      <c r="F27" s="7" t="s">
        <v>180</v>
      </c>
      <c r="G27" s="7" t="s">
        <v>1026</v>
      </c>
      <c r="H27" s="7" t="s">
        <v>1005</v>
      </c>
      <c r="I27" s="7" t="n">
        <v>0</v>
      </c>
      <c r="J27" s="7" t="s">
        <v>1013</v>
      </c>
      <c r="K27" s="7"/>
      <c r="L27" s="7" t="str">
        <f aca="false">IF(K27="","Open Case",K27-B27)</f>
        <v>Open Case</v>
      </c>
    </row>
    <row r="28" customFormat="false" ht="15" hidden="false" customHeight="false" outlineLevel="0" collapsed="false">
      <c r="A28" s="7" t="s">
        <v>1042</v>
      </c>
      <c r="B28" s="8" t="n">
        <v>45372</v>
      </c>
      <c r="C28" s="7" t="s">
        <v>1019</v>
      </c>
      <c r="D28" s="7" t="s">
        <v>52</v>
      </c>
      <c r="E28" s="7" t="s">
        <v>87</v>
      </c>
      <c r="F28" s="7" t="s">
        <v>182</v>
      </c>
      <c r="G28" s="7" t="s">
        <v>1009</v>
      </c>
      <c r="H28" s="7" t="s">
        <v>1005</v>
      </c>
      <c r="I28" s="7" t="n">
        <v>0</v>
      </c>
      <c r="J28" s="7" t="s">
        <v>1013</v>
      </c>
      <c r="K28" s="7"/>
      <c r="L28" s="7" t="str">
        <f aca="false">IF(K28="","Open Case",K28-B28)</f>
        <v>Open Case</v>
      </c>
    </row>
    <row r="29" customFormat="false" ht="15" hidden="false" customHeight="false" outlineLevel="0" collapsed="false">
      <c r="A29" s="7" t="s">
        <v>1043</v>
      </c>
      <c r="B29" s="8" t="n">
        <v>45618</v>
      </c>
      <c r="C29" s="7" t="s">
        <v>1015</v>
      </c>
      <c r="D29" s="7" t="s">
        <v>46</v>
      </c>
      <c r="E29" s="7" t="s">
        <v>71</v>
      </c>
      <c r="F29" s="7" t="s">
        <v>197</v>
      </c>
      <c r="G29" s="7" t="s">
        <v>1004</v>
      </c>
      <c r="H29" s="7" t="s">
        <v>1012</v>
      </c>
      <c r="I29" s="7" t="n">
        <v>2170974</v>
      </c>
      <c r="J29" s="7" t="s">
        <v>1006</v>
      </c>
      <c r="K29" s="8" t="n">
        <v>45803</v>
      </c>
      <c r="L29" s="7" t="n">
        <f aca="false">IF(K29="","Open Case",K29-B29)</f>
        <v>185</v>
      </c>
    </row>
    <row r="30" customFormat="false" ht="15" hidden="false" customHeight="false" outlineLevel="0" collapsed="false">
      <c r="A30" s="7" t="s">
        <v>1044</v>
      </c>
      <c r="B30" s="8" t="n">
        <v>45400</v>
      </c>
      <c r="C30" s="7" t="s">
        <v>1021</v>
      </c>
      <c r="D30" s="7" t="s">
        <v>46</v>
      </c>
      <c r="E30" s="7" t="s">
        <v>68</v>
      </c>
      <c r="F30" s="7" t="s">
        <v>178</v>
      </c>
      <c r="G30" s="7" t="s">
        <v>1004</v>
      </c>
      <c r="H30" s="7" t="s">
        <v>1005</v>
      </c>
      <c r="I30" s="7" t="n">
        <v>0</v>
      </c>
      <c r="J30" s="7" t="s">
        <v>1006</v>
      </c>
      <c r="K30" s="8" t="n">
        <v>45478</v>
      </c>
      <c r="L30" s="7" t="n">
        <f aca="false">IF(K30="","Open Case",K30-B30)</f>
        <v>78</v>
      </c>
    </row>
    <row r="31" customFormat="false" ht="15" hidden="false" customHeight="false" outlineLevel="0" collapsed="false">
      <c r="A31" s="7" t="s">
        <v>1045</v>
      </c>
      <c r="B31" s="8" t="n">
        <v>45850</v>
      </c>
      <c r="C31" s="7" t="s">
        <v>1015</v>
      </c>
      <c r="D31" s="7" t="s">
        <v>52</v>
      </c>
      <c r="E31" s="7" t="s">
        <v>87</v>
      </c>
      <c r="F31" s="7" t="s">
        <v>190</v>
      </c>
      <c r="G31" s="7" t="s">
        <v>1009</v>
      </c>
      <c r="H31" s="7" t="s">
        <v>1005</v>
      </c>
      <c r="I31" s="7" t="n">
        <v>0</v>
      </c>
      <c r="J31" s="7" t="s">
        <v>1013</v>
      </c>
      <c r="K31" s="7"/>
      <c r="L31" s="7" t="str">
        <f aca="false">IF(K31="","Open Case",K31-B31)</f>
        <v>Open Case</v>
      </c>
    </row>
    <row r="32" customFormat="false" ht="15" hidden="false" customHeight="false" outlineLevel="0" collapsed="false">
      <c r="A32" s="7" t="s">
        <v>1046</v>
      </c>
      <c r="B32" s="8" t="n">
        <v>45639</v>
      </c>
      <c r="C32" s="7" t="s">
        <v>1015</v>
      </c>
      <c r="D32" s="7" t="s">
        <v>34</v>
      </c>
      <c r="E32" s="7" t="s">
        <v>87</v>
      </c>
      <c r="F32" s="7" t="s">
        <v>188</v>
      </c>
      <c r="G32" s="7" t="s">
        <v>1004</v>
      </c>
      <c r="H32" s="7" t="s">
        <v>1005</v>
      </c>
      <c r="I32" s="7" t="n">
        <v>0</v>
      </c>
      <c r="J32" s="7" t="s">
        <v>1006</v>
      </c>
      <c r="K32" s="8" t="n">
        <v>45694</v>
      </c>
      <c r="L32" s="7" t="n">
        <f aca="false">IF(K32="","Open Case",K32-B32)</f>
        <v>55</v>
      </c>
    </row>
    <row r="33" customFormat="false" ht="15" hidden="false" customHeight="false" outlineLevel="0" collapsed="false">
      <c r="A33" s="7" t="s">
        <v>1047</v>
      </c>
      <c r="B33" s="8" t="n">
        <v>45621</v>
      </c>
      <c r="C33" s="7" t="s">
        <v>1015</v>
      </c>
      <c r="D33" s="7" t="s">
        <v>43</v>
      </c>
      <c r="E33" s="7" t="s">
        <v>71</v>
      </c>
      <c r="F33" s="7" t="s">
        <v>197</v>
      </c>
      <c r="G33" s="7" t="s">
        <v>1009</v>
      </c>
      <c r="H33" s="7" t="s">
        <v>1005</v>
      </c>
      <c r="I33" s="7" t="n">
        <v>0</v>
      </c>
      <c r="J33" s="7" t="s">
        <v>1006</v>
      </c>
      <c r="K33" s="8" t="n">
        <v>45725</v>
      </c>
      <c r="L33" s="7" t="n">
        <f aca="false">IF(K33="","Open Case",K33-B33)</f>
        <v>104</v>
      </c>
    </row>
    <row r="34" customFormat="false" ht="15" hidden="false" customHeight="false" outlineLevel="0" collapsed="false">
      <c r="A34" s="7" t="s">
        <v>1048</v>
      </c>
      <c r="B34" s="8" t="n">
        <v>45863</v>
      </c>
      <c r="C34" s="7" t="s">
        <v>1028</v>
      </c>
      <c r="D34" s="7" t="s">
        <v>43</v>
      </c>
      <c r="E34" s="7" t="s">
        <v>87</v>
      </c>
      <c r="F34" s="7" t="s">
        <v>182</v>
      </c>
      <c r="G34" s="7" t="s">
        <v>1026</v>
      </c>
      <c r="H34" s="7" t="s">
        <v>1012</v>
      </c>
      <c r="I34" s="7" t="n">
        <v>3022797</v>
      </c>
      <c r="J34" s="7" t="s">
        <v>1006</v>
      </c>
      <c r="K34" s="8" t="n">
        <v>45921</v>
      </c>
      <c r="L34" s="7" t="n">
        <f aca="false">IF(K34="","Open Case",K34-B34)</f>
        <v>58</v>
      </c>
    </row>
    <row r="35" customFormat="false" ht="15" hidden="false" customHeight="false" outlineLevel="0" collapsed="false">
      <c r="A35" s="7" t="s">
        <v>1049</v>
      </c>
      <c r="B35" s="8" t="n">
        <v>45575</v>
      </c>
      <c r="C35" s="7" t="s">
        <v>1028</v>
      </c>
      <c r="D35" s="7" t="s">
        <v>37</v>
      </c>
      <c r="E35" s="7" t="s">
        <v>65</v>
      </c>
      <c r="F35" s="7" t="s">
        <v>195</v>
      </c>
      <c r="G35" s="7" t="s">
        <v>1009</v>
      </c>
      <c r="H35" s="7" t="s">
        <v>1012</v>
      </c>
      <c r="I35" s="7" t="n">
        <v>4640243</v>
      </c>
      <c r="J35" s="7" t="s">
        <v>1006</v>
      </c>
      <c r="K35" s="8" t="n">
        <v>45716</v>
      </c>
      <c r="L35" s="7" t="n">
        <f aca="false">IF(K35="","Open Case",K35-B35)</f>
        <v>141</v>
      </c>
    </row>
    <row r="36" customFormat="false" ht="15" hidden="false" customHeight="false" outlineLevel="0" collapsed="false">
      <c r="A36" s="7" t="s">
        <v>1050</v>
      </c>
      <c r="B36" s="8" t="n">
        <v>45799</v>
      </c>
      <c r="C36" s="7" t="s">
        <v>1015</v>
      </c>
      <c r="D36" s="7" t="s">
        <v>37</v>
      </c>
      <c r="E36" s="7" t="s">
        <v>65</v>
      </c>
      <c r="F36" s="7" t="s">
        <v>188</v>
      </c>
      <c r="G36" s="7" t="s">
        <v>1009</v>
      </c>
      <c r="H36" s="7" t="s">
        <v>1012</v>
      </c>
      <c r="I36" s="7" t="n">
        <v>5689266</v>
      </c>
      <c r="J36" s="7" t="s">
        <v>1006</v>
      </c>
      <c r="K36" s="8" t="n">
        <v>45979</v>
      </c>
      <c r="L36" s="7" t="n">
        <f aca="false">IF(K36="","Open Case",K36-B36)</f>
        <v>180</v>
      </c>
    </row>
    <row r="37" customFormat="false" ht="15" hidden="false" customHeight="false" outlineLevel="0" collapsed="false">
      <c r="A37" s="7" t="s">
        <v>1051</v>
      </c>
      <c r="B37" s="8" t="n">
        <v>45300</v>
      </c>
      <c r="C37" s="7" t="s">
        <v>1015</v>
      </c>
      <c r="D37" s="7" t="s">
        <v>46</v>
      </c>
      <c r="E37" s="7" t="s">
        <v>65</v>
      </c>
      <c r="F37" s="7" t="s">
        <v>186</v>
      </c>
      <c r="G37" s="7" t="s">
        <v>1004</v>
      </c>
      <c r="H37" s="7" t="s">
        <v>1012</v>
      </c>
      <c r="I37" s="7" t="n">
        <v>4321596</v>
      </c>
      <c r="J37" s="7" t="s">
        <v>1006</v>
      </c>
      <c r="K37" s="8" t="n">
        <v>45491</v>
      </c>
      <c r="L37" s="7" t="n">
        <f aca="false">IF(K37="","Open Case",K37-B37)</f>
        <v>191</v>
      </c>
    </row>
    <row r="38" customFormat="false" ht="15" hidden="false" customHeight="false" outlineLevel="0" collapsed="false">
      <c r="A38" s="7" t="s">
        <v>1052</v>
      </c>
      <c r="B38" s="8" t="n">
        <v>45856</v>
      </c>
      <c r="C38" s="7" t="s">
        <v>1011</v>
      </c>
      <c r="D38" s="7" t="s">
        <v>34</v>
      </c>
      <c r="E38" s="7" t="s">
        <v>60</v>
      </c>
      <c r="F38" s="7" t="s">
        <v>182</v>
      </c>
      <c r="G38" s="7" t="s">
        <v>1009</v>
      </c>
      <c r="H38" s="7" t="s">
        <v>1012</v>
      </c>
      <c r="I38" s="7" t="n">
        <v>852752</v>
      </c>
      <c r="J38" s="7" t="s">
        <v>1006</v>
      </c>
      <c r="K38" s="8" t="n">
        <v>45897</v>
      </c>
      <c r="L38" s="7" t="n">
        <f aca="false">IF(K38="","Open Case",K38-B38)</f>
        <v>41</v>
      </c>
    </row>
    <row r="39" customFormat="false" ht="15" hidden="false" customHeight="false" outlineLevel="0" collapsed="false">
      <c r="A39" s="7" t="s">
        <v>1053</v>
      </c>
      <c r="B39" s="8" t="n">
        <v>45554</v>
      </c>
      <c r="C39" s="7" t="s">
        <v>1028</v>
      </c>
      <c r="D39" s="7" t="s">
        <v>52</v>
      </c>
      <c r="E39" s="7" t="s">
        <v>79</v>
      </c>
      <c r="F39" s="7" t="s">
        <v>194</v>
      </c>
      <c r="G39" s="7" t="s">
        <v>1004</v>
      </c>
      <c r="H39" s="7" t="s">
        <v>1012</v>
      </c>
      <c r="I39" s="7" t="n">
        <v>564397</v>
      </c>
      <c r="J39" s="7" t="s">
        <v>1006</v>
      </c>
      <c r="K39" s="8" t="n">
        <v>45742</v>
      </c>
      <c r="L39" s="7" t="n">
        <f aca="false">IF(K39="","Open Case",K39-B39)</f>
        <v>188</v>
      </c>
    </row>
    <row r="40" customFormat="false" ht="15" hidden="false" customHeight="false" outlineLevel="0" collapsed="false">
      <c r="A40" s="7" t="s">
        <v>1054</v>
      </c>
      <c r="B40" s="8" t="n">
        <v>45692</v>
      </c>
      <c r="C40" s="7" t="s">
        <v>1011</v>
      </c>
      <c r="D40" s="7" t="s">
        <v>40</v>
      </c>
      <c r="E40" s="7" t="s">
        <v>68</v>
      </c>
      <c r="F40" s="7" t="s">
        <v>195</v>
      </c>
      <c r="G40" s="7" t="s">
        <v>1004</v>
      </c>
      <c r="H40" s="7" t="s">
        <v>1012</v>
      </c>
      <c r="I40" s="7" t="n">
        <v>228594</v>
      </c>
      <c r="J40" s="7" t="s">
        <v>1013</v>
      </c>
      <c r="K40" s="7"/>
      <c r="L40" s="7" t="str">
        <f aca="false">IF(K40="","Open Case",K40-B40)</f>
        <v>Open Case</v>
      </c>
    </row>
    <row r="41" customFormat="false" ht="15" hidden="false" customHeight="false" outlineLevel="0" collapsed="false">
      <c r="A41" s="7" t="s">
        <v>1055</v>
      </c>
      <c r="B41" s="8" t="n">
        <v>45708</v>
      </c>
      <c r="C41" s="7" t="s">
        <v>1008</v>
      </c>
      <c r="D41" s="7" t="s">
        <v>46</v>
      </c>
      <c r="E41" s="7" t="s">
        <v>68</v>
      </c>
      <c r="F41" s="7" t="s">
        <v>192</v>
      </c>
      <c r="G41" s="7" t="s">
        <v>1026</v>
      </c>
      <c r="H41" s="7" t="s">
        <v>1005</v>
      </c>
      <c r="I41" s="7" t="n">
        <v>0</v>
      </c>
      <c r="J41" s="7" t="s">
        <v>1006</v>
      </c>
      <c r="K41" s="8" t="n">
        <v>45809</v>
      </c>
      <c r="L41" s="7" t="n">
        <f aca="false">IF(K41="","Open Case",K41-B41)</f>
        <v>101</v>
      </c>
    </row>
    <row r="42" customFormat="false" ht="15" hidden="false" customHeight="false" outlineLevel="0" collapsed="false">
      <c r="A42" s="7" t="s">
        <v>1056</v>
      </c>
      <c r="B42" s="8" t="n">
        <v>45635</v>
      </c>
      <c r="C42" s="7" t="s">
        <v>1008</v>
      </c>
      <c r="D42" s="7" t="s">
        <v>34</v>
      </c>
      <c r="E42" s="7" t="s">
        <v>68</v>
      </c>
      <c r="F42" s="7" t="s">
        <v>180</v>
      </c>
      <c r="G42" s="7" t="s">
        <v>1009</v>
      </c>
      <c r="H42" s="7" t="s">
        <v>1012</v>
      </c>
      <c r="I42" s="7" t="n">
        <v>926079</v>
      </c>
      <c r="J42" s="7" t="s">
        <v>1006</v>
      </c>
      <c r="K42" s="8" t="n">
        <v>45850</v>
      </c>
      <c r="L42" s="7" t="n">
        <f aca="false">IF(K42="","Open Case",K42-B42)</f>
        <v>215</v>
      </c>
    </row>
    <row r="43" customFormat="false" ht="15" hidden="false" customHeight="false" outlineLevel="0" collapsed="false">
      <c r="A43" s="7" t="s">
        <v>1057</v>
      </c>
      <c r="B43" s="8" t="n">
        <v>45388</v>
      </c>
      <c r="C43" s="7" t="s">
        <v>1021</v>
      </c>
      <c r="D43" s="7" t="s">
        <v>52</v>
      </c>
      <c r="E43" s="7" t="s">
        <v>65</v>
      </c>
      <c r="F43" s="7" t="s">
        <v>199</v>
      </c>
      <c r="G43" s="7" t="s">
        <v>1004</v>
      </c>
      <c r="H43" s="7" t="s">
        <v>1005</v>
      </c>
      <c r="I43" s="7" t="n">
        <v>0</v>
      </c>
      <c r="J43" s="7" t="s">
        <v>1006</v>
      </c>
      <c r="K43" s="8" t="n">
        <v>45401</v>
      </c>
      <c r="L43" s="7" t="n">
        <f aca="false">IF(K43="","Open Case",K43-B43)</f>
        <v>13</v>
      </c>
    </row>
    <row r="44" customFormat="false" ht="15" hidden="false" customHeight="false" outlineLevel="0" collapsed="false">
      <c r="A44" s="7" t="s">
        <v>1058</v>
      </c>
      <c r="B44" s="8" t="n">
        <v>45993</v>
      </c>
      <c r="C44" s="7" t="s">
        <v>1003</v>
      </c>
      <c r="D44" s="7" t="s">
        <v>46</v>
      </c>
      <c r="E44" s="7" t="s">
        <v>68</v>
      </c>
      <c r="F44" s="7" t="s">
        <v>184</v>
      </c>
      <c r="G44" s="7" t="s">
        <v>1009</v>
      </c>
      <c r="H44" s="7" t="s">
        <v>1012</v>
      </c>
      <c r="I44" s="7" t="n">
        <v>2998196</v>
      </c>
      <c r="J44" s="7" t="s">
        <v>1006</v>
      </c>
      <c r="K44" s="8" t="n">
        <v>46026</v>
      </c>
      <c r="L44" s="7" t="n">
        <f aca="false">IF(K44="","Open Case",K44-B44)</f>
        <v>33</v>
      </c>
    </row>
    <row r="45" customFormat="false" ht="15" hidden="false" customHeight="false" outlineLevel="0" collapsed="false">
      <c r="A45" s="7" t="s">
        <v>1059</v>
      </c>
      <c r="B45" s="8" t="n">
        <v>45766</v>
      </c>
      <c r="C45" s="7" t="s">
        <v>1019</v>
      </c>
      <c r="D45" s="7" t="s">
        <v>46</v>
      </c>
      <c r="E45" s="7" t="s">
        <v>79</v>
      </c>
      <c r="F45" s="7" t="s">
        <v>199</v>
      </c>
      <c r="G45" s="7" t="s">
        <v>1009</v>
      </c>
      <c r="H45" s="7" t="s">
        <v>1012</v>
      </c>
      <c r="I45" s="7" t="n">
        <v>5620419</v>
      </c>
      <c r="J45" s="7" t="s">
        <v>1013</v>
      </c>
      <c r="K45" s="7"/>
      <c r="L45" s="7" t="str">
        <f aca="false">IF(K45="","Open Case",K45-B45)</f>
        <v>Open Case</v>
      </c>
    </row>
    <row r="46" customFormat="false" ht="15" hidden="false" customHeight="false" outlineLevel="0" collapsed="false">
      <c r="A46" s="7" t="s">
        <v>1060</v>
      </c>
      <c r="B46" s="8" t="n">
        <v>45337</v>
      </c>
      <c r="C46" s="7" t="s">
        <v>1008</v>
      </c>
      <c r="D46" s="7" t="s">
        <v>37</v>
      </c>
      <c r="E46" s="7" t="s">
        <v>60</v>
      </c>
      <c r="F46" s="7" t="s">
        <v>180</v>
      </c>
      <c r="G46" s="7" t="s">
        <v>1009</v>
      </c>
      <c r="H46" s="7" t="s">
        <v>1012</v>
      </c>
      <c r="I46" s="7" t="n">
        <v>2179360</v>
      </c>
      <c r="J46" s="7" t="s">
        <v>1006</v>
      </c>
      <c r="K46" s="8" t="n">
        <v>45431</v>
      </c>
      <c r="L46" s="7" t="n">
        <f aca="false">IF(K46="","Open Case",K46-B46)</f>
        <v>94</v>
      </c>
    </row>
    <row r="47" customFormat="false" ht="15" hidden="false" customHeight="false" outlineLevel="0" collapsed="false">
      <c r="A47" s="7" t="s">
        <v>1061</v>
      </c>
      <c r="B47" s="8" t="n">
        <v>45362</v>
      </c>
      <c r="C47" s="7" t="s">
        <v>1028</v>
      </c>
      <c r="D47" s="7" t="s">
        <v>31</v>
      </c>
      <c r="E47" s="7" t="s">
        <v>83</v>
      </c>
      <c r="F47" s="7" t="s">
        <v>188</v>
      </c>
      <c r="G47" s="7" t="s">
        <v>1009</v>
      </c>
      <c r="H47" s="7" t="s">
        <v>1005</v>
      </c>
      <c r="I47" s="7" t="n">
        <v>0</v>
      </c>
      <c r="J47" s="7" t="s">
        <v>1006</v>
      </c>
      <c r="K47" s="8" t="n">
        <v>45411</v>
      </c>
      <c r="L47" s="7" t="n">
        <f aca="false">IF(K47="","Open Case",K47-B47)</f>
        <v>49</v>
      </c>
    </row>
    <row r="48" customFormat="false" ht="15" hidden="false" customHeight="false" outlineLevel="0" collapsed="false">
      <c r="A48" s="7" t="s">
        <v>1062</v>
      </c>
      <c r="B48" s="8" t="n">
        <v>45453</v>
      </c>
      <c r="C48" s="7" t="s">
        <v>1019</v>
      </c>
      <c r="D48" s="7" t="s">
        <v>43</v>
      </c>
      <c r="E48" s="7" t="s">
        <v>65</v>
      </c>
      <c r="F48" s="7" t="s">
        <v>201</v>
      </c>
      <c r="G48" s="7" t="s">
        <v>1004</v>
      </c>
      <c r="H48" s="7" t="s">
        <v>1012</v>
      </c>
      <c r="I48" s="7" t="n">
        <v>4924556</v>
      </c>
      <c r="J48" s="7" t="s">
        <v>1006</v>
      </c>
      <c r="K48" s="8" t="n">
        <v>45494</v>
      </c>
      <c r="L48" s="7" t="n">
        <f aca="false">IF(K48="","Open Case",K48-B48)</f>
        <v>41</v>
      </c>
    </row>
    <row r="49" customFormat="false" ht="15" hidden="false" customHeight="false" outlineLevel="0" collapsed="false">
      <c r="A49" s="7" t="s">
        <v>1063</v>
      </c>
      <c r="B49" s="8" t="n">
        <v>46012</v>
      </c>
      <c r="C49" s="7" t="s">
        <v>1028</v>
      </c>
      <c r="D49" s="7" t="s">
        <v>34</v>
      </c>
      <c r="E49" s="7" t="s">
        <v>60</v>
      </c>
      <c r="F49" s="7" t="s">
        <v>188</v>
      </c>
      <c r="G49" s="7" t="s">
        <v>1026</v>
      </c>
      <c r="H49" s="7" t="s">
        <v>1012</v>
      </c>
      <c r="I49" s="7" t="n">
        <v>2813074</v>
      </c>
      <c r="J49" s="7" t="s">
        <v>1006</v>
      </c>
      <c r="K49" s="8" t="n">
        <v>46155</v>
      </c>
      <c r="L49" s="7" t="n">
        <f aca="false">IF(K49="","Open Case",K49-B49)</f>
        <v>143</v>
      </c>
    </row>
    <row r="50" customFormat="false" ht="15" hidden="false" customHeight="false" outlineLevel="0" collapsed="false">
      <c r="A50" s="7" t="s">
        <v>1064</v>
      </c>
      <c r="B50" s="8" t="n">
        <v>46015</v>
      </c>
      <c r="C50" s="7" t="s">
        <v>1028</v>
      </c>
      <c r="D50" s="7" t="s">
        <v>37</v>
      </c>
      <c r="E50" s="7" t="s">
        <v>83</v>
      </c>
      <c r="F50" s="7" t="s">
        <v>180</v>
      </c>
      <c r="G50" s="7" t="s">
        <v>1009</v>
      </c>
      <c r="H50" s="7" t="s">
        <v>1012</v>
      </c>
      <c r="I50" s="7" t="n">
        <v>3634792</v>
      </c>
      <c r="J50" s="7" t="s">
        <v>1006</v>
      </c>
      <c r="K50" s="8" t="n">
        <v>46141</v>
      </c>
      <c r="L50" s="7" t="n">
        <f aca="false">IF(K50="","Open Case",K50-B50)</f>
        <v>126</v>
      </c>
    </row>
    <row r="51" customFormat="false" ht="15" hidden="false" customHeight="false" outlineLevel="0" collapsed="false">
      <c r="A51" s="7" t="s">
        <v>1065</v>
      </c>
      <c r="B51" s="8" t="n">
        <v>45359</v>
      </c>
      <c r="C51" s="7" t="s">
        <v>1019</v>
      </c>
      <c r="D51" s="7" t="s">
        <v>25</v>
      </c>
      <c r="E51" s="7" t="s">
        <v>71</v>
      </c>
      <c r="F51" s="7" t="s">
        <v>194</v>
      </c>
      <c r="G51" s="7" t="s">
        <v>1009</v>
      </c>
      <c r="H51" s="7" t="s">
        <v>1012</v>
      </c>
      <c r="I51" s="7" t="n">
        <v>3422149</v>
      </c>
      <c r="J51" s="7" t="s">
        <v>1006</v>
      </c>
      <c r="K51" s="8" t="n">
        <v>45544</v>
      </c>
      <c r="L51" s="7" t="n">
        <f aca="false">IF(K51="","Open Case",K51-B51)</f>
        <v>185</v>
      </c>
    </row>
    <row r="52" customFormat="false" ht="15" hidden="false" customHeight="false" outlineLevel="0" collapsed="false">
      <c r="A52" s="7" t="s">
        <v>1066</v>
      </c>
      <c r="B52" s="8" t="n">
        <v>45577</v>
      </c>
      <c r="C52" s="7" t="s">
        <v>1021</v>
      </c>
      <c r="D52" s="7" t="s">
        <v>37</v>
      </c>
      <c r="E52" s="7" t="s">
        <v>75</v>
      </c>
      <c r="F52" s="7" t="s">
        <v>190</v>
      </c>
      <c r="G52" s="7" t="s">
        <v>1009</v>
      </c>
      <c r="H52" s="7" t="s">
        <v>1012</v>
      </c>
      <c r="I52" s="7" t="n">
        <v>3361791</v>
      </c>
      <c r="J52" s="7" t="s">
        <v>1006</v>
      </c>
      <c r="K52" s="8" t="n">
        <v>45803</v>
      </c>
      <c r="L52" s="7" t="n">
        <f aca="false">IF(K52="","Open Case",K52-B52)</f>
        <v>226</v>
      </c>
    </row>
    <row r="53" customFormat="false" ht="15" hidden="false" customHeight="false" outlineLevel="0" collapsed="false">
      <c r="A53" s="7" t="s">
        <v>1067</v>
      </c>
      <c r="B53" s="8" t="n">
        <v>45691</v>
      </c>
      <c r="C53" s="7" t="s">
        <v>1003</v>
      </c>
      <c r="D53" s="7" t="s">
        <v>31</v>
      </c>
      <c r="E53" s="7" t="s">
        <v>65</v>
      </c>
      <c r="F53" s="7" t="s">
        <v>172</v>
      </c>
      <c r="G53" s="7" t="s">
        <v>1026</v>
      </c>
      <c r="H53" s="7" t="s">
        <v>1012</v>
      </c>
      <c r="I53" s="7" t="n">
        <v>2207355</v>
      </c>
      <c r="J53" s="7" t="s">
        <v>1013</v>
      </c>
      <c r="K53" s="7"/>
      <c r="L53" s="7" t="str">
        <f aca="false">IF(K53="","Open Case",K53-B53)</f>
        <v>Open Case</v>
      </c>
    </row>
    <row r="54" customFormat="false" ht="15" hidden="false" customHeight="false" outlineLevel="0" collapsed="false">
      <c r="A54" s="7" t="s">
        <v>1068</v>
      </c>
      <c r="B54" s="8" t="n">
        <v>45395</v>
      </c>
      <c r="C54" s="7" t="s">
        <v>1008</v>
      </c>
      <c r="D54" s="7" t="s">
        <v>49</v>
      </c>
      <c r="E54" s="7" t="s">
        <v>75</v>
      </c>
      <c r="F54" s="7" t="s">
        <v>182</v>
      </c>
      <c r="G54" s="7" t="s">
        <v>1009</v>
      </c>
      <c r="H54" s="7" t="s">
        <v>1005</v>
      </c>
      <c r="I54" s="7" t="n">
        <v>0</v>
      </c>
      <c r="J54" s="7" t="s">
        <v>1006</v>
      </c>
      <c r="K54" s="8" t="n">
        <v>45519</v>
      </c>
      <c r="L54" s="7" t="n">
        <f aca="false">IF(K54="","Open Case",K54-B54)</f>
        <v>124</v>
      </c>
    </row>
    <row r="55" customFormat="false" ht="15" hidden="false" customHeight="false" outlineLevel="0" collapsed="false">
      <c r="A55" s="7" t="s">
        <v>1069</v>
      </c>
      <c r="B55" s="8" t="n">
        <v>45568</v>
      </c>
      <c r="C55" s="7" t="s">
        <v>1008</v>
      </c>
      <c r="D55" s="7" t="s">
        <v>49</v>
      </c>
      <c r="E55" s="7" t="s">
        <v>68</v>
      </c>
      <c r="F55" s="7" t="s">
        <v>178</v>
      </c>
      <c r="G55" s="7" t="s">
        <v>1009</v>
      </c>
      <c r="H55" s="7" t="s">
        <v>1005</v>
      </c>
      <c r="I55" s="7" t="n">
        <v>0</v>
      </c>
      <c r="J55" s="7" t="s">
        <v>1006</v>
      </c>
      <c r="K55" s="8" t="n">
        <v>45746</v>
      </c>
      <c r="L55" s="7" t="n">
        <f aca="false">IF(K55="","Open Case",K55-B55)</f>
        <v>178</v>
      </c>
    </row>
    <row r="56" customFormat="false" ht="15" hidden="false" customHeight="false" outlineLevel="0" collapsed="false">
      <c r="A56" s="7" t="s">
        <v>1070</v>
      </c>
      <c r="B56" s="8" t="n">
        <v>45931</v>
      </c>
      <c r="C56" s="7" t="s">
        <v>1028</v>
      </c>
      <c r="D56" s="7" t="s">
        <v>34</v>
      </c>
      <c r="E56" s="7" t="s">
        <v>60</v>
      </c>
      <c r="F56" s="7" t="s">
        <v>174</v>
      </c>
      <c r="G56" s="7" t="s">
        <v>1009</v>
      </c>
      <c r="H56" s="7" t="s">
        <v>1005</v>
      </c>
      <c r="I56" s="7" t="n">
        <v>0</v>
      </c>
      <c r="J56" s="7" t="s">
        <v>1006</v>
      </c>
      <c r="K56" s="8" t="n">
        <v>45997</v>
      </c>
      <c r="L56" s="7" t="n">
        <f aca="false">IF(K56="","Open Case",K56-B56)</f>
        <v>66</v>
      </c>
    </row>
    <row r="57" customFormat="false" ht="15" hidden="false" customHeight="false" outlineLevel="0" collapsed="false">
      <c r="A57" s="7" t="s">
        <v>1071</v>
      </c>
      <c r="B57" s="8" t="n">
        <v>45869</v>
      </c>
      <c r="C57" s="7" t="s">
        <v>1028</v>
      </c>
      <c r="D57" s="7" t="s">
        <v>40</v>
      </c>
      <c r="E57" s="7" t="s">
        <v>79</v>
      </c>
      <c r="F57" s="7" t="s">
        <v>180</v>
      </c>
      <c r="G57" s="7" t="s">
        <v>1026</v>
      </c>
      <c r="H57" s="7" t="s">
        <v>1005</v>
      </c>
      <c r="I57" s="7" t="n">
        <v>0</v>
      </c>
      <c r="J57" s="7" t="s">
        <v>1006</v>
      </c>
      <c r="K57" s="8" t="n">
        <v>46090</v>
      </c>
      <c r="L57" s="7" t="n">
        <f aca="false">IF(K57="","Open Case",K57-B57)</f>
        <v>221</v>
      </c>
    </row>
    <row r="58" customFormat="false" ht="15" hidden="false" customHeight="false" outlineLevel="0" collapsed="false">
      <c r="A58" s="7" t="s">
        <v>1072</v>
      </c>
      <c r="B58" s="8" t="n">
        <v>45541</v>
      </c>
      <c r="C58" s="7" t="s">
        <v>1019</v>
      </c>
      <c r="D58" s="7" t="s">
        <v>49</v>
      </c>
      <c r="E58" s="7" t="s">
        <v>68</v>
      </c>
      <c r="F58" s="7" t="s">
        <v>170</v>
      </c>
      <c r="G58" s="7" t="s">
        <v>1009</v>
      </c>
      <c r="H58" s="7" t="s">
        <v>1012</v>
      </c>
      <c r="I58" s="7" t="n">
        <v>4562554</v>
      </c>
      <c r="J58" s="7" t="s">
        <v>1013</v>
      </c>
      <c r="K58" s="7"/>
      <c r="L58" s="7" t="str">
        <f aca="false">IF(K58="","Open Case",K58-B58)</f>
        <v>Open Case</v>
      </c>
    </row>
    <row r="59" customFormat="false" ht="15" hidden="false" customHeight="false" outlineLevel="0" collapsed="false">
      <c r="A59" s="7" t="s">
        <v>1073</v>
      </c>
      <c r="B59" s="8" t="n">
        <v>45525</v>
      </c>
      <c r="C59" s="7" t="s">
        <v>1003</v>
      </c>
      <c r="D59" s="7" t="s">
        <v>40</v>
      </c>
      <c r="E59" s="7" t="s">
        <v>65</v>
      </c>
      <c r="F59" s="7" t="s">
        <v>176</v>
      </c>
      <c r="G59" s="7" t="s">
        <v>1004</v>
      </c>
      <c r="H59" s="7" t="s">
        <v>1012</v>
      </c>
      <c r="I59" s="7" t="n">
        <v>5632944</v>
      </c>
      <c r="J59" s="7" t="s">
        <v>1006</v>
      </c>
      <c r="K59" s="8" t="n">
        <v>45574</v>
      </c>
      <c r="L59" s="7" t="n">
        <f aca="false">IF(K59="","Open Case",K59-B59)</f>
        <v>49</v>
      </c>
    </row>
    <row r="60" customFormat="false" ht="15" hidden="false" customHeight="false" outlineLevel="0" collapsed="false">
      <c r="A60" s="7" t="s">
        <v>1074</v>
      </c>
      <c r="B60" s="8" t="n">
        <v>45350</v>
      </c>
      <c r="C60" s="7" t="s">
        <v>1021</v>
      </c>
      <c r="D60" s="7" t="s">
        <v>31</v>
      </c>
      <c r="E60" s="7" t="s">
        <v>75</v>
      </c>
      <c r="F60" s="7" t="s">
        <v>190</v>
      </c>
      <c r="G60" s="7" t="s">
        <v>1026</v>
      </c>
      <c r="H60" s="7" t="s">
        <v>1005</v>
      </c>
      <c r="I60" s="7" t="n">
        <v>0</v>
      </c>
      <c r="J60" s="7" t="s">
        <v>1013</v>
      </c>
      <c r="K60" s="7"/>
      <c r="L60" s="7" t="str">
        <f aca="false">IF(K60="","Open Case",K60-B60)</f>
        <v>Open Case</v>
      </c>
    </row>
    <row r="61" customFormat="false" ht="15" hidden="false" customHeight="false" outlineLevel="0" collapsed="false">
      <c r="A61" s="7" t="s">
        <v>1075</v>
      </c>
      <c r="B61" s="8" t="n">
        <v>45926</v>
      </c>
      <c r="C61" s="7" t="s">
        <v>1011</v>
      </c>
      <c r="D61" s="7" t="s">
        <v>52</v>
      </c>
      <c r="E61" s="7" t="s">
        <v>71</v>
      </c>
      <c r="F61" s="7" t="s">
        <v>188</v>
      </c>
      <c r="G61" s="7" t="s">
        <v>1026</v>
      </c>
      <c r="H61" s="7" t="s">
        <v>1012</v>
      </c>
      <c r="I61" s="7" t="n">
        <v>4051414</v>
      </c>
      <c r="J61" s="7" t="s">
        <v>1013</v>
      </c>
      <c r="K61" s="7"/>
      <c r="L61" s="7" t="str">
        <f aca="false">IF(K61="","Open Case",K61-B61)</f>
        <v>Open Case</v>
      </c>
    </row>
    <row r="62" customFormat="false" ht="15" hidden="false" customHeight="false" outlineLevel="0" collapsed="false">
      <c r="A62" s="7" t="s">
        <v>1076</v>
      </c>
      <c r="B62" s="8" t="n">
        <v>45424</v>
      </c>
      <c r="C62" s="7" t="s">
        <v>1021</v>
      </c>
      <c r="D62" s="7" t="s">
        <v>52</v>
      </c>
      <c r="E62" s="7" t="s">
        <v>71</v>
      </c>
      <c r="F62" s="7" t="s">
        <v>186</v>
      </c>
      <c r="G62" s="7" t="s">
        <v>1026</v>
      </c>
      <c r="H62" s="7" t="s">
        <v>1012</v>
      </c>
      <c r="I62" s="7" t="n">
        <v>4226934</v>
      </c>
      <c r="J62" s="7" t="s">
        <v>1006</v>
      </c>
      <c r="K62" s="8" t="n">
        <v>45544</v>
      </c>
      <c r="L62" s="7" t="n">
        <f aca="false">IF(K62="","Open Case",K62-B62)</f>
        <v>120</v>
      </c>
    </row>
    <row r="63" customFormat="false" ht="15" hidden="false" customHeight="false" outlineLevel="0" collapsed="false">
      <c r="A63" s="7" t="s">
        <v>1077</v>
      </c>
      <c r="B63" s="8" t="n">
        <v>45950</v>
      </c>
      <c r="C63" s="7" t="s">
        <v>1003</v>
      </c>
      <c r="D63" s="7" t="s">
        <v>25</v>
      </c>
      <c r="E63" s="7" t="s">
        <v>75</v>
      </c>
      <c r="F63" s="7" t="s">
        <v>186</v>
      </c>
      <c r="G63" s="7" t="s">
        <v>1009</v>
      </c>
      <c r="H63" s="7" t="s">
        <v>1005</v>
      </c>
      <c r="I63" s="7" t="n">
        <v>0</v>
      </c>
      <c r="J63" s="7" t="s">
        <v>1013</v>
      </c>
      <c r="K63" s="7"/>
      <c r="L63" s="7" t="str">
        <f aca="false">IF(K63="","Open Case",K63-B63)</f>
        <v>Open Case</v>
      </c>
    </row>
    <row r="64" customFormat="false" ht="15" hidden="false" customHeight="false" outlineLevel="0" collapsed="false">
      <c r="A64" s="7" t="s">
        <v>1078</v>
      </c>
      <c r="B64" s="8" t="n">
        <v>45793</v>
      </c>
      <c r="C64" s="7" t="s">
        <v>1003</v>
      </c>
      <c r="D64" s="7" t="s">
        <v>52</v>
      </c>
      <c r="E64" s="7" t="s">
        <v>83</v>
      </c>
      <c r="F64" s="7" t="s">
        <v>188</v>
      </c>
      <c r="G64" s="7" t="s">
        <v>1004</v>
      </c>
      <c r="H64" s="7" t="s">
        <v>1005</v>
      </c>
      <c r="I64" s="7" t="n">
        <v>0</v>
      </c>
      <c r="J64" s="7" t="s">
        <v>1013</v>
      </c>
      <c r="K64" s="7"/>
      <c r="L64" s="7" t="str">
        <f aca="false">IF(K64="","Open Case",K64-B64)</f>
        <v>Open Case</v>
      </c>
    </row>
    <row r="65" customFormat="false" ht="15" hidden="false" customHeight="false" outlineLevel="0" collapsed="false">
      <c r="A65" s="7" t="s">
        <v>1079</v>
      </c>
      <c r="B65" s="8" t="n">
        <v>45349</v>
      </c>
      <c r="C65" s="7" t="s">
        <v>1021</v>
      </c>
      <c r="D65" s="7" t="s">
        <v>49</v>
      </c>
      <c r="E65" s="7" t="s">
        <v>79</v>
      </c>
      <c r="F65" s="7" t="s">
        <v>182</v>
      </c>
      <c r="G65" s="7" t="s">
        <v>1026</v>
      </c>
      <c r="H65" s="7" t="s">
        <v>1005</v>
      </c>
      <c r="I65" s="7" t="n">
        <v>0</v>
      </c>
      <c r="J65" s="7" t="s">
        <v>1013</v>
      </c>
      <c r="K65" s="7"/>
      <c r="L65" s="7" t="str">
        <f aca="false">IF(K65="","Open Case",K65-B65)</f>
        <v>Open Case</v>
      </c>
    </row>
    <row r="66" customFormat="false" ht="15" hidden="false" customHeight="false" outlineLevel="0" collapsed="false">
      <c r="A66" s="7" t="s">
        <v>1080</v>
      </c>
      <c r="B66" s="8" t="n">
        <v>45971</v>
      </c>
      <c r="C66" s="7" t="s">
        <v>1019</v>
      </c>
      <c r="D66" s="7" t="s">
        <v>43</v>
      </c>
      <c r="E66" s="7" t="s">
        <v>65</v>
      </c>
      <c r="F66" s="7" t="s">
        <v>192</v>
      </c>
      <c r="G66" s="7" t="s">
        <v>1026</v>
      </c>
      <c r="H66" s="7" t="s">
        <v>1012</v>
      </c>
      <c r="I66" s="7" t="n">
        <v>1961297</v>
      </c>
      <c r="J66" s="7" t="s">
        <v>1013</v>
      </c>
      <c r="K66" s="7"/>
      <c r="L66" s="7" t="str">
        <f aca="false">IF(K66="","Open Case",K66-B66)</f>
        <v>Open Case</v>
      </c>
    </row>
    <row r="67" customFormat="false" ht="15" hidden="false" customHeight="false" outlineLevel="0" collapsed="false">
      <c r="A67" s="7" t="s">
        <v>1081</v>
      </c>
      <c r="B67" s="8" t="n">
        <v>45709</v>
      </c>
      <c r="C67" s="7" t="s">
        <v>1028</v>
      </c>
      <c r="D67" s="7" t="s">
        <v>40</v>
      </c>
      <c r="E67" s="7" t="s">
        <v>79</v>
      </c>
      <c r="F67" s="7" t="s">
        <v>170</v>
      </c>
      <c r="G67" s="7" t="s">
        <v>1004</v>
      </c>
      <c r="H67" s="7" t="s">
        <v>1012</v>
      </c>
      <c r="I67" s="7" t="n">
        <v>2866935</v>
      </c>
      <c r="J67" s="7" t="s">
        <v>1006</v>
      </c>
      <c r="K67" s="8" t="n">
        <v>45727</v>
      </c>
      <c r="L67" s="7" t="n">
        <f aca="false">IF(K67="","Open Case",K67-B67)</f>
        <v>18</v>
      </c>
    </row>
    <row r="68" customFormat="false" ht="15" hidden="false" customHeight="false" outlineLevel="0" collapsed="false">
      <c r="A68" s="7" t="s">
        <v>1082</v>
      </c>
      <c r="B68" s="8" t="n">
        <v>45708</v>
      </c>
      <c r="C68" s="7" t="s">
        <v>1008</v>
      </c>
      <c r="D68" s="7" t="s">
        <v>40</v>
      </c>
      <c r="E68" s="7" t="s">
        <v>71</v>
      </c>
      <c r="F68" s="7" t="s">
        <v>190</v>
      </c>
      <c r="G68" s="7" t="s">
        <v>1004</v>
      </c>
      <c r="H68" s="7" t="s">
        <v>1005</v>
      </c>
      <c r="I68" s="7" t="n">
        <v>0</v>
      </c>
      <c r="J68" s="7" t="s">
        <v>1006</v>
      </c>
      <c r="K68" s="8" t="n">
        <v>45921</v>
      </c>
      <c r="L68" s="7" t="n">
        <f aca="false">IF(K68="","Open Case",K68-B68)</f>
        <v>213</v>
      </c>
    </row>
    <row r="69" customFormat="false" ht="15" hidden="false" customHeight="false" outlineLevel="0" collapsed="false">
      <c r="A69" s="7" t="s">
        <v>1083</v>
      </c>
      <c r="B69" s="8" t="n">
        <v>46015</v>
      </c>
      <c r="C69" s="7" t="s">
        <v>1003</v>
      </c>
      <c r="D69" s="7" t="s">
        <v>49</v>
      </c>
      <c r="E69" s="7" t="s">
        <v>65</v>
      </c>
      <c r="F69" s="7" t="s">
        <v>192</v>
      </c>
      <c r="G69" s="7" t="s">
        <v>1009</v>
      </c>
      <c r="H69" s="7" t="s">
        <v>1005</v>
      </c>
      <c r="I69" s="7" t="n">
        <v>0</v>
      </c>
      <c r="J69" s="7" t="s">
        <v>1013</v>
      </c>
      <c r="K69" s="7"/>
      <c r="L69" s="7" t="str">
        <f aca="false">IF(K69="","Open Case",K69-B69)</f>
        <v>Open Case</v>
      </c>
    </row>
    <row r="70" customFormat="false" ht="15" hidden="false" customHeight="false" outlineLevel="0" collapsed="false">
      <c r="A70" s="7" t="s">
        <v>1084</v>
      </c>
      <c r="B70" s="8" t="n">
        <v>45345</v>
      </c>
      <c r="C70" s="7" t="s">
        <v>1003</v>
      </c>
      <c r="D70" s="7" t="s">
        <v>43</v>
      </c>
      <c r="E70" s="7" t="s">
        <v>83</v>
      </c>
      <c r="F70" s="7" t="s">
        <v>197</v>
      </c>
      <c r="G70" s="7" t="s">
        <v>1004</v>
      </c>
      <c r="H70" s="7" t="s">
        <v>1005</v>
      </c>
      <c r="I70" s="7" t="n">
        <v>0</v>
      </c>
      <c r="J70" s="7" t="s">
        <v>1006</v>
      </c>
      <c r="K70" s="8" t="n">
        <v>45394</v>
      </c>
      <c r="L70" s="7" t="n">
        <f aca="false">IF(K70="","Open Case",K70-B70)</f>
        <v>49</v>
      </c>
    </row>
    <row r="71" customFormat="false" ht="15" hidden="false" customHeight="false" outlineLevel="0" collapsed="false">
      <c r="A71" s="7" t="s">
        <v>1085</v>
      </c>
      <c r="B71" s="8" t="n">
        <v>45906</v>
      </c>
      <c r="C71" s="7" t="s">
        <v>1028</v>
      </c>
      <c r="D71" s="7" t="s">
        <v>34</v>
      </c>
      <c r="E71" s="7" t="s">
        <v>79</v>
      </c>
      <c r="F71" s="7" t="s">
        <v>186</v>
      </c>
      <c r="G71" s="7" t="s">
        <v>1009</v>
      </c>
      <c r="H71" s="7" t="s">
        <v>1012</v>
      </c>
      <c r="I71" s="7" t="n">
        <v>2780800</v>
      </c>
      <c r="J71" s="7" t="s">
        <v>1006</v>
      </c>
      <c r="K71" s="8" t="n">
        <v>45960</v>
      </c>
      <c r="L71" s="7" t="n">
        <f aca="false">IF(K71="","Open Case",K71-B71)</f>
        <v>54</v>
      </c>
    </row>
    <row r="72" customFormat="false" ht="15" hidden="false" customHeight="false" outlineLevel="0" collapsed="false">
      <c r="A72" s="7" t="s">
        <v>1086</v>
      </c>
      <c r="B72" s="8" t="n">
        <v>45336</v>
      </c>
      <c r="C72" s="7" t="s">
        <v>1019</v>
      </c>
      <c r="D72" s="7" t="s">
        <v>37</v>
      </c>
      <c r="E72" s="7" t="s">
        <v>68</v>
      </c>
      <c r="F72" s="7" t="s">
        <v>192</v>
      </c>
      <c r="G72" s="7" t="s">
        <v>1026</v>
      </c>
      <c r="H72" s="7" t="s">
        <v>1012</v>
      </c>
      <c r="I72" s="7" t="n">
        <v>934207</v>
      </c>
      <c r="J72" s="7" t="s">
        <v>1013</v>
      </c>
      <c r="K72" s="7"/>
      <c r="L72" s="7" t="str">
        <f aca="false">IF(K72="","Open Case",K72-B72)</f>
        <v>Open Case</v>
      </c>
    </row>
    <row r="73" customFormat="false" ht="15" hidden="false" customHeight="false" outlineLevel="0" collapsed="false">
      <c r="A73" s="7" t="s">
        <v>1087</v>
      </c>
      <c r="B73" s="8" t="n">
        <v>45733</v>
      </c>
      <c r="C73" s="7" t="s">
        <v>1019</v>
      </c>
      <c r="D73" s="7" t="s">
        <v>40</v>
      </c>
      <c r="E73" s="7" t="s">
        <v>60</v>
      </c>
      <c r="F73" s="7" t="s">
        <v>194</v>
      </c>
      <c r="G73" s="7" t="s">
        <v>1004</v>
      </c>
      <c r="H73" s="7" t="s">
        <v>1012</v>
      </c>
      <c r="I73" s="7" t="n">
        <v>3181654</v>
      </c>
      <c r="J73" s="7" t="s">
        <v>1013</v>
      </c>
      <c r="K73" s="7"/>
      <c r="L73" s="7" t="str">
        <f aca="false">IF(K73="","Open Case",K73-B73)</f>
        <v>Open Case</v>
      </c>
    </row>
    <row r="74" customFormat="false" ht="15" hidden="false" customHeight="false" outlineLevel="0" collapsed="false">
      <c r="A74" s="7" t="s">
        <v>1088</v>
      </c>
      <c r="B74" s="8" t="n">
        <v>46003</v>
      </c>
      <c r="C74" s="7" t="s">
        <v>1015</v>
      </c>
      <c r="D74" s="7" t="s">
        <v>43</v>
      </c>
      <c r="E74" s="7" t="s">
        <v>79</v>
      </c>
      <c r="F74" s="7" t="s">
        <v>178</v>
      </c>
      <c r="G74" s="7" t="s">
        <v>1026</v>
      </c>
      <c r="H74" s="7" t="s">
        <v>1012</v>
      </c>
      <c r="I74" s="7" t="n">
        <v>5239241</v>
      </c>
      <c r="J74" s="7" t="s">
        <v>1013</v>
      </c>
      <c r="K74" s="7"/>
      <c r="L74" s="7" t="str">
        <f aca="false">IF(K74="","Open Case",K74-B74)</f>
        <v>Open Case</v>
      </c>
    </row>
    <row r="75" customFormat="false" ht="15" hidden="false" customHeight="false" outlineLevel="0" collapsed="false">
      <c r="A75" s="7" t="s">
        <v>1089</v>
      </c>
      <c r="B75" s="8" t="n">
        <v>45474</v>
      </c>
      <c r="C75" s="7" t="s">
        <v>1008</v>
      </c>
      <c r="D75" s="7" t="s">
        <v>37</v>
      </c>
      <c r="E75" s="7" t="s">
        <v>75</v>
      </c>
      <c r="F75" s="7" t="s">
        <v>176</v>
      </c>
      <c r="G75" s="7" t="s">
        <v>1009</v>
      </c>
      <c r="H75" s="7" t="s">
        <v>1012</v>
      </c>
      <c r="I75" s="7" t="n">
        <v>1957400</v>
      </c>
      <c r="J75" s="7" t="s">
        <v>1006</v>
      </c>
      <c r="K75" s="8" t="n">
        <v>45681</v>
      </c>
      <c r="L75" s="7" t="n">
        <f aca="false">IF(K75="","Open Case",K75-B75)</f>
        <v>207</v>
      </c>
    </row>
    <row r="76" customFormat="false" ht="15" hidden="false" customHeight="false" outlineLevel="0" collapsed="false">
      <c r="A76" s="7" t="s">
        <v>1090</v>
      </c>
      <c r="B76" s="8" t="n">
        <v>45867</v>
      </c>
      <c r="C76" s="7" t="s">
        <v>1021</v>
      </c>
      <c r="D76" s="7" t="s">
        <v>31</v>
      </c>
      <c r="E76" s="7" t="s">
        <v>60</v>
      </c>
      <c r="F76" s="7" t="s">
        <v>190</v>
      </c>
      <c r="G76" s="7" t="s">
        <v>1026</v>
      </c>
      <c r="H76" s="7" t="s">
        <v>1012</v>
      </c>
      <c r="I76" s="7" t="n">
        <v>4278463</v>
      </c>
      <c r="J76" s="7" t="s">
        <v>1006</v>
      </c>
      <c r="K76" s="8" t="n">
        <v>45937</v>
      </c>
      <c r="L76" s="7" t="n">
        <f aca="false">IF(K76="","Open Case",K76-B76)</f>
        <v>70</v>
      </c>
    </row>
    <row r="77" customFormat="false" ht="15" hidden="false" customHeight="false" outlineLevel="0" collapsed="false">
      <c r="A77" s="7" t="s">
        <v>1091</v>
      </c>
      <c r="B77" s="8" t="n">
        <v>45488</v>
      </c>
      <c r="C77" s="7" t="s">
        <v>1021</v>
      </c>
      <c r="D77" s="7" t="s">
        <v>46</v>
      </c>
      <c r="E77" s="7" t="s">
        <v>79</v>
      </c>
      <c r="F77" s="7" t="s">
        <v>170</v>
      </c>
      <c r="G77" s="7" t="s">
        <v>1009</v>
      </c>
      <c r="H77" s="7" t="s">
        <v>1012</v>
      </c>
      <c r="I77" s="7" t="n">
        <v>2784437</v>
      </c>
      <c r="J77" s="7" t="s">
        <v>1013</v>
      </c>
      <c r="K77" s="7"/>
      <c r="L77" s="7" t="str">
        <f aca="false">IF(K77="","Open Case",K77-B77)</f>
        <v>Open Case</v>
      </c>
    </row>
    <row r="78" customFormat="false" ht="15" hidden="false" customHeight="false" outlineLevel="0" collapsed="false">
      <c r="A78" s="7" t="s">
        <v>1092</v>
      </c>
      <c r="B78" s="8" t="n">
        <v>45525</v>
      </c>
      <c r="C78" s="7" t="s">
        <v>1011</v>
      </c>
      <c r="D78" s="7" t="s">
        <v>46</v>
      </c>
      <c r="E78" s="7" t="s">
        <v>71</v>
      </c>
      <c r="F78" s="7" t="s">
        <v>190</v>
      </c>
      <c r="G78" s="7" t="s">
        <v>1026</v>
      </c>
      <c r="H78" s="7" t="s">
        <v>1012</v>
      </c>
      <c r="I78" s="7" t="n">
        <v>3164242</v>
      </c>
      <c r="J78" s="7" t="s">
        <v>1006</v>
      </c>
      <c r="K78" s="8" t="n">
        <v>45668</v>
      </c>
      <c r="L78" s="7" t="n">
        <f aca="false">IF(K78="","Open Case",K78-B78)</f>
        <v>143</v>
      </c>
    </row>
    <row r="79" customFormat="false" ht="15" hidden="false" customHeight="false" outlineLevel="0" collapsed="false">
      <c r="A79" s="7" t="s">
        <v>1093</v>
      </c>
      <c r="B79" s="8" t="n">
        <v>45834</v>
      </c>
      <c r="C79" s="7" t="s">
        <v>1021</v>
      </c>
      <c r="D79" s="7" t="s">
        <v>40</v>
      </c>
      <c r="E79" s="7" t="s">
        <v>87</v>
      </c>
      <c r="F79" s="7" t="s">
        <v>199</v>
      </c>
      <c r="G79" s="7" t="s">
        <v>1004</v>
      </c>
      <c r="H79" s="7" t="s">
        <v>1012</v>
      </c>
      <c r="I79" s="7" t="n">
        <v>456162</v>
      </c>
      <c r="J79" s="7" t="s">
        <v>1006</v>
      </c>
      <c r="K79" s="8" t="n">
        <v>45962</v>
      </c>
      <c r="L79" s="7" t="n">
        <f aca="false">IF(K79="","Open Case",K79-B79)</f>
        <v>128</v>
      </c>
    </row>
    <row r="80" customFormat="false" ht="15" hidden="false" customHeight="false" outlineLevel="0" collapsed="false">
      <c r="A80" s="7" t="s">
        <v>1094</v>
      </c>
      <c r="B80" s="8" t="n">
        <v>45524</v>
      </c>
      <c r="C80" s="7" t="s">
        <v>1008</v>
      </c>
      <c r="D80" s="7" t="s">
        <v>34</v>
      </c>
      <c r="E80" s="7" t="s">
        <v>87</v>
      </c>
      <c r="F80" s="7" t="s">
        <v>194</v>
      </c>
      <c r="G80" s="7" t="s">
        <v>1009</v>
      </c>
      <c r="H80" s="7" t="s">
        <v>1012</v>
      </c>
      <c r="I80" s="7" t="n">
        <v>2180933</v>
      </c>
      <c r="J80" s="7" t="s">
        <v>1013</v>
      </c>
      <c r="K80" s="7"/>
      <c r="L80" s="7" t="str">
        <f aca="false">IF(K80="","Open Case",K80-B80)</f>
        <v>Open Case</v>
      </c>
    </row>
    <row r="81" customFormat="false" ht="15" hidden="false" customHeight="false" outlineLevel="0" collapsed="false">
      <c r="A81" s="7" t="s">
        <v>1095</v>
      </c>
      <c r="B81" s="8" t="n">
        <v>46006</v>
      </c>
      <c r="C81" s="7" t="s">
        <v>1015</v>
      </c>
      <c r="D81" s="7" t="s">
        <v>40</v>
      </c>
      <c r="E81" s="7" t="s">
        <v>87</v>
      </c>
      <c r="F81" s="7" t="s">
        <v>182</v>
      </c>
      <c r="G81" s="7" t="s">
        <v>1026</v>
      </c>
      <c r="H81" s="7" t="s">
        <v>1012</v>
      </c>
      <c r="I81" s="7" t="n">
        <v>566040</v>
      </c>
      <c r="J81" s="7" t="s">
        <v>1006</v>
      </c>
      <c r="K81" s="8" t="n">
        <v>46039</v>
      </c>
      <c r="L81" s="7" t="n">
        <f aca="false">IF(K81="","Open Case",K81-B81)</f>
        <v>33</v>
      </c>
    </row>
    <row r="82" customFormat="false" ht="15" hidden="false" customHeight="false" outlineLevel="0" collapsed="false">
      <c r="A82" s="7" t="s">
        <v>1096</v>
      </c>
      <c r="B82" s="8" t="n">
        <v>45455</v>
      </c>
      <c r="C82" s="7" t="s">
        <v>1015</v>
      </c>
      <c r="D82" s="7" t="s">
        <v>46</v>
      </c>
      <c r="E82" s="7" t="s">
        <v>83</v>
      </c>
      <c r="F82" s="7" t="s">
        <v>201</v>
      </c>
      <c r="G82" s="7" t="s">
        <v>1004</v>
      </c>
      <c r="H82" s="7" t="s">
        <v>1005</v>
      </c>
      <c r="I82" s="7" t="n">
        <v>0</v>
      </c>
      <c r="J82" s="7" t="s">
        <v>1013</v>
      </c>
      <c r="K82" s="7"/>
      <c r="L82" s="7" t="str">
        <f aca="false">IF(K82="","Open Case",K82-B82)</f>
        <v>Open Case</v>
      </c>
    </row>
    <row r="83" customFormat="false" ht="15" hidden="false" customHeight="false" outlineLevel="0" collapsed="false">
      <c r="A83" s="7" t="s">
        <v>1097</v>
      </c>
      <c r="B83" s="8" t="n">
        <v>45643</v>
      </c>
      <c r="C83" s="7" t="s">
        <v>1021</v>
      </c>
      <c r="D83" s="7" t="s">
        <v>34</v>
      </c>
      <c r="E83" s="7" t="s">
        <v>65</v>
      </c>
      <c r="F83" s="7" t="s">
        <v>201</v>
      </c>
      <c r="G83" s="7" t="s">
        <v>1026</v>
      </c>
      <c r="H83" s="7" t="s">
        <v>1005</v>
      </c>
      <c r="I83" s="7" t="n">
        <v>0</v>
      </c>
      <c r="J83" s="7" t="s">
        <v>1006</v>
      </c>
      <c r="K83" s="8" t="n">
        <v>45727</v>
      </c>
      <c r="L83" s="7" t="n">
        <f aca="false">IF(K83="","Open Case",K83-B83)</f>
        <v>84</v>
      </c>
    </row>
    <row r="84" customFormat="false" ht="15" hidden="false" customHeight="false" outlineLevel="0" collapsed="false">
      <c r="A84" s="7" t="s">
        <v>1098</v>
      </c>
      <c r="B84" s="8" t="n">
        <v>45815</v>
      </c>
      <c r="C84" s="7" t="s">
        <v>1003</v>
      </c>
      <c r="D84" s="7" t="s">
        <v>46</v>
      </c>
      <c r="E84" s="7" t="s">
        <v>79</v>
      </c>
      <c r="F84" s="7" t="s">
        <v>190</v>
      </c>
      <c r="G84" s="7" t="s">
        <v>1026</v>
      </c>
      <c r="H84" s="7" t="s">
        <v>1005</v>
      </c>
      <c r="I84" s="7" t="n">
        <v>0</v>
      </c>
      <c r="J84" s="7" t="s">
        <v>1006</v>
      </c>
      <c r="K84" s="8" t="n">
        <v>45846</v>
      </c>
      <c r="L84" s="7" t="n">
        <f aca="false">IF(K84="","Open Case",K84-B84)</f>
        <v>31</v>
      </c>
    </row>
    <row r="85" customFormat="false" ht="15" hidden="false" customHeight="false" outlineLevel="0" collapsed="false">
      <c r="A85" s="7" t="s">
        <v>1099</v>
      </c>
      <c r="B85" s="8" t="n">
        <v>45900</v>
      </c>
      <c r="C85" s="7" t="s">
        <v>1028</v>
      </c>
      <c r="D85" s="7" t="s">
        <v>43</v>
      </c>
      <c r="E85" s="7" t="s">
        <v>65</v>
      </c>
      <c r="F85" s="7" t="s">
        <v>192</v>
      </c>
      <c r="G85" s="7" t="s">
        <v>1026</v>
      </c>
      <c r="H85" s="7" t="s">
        <v>1005</v>
      </c>
      <c r="I85" s="7" t="n">
        <v>0</v>
      </c>
      <c r="J85" s="7" t="s">
        <v>1006</v>
      </c>
      <c r="K85" s="8" t="n">
        <v>46082</v>
      </c>
      <c r="L85" s="7" t="n">
        <f aca="false">IF(K85="","Open Case",K85-B85)</f>
        <v>182</v>
      </c>
    </row>
    <row r="86" customFormat="false" ht="15" hidden="false" customHeight="false" outlineLevel="0" collapsed="false">
      <c r="A86" s="7" t="s">
        <v>1100</v>
      </c>
      <c r="B86" s="8" t="n">
        <v>45393</v>
      </c>
      <c r="C86" s="7" t="s">
        <v>1003</v>
      </c>
      <c r="D86" s="7" t="s">
        <v>46</v>
      </c>
      <c r="E86" s="7" t="s">
        <v>60</v>
      </c>
      <c r="F86" s="7" t="s">
        <v>192</v>
      </c>
      <c r="G86" s="7" t="s">
        <v>1009</v>
      </c>
      <c r="H86" s="7" t="s">
        <v>1005</v>
      </c>
      <c r="I86" s="7" t="n">
        <v>0</v>
      </c>
      <c r="J86" s="7" t="s">
        <v>1006</v>
      </c>
      <c r="K86" s="8" t="n">
        <v>45572</v>
      </c>
      <c r="L86" s="7" t="n">
        <f aca="false">IF(K86="","Open Case",K86-B86)</f>
        <v>179</v>
      </c>
    </row>
    <row r="87" customFormat="false" ht="15" hidden="false" customHeight="false" outlineLevel="0" collapsed="false">
      <c r="A87" s="7" t="s">
        <v>1101</v>
      </c>
      <c r="B87" s="8" t="n">
        <v>45495</v>
      </c>
      <c r="C87" s="7" t="s">
        <v>1008</v>
      </c>
      <c r="D87" s="7" t="s">
        <v>49</v>
      </c>
      <c r="E87" s="7" t="s">
        <v>79</v>
      </c>
      <c r="F87" s="7" t="s">
        <v>194</v>
      </c>
      <c r="G87" s="7" t="s">
        <v>1004</v>
      </c>
      <c r="H87" s="7" t="s">
        <v>1012</v>
      </c>
      <c r="I87" s="7" t="n">
        <v>1445430</v>
      </c>
      <c r="J87" s="7" t="s">
        <v>1013</v>
      </c>
      <c r="K87" s="7"/>
      <c r="L87" s="7" t="str">
        <f aca="false">IF(K87="","Open Case",K87-B87)</f>
        <v>Open Case</v>
      </c>
    </row>
    <row r="88" customFormat="false" ht="15" hidden="false" customHeight="false" outlineLevel="0" collapsed="false">
      <c r="A88" s="7" t="s">
        <v>1102</v>
      </c>
      <c r="B88" s="8" t="n">
        <v>45722</v>
      </c>
      <c r="C88" s="7" t="s">
        <v>1011</v>
      </c>
      <c r="D88" s="7" t="s">
        <v>43</v>
      </c>
      <c r="E88" s="7" t="s">
        <v>60</v>
      </c>
      <c r="F88" s="7" t="s">
        <v>170</v>
      </c>
      <c r="G88" s="7" t="s">
        <v>1004</v>
      </c>
      <c r="H88" s="7" t="s">
        <v>1012</v>
      </c>
      <c r="I88" s="7" t="n">
        <v>2690560</v>
      </c>
      <c r="J88" s="7" t="s">
        <v>1006</v>
      </c>
      <c r="K88" s="8" t="n">
        <v>45904</v>
      </c>
      <c r="L88" s="7" t="n">
        <f aca="false">IF(K88="","Open Case",K88-B88)</f>
        <v>182</v>
      </c>
    </row>
    <row r="89" customFormat="false" ht="15" hidden="false" customHeight="false" outlineLevel="0" collapsed="false">
      <c r="A89" s="7" t="s">
        <v>1103</v>
      </c>
      <c r="B89" s="8" t="n">
        <v>45338</v>
      </c>
      <c r="C89" s="7" t="s">
        <v>1008</v>
      </c>
      <c r="D89" s="7" t="s">
        <v>49</v>
      </c>
      <c r="E89" s="7" t="s">
        <v>71</v>
      </c>
      <c r="F89" s="7" t="s">
        <v>180</v>
      </c>
      <c r="G89" s="7" t="s">
        <v>1009</v>
      </c>
      <c r="H89" s="7" t="s">
        <v>1012</v>
      </c>
      <c r="I89" s="7" t="n">
        <v>5820386</v>
      </c>
      <c r="J89" s="7" t="s">
        <v>1006</v>
      </c>
      <c r="K89" s="8" t="n">
        <v>45555</v>
      </c>
      <c r="L89" s="7" t="n">
        <f aca="false">IF(K89="","Open Case",K89-B89)</f>
        <v>217</v>
      </c>
    </row>
    <row r="90" customFormat="false" ht="15" hidden="false" customHeight="false" outlineLevel="0" collapsed="false">
      <c r="A90" s="7" t="s">
        <v>1104</v>
      </c>
      <c r="B90" s="8" t="n">
        <v>45917</v>
      </c>
      <c r="C90" s="7" t="s">
        <v>1003</v>
      </c>
      <c r="D90" s="7" t="s">
        <v>34</v>
      </c>
      <c r="E90" s="7" t="s">
        <v>79</v>
      </c>
      <c r="F90" s="7" t="s">
        <v>188</v>
      </c>
      <c r="G90" s="7" t="s">
        <v>1026</v>
      </c>
      <c r="H90" s="7" t="s">
        <v>1012</v>
      </c>
      <c r="I90" s="7" t="n">
        <v>4054880</v>
      </c>
      <c r="J90" s="7" t="s">
        <v>1013</v>
      </c>
      <c r="K90" s="7"/>
      <c r="L90" s="7" t="str">
        <f aca="false">IF(K90="","Open Case",K90-B90)</f>
        <v>Open Case</v>
      </c>
    </row>
    <row r="91" customFormat="false" ht="15" hidden="false" customHeight="false" outlineLevel="0" collapsed="false">
      <c r="A91" s="7" t="s">
        <v>1105</v>
      </c>
      <c r="B91" s="8" t="n">
        <v>45387</v>
      </c>
      <c r="C91" s="7" t="s">
        <v>1021</v>
      </c>
      <c r="D91" s="7" t="s">
        <v>40</v>
      </c>
      <c r="E91" s="7" t="s">
        <v>75</v>
      </c>
      <c r="F91" s="7" t="s">
        <v>182</v>
      </c>
      <c r="G91" s="7" t="s">
        <v>1026</v>
      </c>
      <c r="H91" s="7" t="s">
        <v>1012</v>
      </c>
      <c r="I91" s="7" t="n">
        <v>5636054</v>
      </c>
      <c r="J91" s="7" t="s">
        <v>1006</v>
      </c>
      <c r="K91" s="8" t="n">
        <v>45609</v>
      </c>
      <c r="L91" s="7" t="n">
        <f aca="false">IF(K91="","Open Case",K91-B91)</f>
        <v>222</v>
      </c>
    </row>
    <row r="92" customFormat="false" ht="15" hidden="false" customHeight="false" outlineLevel="0" collapsed="false">
      <c r="A92" s="7" t="s">
        <v>1106</v>
      </c>
      <c r="B92" s="8" t="n">
        <v>45615</v>
      </c>
      <c r="C92" s="7" t="s">
        <v>1003</v>
      </c>
      <c r="D92" s="7" t="s">
        <v>43</v>
      </c>
      <c r="E92" s="7" t="s">
        <v>87</v>
      </c>
      <c r="F92" s="7" t="s">
        <v>197</v>
      </c>
      <c r="G92" s="7" t="s">
        <v>1026</v>
      </c>
      <c r="H92" s="7" t="s">
        <v>1012</v>
      </c>
      <c r="I92" s="7" t="n">
        <v>498212</v>
      </c>
      <c r="J92" s="7" t="s">
        <v>1006</v>
      </c>
      <c r="K92" s="8" t="n">
        <v>45652</v>
      </c>
      <c r="L92" s="7" t="n">
        <f aca="false">IF(K92="","Open Case",K92-B92)</f>
        <v>37</v>
      </c>
    </row>
    <row r="93" customFormat="false" ht="15" hidden="false" customHeight="false" outlineLevel="0" collapsed="false">
      <c r="A93" s="7" t="s">
        <v>1107</v>
      </c>
      <c r="B93" s="8" t="n">
        <v>45371</v>
      </c>
      <c r="C93" s="7" t="s">
        <v>1008</v>
      </c>
      <c r="D93" s="7" t="s">
        <v>25</v>
      </c>
      <c r="E93" s="7" t="s">
        <v>68</v>
      </c>
      <c r="F93" s="7" t="s">
        <v>186</v>
      </c>
      <c r="G93" s="7" t="s">
        <v>1009</v>
      </c>
      <c r="H93" s="7" t="s">
        <v>1012</v>
      </c>
      <c r="I93" s="7" t="n">
        <v>4368065</v>
      </c>
      <c r="J93" s="7" t="s">
        <v>1006</v>
      </c>
      <c r="K93" s="8" t="n">
        <v>45539</v>
      </c>
      <c r="L93" s="7" t="n">
        <f aca="false">IF(K93="","Open Case",K93-B93)</f>
        <v>168</v>
      </c>
    </row>
    <row r="94" customFormat="false" ht="15" hidden="false" customHeight="false" outlineLevel="0" collapsed="false">
      <c r="A94" s="7" t="s">
        <v>1108</v>
      </c>
      <c r="B94" s="8" t="n">
        <v>45519</v>
      </c>
      <c r="C94" s="7" t="s">
        <v>1015</v>
      </c>
      <c r="D94" s="7" t="s">
        <v>49</v>
      </c>
      <c r="E94" s="7" t="s">
        <v>71</v>
      </c>
      <c r="F94" s="7" t="s">
        <v>180</v>
      </c>
      <c r="G94" s="7" t="s">
        <v>1009</v>
      </c>
      <c r="H94" s="7" t="s">
        <v>1005</v>
      </c>
      <c r="I94" s="7" t="n">
        <v>0</v>
      </c>
      <c r="J94" s="7" t="s">
        <v>1013</v>
      </c>
      <c r="K94" s="7"/>
      <c r="L94" s="7" t="str">
        <f aca="false">IF(K94="","Open Case",K94-B94)</f>
        <v>Open Case</v>
      </c>
    </row>
    <row r="95" customFormat="false" ht="15" hidden="false" customHeight="false" outlineLevel="0" collapsed="false">
      <c r="A95" s="7" t="s">
        <v>1109</v>
      </c>
      <c r="B95" s="8" t="n">
        <v>45616</v>
      </c>
      <c r="C95" s="7" t="s">
        <v>1015</v>
      </c>
      <c r="D95" s="7" t="s">
        <v>34</v>
      </c>
      <c r="E95" s="7" t="s">
        <v>79</v>
      </c>
      <c r="F95" s="7" t="s">
        <v>192</v>
      </c>
      <c r="G95" s="7" t="s">
        <v>1009</v>
      </c>
      <c r="H95" s="7" t="s">
        <v>1012</v>
      </c>
      <c r="I95" s="7" t="n">
        <v>188477</v>
      </c>
      <c r="J95" s="7" t="s">
        <v>1006</v>
      </c>
      <c r="K95" s="8" t="n">
        <v>45656</v>
      </c>
      <c r="L95" s="7" t="n">
        <f aca="false">IF(K95="","Open Case",K95-B95)</f>
        <v>40</v>
      </c>
    </row>
    <row r="96" customFormat="false" ht="15" hidden="false" customHeight="false" outlineLevel="0" collapsed="false">
      <c r="A96" s="7" t="s">
        <v>1110</v>
      </c>
      <c r="B96" s="8" t="n">
        <v>45328</v>
      </c>
      <c r="C96" s="7" t="s">
        <v>1028</v>
      </c>
      <c r="D96" s="7" t="s">
        <v>40</v>
      </c>
      <c r="E96" s="7" t="s">
        <v>75</v>
      </c>
      <c r="F96" s="7" t="s">
        <v>188</v>
      </c>
      <c r="G96" s="7" t="s">
        <v>1026</v>
      </c>
      <c r="H96" s="7" t="s">
        <v>1012</v>
      </c>
      <c r="I96" s="7" t="n">
        <v>1718803</v>
      </c>
      <c r="J96" s="7" t="s">
        <v>1013</v>
      </c>
      <c r="K96" s="7"/>
      <c r="L96" s="7" t="str">
        <f aca="false">IF(K96="","Open Case",K96-B96)</f>
        <v>Open Case</v>
      </c>
    </row>
    <row r="97" customFormat="false" ht="15" hidden="false" customHeight="false" outlineLevel="0" collapsed="false">
      <c r="A97" s="7" t="s">
        <v>1111</v>
      </c>
      <c r="B97" s="8" t="n">
        <v>45736</v>
      </c>
      <c r="C97" s="7" t="s">
        <v>1011</v>
      </c>
      <c r="D97" s="7" t="s">
        <v>40</v>
      </c>
      <c r="E97" s="7" t="s">
        <v>60</v>
      </c>
      <c r="F97" s="7" t="s">
        <v>172</v>
      </c>
      <c r="G97" s="7" t="s">
        <v>1026</v>
      </c>
      <c r="H97" s="7" t="s">
        <v>1005</v>
      </c>
      <c r="I97" s="7" t="n">
        <v>0</v>
      </c>
      <c r="J97" s="7" t="s">
        <v>1006</v>
      </c>
      <c r="K97" s="8" t="n">
        <v>45769</v>
      </c>
      <c r="L97" s="7" t="n">
        <f aca="false">IF(K97="","Open Case",K97-B97)</f>
        <v>33</v>
      </c>
    </row>
    <row r="98" customFormat="false" ht="15" hidden="false" customHeight="false" outlineLevel="0" collapsed="false">
      <c r="A98" s="7" t="s">
        <v>1112</v>
      </c>
      <c r="B98" s="8" t="n">
        <v>45948</v>
      </c>
      <c r="C98" s="7" t="s">
        <v>1019</v>
      </c>
      <c r="D98" s="7" t="s">
        <v>34</v>
      </c>
      <c r="E98" s="7" t="s">
        <v>83</v>
      </c>
      <c r="F98" s="7" t="s">
        <v>197</v>
      </c>
      <c r="G98" s="7" t="s">
        <v>1004</v>
      </c>
      <c r="H98" s="7" t="s">
        <v>1005</v>
      </c>
      <c r="I98" s="7" t="n">
        <v>0</v>
      </c>
      <c r="J98" s="7" t="s">
        <v>1013</v>
      </c>
      <c r="K98" s="7"/>
      <c r="L98" s="7" t="str">
        <f aca="false">IF(K98="","Open Case",K98-B98)</f>
        <v>Open Case</v>
      </c>
    </row>
    <row r="99" customFormat="false" ht="15" hidden="false" customHeight="false" outlineLevel="0" collapsed="false">
      <c r="A99" s="7" t="s">
        <v>1113</v>
      </c>
      <c r="B99" s="8" t="n">
        <v>45513</v>
      </c>
      <c r="C99" s="7" t="s">
        <v>1021</v>
      </c>
      <c r="D99" s="7" t="s">
        <v>52</v>
      </c>
      <c r="E99" s="7" t="s">
        <v>71</v>
      </c>
      <c r="F99" s="7" t="s">
        <v>178</v>
      </c>
      <c r="G99" s="7" t="s">
        <v>1026</v>
      </c>
      <c r="H99" s="7" t="s">
        <v>1005</v>
      </c>
      <c r="I99" s="7" t="n">
        <v>0</v>
      </c>
      <c r="J99" s="7" t="s">
        <v>1006</v>
      </c>
      <c r="K99" s="8" t="n">
        <v>45580</v>
      </c>
      <c r="L99" s="7" t="n">
        <f aca="false">IF(K99="","Open Case",K99-B99)</f>
        <v>67</v>
      </c>
    </row>
    <row r="100" customFormat="false" ht="15" hidden="false" customHeight="false" outlineLevel="0" collapsed="false">
      <c r="A100" s="7" t="s">
        <v>1114</v>
      </c>
      <c r="B100" s="8" t="n">
        <v>45389</v>
      </c>
      <c r="C100" s="7" t="s">
        <v>1019</v>
      </c>
      <c r="D100" s="7" t="s">
        <v>43</v>
      </c>
      <c r="E100" s="7" t="s">
        <v>87</v>
      </c>
      <c r="F100" s="7" t="s">
        <v>201</v>
      </c>
      <c r="G100" s="7" t="s">
        <v>1004</v>
      </c>
      <c r="H100" s="7" t="s">
        <v>1005</v>
      </c>
      <c r="I100" s="7" t="n">
        <v>0</v>
      </c>
      <c r="J100" s="7" t="s">
        <v>1006</v>
      </c>
      <c r="K100" s="8" t="n">
        <v>45591</v>
      </c>
      <c r="L100" s="7" t="n">
        <f aca="false">IF(K100="","Open Case",K100-B100)</f>
        <v>202</v>
      </c>
    </row>
    <row r="101" customFormat="false" ht="15" hidden="false" customHeight="false" outlineLevel="0" collapsed="false">
      <c r="A101" s="7" t="s">
        <v>1115</v>
      </c>
      <c r="B101" s="8" t="n">
        <v>46017</v>
      </c>
      <c r="C101" s="7" t="s">
        <v>1028</v>
      </c>
      <c r="D101" s="7" t="s">
        <v>43</v>
      </c>
      <c r="E101" s="7" t="s">
        <v>83</v>
      </c>
      <c r="F101" s="7" t="s">
        <v>182</v>
      </c>
      <c r="G101" s="7" t="s">
        <v>1009</v>
      </c>
      <c r="H101" s="7" t="s">
        <v>1005</v>
      </c>
      <c r="I101" s="7" t="n">
        <v>0</v>
      </c>
      <c r="J101" s="7" t="s">
        <v>1006</v>
      </c>
      <c r="K101" s="8" t="n">
        <v>46195</v>
      </c>
      <c r="L101" s="7" t="n">
        <f aca="false">IF(K101="","Open Case",K101-B101)</f>
        <v>178</v>
      </c>
    </row>
    <row r="102" customFormat="false" ht="15" hidden="false" customHeight="false" outlineLevel="0" collapsed="false">
      <c r="A102" s="7" t="s">
        <v>1116</v>
      </c>
      <c r="B102" s="8" t="n">
        <v>45663</v>
      </c>
      <c r="C102" s="7" t="s">
        <v>1008</v>
      </c>
      <c r="D102" s="7" t="s">
        <v>34</v>
      </c>
      <c r="E102" s="7" t="s">
        <v>83</v>
      </c>
      <c r="F102" s="7" t="s">
        <v>180</v>
      </c>
      <c r="G102" s="7" t="s">
        <v>1004</v>
      </c>
      <c r="H102" s="7" t="s">
        <v>1012</v>
      </c>
      <c r="I102" s="7" t="n">
        <v>1659756</v>
      </c>
      <c r="J102" s="7" t="s">
        <v>1006</v>
      </c>
      <c r="K102" s="8" t="n">
        <v>45736</v>
      </c>
      <c r="L102" s="7" t="n">
        <f aca="false">IF(K102="","Open Case",K102-B102)</f>
        <v>73</v>
      </c>
    </row>
    <row r="103" customFormat="false" ht="15" hidden="false" customHeight="false" outlineLevel="0" collapsed="false">
      <c r="A103" s="7" t="s">
        <v>1117</v>
      </c>
      <c r="B103" s="8" t="n">
        <v>45645</v>
      </c>
      <c r="C103" s="7" t="s">
        <v>1011</v>
      </c>
      <c r="D103" s="7" t="s">
        <v>31</v>
      </c>
      <c r="E103" s="7" t="s">
        <v>75</v>
      </c>
      <c r="F103" s="7" t="s">
        <v>186</v>
      </c>
      <c r="G103" s="7" t="s">
        <v>1004</v>
      </c>
      <c r="H103" s="7" t="s">
        <v>1012</v>
      </c>
      <c r="I103" s="7" t="n">
        <v>4046659</v>
      </c>
      <c r="J103" s="7" t="s">
        <v>1006</v>
      </c>
      <c r="K103" s="8" t="n">
        <v>45806</v>
      </c>
      <c r="L103" s="7" t="n">
        <f aca="false">IF(K103="","Open Case",K103-B103)</f>
        <v>161</v>
      </c>
    </row>
    <row r="104" customFormat="false" ht="15" hidden="false" customHeight="false" outlineLevel="0" collapsed="false">
      <c r="A104" s="7" t="s">
        <v>1118</v>
      </c>
      <c r="B104" s="8" t="n">
        <v>45865</v>
      </c>
      <c r="C104" s="7" t="s">
        <v>1003</v>
      </c>
      <c r="D104" s="7" t="s">
        <v>43</v>
      </c>
      <c r="E104" s="7" t="s">
        <v>83</v>
      </c>
      <c r="F104" s="7" t="s">
        <v>170</v>
      </c>
      <c r="G104" s="7" t="s">
        <v>1004</v>
      </c>
      <c r="H104" s="7" t="s">
        <v>1005</v>
      </c>
      <c r="I104" s="7" t="n">
        <v>0</v>
      </c>
      <c r="J104" s="7" t="s">
        <v>1013</v>
      </c>
      <c r="K104" s="7"/>
      <c r="L104" s="7" t="str">
        <f aca="false">IF(K104="","Open Case",K104-B104)</f>
        <v>Open Case</v>
      </c>
    </row>
    <row r="105" customFormat="false" ht="15" hidden="false" customHeight="false" outlineLevel="0" collapsed="false">
      <c r="A105" s="7" t="s">
        <v>1119</v>
      </c>
      <c r="B105" s="8" t="n">
        <v>45430</v>
      </c>
      <c r="C105" s="7" t="s">
        <v>1008</v>
      </c>
      <c r="D105" s="7" t="s">
        <v>34</v>
      </c>
      <c r="E105" s="7" t="s">
        <v>68</v>
      </c>
      <c r="F105" s="7" t="s">
        <v>188</v>
      </c>
      <c r="G105" s="7" t="s">
        <v>1026</v>
      </c>
      <c r="H105" s="7" t="s">
        <v>1012</v>
      </c>
      <c r="I105" s="7" t="n">
        <v>5688766</v>
      </c>
      <c r="J105" s="7" t="s">
        <v>1006</v>
      </c>
      <c r="K105" s="8" t="n">
        <v>45559</v>
      </c>
      <c r="L105" s="7" t="n">
        <f aca="false">IF(K105="","Open Case",K105-B105)</f>
        <v>129</v>
      </c>
    </row>
    <row r="106" customFormat="false" ht="15" hidden="false" customHeight="false" outlineLevel="0" collapsed="false">
      <c r="A106" s="7" t="s">
        <v>1120</v>
      </c>
      <c r="B106" s="8" t="n">
        <v>45715</v>
      </c>
      <c r="C106" s="7" t="s">
        <v>1028</v>
      </c>
      <c r="D106" s="7" t="s">
        <v>46</v>
      </c>
      <c r="E106" s="7" t="s">
        <v>71</v>
      </c>
      <c r="F106" s="7" t="s">
        <v>176</v>
      </c>
      <c r="G106" s="7" t="s">
        <v>1009</v>
      </c>
      <c r="H106" s="7" t="s">
        <v>1005</v>
      </c>
      <c r="I106" s="7" t="n">
        <v>0</v>
      </c>
      <c r="J106" s="7" t="s">
        <v>1006</v>
      </c>
      <c r="K106" s="8" t="n">
        <v>45954</v>
      </c>
      <c r="L106" s="7" t="n">
        <f aca="false">IF(K106="","Open Case",K106-B106)</f>
        <v>239</v>
      </c>
    </row>
    <row r="107" customFormat="false" ht="15" hidden="false" customHeight="false" outlineLevel="0" collapsed="false">
      <c r="A107" s="7" t="s">
        <v>1121</v>
      </c>
      <c r="B107" s="8" t="n">
        <v>45423</v>
      </c>
      <c r="C107" s="7" t="s">
        <v>1003</v>
      </c>
      <c r="D107" s="7" t="s">
        <v>46</v>
      </c>
      <c r="E107" s="7" t="s">
        <v>83</v>
      </c>
      <c r="F107" s="7" t="s">
        <v>186</v>
      </c>
      <c r="G107" s="7" t="s">
        <v>1009</v>
      </c>
      <c r="H107" s="7" t="s">
        <v>1012</v>
      </c>
      <c r="I107" s="7" t="n">
        <v>1534777</v>
      </c>
      <c r="J107" s="7" t="s">
        <v>1013</v>
      </c>
      <c r="K107" s="7"/>
      <c r="L107" s="7" t="str">
        <f aca="false">IF(K107="","Open Case",K107-B107)</f>
        <v>Open Case</v>
      </c>
    </row>
    <row r="108" customFormat="false" ht="15" hidden="false" customHeight="false" outlineLevel="0" collapsed="false">
      <c r="A108" s="7" t="s">
        <v>1122</v>
      </c>
      <c r="B108" s="8" t="n">
        <v>45479</v>
      </c>
      <c r="C108" s="7" t="s">
        <v>1019</v>
      </c>
      <c r="D108" s="7" t="s">
        <v>52</v>
      </c>
      <c r="E108" s="7" t="s">
        <v>71</v>
      </c>
      <c r="F108" s="7" t="s">
        <v>197</v>
      </c>
      <c r="G108" s="7" t="s">
        <v>1026</v>
      </c>
      <c r="H108" s="7" t="s">
        <v>1005</v>
      </c>
      <c r="I108" s="7" t="n">
        <v>0</v>
      </c>
      <c r="J108" s="7" t="s">
        <v>1013</v>
      </c>
      <c r="K108" s="7"/>
      <c r="L108" s="7" t="str">
        <f aca="false">IF(K108="","Open Case",K108-B108)</f>
        <v>Open Case</v>
      </c>
    </row>
    <row r="109" customFormat="false" ht="15" hidden="false" customHeight="false" outlineLevel="0" collapsed="false">
      <c r="A109" s="7" t="s">
        <v>1123</v>
      </c>
      <c r="B109" s="8" t="n">
        <v>45321</v>
      </c>
      <c r="C109" s="7" t="s">
        <v>1011</v>
      </c>
      <c r="D109" s="7" t="s">
        <v>37</v>
      </c>
      <c r="E109" s="7" t="s">
        <v>87</v>
      </c>
      <c r="F109" s="7" t="s">
        <v>172</v>
      </c>
      <c r="G109" s="7" t="s">
        <v>1026</v>
      </c>
      <c r="H109" s="7" t="s">
        <v>1012</v>
      </c>
      <c r="I109" s="7" t="n">
        <v>4512272</v>
      </c>
      <c r="J109" s="7" t="s">
        <v>1006</v>
      </c>
      <c r="K109" s="8" t="n">
        <v>45548</v>
      </c>
      <c r="L109" s="7" t="n">
        <f aca="false">IF(K109="","Open Case",K109-B109)</f>
        <v>227</v>
      </c>
    </row>
    <row r="110" customFormat="false" ht="15" hidden="false" customHeight="false" outlineLevel="0" collapsed="false">
      <c r="A110" s="7" t="s">
        <v>1124</v>
      </c>
      <c r="B110" s="8" t="n">
        <v>45586</v>
      </c>
      <c r="C110" s="7" t="s">
        <v>1028</v>
      </c>
      <c r="D110" s="7" t="s">
        <v>37</v>
      </c>
      <c r="E110" s="7" t="s">
        <v>68</v>
      </c>
      <c r="F110" s="7" t="s">
        <v>192</v>
      </c>
      <c r="G110" s="7" t="s">
        <v>1004</v>
      </c>
      <c r="H110" s="7" t="s">
        <v>1012</v>
      </c>
      <c r="I110" s="7" t="n">
        <v>4026028</v>
      </c>
      <c r="J110" s="7" t="s">
        <v>1013</v>
      </c>
      <c r="K110" s="7"/>
      <c r="L110" s="7" t="str">
        <f aca="false">IF(K110="","Open Case",K110-B110)</f>
        <v>Open Case</v>
      </c>
    </row>
    <row r="111" customFormat="false" ht="15" hidden="false" customHeight="false" outlineLevel="0" collapsed="false">
      <c r="A111" s="7" t="s">
        <v>1125</v>
      </c>
      <c r="B111" s="8" t="n">
        <v>45906</v>
      </c>
      <c r="C111" s="7" t="s">
        <v>1028</v>
      </c>
      <c r="D111" s="7" t="s">
        <v>40</v>
      </c>
      <c r="E111" s="7" t="s">
        <v>68</v>
      </c>
      <c r="F111" s="7" t="s">
        <v>186</v>
      </c>
      <c r="G111" s="7" t="s">
        <v>1026</v>
      </c>
      <c r="H111" s="7" t="s">
        <v>1012</v>
      </c>
      <c r="I111" s="7" t="n">
        <v>502554</v>
      </c>
      <c r="J111" s="7" t="s">
        <v>1013</v>
      </c>
      <c r="K111" s="7"/>
      <c r="L111" s="7" t="str">
        <f aca="false">IF(K111="","Open Case",K111-B111)</f>
        <v>Open Case</v>
      </c>
    </row>
    <row r="112" customFormat="false" ht="15" hidden="false" customHeight="false" outlineLevel="0" collapsed="false">
      <c r="A112" s="7" t="s">
        <v>1126</v>
      </c>
      <c r="B112" s="8" t="n">
        <v>45329</v>
      </c>
      <c r="C112" s="7" t="s">
        <v>1003</v>
      </c>
      <c r="D112" s="7" t="s">
        <v>37</v>
      </c>
      <c r="E112" s="7" t="s">
        <v>65</v>
      </c>
      <c r="F112" s="7" t="s">
        <v>186</v>
      </c>
      <c r="G112" s="7" t="s">
        <v>1004</v>
      </c>
      <c r="H112" s="7" t="s">
        <v>1012</v>
      </c>
      <c r="I112" s="7" t="n">
        <v>2205286</v>
      </c>
      <c r="J112" s="7" t="s">
        <v>1006</v>
      </c>
      <c r="K112" s="8" t="n">
        <v>45403</v>
      </c>
      <c r="L112" s="7" t="n">
        <f aca="false">IF(K112="","Open Case",K112-B112)</f>
        <v>74</v>
      </c>
    </row>
    <row r="113" customFormat="false" ht="15" hidden="false" customHeight="false" outlineLevel="0" collapsed="false">
      <c r="A113" s="7" t="s">
        <v>1127</v>
      </c>
      <c r="B113" s="8" t="n">
        <v>45301</v>
      </c>
      <c r="C113" s="7" t="s">
        <v>1019</v>
      </c>
      <c r="D113" s="7" t="s">
        <v>37</v>
      </c>
      <c r="E113" s="7" t="s">
        <v>79</v>
      </c>
      <c r="F113" s="7" t="s">
        <v>184</v>
      </c>
      <c r="G113" s="7" t="s">
        <v>1026</v>
      </c>
      <c r="H113" s="7" t="s">
        <v>1005</v>
      </c>
      <c r="I113" s="7" t="n">
        <v>0</v>
      </c>
      <c r="J113" s="7" t="s">
        <v>1006</v>
      </c>
      <c r="K113" s="8" t="n">
        <v>45368</v>
      </c>
      <c r="L113" s="7" t="n">
        <f aca="false">IF(K113="","Open Case",K113-B113)</f>
        <v>67</v>
      </c>
    </row>
    <row r="114" customFormat="false" ht="15" hidden="false" customHeight="false" outlineLevel="0" collapsed="false">
      <c r="A114" s="7" t="s">
        <v>1128</v>
      </c>
      <c r="B114" s="8" t="n">
        <v>45295</v>
      </c>
      <c r="C114" s="7" t="s">
        <v>1021</v>
      </c>
      <c r="D114" s="7" t="s">
        <v>31</v>
      </c>
      <c r="E114" s="7" t="s">
        <v>87</v>
      </c>
      <c r="F114" s="7" t="s">
        <v>199</v>
      </c>
      <c r="G114" s="7" t="s">
        <v>1009</v>
      </c>
      <c r="H114" s="7" t="s">
        <v>1012</v>
      </c>
      <c r="I114" s="7" t="n">
        <v>1753325</v>
      </c>
      <c r="J114" s="7" t="s">
        <v>1006</v>
      </c>
      <c r="K114" s="8" t="n">
        <v>45385</v>
      </c>
      <c r="L114" s="7" t="n">
        <f aca="false">IF(K114="","Open Case",K114-B114)</f>
        <v>90</v>
      </c>
    </row>
    <row r="115" customFormat="false" ht="15" hidden="false" customHeight="false" outlineLevel="0" collapsed="false">
      <c r="A115" s="7" t="s">
        <v>1129</v>
      </c>
      <c r="B115" s="8" t="n">
        <v>45671</v>
      </c>
      <c r="C115" s="7" t="s">
        <v>1028</v>
      </c>
      <c r="D115" s="7" t="s">
        <v>52</v>
      </c>
      <c r="E115" s="7" t="s">
        <v>83</v>
      </c>
      <c r="F115" s="7" t="s">
        <v>184</v>
      </c>
      <c r="G115" s="7" t="s">
        <v>1004</v>
      </c>
      <c r="H115" s="7" t="s">
        <v>1005</v>
      </c>
      <c r="I115" s="7" t="n">
        <v>0</v>
      </c>
      <c r="J115" s="7" t="s">
        <v>1006</v>
      </c>
      <c r="K115" s="8" t="n">
        <v>45887</v>
      </c>
      <c r="L115" s="7" t="n">
        <f aca="false">IF(K115="","Open Case",K115-B115)</f>
        <v>216</v>
      </c>
    </row>
    <row r="116" customFormat="false" ht="15" hidden="false" customHeight="false" outlineLevel="0" collapsed="false">
      <c r="A116" s="7" t="s">
        <v>1130</v>
      </c>
      <c r="B116" s="8" t="n">
        <v>45801</v>
      </c>
      <c r="C116" s="7" t="s">
        <v>1019</v>
      </c>
      <c r="D116" s="7" t="s">
        <v>46</v>
      </c>
      <c r="E116" s="7" t="s">
        <v>87</v>
      </c>
      <c r="F116" s="7" t="s">
        <v>186</v>
      </c>
      <c r="G116" s="7" t="s">
        <v>1009</v>
      </c>
      <c r="H116" s="7" t="s">
        <v>1005</v>
      </c>
      <c r="I116" s="7" t="n">
        <v>0</v>
      </c>
      <c r="J116" s="7" t="s">
        <v>1013</v>
      </c>
      <c r="K116" s="7"/>
      <c r="L116" s="7" t="str">
        <f aca="false">IF(K116="","Open Case",K116-B116)</f>
        <v>Open Case</v>
      </c>
    </row>
    <row r="117" customFormat="false" ht="15" hidden="false" customHeight="false" outlineLevel="0" collapsed="false">
      <c r="A117" s="7" t="s">
        <v>1131</v>
      </c>
      <c r="B117" s="8" t="n">
        <v>45695</v>
      </c>
      <c r="C117" s="7" t="s">
        <v>1028</v>
      </c>
      <c r="D117" s="7" t="s">
        <v>25</v>
      </c>
      <c r="E117" s="7" t="s">
        <v>71</v>
      </c>
      <c r="F117" s="7" t="s">
        <v>197</v>
      </c>
      <c r="G117" s="7" t="s">
        <v>1026</v>
      </c>
      <c r="H117" s="7" t="s">
        <v>1012</v>
      </c>
      <c r="I117" s="7" t="n">
        <v>4675958</v>
      </c>
      <c r="J117" s="7" t="s">
        <v>1006</v>
      </c>
      <c r="K117" s="8" t="n">
        <v>45735</v>
      </c>
      <c r="L117" s="7" t="n">
        <f aca="false">IF(K117="","Open Case",K117-B117)</f>
        <v>40</v>
      </c>
    </row>
    <row r="118" customFormat="false" ht="15" hidden="false" customHeight="false" outlineLevel="0" collapsed="false">
      <c r="A118" s="7" t="s">
        <v>1132</v>
      </c>
      <c r="B118" s="8" t="n">
        <v>45373</v>
      </c>
      <c r="C118" s="7" t="s">
        <v>1021</v>
      </c>
      <c r="D118" s="7" t="s">
        <v>46</v>
      </c>
      <c r="E118" s="7" t="s">
        <v>60</v>
      </c>
      <c r="F118" s="7" t="s">
        <v>170</v>
      </c>
      <c r="G118" s="7" t="s">
        <v>1004</v>
      </c>
      <c r="H118" s="7" t="s">
        <v>1005</v>
      </c>
      <c r="I118" s="7" t="n">
        <v>0</v>
      </c>
      <c r="J118" s="7" t="s">
        <v>1006</v>
      </c>
      <c r="K118" s="8" t="n">
        <v>45598</v>
      </c>
      <c r="L118" s="7" t="n">
        <f aca="false">IF(K118="","Open Case",K118-B118)</f>
        <v>225</v>
      </c>
    </row>
    <row r="119" customFormat="false" ht="15" hidden="false" customHeight="false" outlineLevel="0" collapsed="false">
      <c r="A119" s="7" t="s">
        <v>1133</v>
      </c>
      <c r="B119" s="8" t="n">
        <v>45489</v>
      </c>
      <c r="C119" s="7" t="s">
        <v>1011</v>
      </c>
      <c r="D119" s="7" t="s">
        <v>34</v>
      </c>
      <c r="E119" s="7" t="s">
        <v>75</v>
      </c>
      <c r="F119" s="7" t="s">
        <v>195</v>
      </c>
      <c r="G119" s="7" t="s">
        <v>1026</v>
      </c>
      <c r="H119" s="7" t="s">
        <v>1012</v>
      </c>
      <c r="I119" s="7" t="n">
        <v>1197215</v>
      </c>
      <c r="J119" s="7" t="s">
        <v>1006</v>
      </c>
      <c r="K119" s="8" t="n">
        <v>45667</v>
      </c>
      <c r="L119" s="7" t="n">
        <f aca="false">IF(K119="","Open Case",K119-B119)</f>
        <v>178</v>
      </c>
    </row>
    <row r="120" customFormat="false" ht="15" hidden="false" customHeight="false" outlineLevel="0" collapsed="false">
      <c r="A120" s="7" t="s">
        <v>1134</v>
      </c>
      <c r="B120" s="8" t="n">
        <v>45313</v>
      </c>
      <c r="C120" s="7" t="s">
        <v>1021</v>
      </c>
      <c r="D120" s="7" t="s">
        <v>25</v>
      </c>
      <c r="E120" s="7" t="s">
        <v>83</v>
      </c>
      <c r="F120" s="7" t="s">
        <v>197</v>
      </c>
      <c r="G120" s="7" t="s">
        <v>1026</v>
      </c>
      <c r="H120" s="7" t="s">
        <v>1005</v>
      </c>
      <c r="I120" s="7" t="n">
        <v>0</v>
      </c>
      <c r="J120" s="7" t="s">
        <v>1006</v>
      </c>
      <c r="K120" s="8" t="n">
        <v>45382</v>
      </c>
      <c r="L120" s="7" t="n">
        <f aca="false">IF(K120="","Open Case",K120-B120)</f>
        <v>69</v>
      </c>
    </row>
    <row r="121" customFormat="false" ht="15" hidden="false" customHeight="false" outlineLevel="0" collapsed="false">
      <c r="A121" s="7" t="s">
        <v>1135</v>
      </c>
      <c r="B121" s="8" t="n">
        <v>45599</v>
      </c>
      <c r="C121" s="7" t="s">
        <v>1003</v>
      </c>
      <c r="D121" s="7" t="s">
        <v>25</v>
      </c>
      <c r="E121" s="7" t="s">
        <v>65</v>
      </c>
      <c r="F121" s="7" t="s">
        <v>188</v>
      </c>
      <c r="G121" s="7" t="s">
        <v>1009</v>
      </c>
      <c r="H121" s="7" t="s">
        <v>1005</v>
      </c>
      <c r="I121" s="7" t="n">
        <v>0</v>
      </c>
      <c r="J121" s="7" t="s">
        <v>1006</v>
      </c>
      <c r="K121" s="8" t="n">
        <v>45748</v>
      </c>
      <c r="L121" s="7" t="n">
        <f aca="false">IF(K121="","Open Case",K121-B121)</f>
        <v>149</v>
      </c>
    </row>
    <row r="122" customFormat="false" ht="15" hidden="false" customHeight="false" outlineLevel="0" collapsed="false">
      <c r="A122" s="7" t="s">
        <v>1136</v>
      </c>
      <c r="B122" s="8" t="n">
        <v>45987</v>
      </c>
      <c r="C122" s="7" t="s">
        <v>1003</v>
      </c>
      <c r="D122" s="7" t="s">
        <v>31</v>
      </c>
      <c r="E122" s="7" t="s">
        <v>65</v>
      </c>
      <c r="F122" s="7" t="s">
        <v>174</v>
      </c>
      <c r="G122" s="7" t="s">
        <v>1004</v>
      </c>
      <c r="H122" s="7" t="s">
        <v>1012</v>
      </c>
      <c r="I122" s="7" t="n">
        <v>3092907</v>
      </c>
      <c r="J122" s="7" t="s">
        <v>1013</v>
      </c>
      <c r="K122" s="7"/>
      <c r="L122" s="7" t="str">
        <f aca="false">IF(K122="","Open Case",K122-B122)</f>
        <v>Open Case</v>
      </c>
    </row>
    <row r="123" customFormat="false" ht="15" hidden="false" customHeight="false" outlineLevel="0" collapsed="false">
      <c r="A123" s="7" t="s">
        <v>1137</v>
      </c>
      <c r="B123" s="8" t="n">
        <v>45882</v>
      </c>
      <c r="C123" s="7" t="s">
        <v>1028</v>
      </c>
      <c r="D123" s="7" t="s">
        <v>52</v>
      </c>
      <c r="E123" s="7" t="s">
        <v>83</v>
      </c>
      <c r="F123" s="7" t="s">
        <v>176</v>
      </c>
      <c r="G123" s="7" t="s">
        <v>1009</v>
      </c>
      <c r="H123" s="7" t="s">
        <v>1005</v>
      </c>
      <c r="I123" s="7" t="n">
        <v>0</v>
      </c>
      <c r="J123" s="7" t="s">
        <v>1006</v>
      </c>
      <c r="K123" s="8" t="n">
        <v>46005</v>
      </c>
      <c r="L123" s="7" t="n">
        <f aca="false">IF(K123="","Open Case",K123-B123)</f>
        <v>123</v>
      </c>
    </row>
    <row r="124" customFormat="false" ht="15" hidden="false" customHeight="false" outlineLevel="0" collapsed="false">
      <c r="A124" s="7" t="s">
        <v>1138</v>
      </c>
      <c r="B124" s="8" t="n">
        <v>45661</v>
      </c>
      <c r="C124" s="7" t="s">
        <v>1019</v>
      </c>
      <c r="D124" s="7" t="s">
        <v>37</v>
      </c>
      <c r="E124" s="7" t="s">
        <v>83</v>
      </c>
      <c r="F124" s="7" t="s">
        <v>182</v>
      </c>
      <c r="G124" s="7" t="s">
        <v>1004</v>
      </c>
      <c r="H124" s="7" t="s">
        <v>1005</v>
      </c>
      <c r="I124" s="7" t="n">
        <v>0</v>
      </c>
      <c r="J124" s="7" t="s">
        <v>1006</v>
      </c>
      <c r="K124" s="8" t="n">
        <v>45884</v>
      </c>
      <c r="L124" s="7" t="n">
        <f aca="false">IF(K124="","Open Case",K124-B124)</f>
        <v>223</v>
      </c>
    </row>
    <row r="125" customFormat="false" ht="15" hidden="false" customHeight="false" outlineLevel="0" collapsed="false">
      <c r="A125" s="7" t="s">
        <v>1139</v>
      </c>
      <c r="B125" s="8" t="n">
        <v>45670</v>
      </c>
      <c r="C125" s="7" t="s">
        <v>1008</v>
      </c>
      <c r="D125" s="7" t="s">
        <v>52</v>
      </c>
      <c r="E125" s="7" t="s">
        <v>75</v>
      </c>
      <c r="F125" s="7" t="s">
        <v>176</v>
      </c>
      <c r="G125" s="7" t="s">
        <v>1026</v>
      </c>
      <c r="H125" s="7" t="s">
        <v>1012</v>
      </c>
      <c r="I125" s="7" t="n">
        <v>5466639</v>
      </c>
      <c r="J125" s="7" t="s">
        <v>1006</v>
      </c>
      <c r="K125" s="8" t="n">
        <v>45903</v>
      </c>
      <c r="L125" s="7" t="n">
        <f aca="false">IF(K125="","Open Case",K125-B125)</f>
        <v>233</v>
      </c>
    </row>
    <row r="126" customFormat="false" ht="15" hidden="false" customHeight="false" outlineLevel="0" collapsed="false">
      <c r="A126" s="7" t="s">
        <v>1140</v>
      </c>
      <c r="B126" s="8" t="n">
        <v>45478</v>
      </c>
      <c r="C126" s="7" t="s">
        <v>1019</v>
      </c>
      <c r="D126" s="7" t="s">
        <v>46</v>
      </c>
      <c r="E126" s="7" t="s">
        <v>75</v>
      </c>
      <c r="F126" s="7" t="s">
        <v>192</v>
      </c>
      <c r="G126" s="7" t="s">
        <v>1009</v>
      </c>
      <c r="H126" s="7" t="s">
        <v>1012</v>
      </c>
      <c r="I126" s="7" t="n">
        <v>3568333</v>
      </c>
      <c r="J126" s="7" t="s">
        <v>1006</v>
      </c>
      <c r="K126" s="8" t="n">
        <v>45557</v>
      </c>
      <c r="L126" s="7" t="n">
        <f aca="false">IF(K126="","Open Case",K126-B126)</f>
        <v>79</v>
      </c>
    </row>
    <row r="127" customFormat="false" ht="15" hidden="false" customHeight="false" outlineLevel="0" collapsed="false">
      <c r="A127" s="7" t="s">
        <v>1141</v>
      </c>
      <c r="B127" s="8" t="n">
        <v>45508</v>
      </c>
      <c r="C127" s="7" t="s">
        <v>1008</v>
      </c>
      <c r="D127" s="7" t="s">
        <v>25</v>
      </c>
      <c r="E127" s="7" t="s">
        <v>83</v>
      </c>
      <c r="F127" s="7" t="s">
        <v>174</v>
      </c>
      <c r="G127" s="7" t="s">
        <v>1009</v>
      </c>
      <c r="H127" s="7" t="s">
        <v>1005</v>
      </c>
      <c r="I127" s="7" t="n">
        <v>0</v>
      </c>
      <c r="J127" s="7" t="s">
        <v>1006</v>
      </c>
      <c r="K127" s="8" t="n">
        <v>45720</v>
      </c>
      <c r="L127" s="7" t="n">
        <f aca="false">IF(K127="","Open Case",K127-B127)</f>
        <v>212</v>
      </c>
    </row>
    <row r="128" customFormat="false" ht="15" hidden="false" customHeight="false" outlineLevel="0" collapsed="false">
      <c r="A128" s="7" t="s">
        <v>1142</v>
      </c>
      <c r="B128" s="8" t="n">
        <v>45595</v>
      </c>
      <c r="C128" s="7" t="s">
        <v>1008</v>
      </c>
      <c r="D128" s="7" t="s">
        <v>49</v>
      </c>
      <c r="E128" s="7" t="s">
        <v>65</v>
      </c>
      <c r="F128" s="7" t="s">
        <v>176</v>
      </c>
      <c r="G128" s="7" t="s">
        <v>1009</v>
      </c>
      <c r="H128" s="7" t="s">
        <v>1005</v>
      </c>
      <c r="I128" s="7" t="n">
        <v>0</v>
      </c>
      <c r="J128" s="7" t="s">
        <v>1006</v>
      </c>
      <c r="K128" s="8" t="n">
        <v>45788</v>
      </c>
      <c r="L128" s="7" t="n">
        <f aca="false">IF(K128="","Open Case",K128-B128)</f>
        <v>193</v>
      </c>
    </row>
    <row r="129" customFormat="false" ht="15" hidden="false" customHeight="false" outlineLevel="0" collapsed="false">
      <c r="A129" s="7" t="s">
        <v>1143</v>
      </c>
      <c r="B129" s="8" t="n">
        <v>45317</v>
      </c>
      <c r="C129" s="7" t="s">
        <v>1019</v>
      </c>
      <c r="D129" s="7" t="s">
        <v>43</v>
      </c>
      <c r="E129" s="7" t="s">
        <v>68</v>
      </c>
      <c r="F129" s="7" t="s">
        <v>199</v>
      </c>
      <c r="G129" s="7" t="s">
        <v>1009</v>
      </c>
      <c r="H129" s="7" t="s">
        <v>1012</v>
      </c>
      <c r="I129" s="7" t="n">
        <v>227289</v>
      </c>
      <c r="J129" s="7" t="s">
        <v>1006</v>
      </c>
      <c r="K129" s="8" t="n">
        <v>45383</v>
      </c>
      <c r="L129" s="7" t="n">
        <f aca="false">IF(K129="","Open Case",K129-B129)</f>
        <v>66</v>
      </c>
    </row>
    <row r="130" customFormat="false" ht="15" hidden="false" customHeight="false" outlineLevel="0" collapsed="false">
      <c r="A130" s="7" t="s">
        <v>1144</v>
      </c>
      <c r="B130" s="8" t="n">
        <v>45903</v>
      </c>
      <c r="C130" s="7" t="s">
        <v>1011</v>
      </c>
      <c r="D130" s="7" t="s">
        <v>31</v>
      </c>
      <c r="E130" s="7" t="s">
        <v>71</v>
      </c>
      <c r="F130" s="7" t="s">
        <v>201</v>
      </c>
      <c r="G130" s="7" t="s">
        <v>1009</v>
      </c>
      <c r="H130" s="7" t="s">
        <v>1012</v>
      </c>
      <c r="I130" s="7" t="n">
        <v>2429492</v>
      </c>
      <c r="J130" s="7" t="s">
        <v>1013</v>
      </c>
      <c r="K130" s="7"/>
      <c r="L130" s="7" t="str">
        <f aca="false">IF(K130="","Open Case",K130-B130)</f>
        <v>Open Case</v>
      </c>
    </row>
    <row r="131" customFormat="false" ht="15" hidden="false" customHeight="false" outlineLevel="0" collapsed="false">
      <c r="A131" s="7" t="s">
        <v>1145</v>
      </c>
      <c r="B131" s="8" t="n">
        <v>45703</v>
      </c>
      <c r="C131" s="7" t="s">
        <v>1021</v>
      </c>
      <c r="D131" s="7" t="s">
        <v>37</v>
      </c>
      <c r="E131" s="7" t="s">
        <v>79</v>
      </c>
      <c r="F131" s="7" t="s">
        <v>172</v>
      </c>
      <c r="G131" s="7" t="s">
        <v>1026</v>
      </c>
      <c r="H131" s="7" t="s">
        <v>1012</v>
      </c>
      <c r="I131" s="7" t="n">
        <v>4556137</v>
      </c>
      <c r="J131" s="7" t="s">
        <v>1013</v>
      </c>
      <c r="K131" s="7"/>
      <c r="L131" s="7" t="str">
        <f aca="false">IF(K131="","Open Case",K131-B131)</f>
        <v>Open Case</v>
      </c>
    </row>
    <row r="132" customFormat="false" ht="15" hidden="false" customHeight="false" outlineLevel="0" collapsed="false">
      <c r="A132" s="7" t="s">
        <v>1146</v>
      </c>
      <c r="B132" s="8" t="n">
        <v>45698</v>
      </c>
      <c r="C132" s="7" t="s">
        <v>1008</v>
      </c>
      <c r="D132" s="7" t="s">
        <v>25</v>
      </c>
      <c r="E132" s="7" t="s">
        <v>65</v>
      </c>
      <c r="F132" s="7" t="s">
        <v>176</v>
      </c>
      <c r="G132" s="7" t="s">
        <v>1004</v>
      </c>
      <c r="H132" s="7" t="s">
        <v>1012</v>
      </c>
      <c r="I132" s="7" t="n">
        <v>4799483</v>
      </c>
      <c r="J132" s="7" t="s">
        <v>1006</v>
      </c>
      <c r="K132" s="8" t="n">
        <v>45858</v>
      </c>
      <c r="L132" s="7" t="n">
        <f aca="false">IF(K132="","Open Case",K132-B132)</f>
        <v>160</v>
      </c>
    </row>
    <row r="133" customFormat="false" ht="15" hidden="false" customHeight="false" outlineLevel="0" collapsed="false">
      <c r="A133" s="7" t="s">
        <v>1147</v>
      </c>
      <c r="B133" s="8" t="n">
        <v>46019</v>
      </c>
      <c r="C133" s="7" t="s">
        <v>1021</v>
      </c>
      <c r="D133" s="7" t="s">
        <v>49</v>
      </c>
      <c r="E133" s="7" t="s">
        <v>75</v>
      </c>
      <c r="F133" s="7" t="s">
        <v>180</v>
      </c>
      <c r="G133" s="7" t="s">
        <v>1026</v>
      </c>
      <c r="H133" s="7" t="s">
        <v>1005</v>
      </c>
      <c r="I133" s="7" t="n">
        <v>0</v>
      </c>
      <c r="J133" s="7" t="s">
        <v>1006</v>
      </c>
      <c r="K133" s="8" t="n">
        <v>46145</v>
      </c>
      <c r="L133" s="7" t="n">
        <f aca="false">IF(K133="","Open Case",K133-B133)</f>
        <v>126</v>
      </c>
    </row>
    <row r="134" customFormat="false" ht="15" hidden="false" customHeight="false" outlineLevel="0" collapsed="false">
      <c r="A134" s="7" t="s">
        <v>1148</v>
      </c>
      <c r="B134" s="8" t="n">
        <v>45849</v>
      </c>
      <c r="C134" s="7" t="s">
        <v>1021</v>
      </c>
      <c r="D134" s="7" t="s">
        <v>52</v>
      </c>
      <c r="E134" s="7" t="s">
        <v>75</v>
      </c>
      <c r="F134" s="7" t="s">
        <v>201</v>
      </c>
      <c r="G134" s="7" t="s">
        <v>1009</v>
      </c>
      <c r="H134" s="7" t="s">
        <v>1012</v>
      </c>
      <c r="I134" s="7" t="n">
        <v>4331565</v>
      </c>
      <c r="J134" s="7" t="s">
        <v>1006</v>
      </c>
      <c r="K134" s="8" t="n">
        <v>45917</v>
      </c>
      <c r="L134" s="7" t="n">
        <f aca="false">IF(K134="","Open Case",K134-B134)</f>
        <v>68</v>
      </c>
    </row>
    <row r="135" customFormat="false" ht="15" hidden="false" customHeight="false" outlineLevel="0" collapsed="false">
      <c r="A135" s="7" t="s">
        <v>1149</v>
      </c>
      <c r="B135" s="8" t="n">
        <v>45630</v>
      </c>
      <c r="C135" s="7" t="s">
        <v>1021</v>
      </c>
      <c r="D135" s="7" t="s">
        <v>52</v>
      </c>
      <c r="E135" s="7" t="s">
        <v>75</v>
      </c>
      <c r="F135" s="7" t="s">
        <v>188</v>
      </c>
      <c r="G135" s="7" t="s">
        <v>1004</v>
      </c>
      <c r="H135" s="7" t="s">
        <v>1012</v>
      </c>
      <c r="I135" s="7" t="n">
        <v>3458131</v>
      </c>
      <c r="J135" s="7" t="s">
        <v>1013</v>
      </c>
      <c r="K135" s="7"/>
      <c r="L135" s="7" t="str">
        <f aca="false">IF(K135="","Open Case",K135-B135)</f>
        <v>Open Case</v>
      </c>
    </row>
    <row r="136" customFormat="false" ht="15" hidden="false" customHeight="false" outlineLevel="0" collapsed="false">
      <c r="A136" s="7" t="s">
        <v>1150</v>
      </c>
      <c r="B136" s="8" t="n">
        <v>45786</v>
      </c>
      <c r="C136" s="7" t="s">
        <v>1008</v>
      </c>
      <c r="D136" s="7" t="s">
        <v>37</v>
      </c>
      <c r="E136" s="7" t="s">
        <v>83</v>
      </c>
      <c r="F136" s="7" t="s">
        <v>197</v>
      </c>
      <c r="G136" s="7" t="s">
        <v>1004</v>
      </c>
      <c r="H136" s="7" t="s">
        <v>1012</v>
      </c>
      <c r="I136" s="7" t="n">
        <v>1131723</v>
      </c>
      <c r="J136" s="7" t="s">
        <v>1013</v>
      </c>
      <c r="K136" s="7"/>
      <c r="L136" s="7" t="str">
        <f aca="false">IF(K136="","Open Case",K136-B136)</f>
        <v>Open Case</v>
      </c>
    </row>
    <row r="137" customFormat="false" ht="15" hidden="false" customHeight="false" outlineLevel="0" collapsed="false">
      <c r="A137" s="7" t="s">
        <v>1151</v>
      </c>
      <c r="B137" s="8" t="n">
        <v>45905</v>
      </c>
      <c r="C137" s="7" t="s">
        <v>1011</v>
      </c>
      <c r="D137" s="7" t="s">
        <v>52</v>
      </c>
      <c r="E137" s="7" t="s">
        <v>60</v>
      </c>
      <c r="F137" s="7" t="s">
        <v>174</v>
      </c>
      <c r="G137" s="7" t="s">
        <v>1004</v>
      </c>
      <c r="H137" s="7" t="s">
        <v>1012</v>
      </c>
      <c r="I137" s="7" t="n">
        <v>3022939</v>
      </c>
      <c r="J137" s="7" t="s">
        <v>1006</v>
      </c>
      <c r="K137" s="8" t="n">
        <v>46072</v>
      </c>
      <c r="L137" s="7" t="n">
        <f aca="false">IF(K137="","Open Case",K137-B137)</f>
        <v>167</v>
      </c>
    </row>
    <row r="138" customFormat="false" ht="15" hidden="false" customHeight="false" outlineLevel="0" collapsed="false">
      <c r="A138" s="7" t="s">
        <v>1152</v>
      </c>
      <c r="B138" s="8" t="n">
        <v>45486</v>
      </c>
      <c r="C138" s="7" t="s">
        <v>1019</v>
      </c>
      <c r="D138" s="7" t="s">
        <v>34</v>
      </c>
      <c r="E138" s="7" t="s">
        <v>65</v>
      </c>
      <c r="F138" s="7" t="s">
        <v>188</v>
      </c>
      <c r="G138" s="7" t="s">
        <v>1026</v>
      </c>
      <c r="H138" s="7" t="s">
        <v>1012</v>
      </c>
      <c r="I138" s="7" t="n">
        <v>1547224</v>
      </c>
      <c r="J138" s="7" t="s">
        <v>1006</v>
      </c>
      <c r="K138" s="8" t="n">
        <v>45662</v>
      </c>
      <c r="L138" s="7" t="n">
        <f aca="false">IF(K138="","Open Case",K138-B138)</f>
        <v>176</v>
      </c>
    </row>
    <row r="139" customFormat="false" ht="15" hidden="false" customHeight="false" outlineLevel="0" collapsed="false">
      <c r="A139" s="7" t="s">
        <v>1153</v>
      </c>
      <c r="B139" s="8" t="n">
        <v>45799</v>
      </c>
      <c r="C139" s="7" t="s">
        <v>1019</v>
      </c>
      <c r="D139" s="7" t="s">
        <v>25</v>
      </c>
      <c r="E139" s="7" t="s">
        <v>71</v>
      </c>
      <c r="F139" s="7" t="s">
        <v>194</v>
      </c>
      <c r="G139" s="7" t="s">
        <v>1004</v>
      </c>
      <c r="H139" s="7" t="s">
        <v>1005</v>
      </c>
      <c r="I139" s="7" t="n">
        <v>0</v>
      </c>
      <c r="J139" s="7" t="s">
        <v>1006</v>
      </c>
      <c r="K139" s="8" t="n">
        <v>45979</v>
      </c>
      <c r="L139" s="7" t="n">
        <f aca="false">IF(K139="","Open Case",K139-B139)</f>
        <v>180</v>
      </c>
    </row>
    <row r="140" customFormat="false" ht="15" hidden="false" customHeight="false" outlineLevel="0" collapsed="false">
      <c r="A140" s="7" t="s">
        <v>1154</v>
      </c>
      <c r="B140" s="8" t="n">
        <v>45979</v>
      </c>
      <c r="C140" s="7" t="s">
        <v>1028</v>
      </c>
      <c r="D140" s="7" t="s">
        <v>40</v>
      </c>
      <c r="E140" s="7" t="s">
        <v>83</v>
      </c>
      <c r="F140" s="7" t="s">
        <v>194</v>
      </c>
      <c r="G140" s="7" t="s">
        <v>1026</v>
      </c>
      <c r="H140" s="7" t="s">
        <v>1005</v>
      </c>
      <c r="I140" s="7" t="n">
        <v>0</v>
      </c>
      <c r="J140" s="7" t="s">
        <v>1006</v>
      </c>
      <c r="K140" s="8" t="n">
        <v>46025</v>
      </c>
      <c r="L140" s="7" t="n">
        <f aca="false">IF(K140="","Open Case",K140-B140)</f>
        <v>46</v>
      </c>
    </row>
    <row r="141" customFormat="false" ht="15" hidden="false" customHeight="false" outlineLevel="0" collapsed="false">
      <c r="A141" s="7" t="s">
        <v>1155</v>
      </c>
      <c r="B141" s="8" t="n">
        <v>45802</v>
      </c>
      <c r="C141" s="7" t="s">
        <v>1021</v>
      </c>
      <c r="D141" s="7" t="s">
        <v>52</v>
      </c>
      <c r="E141" s="7" t="s">
        <v>87</v>
      </c>
      <c r="F141" s="7" t="s">
        <v>172</v>
      </c>
      <c r="G141" s="7" t="s">
        <v>1009</v>
      </c>
      <c r="H141" s="7" t="s">
        <v>1012</v>
      </c>
      <c r="I141" s="7" t="n">
        <v>5729594</v>
      </c>
      <c r="J141" s="7" t="s">
        <v>1013</v>
      </c>
      <c r="K141" s="7"/>
      <c r="L141" s="7" t="str">
        <f aca="false">IF(K141="","Open Case",K141-B141)</f>
        <v>Open Case</v>
      </c>
    </row>
    <row r="142" customFormat="false" ht="15" hidden="false" customHeight="false" outlineLevel="0" collapsed="false">
      <c r="A142" s="7" t="s">
        <v>1156</v>
      </c>
      <c r="B142" s="8" t="n">
        <v>45979</v>
      </c>
      <c r="C142" s="7" t="s">
        <v>1003</v>
      </c>
      <c r="D142" s="7" t="s">
        <v>43</v>
      </c>
      <c r="E142" s="7" t="s">
        <v>75</v>
      </c>
      <c r="F142" s="7" t="s">
        <v>197</v>
      </c>
      <c r="G142" s="7" t="s">
        <v>1004</v>
      </c>
      <c r="H142" s="7" t="s">
        <v>1005</v>
      </c>
      <c r="I142" s="7" t="n">
        <v>0</v>
      </c>
      <c r="J142" s="7" t="s">
        <v>1006</v>
      </c>
      <c r="K142" s="8" t="n">
        <v>46083</v>
      </c>
      <c r="L142" s="7" t="n">
        <f aca="false">IF(K142="","Open Case",K142-B142)</f>
        <v>104</v>
      </c>
    </row>
    <row r="143" customFormat="false" ht="15" hidden="false" customHeight="false" outlineLevel="0" collapsed="false">
      <c r="A143" s="7" t="s">
        <v>1157</v>
      </c>
      <c r="B143" s="8" t="n">
        <v>45471</v>
      </c>
      <c r="C143" s="7" t="s">
        <v>1008</v>
      </c>
      <c r="D143" s="7" t="s">
        <v>34</v>
      </c>
      <c r="E143" s="7" t="s">
        <v>68</v>
      </c>
      <c r="F143" s="7" t="s">
        <v>174</v>
      </c>
      <c r="G143" s="7" t="s">
        <v>1009</v>
      </c>
      <c r="H143" s="7" t="s">
        <v>1012</v>
      </c>
      <c r="I143" s="7" t="n">
        <v>4013208</v>
      </c>
      <c r="J143" s="7" t="s">
        <v>1006</v>
      </c>
      <c r="K143" s="8" t="n">
        <v>45507</v>
      </c>
      <c r="L143" s="7" t="n">
        <f aca="false">IF(K143="","Open Case",K143-B143)</f>
        <v>36</v>
      </c>
    </row>
    <row r="144" customFormat="false" ht="15" hidden="false" customHeight="false" outlineLevel="0" collapsed="false">
      <c r="A144" s="7" t="s">
        <v>1158</v>
      </c>
      <c r="B144" s="8" t="n">
        <v>45782</v>
      </c>
      <c r="C144" s="7" t="s">
        <v>1003</v>
      </c>
      <c r="D144" s="7" t="s">
        <v>52</v>
      </c>
      <c r="E144" s="7" t="s">
        <v>71</v>
      </c>
      <c r="F144" s="7" t="s">
        <v>190</v>
      </c>
      <c r="G144" s="7" t="s">
        <v>1004</v>
      </c>
      <c r="H144" s="7" t="s">
        <v>1005</v>
      </c>
      <c r="I144" s="7" t="n">
        <v>0</v>
      </c>
      <c r="J144" s="7" t="s">
        <v>1006</v>
      </c>
      <c r="K144" s="8" t="n">
        <v>45844</v>
      </c>
      <c r="L144" s="7" t="n">
        <f aca="false">IF(K144="","Open Case",K144-B144)</f>
        <v>62</v>
      </c>
    </row>
    <row r="145" customFormat="false" ht="15" hidden="false" customHeight="false" outlineLevel="0" collapsed="false">
      <c r="A145" s="7" t="s">
        <v>1159</v>
      </c>
      <c r="B145" s="8" t="n">
        <v>45687</v>
      </c>
      <c r="C145" s="7" t="s">
        <v>1015</v>
      </c>
      <c r="D145" s="7" t="s">
        <v>46</v>
      </c>
      <c r="E145" s="7" t="s">
        <v>71</v>
      </c>
      <c r="F145" s="7" t="s">
        <v>194</v>
      </c>
      <c r="G145" s="7" t="s">
        <v>1004</v>
      </c>
      <c r="H145" s="7" t="s">
        <v>1012</v>
      </c>
      <c r="I145" s="7" t="n">
        <v>3695799</v>
      </c>
      <c r="J145" s="7" t="s">
        <v>1013</v>
      </c>
      <c r="K145" s="7"/>
      <c r="L145" s="7" t="str">
        <f aca="false">IF(K145="","Open Case",K145-B145)</f>
        <v>Open Case</v>
      </c>
    </row>
    <row r="146" customFormat="false" ht="15" hidden="false" customHeight="false" outlineLevel="0" collapsed="false">
      <c r="A146" s="7" t="s">
        <v>1160</v>
      </c>
      <c r="B146" s="8" t="n">
        <v>45683</v>
      </c>
      <c r="C146" s="7" t="s">
        <v>1015</v>
      </c>
      <c r="D146" s="7" t="s">
        <v>31</v>
      </c>
      <c r="E146" s="7" t="s">
        <v>71</v>
      </c>
      <c r="F146" s="7" t="s">
        <v>194</v>
      </c>
      <c r="G146" s="7" t="s">
        <v>1004</v>
      </c>
      <c r="H146" s="7" t="s">
        <v>1012</v>
      </c>
      <c r="I146" s="7" t="n">
        <v>203774</v>
      </c>
      <c r="J146" s="7" t="s">
        <v>1006</v>
      </c>
      <c r="K146" s="8" t="n">
        <v>45811</v>
      </c>
      <c r="L146" s="7" t="n">
        <f aca="false">IF(K146="","Open Case",K146-B146)</f>
        <v>128</v>
      </c>
    </row>
    <row r="147" customFormat="false" ht="15" hidden="false" customHeight="false" outlineLevel="0" collapsed="false">
      <c r="A147" s="7" t="s">
        <v>1161</v>
      </c>
      <c r="B147" s="8" t="n">
        <v>45975</v>
      </c>
      <c r="C147" s="7" t="s">
        <v>1008</v>
      </c>
      <c r="D147" s="7" t="s">
        <v>52</v>
      </c>
      <c r="E147" s="7" t="s">
        <v>65</v>
      </c>
      <c r="F147" s="7" t="s">
        <v>184</v>
      </c>
      <c r="G147" s="7" t="s">
        <v>1004</v>
      </c>
      <c r="H147" s="7" t="s">
        <v>1005</v>
      </c>
      <c r="I147" s="7" t="n">
        <v>0</v>
      </c>
      <c r="J147" s="7" t="s">
        <v>1006</v>
      </c>
      <c r="K147" s="8" t="n">
        <v>45999</v>
      </c>
      <c r="L147" s="7" t="n">
        <f aca="false">IF(K147="","Open Case",K147-B147)</f>
        <v>24</v>
      </c>
    </row>
    <row r="148" customFormat="false" ht="15" hidden="false" customHeight="false" outlineLevel="0" collapsed="false">
      <c r="A148" s="7" t="s">
        <v>1162</v>
      </c>
      <c r="B148" s="8" t="n">
        <v>45645</v>
      </c>
      <c r="C148" s="7" t="s">
        <v>1015</v>
      </c>
      <c r="D148" s="7" t="s">
        <v>31</v>
      </c>
      <c r="E148" s="7" t="s">
        <v>60</v>
      </c>
      <c r="F148" s="7" t="s">
        <v>199</v>
      </c>
      <c r="G148" s="7" t="s">
        <v>1026</v>
      </c>
      <c r="H148" s="7" t="s">
        <v>1012</v>
      </c>
      <c r="I148" s="7" t="n">
        <v>3343623</v>
      </c>
      <c r="J148" s="7" t="s">
        <v>1006</v>
      </c>
      <c r="K148" s="8" t="n">
        <v>45793</v>
      </c>
      <c r="L148" s="7" t="n">
        <f aca="false">IF(K148="","Open Case",K148-B148)</f>
        <v>148</v>
      </c>
    </row>
    <row r="149" customFormat="false" ht="15" hidden="false" customHeight="false" outlineLevel="0" collapsed="false">
      <c r="A149" s="7" t="s">
        <v>1163</v>
      </c>
      <c r="B149" s="8" t="n">
        <v>45725</v>
      </c>
      <c r="C149" s="7" t="s">
        <v>1021</v>
      </c>
      <c r="D149" s="7" t="s">
        <v>46</v>
      </c>
      <c r="E149" s="7" t="s">
        <v>68</v>
      </c>
      <c r="F149" s="7" t="s">
        <v>182</v>
      </c>
      <c r="G149" s="7" t="s">
        <v>1009</v>
      </c>
      <c r="H149" s="7" t="s">
        <v>1005</v>
      </c>
      <c r="I149" s="7" t="n">
        <v>0</v>
      </c>
      <c r="J149" s="7" t="s">
        <v>1006</v>
      </c>
      <c r="K149" s="8" t="n">
        <v>45784</v>
      </c>
      <c r="L149" s="7" t="n">
        <f aca="false">IF(K149="","Open Case",K149-B149)</f>
        <v>59</v>
      </c>
    </row>
    <row r="150" customFormat="false" ht="15" hidden="false" customHeight="false" outlineLevel="0" collapsed="false">
      <c r="A150" s="7" t="s">
        <v>1164</v>
      </c>
      <c r="B150" s="8" t="n">
        <v>45584</v>
      </c>
      <c r="C150" s="7" t="s">
        <v>1028</v>
      </c>
      <c r="D150" s="7" t="s">
        <v>43</v>
      </c>
      <c r="E150" s="7" t="s">
        <v>60</v>
      </c>
      <c r="F150" s="7" t="s">
        <v>201</v>
      </c>
      <c r="G150" s="7" t="s">
        <v>1004</v>
      </c>
      <c r="H150" s="7" t="s">
        <v>1012</v>
      </c>
      <c r="I150" s="7" t="n">
        <v>319992</v>
      </c>
      <c r="J150" s="7" t="s">
        <v>1006</v>
      </c>
      <c r="K150" s="8" t="n">
        <v>45774</v>
      </c>
      <c r="L150" s="7" t="n">
        <f aca="false">IF(K150="","Open Case",K150-B150)</f>
        <v>190</v>
      </c>
    </row>
    <row r="151" customFormat="false" ht="15" hidden="false" customHeight="false" outlineLevel="0" collapsed="false">
      <c r="A151" s="7" t="s">
        <v>1165</v>
      </c>
      <c r="B151" s="8" t="n">
        <v>46021</v>
      </c>
      <c r="C151" s="7" t="s">
        <v>1028</v>
      </c>
      <c r="D151" s="7" t="s">
        <v>40</v>
      </c>
      <c r="E151" s="7" t="s">
        <v>75</v>
      </c>
      <c r="F151" s="7" t="s">
        <v>195</v>
      </c>
      <c r="G151" s="7" t="s">
        <v>1026</v>
      </c>
      <c r="H151" s="7" t="s">
        <v>1005</v>
      </c>
      <c r="I151" s="7" t="n">
        <v>0</v>
      </c>
      <c r="J151" s="7" t="s">
        <v>1006</v>
      </c>
      <c r="K151" s="8" t="n">
        <v>46150</v>
      </c>
      <c r="L151" s="7" t="n">
        <f aca="false">IF(K151="","Open Case",K151-B151)</f>
        <v>129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0"/>
    <col collapsed="false" customWidth="true" hidden="false" outlineLevel="0" max="4" min="4" style="0" width="9"/>
    <col collapsed="false" customWidth="true" hidden="false" outlineLevel="0" max="5" min="5" style="0" width="20"/>
    <col collapsed="false" customWidth="true" hidden="false" outlineLevel="0" max="6" min="6" style="0" width="16"/>
    <col collapsed="false" customWidth="true" hidden="false" outlineLevel="0" max="7" min="7" style="0" width="22"/>
    <col collapsed="false" customWidth="true" hidden="false" outlineLevel="0" max="8" min="8" style="0" width="12"/>
    <col collapsed="false" customWidth="true" hidden="false" outlineLevel="0" max="11" min="9" style="0" width="14"/>
  </cols>
  <sheetData>
    <row r="1" customFormat="false" ht="23.85" hidden="false" customHeight="false" outlineLevel="0" collapsed="false">
      <c r="A1" s="6" t="s">
        <v>1166</v>
      </c>
      <c r="B1" s="6" t="s">
        <v>444</v>
      </c>
      <c r="C1" s="6" t="s">
        <v>55</v>
      </c>
      <c r="D1" s="6" t="s">
        <v>21</v>
      </c>
      <c r="E1" s="6" t="s">
        <v>93</v>
      </c>
      <c r="F1" s="6" t="s">
        <v>1167</v>
      </c>
      <c r="G1" s="6" t="s">
        <v>1168</v>
      </c>
      <c r="H1" s="6" t="s">
        <v>1169</v>
      </c>
      <c r="I1" s="6" t="s">
        <v>1170</v>
      </c>
      <c r="J1" s="6" t="s">
        <v>1171</v>
      </c>
      <c r="K1" s="6" t="s">
        <v>1172</v>
      </c>
    </row>
    <row r="2" customFormat="false" ht="15" hidden="false" customHeight="false" outlineLevel="0" collapsed="false">
      <c r="A2" s="7" t="s">
        <v>1173</v>
      </c>
      <c r="B2" s="8" t="n">
        <v>45849</v>
      </c>
      <c r="C2" s="7" t="s">
        <v>65</v>
      </c>
      <c r="D2" s="7" t="s">
        <v>34</v>
      </c>
      <c r="E2" s="7" t="s">
        <v>1174</v>
      </c>
      <c r="F2" s="7" t="s">
        <v>440</v>
      </c>
      <c r="G2" s="7" t="s">
        <v>1175</v>
      </c>
      <c r="H2" s="7" t="n">
        <v>750099</v>
      </c>
      <c r="I2" s="7" t="s">
        <v>1176</v>
      </c>
      <c r="J2" s="7"/>
      <c r="K2" s="7" t="str">
        <f aca="false">IF(J2="","Not Completed",J2-B2)</f>
        <v>Not Completed</v>
      </c>
    </row>
    <row r="3" customFormat="false" ht="15" hidden="false" customHeight="false" outlineLevel="0" collapsed="false">
      <c r="A3" s="7" t="s">
        <v>1177</v>
      </c>
      <c r="B3" s="8" t="n">
        <v>45528</v>
      </c>
      <c r="C3" s="7" t="s">
        <v>68</v>
      </c>
      <c r="D3" s="7" t="s">
        <v>34</v>
      </c>
      <c r="E3" s="7" t="s">
        <v>1178</v>
      </c>
      <c r="F3" s="7" t="s">
        <v>203</v>
      </c>
      <c r="G3" s="7" t="s">
        <v>1179</v>
      </c>
      <c r="H3" s="7" t="n">
        <v>891985</v>
      </c>
      <c r="I3" s="7" t="s">
        <v>1180</v>
      </c>
      <c r="J3" s="8" t="n">
        <v>45539</v>
      </c>
      <c r="K3" s="7" t="n">
        <f aca="false">IF(J3="","Not Completed",J3-B3)</f>
        <v>11</v>
      </c>
    </row>
    <row r="4" customFormat="false" ht="15" hidden="false" customHeight="false" outlineLevel="0" collapsed="false">
      <c r="A4" s="7" t="s">
        <v>1181</v>
      </c>
      <c r="B4" s="8" t="n">
        <v>45504</v>
      </c>
      <c r="C4" s="7" t="s">
        <v>79</v>
      </c>
      <c r="D4" s="7" t="s">
        <v>34</v>
      </c>
      <c r="E4" s="7" t="s">
        <v>1174</v>
      </c>
      <c r="F4" s="7" t="s">
        <v>361</v>
      </c>
      <c r="G4" s="7" t="s">
        <v>1175</v>
      </c>
      <c r="H4" s="7" t="n">
        <v>2036844</v>
      </c>
      <c r="I4" s="7" t="s">
        <v>1176</v>
      </c>
      <c r="J4" s="7"/>
      <c r="K4" s="7" t="str">
        <f aca="false">IF(J4="","Not Completed",J4-B4)</f>
        <v>Not Completed</v>
      </c>
    </row>
    <row r="5" customFormat="false" ht="15" hidden="false" customHeight="false" outlineLevel="0" collapsed="false">
      <c r="A5" s="7" t="s">
        <v>1182</v>
      </c>
      <c r="B5" s="8" t="n">
        <v>45927</v>
      </c>
      <c r="C5" s="7" t="s">
        <v>68</v>
      </c>
      <c r="D5" s="7" t="s">
        <v>34</v>
      </c>
      <c r="E5" s="7" t="s">
        <v>1183</v>
      </c>
      <c r="F5" s="7" t="s">
        <v>163</v>
      </c>
      <c r="G5" s="7" t="s">
        <v>1184</v>
      </c>
      <c r="H5" s="7" t="n">
        <v>746852</v>
      </c>
      <c r="I5" s="7" t="s">
        <v>1180</v>
      </c>
      <c r="J5" s="8" t="n">
        <v>45930</v>
      </c>
      <c r="K5" s="7" t="n">
        <f aca="false">IF(J5="","Not Completed",J5-B5)</f>
        <v>3</v>
      </c>
    </row>
    <row r="6" customFormat="false" ht="15" hidden="false" customHeight="false" outlineLevel="0" collapsed="false">
      <c r="A6" s="7" t="s">
        <v>1185</v>
      </c>
      <c r="B6" s="8" t="n">
        <v>45717</v>
      </c>
      <c r="C6" s="7" t="s">
        <v>60</v>
      </c>
      <c r="D6" s="7" t="s">
        <v>34</v>
      </c>
      <c r="E6" s="7" t="s">
        <v>1186</v>
      </c>
      <c r="F6" s="7" t="s">
        <v>343</v>
      </c>
      <c r="G6" s="7" t="s">
        <v>1187</v>
      </c>
      <c r="H6" s="7" t="n">
        <v>2129707</v>
      </c>
      <c r="I6" s="7" t="s">
        <v>1188</v>
      </c>
      <c r="J6" s="7"/>
      <c r="K6" s="7" t="str">
        <f aca="false">IF(J6="","Not Completed",J6-B6)</f>
        <v>Not Completed</v>
      </c>
    </row>
    <row r="7" customFormat="false" ht="15" hidden="false" customHeight="false" outlineLevel="0" collapsed="false">
      <c r="A7" s="7" t="s">
        <v>1189</v>
      </c>
      <c r="B7" s="8" t="n">
        <v>45696</v>
      </c>
      <c r="C7" s="7" t="s">
        <v>68</v>
      </c>
      <c r="D7" s="7" t="s">
        <v>34</v>
      </c>
      <c r="E7" s="7" t="s">
        <v>1183</v>
      </c>
      <c r="F7" s="7" t="s">
        <v>159</v>
      </c>
      <c r="G7" s="7" t="s">
        <v>1184</v>
      </c>
      <c r="H7" s="7" t="n">
        <v>2474065</v>
      </c>
      <c r="I7" s="7" t="s">
        <v>1180</v>
      </c>
      <c r="J7" s="8" t="n">
        <v>45707</v>
      </c>
      <c r="K7" s="7" t="n">
        <f aca="false">IF(J7="","Not Completed",J7-B7)</f>
        <v>11</v>
      </c>
    </row>
    <row r="8" customFormat="false" ht="15" hidden="false" customHeight="false" outlineLevel="0" collapsed="false">
      <c r="A8" s="7" t="s">
        <v>1190</v>
      </c>
      <c r="B8" s="8" t="n">
        <v>45586</v>
      </c>
      <c r="C8" s="7" t="s">
        <v>87</v>
      </c>
      <c r="D8" s="7" t="s">
        <v>34</v>
      </c>
      <c r="E8" s="7" t="s">
        <v>1186</v>
      </c>
      <c r="F8" s="7" t="s">
        <v>335</v>
      </c>
      <c r="G8" s="7" t="s">
        <v>1187</v>
      </c>
      <c r="H8" s="7" t="n">
        <v>255207</v>
      </c>
      <c r="I8" s="7" t="s">
        <v>1180</v>
      </c>
      <c r="J8" s="8" t="n">
        <v>45603</v>
      </c>
      <c r="K8" s="7" t="n">
        <f aca="false">IF(J8="","Not Completed",J8-B8)</f>
        <v>17</v>
      </c>
    </row>
    <row r="9" customFormat="false" ht="15" hidden="false" customHeight="false" outlineLevel="0" collapsed="false">
      <c r="A9" s="7" t="s">
        <v>1191</v>
      </c>
      <c r="B9" s="8" t="n">
        <v>45302</v>
      </c>
      <c r="C9" s="7" t="s">
        <v>60</v>
      </c>
      <c r="D9" s="7" t="s">
        <v>34</v>
      </c>
      <c r="E9" s="7" t="s">
        <v>1192</v>
      </c>
      <c r="F9" s="7" t="s">
        <v>353</v>
      </c>
      <c r="G9" s="7" t="s">
        <v>1193</v>
      </c>
      <c r="H9" s="7" t="n">
        <v>864628</v>
      </c>
      <c r="I9" s="7" t="s">
        <v>1180</v>
      </c>
      <c r="J9" s="8" t="n">
        <v>45303</v>
      </c>
      <c r="K9" s="7" t="n">
        <f aca="false">IF(J9="","Not Completed",J9-B9)</f>
        <v>1</v>
      </c>
    </row>
    <row r="10" customFormat="false" ht="15" hidden="false" customHeight="false" outlineLevel="0" collapsed="false">
      <c r="A10" s="7" t="s">
        <v>1194</v>
      </c>
      <c r="B10" s="8" t="n">
        <v>45295</v>
      </c>
      <c r="C10" s="7" t="s">
        <v>60</v>
      </c>
      <c r="D10" s="7" t="s">
        <v>34</v>
      </c>
      <c r="E10" s="7" t="s">
        <v>1183</v>
      </c>
      <c r="F10" s="7" t="s">
        <v>349</v>
      </c>
      <c r="G10" s="7" t="s">
        <v>1184</v>
      </c>
      <c r="H10" s="7" t="n">
        <v>2069714</v>
      </c>
      <c r="I10" s="7" t="s">
        <v>1180</v>
      </c>
      <c r="J10" s="8" t="n">
        <v>45307</v>
      </c>
      <c r="K10" s="7" t="n">
        <f aca="false">IF(J10="","Not Completed",J10-B10)</f>
        <v>12</v>
      </c>
    </row>
    <row r="11" customFormat="false" ht="15" hidden="false" customHeight="false" outlineLevel="0" collapsed="false">
      <c r="A11" s="7" t="s">
        <v>1195</v>
      </c>
      <c r="B11" s="8" t="n">
        <v>45401</v>
      </c>
      <c r="C11" s="7" t="s">
        <v>83</v>
      </c>
      <c r="D11" s="7" t="s">
        <v>34</v>
      </c>
      <c r="E11" s="7" t="s">
        <v>1192</v>
      </c>
      <c r="F11" s="7" t="s">
        <v>295</v>
      </c>
      <c r="G11" s="7" t="s">
        <v>1193</v>
      </c>
      <c r="H11" s="7" t="n">
        <v>67562</v>
      </c>
      <c r="I11" s="7" t="s">
        <v>1188</v>
      </c>
      <c r="J11" s="7"/>
      <c r="K11" s="7" t="str">
        <f aca="false">IF(J11="","Not Completed",J11-B11)</f>
        <v>Not Completed</v>
      </c>
    </row>
    <row r="12" customFormat="false" ht="15" hidden="false" customHeight="false" outlineLevel="0" collapsed="false">
      <c r="A12" s="7" t="s">
        <v>1196</v>
      </c>
      <c r="B12" s="8" t="n">
        <v>45909</v>
      </c>
      <c r="C12" s="7" t="s">
        <v>83</v>
      </c>
      <c r="D12" s="7" t="s">
        <v>34</v>
      </c>
      <c r="E12" s="7" t="s">
        <v>1192</v>
      </c>
      <c r="F12" s="7" t="s">
        <v>168</v>
      </c>
      <c r="G12" s="7" t="s">
        <v>1193</v>
      </c>
      <c r="H12" s="7" t="n">
        <v>2110851</v>
      </c>
      <c r="I12" s="7" t="s">
        <v>1180</v>
      </c>
      <c r="J12" s="8" t="n">
        <v>45922</v>
      </c>
      <c r="K12" s="7" t="n">
        <f aca="false">IF(J12="","Not Completed",J12-B12)</f>
        <v>13</v>
      </c>
    </row>
    <row r="13" customFormat="false" ht="15" hidden="false" customHeight="false" outlineLevel="0" collapsed="false">
      <c r="A13" s="7" t="s">
        <v>1197</v>
      </c>
      <c r="B13" s="8" t="n">
        <v>45398</v>
      </c>
      <c r="C13" s="7" t="s">
        <v>65</v>
      </c>
      <c r="D13" s="7" t="s">
        <v>34</v>
      </c>
      <c r="E13" s="7" t="s">
        <v>1186</v>
      </c>
      <c r="F13" s="7" t="s">
        <v>188</v>
      </c>
      <c r="G13" s="7" t="s">
        <v>1187</v>
      </c>
      <c r="H13" s="7" t="n">
        <v>2103912</v>
      </c>
      <c r="I13" s="7" t="s">
        <v>1180</v>
      </c>
      <c r="J13" s="8" t="n">
        <v>45424</v>
      </c>
      <c r="K13" s="7" t="n">
        <f aca="false">IF(J13="","Not Completed",J13-B13)</f>
        <v>26</v>
      </c>
    </row>
    <row r="14" customFormat="false" ht="15" hidden="false" customHeight="false" outlineLevel="0" collapsed="false">
      <c r="A14" s="7" t="s">
        <v>1198</v>
      </c>
      <c r="B14" s="8" t="n">
        <v>45797</v>
      </c>
      <c r="C14" s="7" t="s">
        <v>60</v>
      </c>
      <c r="D14" s="7" t="s">
        <v>34</v>
      </c>
      <c r="E14" s="7" t="s">
        <v>1199</v>
      </c>
      <c r="F14" s="7" t="s">
        <v>431</v>
      </c>
      <c r="G14" s="7" t="s">
        <v>1200</v>
      </c>
      <c r="H14" s="7" t="n">
        <v>1984822</v>
      </c>
      <c r="I14" s="7" t="s">
        <v>1176</v>
      </c>
      <c r="J14" s="7"/>
      <c r="K14" s="7" t="str">
        <f aca="false">IF(J14="","Not Completed",J14-B14)</f>
        <v>Not Completed</v>
      </c>
    </row>
    <row r="15" customFormat="false" ht="15" hidden="false" customHeight="false" outlineLevel="0" collapsed="false">
      <c r="A15" s="7" t="s">
        <v>1201</v>
      </c>
      <c r="B15" s="8" t="n">
        <v>45567</v>
      </c>
      <c r="C15" s="7" t="s">
        <v>83</v>
      </c>
      <c r="D15" s="7" t="s">
        <v>34</v>
      </c>
      <c r="E15" s="7" t="s">
        <v>1174</v>
      </c>
      <c r="F15" s="7" t="s">
        <v>429</v>
      </c>
      <c r="G15" s="7" t="s">
        <v>1175</v>
      </c>
      <c r="H15" s="7" t="n">
        <v>1174954</v>
      </c>
      <c r="I15" s="7" t="s">
        <v>1180</v>
      </c>
      <c r="J15" s="8" t="n">
        <v>45568</v>
      </c>
      <c r="K15" s="7" t="n">
        <f aca="false">IF(J15="","Not Completed",J15-B15)</f>
        <v>1</v>
      </c>
    </row>
    <row r="16" customFormat="false" ht="15" hidden="false" customHeight="false" outlineLevel="0" collapsed="false">
      <c r="A16" s="7" t="s">
        <v>1202</v>
      </c>
      <c r="B16" s="8" t="n">
        <v>45776</v>
      </c>
      <c r="C16" s="7" t="s">
        <v>71</v>
      </c>
      <c r="D16" s="7" t="s">
        <v>34</v>
      </c>
      <c r="E16" s="7" t="s">
        <v>1203</v>
      </c>
      <c r="F16" s="7" t="s">
        <v>420</v>
      </c>
      <c r="G16" s="7" t="s">
        <v>1204</v>
      </c>
      <c r="H16" s="7" t="n">
        <v>1980167</v>
      </c>
      <c r="I16" s="7" t="s">
        <v>1180</v>
      </c>
      <c r="J16" s="8" t="n">
        <v>45786</v>
      </c>
      <c r="K16" s="7" t="n">
        <f aca="false">IF(J16="","Not Completed",J16-B16)</f>
        <v>10</v>
      </c>
    </row>
    <row r="17" customFormat="false" ht="15" hidden="false" customHeight="false" outlineLevel="0" collapsed="false">
      <c r="A17" s="7" t="s">
        <v>1205</v>
      </c>
      <c r="B17" s="8" t="n">
        <v>45925</v>
      </c>
      <c r="C17" s="7" t="s">
        <v>60</v>
      </c>
      <c r="D17" s="7" t="s">
        <v>34</v>
      </c>
      <c r="E17" s="7" t="s">
        <v>1203</v>
      </c>
      <c r="F17" s="7" t="s">
        <v>291</v>
      </c>
      <c r="G17" s="7" t="s">
        <v>1204</v>
      </c>
      <c r="H17" s="7" t="n">
        <v>2292610</v>
      </c>
      <c r="I17" s="7" t="s">
        <v>1180</v>
      </c>
      <c r="J17" s="8" t="n">
        <v>45952</v>
      </c>
      <c r="K17" s="7" t="n">
        <f aca="false">IF(J17="","Not Completed",J17-B17)</f>
        <v>27</v>
      </c>
    </row>
    <row r="18" customFormat="false" ht="15" hidden="false" customHeight="false" outlineLevel="0" collapsed="false">
      <c r="A18" s="7" t="s">
        <v>1206</v>
      </c>
      <c r="B18" s="8" t="n">
        <v>45851</v>
      </c>
      <c r="C18" s="7" t="s">
        <v>60</v>
      </c>
      <c r="D18" s="7" t="s">
        <v>34</v>
      </c>
      <c r="E18" s="7" t="s">
        <v>1186</v>
      </c>
      <c r="F18" s="7" t="s">
        <v>366</v>
      </c>
      <c r="G18" s="7" t="s">
        <v>1187</v>
      </c>
      <c r="H18" s="7" t="n">
        <v>2331376</v>
      </c>
      <c r="I18" s="7" t="s">
        <v>1180</v>
      </c>
      <c r="J18" s="8" t="n">
        <v>45870</v>
      </c>
      <c r="K18" s="7" t="n">
        <f aca="false">IF(J18="","Not Completed",J18-B18)</f>
        <v>19</v>
      </c>
    </row>
    <row r="19" customFormat="false" ht="15" hidden="false" customHeight="false" outlineLevel="0" collapsed="false">
      <c r="A19" s="7" t="s">
        <v>1207</v>
      </c>
      <c r="B19" s="8" t="n">
        <v>45432</v>
      </c>
      <c r="C19" s="7" t="s">
        <v>87</v>
      </c>
      <c r="D19" s="7" t="s">
        <v>34</v>
      </c>
      <c r="E19" s="7" t="s">
        <v>1203</v>
      </c>
      <c r="F19" s="7" t="s">
        <v>401</v>
      </c>
      <c r="G19" s="7" t="s">
        <v>1204</v>
      </c>
      <c r="H19" s="7" t="n">
        <v>204282</v>
      </c>
      <c r="I19" s="7" t="s">
        <v>1180</v>
      </c>
      <c r="J19" s="8" t="n">
        <v>45454</v>
      </c>
      <c r="K19" s="7" t="n">
        <f aca="false">IF(J19="","Not Completed",J19-B19)</f>
        <v>22</v>
      </c>
    </row>
    <row r="20" customFormat="false" ht="15" hidden="false" customHeight="false" outlineLevel="0" collapsed="false">
      <c r="A20" s="7" t="s">
        <v>1208</v>
      </c>
      <c r="B20" s="8" t="n">
        <v>45296</v>
      </c>
      <c r="C20" s="7" t="s">
        <v>79</v>
      </c>
      <c r="D20" s="7" t="s">
        <v>34</v>
      </c>
      <c r="E20" s="7" t="s">
        <v>1174</v>
      </c>
      <c r="F20" s="7" t="s">
        <v>165</v>
      </c>
      <c r="G20" s="7" t="s">
        <v>1175</v>
      </c>
      <c r="H20" s="7" t="n">
        <v>3224381</v>
      </c>
      <c r="I20" s="7" t="s">
        <v>1176</v>
      </c>
      <c r="J20" s="7"/>
      <c r="K20" s="7" t="str">
        <f aca="false">IF(J20="","Not Completed",J20-B20)</f>
        <v>Not Completed</v>
      </c>
    </row>
    <row r="21" customFormat="false" ht="15" hidden="false" customHeight="false" outlineLevel="0" collapsed="false">
      <c r="A21" s="7" t="s">
        <v>1209</v>
      </c>
      <c r="B21" s="8" t="n">
        <v>45321</v>
      </c>
      <c r="C21" s="7" t="s">
        <v>68</v>
      </c>
      <c r="D21" s="7" t="s">
        <v>34</v>
      </c>
      <c r="E21" s="7" t="s">
        <v>1183</v>
      </c>
      <c r="F21" s="7" t="s">
        <v>269</v>
      </c>
      <c r="G21" s="7" t="s">
        <v>1184</v>
      </c>
      <c r="H21" s="7" t="n">
        <v>1013624</v>
      </c>
      <c r="I21" s="7" t="s">
        <v>1180</v>
      </c>
      <c r="J21" s="8" t="n">
        <v>45348</v>
      </c>
      <c r="K21" s="7" t="n">
        <f aca="false">IF(J21="","Not Completed",J21-B21)</f>
        <v>27</v>
      </c>
    </row>
    <row r="22" customFormat="false" ht="15" hidden="false" customHeight="false" outlineLevel="0" collapsed="false">
      <c r="A22" s="7" t="s">
        <v>1210</v>
      </c>
      <c r="B22" s="8" t="n">
        <v>45528</v>
      </c>
      <c r="C22" s="7" t="s">
        <v>79</v>
      </c>
      <c r="D22" s="7" t="s">
        <v>34</v>
      </c>
      <c r="E22" s="7" t="s">
        <v>1192</v>
      </c>
      <c r="F22" s="7" t="s">
        <v>426</v>
      </c>
      <c r="G22" s="7" t="s">
        <v>1193</v>
      </c>
      <c r="H22" s="7" t="n">
        <v>609841</v>
      </c>
      <c r="I22" s="7" t="s">
        <v>1188</v>
      </c>
      <c r="J22" s="7"/>
      <c r="K22" s="7" t="str">
        <f aca="false">IF(J22="","Not Completed",J22-B22)</f>
        <v>Not Completed</v>
      </c>
    </row>
    <row r="23" customFormat="false" ht="15" hidden="false" customHeight="false" outlineLevel="0" collapsed="false">
      <c r="A23" s="7" t="s">
        <v>1211</v>
      </c>
      <c r="B23" s="8" t="n">
        <v>45390</v>
      </c>
      <c r="C23" s="7" t="s">
        <v>87</v>
      </c>
      <c r="D23" s="7" t="s">
        <v>34</v>
      </c>
      <c r="E23" s="7" t="s">
        <v>1192</v>
      </c>
      <c r="F23" s="7" t="s">
        <v>329</v>
      </c>
      <c r="G23" s="7" t="s">
        <v>1193</v>
      </c>
      <c r="H23" s="7" t="n">
        <v>1466523</v>
      </c>
      <c r="I23" s="7" t="s">
        <v>1180</v>
      </c>
      <c r="J23" s="8" t="n">
        <v>45405</v>
      </c>
      <c r="K23" s="7" t="n">
        <f aca="false">IF(J23="","Not Completed",J23-B23)</f>
        <v>15</v>
      </c>
    </row>
    <row r="24" customFormat="false" ht="15" hidden="false" customHeight="false" outlineLevel="0" collapsed="false">
      <c r="A24" s="7" t="s">
        <v>1212</v>
      </c>
      <c r="B24" s="8" t="n">
        <v>45471</v>
      </c>
      <c r="C24" s="7" t="s">
        <v>75</v>
      </c>
      <c r="D24" s="7" t="s">
        <v>34</v>
      </c>
      <c r="E24" s="7" t="s">
        <v>1203</v>
      </c>
      <c r="F24" s="7" t="s">
        <v>140</v>
      </c>
      <c r="G24" s="7" t="s">
        <v>1204</v>
      </c>
      <c r="H24" s="7" t="n">
        <v>2229066</v>
      </c>
      <c r="I24" s="7" t="s">
        <v>1180</v>
      </c>
      <c r="J24" s="8" t="n">
        <v>45487</v>
      </c>
      <c r="K24" s="7" t="n">
        <f aca="false">IF(J24="","Not Completed",J24-B24)</f>
        <v>16</v>
      </c>
    </row>
    <row r="25" customFormat="false" ht="15" hidden="false" customHeight="false" outlineLevel="0" collapsed="false">
      <c r="A25" s="7" t="s">
        <v>1213</v>
      </c>
      <c r="B25" s="8" t="n">
        <v>45326</v>
      </c>
      <c r="C25" s="7" t="s">
        <v>68</v>
      </c>
      <c r="D25" s="7" t="s">
        <v>34</v>
      </c>
      <c r="E25" s="7" t="s">
        <v>1183</v>
      </c>
      <c r="F25" s="7" t="s">
        <v>126</v>
      </c>
      <c r="G25" s="7" t="s">
        <v>1184</v>
      </c>
      <c r="H25" s="7" t="n">
        <v>1680917</v>
      </c>
      <c r="I25" s="7" t="s">
        <v>1176</v>
      </c>
      <c r="J25" s="7"/>
      <c r="K25" s="7" t="str">
        <f aca="false">IF(J25="","Not Completed",J25-B25)</f>
        <v>Not Completed</v>
      </c>
    </row>
    <row r="26" customFormat="false" ht="15" hidden="false" customHeight="false" outlineLevel="0" collapsed="false">
      <c r="A26" s="7" t="s">
        <v>1214</v>
      </c>
      <c r="B26" s="8" t="n">
        <v>45960</v>
      </c>
      <c r="C26" s="7" t="s">
        <v>65</v>
      </c>
      <c r="D26" s="7" t="s">
        <v>34</v>
      </c>
      <c r="E26" s="7" t="s">
        <v>1203</v>
      </c>
      <c r="F26" s="7" t="s">
        <v>302</v>
      </c>
      <c r="G26" s="7" t="s">
        <v>1204</v>
      </c>
      <c r="H26" s="7" t="n">
        <v>313246</v>
      </c>
      <c r="I26" s="7" t="s">
        <v>1180</v>
      </c>
      <c r="J26" s="8" t="n">
        <v>45965</v>
      </c>
      <c r="K26" s="7" t="n">
        <f aca="false">IF(J26="","Not Completed",J26-B26)</f>
        <v>5</v>
      </c>
    </row>
    <row r="27" customFormat="false" ht="15" hidden="false" customHeight="false" outlineLevel="0" collapsed="false">
      <c r="A27" s="7" t="s">
        <v>1215</v>
      </c>
      <c r="B27" s="8" t="n">
        <v>45583</v>
      </c>
      <c r="C27" s="7" t="s">
        <v>60</v>
      </c>
      <c r="D27" s="7" t="s">
        <v>34</v>
      </c>
      <c r="E27" s="7" t="s">
        <v>1192</v>
      </c>
      <c r="F27" s="7" t="s">
        <v>197</v>
      </c>
      <c r="G27" s="7" t="s">
        <v>1193</v>
      </c>
      <c r="H27" s="7" t="n">
        <v>3376643</v>
      </c>
      <c r="I27" s="7" t="s">
        <v>1180</v>
      </c>
      <c r="J27" s="8" t="n">
        <v>45608</v>
      </c>
      <c r="K27" s="7" t="n">
        <f aca="false">IF(J27="","Not Completed",J27-B27)</f>
        <v>25</v>
      </c>
    </row>
    <row r="28" customFormat="false" ht="15" hidden="false" customHeight="false" outlineLevel="0" collapsed="false">
      <c r="A28" s="7" t="s">
        <v>1216</v>
      </c>
      <c r="B28" s="8" t="n">
        <v>45428</v>
      </c>
      <c r="C28" s="7" t="s">
        <v>65</v>
      </c>
      <c r="D28" s="7" t="s">
        <v>34</v>
      </c>
      <c r="E28" s="7" t="s">
        <v>1178</v>
      </c>
      <c r="F28" s="7" t="s">
        <v>213</v>
      </c>
      <c r="G28" s="7" t="s">
        <v>1179</v>
      </c>
      <c r="H28" s="7" t="n">
        <v>3413941</v>
      </c>
      <c r="I28" s="7" t="s">
        <v>1180</v>
      </c>
      <c r="J28" s="8" t="n">
        <v>45457</v>
      </c>
      <c r="K28" s="7" t="n">
        <f aca="false">IF(J28="","Not Completed",J28-B28)</f>
        <v>29</v>
      </c>
    </row>
    <row r="29" customFormat="false" ht="15" hidden="false" customHeight="false" outlineLevel="0" collapsed="false">
      <c r="A29" s="7" t="s">
        <v>1217</v>
      </c>
      <c r="B29" s="8" t="n">
        <v>45293</v>
      </c>
      <c r="C29" s="7" t="s">
        <v>75</v>
      </c>
      <c r="D29" s="7" t="s">
        <v>34</v>
      </c>
      <c r="E29" s="7" t="s">
        <v>1199</v>
      </c>
      <c r="F29" s="7" t="s">
        <v>227</v>
      </c>
      <c r="G29" s="7" t="s">
        <v>1200</v>
      </c>
      <c r="H29" s="7" t="n">
        <v>3257841</v>
      </c>
      <c r="I29" s="7" t="s">
        <v>1180</v>
      </c>
      <c r="J29" s="8" t="n">
        <v>45310</v>
      </c>
      <c r="K29" s="7" t="n">
        <f aca="false">IF(J29="","Not Completed",J29-B29)</f>
        <v>17</v>
      </c>
    </row>
    <row r="30" customFormat="false" ht="15" hidden="false" customHeight="false" outlineLevel="0" collapsed="false">
      <c r="A30" s="7" t="s">
        <v>1218</v>
      </c>
      <c r="B30" s="8" t="n">
        <v>45623</v>
      </c>
      <c r="C30" s="7" t="s">
        <v>68</v>
      </c>
      <c r="D30" s="7" t="s">
        <v>34</v>
      </c>
      <c r="E30" s="7" t="s">
        <v>1178</v>
      </c>
      <c r="F30" s="7" t="s">
        <v>295</v>
      </c>
      <c r="G30" s="7" t="s">
        <v>1179</v>
      </c>
      <c r="H30" s="7" t="n">
        <v>2976972</v>
      </c>
      <c r="I30" s="7" t="s">
        <v>1180</v>
      </c>
      <c r="J30" s="8" t="n">
        <v>45645</v>
      </c>
      <c r="K30" s="7" t="n">
        <f aca="false">IF(J30="","Not Completed",J30-B30)</f>
        <v>22</v>
      </c>
    </row>
    <row r="31" customFormat="false" ht="15" hidden="false" customHeight="false" outlineLevel="0" collapsed="false">
      <c r="A31" s="7" t="s">
        <v>1219</v>
      </c>
      <c r="B31" s="8" t="n">
        <v>45440</v>
      </c>
      <c r="C31" s="7" t="s">
        <v>87</v>
      </c>
      <c r="D31" s="7" t="s">
        <v>34</v>
      </c>
      <c r="E31" s="7" t="s">
        <v>1203</v>
      </c>
      <c r="F31" s="7" t="s">
        <v>263</v>
      </c>
      <c r="G31" s="7" t="s">
        <v>1204</v>
      </c>
      <c r="H31" s="7" t="n">
        <v>2551923</v>
      </c>
      <c r="I31" s="7" t="s">
        <v>1180</v>
      </c>
      <c r="J31" s="8" t="n">
        <v>45445</v>
      </c>
      <c r="K31" s="7" t="n">
        <f aca="false">IF(J31="","Not Completed",J31-B31)</f>
        <v>5</v>
      </c>
    </row>
    <row r="32" customFormat="false" ht="15" hidden="false" customHeight="false" outlineLevel="0" collapsed="false">
      <c r="A32" s="7" t="s">
        <v>1220</v>
      </c>
      <c r="B32" s="8" t="n">
        <v>45897</v>
      </c>
      <c r="C32" s="7" t="s">
        <v>79</v>
      </c>
      <c r="D32" s="7" t="s">
        <v>34</v>
      </c>
      <c r="E32" s="7" t="s">
        <v>1178</v>
      </c>
      <c r="F32" s="7" t="s">
        <v>259</v>
      </c>
      <c r="G32" s="7" t="s">
        <v>1179</v>
      </c>
      <c r="H32" s="7" t="n">
        <v>2928698</v>
      </c>
      <c r="I32" s="7" t="s">
        <v>1180</v>
      </c>
      <c r="J32" s="8" t="n">
        <v>45919</v>
      </c>
      <c r="K32" s="7" t="n">
        <f aca="false">IF(J32="","Not Completed",J32-B32)</f>
        <v>22</v>
      </c>
    </row>
    <row r="33" customFormat="false" ht="15" hidden="false" customHeight="false" outlineLevel="0" collapsed="false">
      <c r="A33" s="7" t="s">
        <v>1221</v>
      </c>
      <c r="B33" s="8" t="n">
        <v>45389</v>
      </c>
      <c r="C33" s="7" t="s">
        <v>75</v>
      </c>
      <c r="D33" s="7" t="s">
        <v>34</v>
      </c>
      <c r="E33" s="7" t="s">
        <v>1183</v>
      </c>
      <c r="F33" s="7" t="s">
        <v>131</v>
      </c>
      <c r="G33" s="7" t="s">
        <v>1184</v>
      </c>
      <c r="H33" s="7" t="n">
        <v>1299865</v>
      </c>
      <c r="I33" s="7" t="s">
        <v>1180</v>
      </c>
      <c r="J33" s="8" t="n">
        <v>45413</v>
      </c>
      <c r="K33" s="7" t="n">
        <f aca="false">IF(J33="","Not Completed",J33-B33)</f>
        <v>24</v>
      </c>
    </row>
    <row r="34" customFormat="false" ht="15" hidden="false" customHeight="false" outlineLevel="0" collapsed="false">
      <c r="A34" s="7" t="s">
        <v>1222</v>
      </c>
      <c r="B34" s="8" t="n">
        <v>45595</v>
      </c>
      <c r="C34" s="7" t="s">
        <v>87</v>
      </c>
      <c r="D34" s="7" t="s">
        <v>34</v>
      </c>
      <c r="E34" s="7" t="s">
        <v>1183</v>
      </c>
      <c r="F34" s="7" t="s">
        <v>404</v>
      </c>
      <c r="G34" s="7" t="s">
        <v>1184</v>
      </c>
      <c r="H34" s="7" t="n">
        <v>684429</v>
      </c>
      <c r="I34" s="7" t="s">
        <v>1180</v>
      </c>
      <c r="J34" s="8" t="n">
        <v>45598</v>
      </c>
      <c r="K34" s="7" t="n">
        <f aca="false">IF(J34="","Not Completed",J34-B34)</f>
        <v>3</v>
      </c>
    </row>
    <row r="35" customFormat="false" ht="15" hidden="false" customHeight="false" outlineLevel="0" collapsed="false">
      <c r="A35" s="7" t="s">
        <v>1223</v>
      </c>
      <c r="B35" s="8" t="n">
        <v>45639</v>
      </c>
      <c r="C35" s="7" t="s">
        <v>68</v>
      </c>
      <c r="D35" s="7" t="s">
        <v>34</v>
      </c>
      <c r="E35" s="7" t="s">
        <v>1178</v>
      </c>
      <c r="F35" s="7" t="s">
        <v>241</v>
      </c>
      <c r="G35" s="7" t="s">
        <v>1179</v>
      </c>
      <c r="H35" s="7" t="n">
        <v>322918</v>
      </c>
      <c r="I35" s="7" t="s">
        <v>1188</v>
      </c>
      <c r="J35" s="7"/>
      <c r="K35" s="7" t="str">
        <f aca="false">IF(J35="","Not Completed",J35-B35)</f>
        <v>Not Completed</v>
      </c>
    </row>
    <row r="36" customFormat="false" ht="15" hidden="false" customHeight="false" outlineLevel="0" collapsed="false">
      <c r="A36" s="7" t="s">
        <v>1224</v>
      </c>
      <c r="B36" s="8" t="n">
        <v>45294</v>
      </c>
      <c r="C36" s="7" t="s">
        <v>83</v>
      </c>
      <c r="D36" s="7" t="s">
        <v>34</v>
      </c>
      <c r="E36" s="7" t="s">
        <v>1199</v>
      </c>
      <c r="F36" s="7" t="s">
        <v>199</v>
      </c>
      <c r="G36" s="7" t="s">
        <v>1200</v>
      </c>
      <c r="H36" s="7" t="n">
        <v>1050365</v>
      </c>
      <c r="I36" s="7" t="s">
        <v>1180</v>
      </c>
      <c r="J36" s="8" t="n">
        <v>45296</v>
      </c>
      <c r="K36" s="7" t="n">
        <f aca="false">IF(J36="","Not Completed",J36-B36)</f>
        <v>2</v>
      </c>
    </row>
    <row r="37" customFormat="false" ht="15" hidden="false" customHeight="false" outlineLevel="0" collapsed="false">
      <c r="A37" s="7" t="s">
        <v>1225</v>
      </c>
      <c r="B37" s="8" t="n">
        <v>45709</v>
      </c>
      <c r="C37" s="7" t="s">
        <v>87</v>
      </c>
      <c r="D37" s="7" t="s">
        <v>34</v>
      </c>
      <c r="E37" s="7" t="s">
        <v>1199</v>
      </c>
      <c r="F37" s="7" t="s">
        <v>148</v>
      </c>
      <c r="G37" s="7" t="s">
        <v>1200</v>
      </c>
      <c r="H37" s="7" t="n">
        <v>1679646</v>
      </c>
      <c r="I37" s="7" t="s">
        <v>1180</v>
      </c>
      <c r="J37" s="8" t="n">
        <v>45717</v>
      </c>
      <c r="K37" s="7" t="n">
        <f aca="false">IF(J37="","Not Completed",J37-B37)</f>
        <v>8</v>
      </c>
    </row>
    <row r="38" customFormat="false" ht="15" hidden="false" customHeight="false" outlineLevel="0" collapsed="false">
      <c r="A38" s="7" t="s">
        <v>1226</v>
      </c>
      <c r="B38" s="8" t="n">
        <v>45864</v>
      </c>
      <c r="C38" s="7" t="s">
        <v>83</v>
      </c>
      <c r="D38" s="7" t="s">
        <v>34</v>
      </c>
      <c r="E38" s="7" t="s">
        <v>1174</v>
      </c>
      <c r="F38" s="7" t="s">
        <v>310</v>
      </c>
      <c r="G38" s="7" t="s">
        <v>1175</v>
      </c>
      <c r="H38" s="7" t="n">
        <v>3304947</v>
      </c>
      <c r="I38" s="7" t="s">
        <v>1180</v>
      </c>
      <c r="J38" s="8" t="n">
        <v>45876</v>
      </c>
      <c r="K38" s="7" t="n">
        <f aca="false">IF(J38="","Not Completed",J38-B38)</f>
        <v>12</v>
      </c>
    </row>
    <row r="39" customFormat="false" ht="15" hidden="false" customHeight="false" outlineLevel="0" collapsed="false">
      <c r="A39" s="7" t="s">
        <v>1227</v>
      </c>
      <c r="B39" s="8" t="n">
        <v>45989</v>
      </c>
      <c r="C39" s="7" t="s">
        <v>68</v>
      </c>
      <c r="D39" s="7" t="s">
        <v>34</v>
      </c>
      <c r="E39" s="7" t="s">
        <v>1186</v>
      </c>
      <c r="F39" s="7" t="s">
        <v>170</v>
      </c>
      <c r="G39" s="7" t="s">
        <v>1187</v>
      </c>
      <c r="H39" s="7" t="n">
        <v>1243686</v>
      </c>
      <c r="I39" s="7" t="s">
        <v>1180</v>
      </c>
      <c r="J39" s="8" t="n">
        <v>45999</v>
      </c>
      <c r="K39" s="7" t="n">
        <f aca="false">IF(J39="","Not Completed",J39-B39)</f>
        <v>10</v>
      </c>
    </row>
    <row r="40" customFormat="false" ht="15" hidden="false" customHeight="false" outlineLevel="0" collapsed="false">
      <c r="A40" s="7" t="s">
        <v>1228</v>
      </c>
      <c r="B40" s="8" t="n">
        <v>45995</v>
      </c>
      <c r="C40" s="7" t="s">
        <v>71</v>
      </c>
      <c r="D40" s="7" t="s">
        <v>34</v>
      </c>
      <c r="E40" s="7" t="s">
        <v>1186</v>
      </c>
      <c r="F40" s="7" t="s">
        <v>301</v>
      </c>
      <c r="G40" s="7" t="s">
        <v>1187</v>
      </c>
      <c r="H40" s="7" t="n">
        <v>1878695</v>
      </c>
      <c r="I40" s="7" t="s">
        <v>1180</v>
      </c>
      <c r="J40" s="8" t="n">
        <v>46023</v>
      </c>
      <c r="K40" s="7" t="n">
        <f aca="false">IF(J40="","Not Completed",J40-B40)</f>
        <v>28</v>
      </c>
    </row>
    <row r="41" customFormat="false" ht="15" hidden="false" customHeight="false" outlineLevel="0" collapsed="false">
      <c r="A41" s="7" t="s">
        <v>1229</v>
      </c>
      <c r="B41" s="8" t="n">
        <v>45926</v>
      </c>
      <c r="C41" s="7" t="s">
        <v>87</v>
      </c>
      <c r="D41" s="7" t="s">
        <v>34</v>
      </c>
      <c r="E41" s="7" t="s">
        <v>1203</v>
      </c>
      <c r="F41" s="7" t="s">
        <v>327</v>
      </c>
      <c r="G41" s="7" t="s">
        <v>1204</v>
      </c>
      <c r="H41" s="7" t="n">
        <v>2625981</v>
      </c>
      <c r="I41" s="7" t="s">
        <v>1188</v>
      </c>
      <c r="J41" s="7"/>
      <c r="K41" s="7" t="str">
        <f aca="false">IF(J41="","Not Completed",J41-B41)</f>
        <v>Not Completed</v>
      </c>
    </row>
    <row r="42" customFormat="false" ht="15" hidden="false" customHeight="false" outlineLevel="0" collapsed="false">
      <c r="A42" s="7" t="s">
        <v>1230</v>
      </c>
      <c r="B42" s="8" t="n">
        <v>45397</v>
      </c>
      <c r="C42" s="7" t="s">
        <v>65</v>
      </c>
      <c r="D42" s="7" t="s">
        <v>34</v>
      </c>
      <c r="E42" s="7" t="s">
        <v>1192</v>
      </c>
      <c r="F42" s="7" t="s">
        <v>359</v>
      </c>
      <c r="G42" s="7" t="s">
        <v>1193</v>
      </c>
      <c r="H42" s="7" t="n">
        <v>1808431</v>
      </c>
      <c r="I42" s="7" t="s">
        <v>1180</v>
      </c>
      <c r="J42" s="8" t="n">
        <v>45406</v>
      </c>
      <c r="K42" s="7" t="n">
        <f aca="false">IF(J42="","Not Completed",J42-B42)</f>
        <v>9</v>
      </c>
    </row>
    <row r="43" customFormat="false" ht="15" hidden="false" customHeight="false" outlineLevel="0" collapsed="false">
      <c r="A43" s="7" t="s">
        <v>1231</v>
      </c>
      <c r="B43" s="8" t="n">
        <v>45661</v>
      </c>
      <c r="C43" s="7" t="s">
        <v>71</v>
      </c>
      <c r="D43" s="7" t="s">
        <v>34</v>
      </c>
      <c r="E43" s="7" t="s">
        <v>1192</v>
      </c>
      <c r="F43" s="7" t="s">
        <v>215</v>
      </c>
      <c r="G43" s="7" t="s">
        <v>1193</v>
      </c>
      <c r="H43" s="7" t="n">
        <v>2158932</v>
      </c>
      <c r="I43" s="7" t="s">
        <v>1180</v>
      </c>
      <c r="J43" s="8" t="n">
        <v>45662</v>
      </c>
      <c r="K43" s="7" t="n">
        <f aca="false">IF(J43="","Not Completed",J43-B43)</f>
        <v>1</v>
      </c>
    </row>
    <row r="44" customFormat="false" ht="15" hidden="false" customHeight="false" outlineLevel="0" collapsed="false">
      <c r="A44" s="7" t="s">
        <v>1232</v>
      </c>
      <c r="B44" s="8" t="n">
        <v>45776</v>
      </c>
      <c r="C44" s="7" t="s">
        <v>83</v>
      </c>
      <c r="D44" s="7" t="s">
        <v>34</v>
      </c>
      <c r="E44" s="7" t="s">
        <v>1183</v>
      </c>
      <c r="F44" s="7" t="s">
        <v>308</v>
      </c>
      <c r="G44" s="7" t="s">
        <v>1184</v>
      </c>
      <c r="H44" s="7" t="n">
        <v>1592492</v>
      </c>
      <c r="I44" s="7" t="s">
        <v>1180</v>
      </c>
      <c r="J44" s="8" t="n">
        <v>45794</v>
      </c>
      <c r="K44" s="7" t="n">
        <f aca="false">IF(J44="","Not Completed",J44-B44)</f>
        <v>18</v>
      </c>
    </row>
    <row r="45" customFormat="false" ht="15" hidden="false" customHeight="false" outlineLevel="0" collapsed="false">
      <c r="A45" s="7" t="s">
        <v>1233</v>
      </c>
      <c r="B45" s="8" t="n">
        <v>45924</v>
      </c>
      <c r="C45" s="7" t="s">
        <v>65</v>
      </c>
      <c r="D45" s="7" t="s">
        <v>34</v>
      </c>
      <c r="E45" s="7" t="s">
        <v>1186</v>
      </c>
      <c r="F45" s="7" t="s">
        <v>213</v>
      </c>
      <c r="G45" s="7" t="s">
        <v>1187</v>
      </c>
      <c r="H45" s="7" t="n">
        <v>1305625</v>
      </c>
      <c r="I45" s="7" t="s">
        <v>1180</v>
      </c>
      <c r="J45" s="8" t="n">
        <v>45929</v>
      </c>
      <c r="K45" s="7" t="n">
        <f aca="false">IF(J45="","Not Completed",J45-B45)</f>
        <v>5</v>
      </c>
    </row>
    <row r="46" customFormat="false" ht="15" hidden="false" customHeight="false" outlineLevel="0" collapsed="false">
      <c r="A46" s="7" t="s">
        <v>1234</v>
      </c>
      <c r="B46" s="8" t="n">
        <v>45576</v>
      </c>
      <c r="C46" s="7" t="s">
        <v>87</v>
      </c>
      <c r="D46" s="7" t="s">
        <v>34</v>
      </c>
      <c r="E46" s="7" t="s">
        <v>1183</v>
      </c>
      <c r="F46" s="7" t="s">
        <v>369</v>
      </c>
      <c r="G46" s="7" t="s">
        <v>1184</v>
      </c>
      <c r="H46" s="7" t="n">
        <v>1221860</v>
      </c>
      <c r="I46" s="7" t="s">
        <v>1188</v>
      </c>
      <c r="J46" s="7"/>
      <c r="K46" s="7" t="str">
        <f aca="false">IF(J46="","Not Completed",J46-B46)</f>
        <v>Not Completed</v>
      </c>
    </row>
    <row r="47" customFormat="false" ht="15" hidden="false" customHeight="false" outlineLevel="0" collapsed="false">
      <c r="A47" s="7" t="s">
        <v>1235</v>
      </c>
      <c r="B47" s="8" t="n">
        <v>45854</v>
      </c>
      <c r="C47" s="7" t="s">
        <v>68</v>
      </c>
      <c r="D47" s="7" t="s">
        <v>34</v>
      </c>
      <c r="E47" s="7" t="s">
        <v>1178</v>
      </c>
      <c r="F47" s="7" t="s">
        <v>265</v>
      </c>
      <c r="G47" s="7" t="s">
        <v>1179</v>
      </c>
      <c r="H47" s="7" t="n">
        <v>2700502</v>
      </c>
      <c r="I47" s="7" t="s">
        <v>1180</v>
      </c>
      <c r="J47" s="8" t="n">
        <v>45855</v>
      </c>
      <c r="K47" s="7" t="n">
        <f aca="false">IF(J47="","Not Completed",J47-B47)</f>
        <v>1</v>
      </c>
    </row>
    <row r="48" customFormat="false" ht="15" hidden="false" customHeight="false" outlineLevel="0" collapsed="false">
      <c r="A48" s="7" t="s">
        <v>1236</v>
      </c>
      <c r="B48" s="8" t="n">
        <v>45711</v>
      </c>
      <c r="C48" s="7" t="s">
        <v>60</v>
      </c>
      <c r="D48" s="7" t="s">
        <v>34</v>
      </c>
      <c r="E48" s="7" t="s">
        <v>1203</v>
      </c>
      <c r="F48" s="7" t="s">
        <v>402</v>
      </c>
      <c r="G48" s="7" t="s">
        <v>1204</v>
      </c>
      <c r="H48" s="7" t="n">
        <v>3452161</v>
      </c>
      <c r="I48" s="7" t="s">
        <v>1180</v>
      </c>
      <c r="J48" s="8" t="n">
        <v>45740</v>
      </c>
      <c r="K48" s="7" t="n">
        <f aca="false">IF(J48="","Not Completed",J48-B48)</f>
        <v>29</v>
      </c>
    </row>
    <row r="49" customFormat="false" ht="15" hidden="false" customHeight="false" outlineLevel="0" collapsed="false">
      <c r="A49" s="7" t="s">
        <v>1237</v>
      </c>
      <c r="B49" s="8" t="n">
        <v>45487</v>
      </c>
      <c r="C49" s="7" t="s">
        <v>60</v>
      </c>
      <c r="D49" s="7" t="s">
        <v>34</v>
      </c>
      <c r="E49" s="7" t="s">
        <v>1186</v>
      </c>
      <c r="F49" s="7" t="s">
        <v>343</v>
      </c>
      <c r="G49" s="7" t="s">
        <v>1187</v>
      </c>
      <c r="H49" s="7" t="n">
        <v>3070308</v>
      </c>
      <c r="I49" s="7" t="s">
        <v>1180</v>
      </c>
      <c r="J49" s="8" t="n">
        <v>45513</v>
      </c>
      <c r="K49" s="7" t="n">
        <f aca="false">IF(J49="","Not Completed",J49-B49)</f>
        <v>26</v>
      </c>
    </row>
    <row r="50" customFormat="false" ht="15" hidden="false" customHeight="false" outlineLevel="0" collapsed="false">
      <c r="A50" s="7" t="s">
        <v>1238</v>
      </c>
      <c r="B50" s="8" t="n">
        <v>45954</v>
      </c>
      <c r="C50" s="7" t="s">
        <v>65</v>
      </c>
      <c r="D50" s="7" t="s">
        <v>34</v>
      </c>
      <c r="E50" s="7" t="s">
        <v>1199</v>
      </c>
      <c r="F50" s="7" t="s">
        <v>247</v>
      </c>
      <c r="G50" s="7" t="s">
        <v>1200</v>
      </c>
      <c r="H50" s="7" t="n">
        <v>1315940</v>
      </c>
      <c r="I50" s="7" t="s">
        <v>1180</v>
      </c>
      <c r="J50" s="8" t="n">
        <v>45968</v>
      </c>
      <c r="K50" s="7" t="n">
        <f aca="false">IF(J50="","Not Completed",J50-B50)</f>
        <v>14</v>
      </c>
    </row>
    <row r="51" customFormat="false" ht="15" hidden="false" customHeight="false" outlineLevel="0" collapsed="false">
      <c r="A51" s="7" t="s">
        <v>1239</v>
      </c>
      <c r="B51" s="8" t="n">
        <v>45645</v>
      </c>
      <c r="C51" s="7" t="s">
        <v>87</v>
      </c>
      <c r="D51" s="7" t="s">
        <v>34</v>
      </c>
      <c r="E51" s="7" t="s">
        <v>1174</v>
      </c>
      <c r="F51" s="7" t="s">
        <v>353</v>
      </c>
      <c r="G51" s="7" t="s">
        <v>1175</v>
      </c>
      <c r="H51" s="7" t="n">
        <v>1548312</v>
      </c>
      <c r="I51" s="7" t="s">
        <v>1180</v>
      </c>
      <c r="J51" s="8" t="n">
        <v>45653</v>
      </c>
      <c r="K51" s="7" t="n">
        <f aca="false">IF(J51="","Not Completed",J51-B51)</f>
        <v>8</v>
      </c>
    </row>
    <row r="52" customFormat="false" ht="15" hidden="false" customHeight="false" outlineLevel="0" collapsed="false">
      <c r="A52" s="7" t="s">
        <v>1240</v>
      </c>
      <c r="B52" s="8" t="n">
        <v>45361</v>
      </c>
      <c r="C52" s="7" t="s">
        <v>65</v>
      </c>
      <c r="D52" s="7" t="s">
        <v>34</v>
      </c>
      <c r="E52" s="7" t="s">
        <v>1192</v>
      </c>
      <c r="F52" s="7" t="s">
        <v>361</v>
      </c>
      <c r="G52" s="7" t="s">
        <v>1193</v>
      </c>
      <c r="H52" s="7" t="n">
        <v>3203055</v>
      </c>
      <c r="I52" s="7" t="s">
        <v>1188</v>
      </c>
      <c r="J52" s="7"/>
      <c r="K52" s="7" t="str">
        <f aca="false">IF(J52="","Not Completed",J52-B52)</f>
        <v>Not Completed</v>
      </c>
    </row>
    <row r="53" customFormat="false" ht="15" hidden="false" customHeight="false" outlineLevel="0" collapsed="false">
      <c r="A53" s="7" t="s">
        <v>1241</v>
      </c>
      <c r="B53" s="8" t="n">
        <v>45710</v>
      </c>
      <c r="C53" s="7" t="s">
        <v>79</v>
      </c>
      <c r="D53" s="7" t="s">
        <v>34</v>
      </c>
      <c r="E53" s="7" t="s">
        <v>1192</v>
      </c>
      <c r="F53" s="7" t="s">
        <v>347</v>
      </c>
      <c r="G53" s="7" t="s">
        <v>1193</v>
      </c>
      <c r="H53" s="7" t="n">
        <v>2668932</v>
      </c>
      <c r="I53" s="7" t="s">
        <v>1180</v>
      </c>
      <c r="J53" s="8" t="n">
        <v>45731</v>
      </c>
      <c r="K53" s="7" t="n">
        <f aca="false">IF(J53="","Not Completed",J53-B53)</f>
        <v>21</v>
      </c>
    </row>
    <row r="54" customFormat="false" ht="15" hidden="false" customHeight="false" outlineLevel="0" collapsed="false">
      <c r="A54" s="7" t="s">
        <v>1242</v>
      </c>
      <c r="B54" s="8" t="n">
        <v>45855</v>
      </c>
      <c r="C54" s="7" t="s">
        <v>83</v>
      </c>
      <c r="D54" s="7" t="s">
        <v>34</v>
      </c>
      <c r="E54" s="7" t="s">
        <v>1203</v>
      </c>
      <c r="F54" s="7" t="s">
        <v>263</v>
      </c>
      <c r="G54" s="7" t="s">
        <v>1204</v>
      </c>
      <c r="H54" s="7" t="n">
        <v>1631961</v>
      </c>
      <c r="I54" s="7" t="s">
        <v>1180</v>
      </c>
      <c r="J54" s="8" t="n">
        <v>45871</v>
      </c>
      <c r="K54" s="7" t="n">
        <f aca="false">IF(J54="","Not Completed",J54-B54)</f>
        <v>16</v>
      </c>
    </row>
    <row r="55" customFormat="false" ht="15" hidden="false" customHeight="false" outlineLevel="0" collapsed="false">
      <c r="A55" s="7" t="s">
        <v>1243</v>
      </c>
      <c r="B55" s="8" t="n">
        <v>46006</v>
      </c>
      <c r="C55" s="7" t="s">
        <v>60</v>
      </c>
      <c r="D55" s="7" t="s">
        <v>34</v>
      </c>
      <c r="E55" s="7" t="s">
        <v>1186</v>
      </c>
      <c r="F55" s="7" t="s">
        <v>414</v>
      </c>
      <c r="G55" s="7" t="s">
        <v>1187</v>
      </c>
      <c r="H55" s="7" t="n">
        <v>2158552</v>
      </c>
      <c r="I55" s="7" t="s">
        <v>1180</v>
      </c>
      <c r="J55" s="8" t="n">
        <v>46008</v>
      </c>
      <c r="K55" s="7" t="n">
        <f aca="false">IF(J55="","Not Completed",J55-B55)</f>
        <v>2</v>
      </c>
    </row>
    <row r="56" customFormat="false" ht="15" hidden="false" customHeight="false" outlineLevel="0" collapsed="false">
      <c r="A56" s="7" t="s">
        <v>1244</v>
      </c>
      <c r="B56" s="8" t="n">
        <v>45445</v>
      </c>
      <c r="C56" s="7" t="s">
        <v>79</v>
      </c>
      <c r="D56" s="7" t="s">
        <v>34</v>
      </c>
      <c r="E56" s="7" t="s">
        <v>1203</v>
      </c>
      <c r="F56" s="7" t="s">
        <v>176</v>
      </c>
      <c r="G56" s="7" t="s">
        <v>1204</v>
      </c>
      <c r="H56" s="7" t="n">
        <v>918915</v>
      </c>
      <c r="I56" s="7" t="s">
        <v>1180</v>
      </c>
      <c r="J56" s="8" t="n">
        <v>45470</v>
      </c>
      <c r="K56" s="7" t="n">
        <f aca="false">IF(J56="","Not Completed",J56-B56)</f>
        <v>25</v>
      </c>
    </row>
    <row r="57" customFormat="false" ht="15" hidden="false" customHeight="false" outlineLevel="0" collapsed="false">
      <c r="A57" s="7" t="s">
        <v>1245</v>
      </c>
      <c r="B57" s="8" t="n">
        <v>45580</v>
      </c>
      <c r="C57" s="7" t="s">
        <v>83</v>
      </c>
      <c r="D57" s="7" t="s">
        <v>34</v>
      </c>
      <c r="E57" s="7" t="s">
        <v>1192</v>
      </c>
      <c r="F57" s="7" t="s">
        <v>174</v>
      </c>
      <c r="G57" s="7" t="s">
        <v>1193</v>
      </c>
      <c r="H57" s="7" t="n">
        <v>193490</v>
      </c>
      <c r="I57" s="7" t="s">
        <v>1180</v>
      </c>
      <c r="J57" s="8" t="n">
        <v>45586</v>
      </c>
      <c r="K57" s="7" t="n">
        <f aca="false">IF(J57="","Not Completed",J57-B57)</f>
        <v>6</v>
      </c>
    </row>
    <row r="58" customFormat="false" ht="15" hidden="false" customHeight="false" outlineLevel="0" collapsed="false">
      <c r="A58" s="7" t="s">
        <v>1246</v>
      </c>
      <c r="B58" s="8" t="n">
        <v>45937</v>
      </c>
      <c r="C58" s="7" t="s">
        <v>65</v>
      </c>
      <c r="D58" s="7" t="s">
        <v>34</v>
      </c>
      <c r="E58" s="7" t="s">
        <v>1186</v>
      </c>
      <c r="F58" s="7" t="s">
        <v>213</v>
      </c>
      <c r="G58" s="7" t="s">
        <v>1187</v>
      </c>
      <c r="H58" s="7" t="n">
        <v>2227943</v>
      </c>
      <c r="I58" s="7" t="s">
        <v>1176</v>
      </c>
      <c r="J58" s="7"/>
      <c r="K58" s="7" t="str">
        <f aca="false">IF(J58="","Not Completed",J58-B58)</f>
        <v>Not Completed</v>
      </c>
    </row>
    <row r="59" customFormat="false" ht="15" hidden="false" customHeight="false" outlineLevel="0" collapsed="false">
      <c r="A59" s="7" t="s">
        <v>1247</v>
      </c>
      <c r="B59" s="8" t="n">
        <v>45577</v>
      </c>
      <c r="C59" s="7" t="s">
        <v>65</v>
      </c>
      <c r="D59" s="7" t="s">
        <v>34</v>
      </c>
      <c r="E59" s="7" t="s">
        <v>1178</v>
      </c>
      <c r="F59" s="7" t="s">
        <v>409</v>
      </c>
      <c r="G59" s="7" t="s">
        <v>1179</v>
      </c>
      <c r="H59" s="7" t="n">
        <v>1376908</v>
      </c>
      <c r="I59" s="7" t="s">
        <v>1180</v>
      </c>
      <c r="J59" s="8" t="n">
        <v>45585</v>
      </c>
      <c r="K59" s="7" t="n">
        <f aca="false">IF(J59="","Not Completed",J59-B59)</f>
        <v>8</v>
      </c>
    </row>
    <row r="60" customFormat="false" ht="15" hidden="false" customHeight="false" outlineLevel="0" collapsed="false">
      <c r="A60" s="7" t="s">
        <v>1248</v>
      </c>
      <c r="B60" s="8" t="n">
        <v>45384</v>
      </c>
      <c r="C60" s="7" t="s">
        <v>65</v>
      </c>
      <c r="D60" s="7" t="s">
        <v>34</v>
      </c>
      <c r="E60" s="7" t="s">
        <v>1186</v>
      </c>
      <c r="F60" s="7" t="s">
        <v>301</v>
      </c>
      <c r="G60" s="7" t="s">
        <v>1187</v>
      </c>
      <c r="H60" s="7" t="n">
        <v>158369</v>
      </c>
      <c r="I60" s="7" t="s">
        <v>1176</v>
      </c>
      <c r="J60" s="7"/>
      <c r="K60" s="7" t="str">
        <f aca="false">IF(J60="","Not Completed",J60-B60)</f>
        <v>Not Completed</v>
      </c>
    </row>
    <row r="61" customFormat="false" ht="15" hidden="false" customHeight="false" outlineLevel="0" collapsed="false">
      <c r="A61" s="7" t="s">
        <v>1249</v>
      </c>
      <c r="B61" s="8" t="n">
        <v>45678</v>
      </c>
      <c r="C61" s="7" t="s">
        <v>75</v>
      </c>
      <c r="D61" s="7" t="s">
        <v>34</v>
      </c>
      <c r="E61" s="7" t="s">
        <v>1203</v>
      </c>
      <c r="F61" s="7" t="s">
        <v>361</v>
      </c>
      <c r="G61" s="7" t="s">
        <v>1204</v>
      </c>
      <c r="H61" s="7" t="n">
        <v>991986</v>
      </c>
      <c r="I61" s="7" t="s">
        <v>1180</v>
      </c>
      <c r="J61" s="8" t="n">
        <v>45693</v>
      </c>
      <c r="K61" s="7" t="n">
        <f aca="false">IF(J61="","Not Completed",J61-B61)</f>
        <v>15</v>
      </c>
    </row>
    <row r="62" customFormat="false" ht="15" hidden="false" customHeight="false" outlineLevel="0" collapsed="false">
      <c r="A62" s="7" t="s">
        <v>1250</v>
      </c>
      <c r="B62" s="8" t="n">
        <v>45449</v>
      </c>
      <c r="C62" s="7" t="s">
        <v>87</v>
      </c>
      <c r="D62" s="7" t="s">
        <v>34</v>
      </c>
      <c r="E62" s="7" t="s">
        <v>1174</v>
      </c>
      <c r="F62" s="7" t="s">
        <v>310</v>
      </c>
      <c r="G62" s="7" t="s">
        <v>1175</v>
      </c>
      <c r="H62" s="7" t="n">
        <v>3198706</v>
      </c>
      <c r="I62" s="7" t="s">
        <v>1176</v>
      </c>
      <c r="J62" s="7"/>
      <c r="K62" s="7" t="str">
        <f aca="false">IF(J62="","Not Completed",J62-B62)</f>
        <v>Not Completed</v>
      </c>
    </row>
    <row r="63" customFormat="false" ht="15" hidden="false" customHeight="false" outlineLevel="0" collapsed="false">
      <c r="A63" s="7" t="s">
        <v>1251</v>
      </c>
      <c r="B63" s="8" t="n">
        <v>45892</v>
      </c>
      <c r="C63" s="7" t="s">
        <v>83</v>
      </c>
      <c r="D63" s="7" t="s">
        <v>34</v>
      </c>
      <c r="E63" s="7" t="s">
        <v>1183</v>
      </c>
      <c r="F63" s="7" t="s">
        <v>413</v>
      </c>
      <c r="G63" s="7" t="s">
        <v>1184</v>
      </c>
      <c r="H63" s="7" t="n">
        <v>288236</v>
      </c>
      <c r="I63" s="7" t="s">
        <v>1180</v>
      </c>
      <c r="J63" s="8" t="n">
        <v>45904</v>
      </c>
      <c r="K63" s="7" t="n">
        <f aca="false">IF(J63="","Not Completed",J63-B63)</f>
        <v>12</v>
      </c>
    </row>
    <row r="64" customFormat="false" ht="15" hidden="false" customHeight="false" outlineLevel="0" collapsed="false">
      <c r="A64" s="7" t="s">
        <v>1252</v>
      </c>
      <c r="B64" s="8" t="n">
        <v>45939</v>
      </c>
      <c r="C64" s="7" t="s">
        <v>71</v>
      </c>
      <c r="D64" s="7" t="s">
        <v>34</v>
      </c>
      <c r="E64" s="7" t="s">
        <v>1174</v>
      </c>
      <c r="F64" s="7" t="s">
        <v>186</v>
      </c>
      <c r="G64" s="7" t="s">
        <v>1175</v>
      </c>
      <c r="H64" s="7" t="n">
        <v>2342480</v>
      </c>
      <c r="I64" s="7" t="s">
        <v>1180</v>
      </c>
      <c r="J64" s="8" t="n">
        <v>45947</v>
      </c>
      <c r="K64" s="7" t="n">
        <f aca="false">IF(J64="","Not Completed",J64-B64)</f>
        <v>8</v>
      </c>
    </row>
    <row r="65" customFormat="false" ht="15" hidden="false" customHeight="false" outlineLevel="0" collapsed="false">
      <c r="A65" s="7" t="s">
        <v>1253</v>
      </c>
      <c r="B65" s="8" t="n">
        <v>45896</v>
      </c>
      <c r="C65" s="7" t="s">
        <v>79</v>
      </c>
      <c r="D65" s="7" t="s">
        <v>34</v>
      </c>
      <c r="E65" s="7" t="s">
        <v>1199</v>
      </c>
      <c r="F65" s="7" t="s">
        <v>134</v>
      </c>
      <c r="G65" s="7" t="s">
        <v>1200</v>
      </c>
      <c r="H65" s="7" t="n">
        <v>1879949</v>
      </c>
      <c r="I65" s="7" t="s">
        <v>1180</v>
      </c>
      <c r="J65" s="8" t="n">
        <v>45910</v>
      </c>
      <c r="K65" s="7" t="n">
        <f aca="false">IF(J65="","Not Completed",J65-B65)</f>
        <v>14</v>
      </c>
    </row>
    <row r="66" customFormat="false" ht="15" hidden="false" customHeight="false" outlineLevel="0" collapsed="false">
      <c r="A66" s="7" t="s">
        <v>1254</v>
      </c>
      <c r="B66" s="8" t="n">
        <v>45924</v>
      </c>
      <c r="C66" s="7" t="s">
        <v>79</v>
      </c>
      <c r="D66" s="7" t="s">
        <v>34</v>
      </c>
      <c r="E66" s="7" t="s">
        <v>1203</v>
      </c>
      <c r="F66" s="7" t="s">
        <v>385</v>
      </c>
      <c r="G66" s="7" t="s">
        <v>1204</v>
      </c>
      <c r="H66" s="7" t="n">
        <v>989345</v>
      </c>
      <c r="I66" s="7" t="s">
        <v>1180</v>
      </c>
      <c r="J66" s="8" t="n">
        <v>45932</v>
      </c>
      <c r="K66" s="7" t="n">
        <f aca="false">IF(J66="","Not Completed",J66-B66)</f>
        <v>8</v>
      </c>
    </row>
    <row r="67" customFormat="false" ht="15" hidden="false" customHeight="false" outlineLevel="0" collapsed="false">
      <c r="A67" s="7" t="s">
        <v>1255</v>
      </c>
      <c r="B67" s="8" t="n">
        <v>45572</v>
      </c>
      <c r="C67" s="7" t="s">
        <v>79</v>
      </c>
      <c r="D67" s="7" t="s">
        <v>34</v>
      </c>
      <c r="E67" s="7" t="s">
        <v>1192</v>
      </c>
      <c r="F67" s="7" t="s">
        <v>375</v>
      </c>
      <c r="G67" s="7" t="s">
        <v>1193</v>
      </c>
      <c r="H67" s="7" t="n">
        <v>2418453</v>
      </c>
      <c r="I67" s="7" t="s">
        <v>1180</v>
      </c>
      <c r="J67" s="8" t="n">
        <v>45595</v>
      </c>
      <c r="K67" s="7" t="n">
        <f aca="false">IF(J67="","Not Completed",J67-B67)</f>
        <v>23</v>
      </c>
    </row>
    <row r="68" customFormat="false" ht="15" hidden="false" customHeight="false" outlineLevel="0" collapsed="false">
      <c r="A68" s="7" t="s">
        <v>1256</v>
      </c>
      <c r="B68" s="8" t="n">
        <v>45660</v>
      </c>
      <c r="C68" s="7" t="s">
        <v>60</v>
      </c>
      <c r="D68" s="7" t="s">
        <v>34</v>
      </c>
      <c r="E68" s="7" t="s">
        <v>1192</v>
      </c>
      <c r="F68" s="7" t="s">
        <v>148</v>
      </c>
      <c r="G68" s="7" t="s">
        <v>1193</v>
      </c>
      <c r="H68" s="7" t="n">
        <v>2486273</v>
      </c>
      <c r="I68" s="7" t="s">
        <v>1180</v>
      </c>
      <c r="J68" s="8" t="n">
        <v>45673</v>
      </c>
      <c r="K68" s="7" t="n">
        <f aca="false">IF(J68="","Not Completed",J68-B68)</f>
        <v>13</v>
      </c>
    </row>
    <row r="69" customFormat="false" ht="15" hidden="false" customHeight="false" outlineLevel="0" collapsed="false">
      <c r="A69" s="7" t="s">
        <v>1257</v>
      </c>
      <c r="B69" s="8" t="n">
        <v>45925</v>
      </c>
      <c r="C69" s="7" t="s">
        <v>79</v>
      </c>
      <c r="D69" s="7" t="s">
        <v>34</v>
      </c>
      <c r="E69" s="7" t="s">
        <v>1186</v>
      </c>
      <c r="F69" s="7" t="s">
        <v>241</v>
      </c>
      <c r="G69" s="7" t="s">
        <v>1187</v>
      </c>
      <c r="H69" s="7" t="n">
        <v>1840709</v>
      </c>
      <c r="I69" s="7" t="s">
        <v>1176</v>
      </c>
      <c r="J69" s="7"/>
      <c r="K69" s="7" t="str">
        <f aca="false">IF(J69="","Not Completed",J69-B69)</f>
        <v>Not Completed</v>
      </c>
    </row>
    <row r="70" customFormat="false" ht="15" hidden="false" customHeight="false" outlineLevel="0" collapsed="false">
      <c r="A70" s="7" t="s">
        <v>1258</v>
      </c>
      <c r="B70" s="8" t="n">
        <v>45828</v>
      </c>
      <c r="C70" s="7" t="s">
        <v>71</v>
      </c>
      <c r="D70" s="7" t="s">
        <v>34</v>
      </c>
      <c r="E70" s="7" t="s">
        <v>1186</v>
      </c>
      <c r="F70" s="7" t="s">
        <v>152</v>
      </c>
      <c r="G70" s="7" t="s">
        <v>1187</v>
      </c>
      <c r="H70" s="7" t="n">
        <v>1984479</v>
      </c>
      <c r="I70" s="7" t="s">
        <v>1176</v>
      </c>
      <c r="J70" s="7"/>
      <c r="K70" s="7" t="str">
        <f aca="false">IF(J70="","Not Completed",J70-B70)</f>
        <v>Not Completed</v>
      </c>
    </row>
    <row r="71" customFormat="false" ht="15" hidden="false" customHeight="false" outlineLevel="0" collapsed="false">
      <c r="A71" s="7" t="s">
        <v>1259</v>
      </c>
      <c r="B71" s="8" t="n">
        <v>45484</v>
      </c>
      <c r="C71" s="7" t="s">
        <v>87</v>
      </c>
      <c r="D71" s="7" t="s">
        <v>34</v>
      </c>
      <c r="E71" s="7" t="s">
        <v>1183</v>
      </c>
      <c r="F71" s="7" t="s">
        <v>126</v>
      </c>
      <c r="G71" s="7" t="s">
        <v>1184</v>
      </c>
      <c r="H71" s="7" t="n">
        <v>2930758</v>
      </c>
      <c r="I71" s="7" t="s">
        <v>1180</v>
      </c>
      <c r="J71" s="8" t="n">
        <v>45506</v>
      </c>
      <c r="K71" s="7" t="n">
        <f aca="false">IF(J71="","Not Completed",J71-B71)</f>
        <v>22</v>
      </c>
    </row>
    <row r="72" customFormat="false" ht="15" hidden="false" customHeight="false" outlineLevel="0" collapsed="false">
      <c r="A72" s="7" t="s">
        <v>1260</v>
      </c>
      <c r="B72" s="8" t="n">
        <v>45986</v>
      </c>
      <c r="C72" s="7" t="s">
        <v>68</v>
      </c>
      <c r="D72" s="7" t="s">
        <v>34</v>
      </c>
      <c r="E72" s="7" t="s">
        <v>1174</v>
      </c>
      <c r="F72" s="7" t="s">
        <v>359</v>
      </c>
      <c r="G72" s="7" t="s">
        <v>1175</v>
      </c>
      <c r="H72" s="7" t="n">
        <v>3377426</v>
      </c>
      <c r="I72" s="7" t="s">
        <v>1180</v>
      </c>
      <c r="J72" s="8" t="n">
        <v>46008</v>
      </c>
      <c r="K72" s="7" t="n">
        <f aca="false">IF(J72="","Not Completed",J72-B72)</f>
        <v>22</v>
      </c>
    </row>
    <row r="73" customFormat="false" ht="15" hidden="false" customHeight="false" outlineLevel="0" collapsed="false">
      <c r="A73" s="7" t="s">
        <v>1261</v>
      </c>
      <c r="B73" s="8" t="n">
        <v>45483</v>
      </c>
      <c r="C73" s="7" t="s">
        <v>87</v>
      </c>
      <c r="D73" s="7" t="s">
        <v>34</v>
      </c>
      <c r="E73" s="7" t="s">
        <v>1192</v>
      </c>
      <c r="F73" s="7" t="s">
        <v>229</v>
      </c>
      <c r="G73" s="7" t="s">
        <v>1193</v>
      </c>
      <c r="H73" s="7" t="n">
        <v>3071724</v>
      </c>
      <c r="I73" s="7" t="s">
        <v>1188</v>
      </c>
      <c r="J73" s="7"/>
      <c r="K73" s="7" t="str">
        <f aca="false">IF(J73="","Not Completed",J73-B73)</f>
        <v>Not Completed</v>
      </c>
    </row>
    <row r="74" customFormat="false" ht="15" hidden="false" customHeight="false" outlineLevel="0" collapsed="false">
      <c r="A74" s="7" t="s">
        <v>1262</v>
      </c>
      <c r="B74" s="8" t="n">
        <v>45578</v>
      </c>
      <c r="C74" s="7" t="s">
        <v>79</v>
      </c>
      <c r="D74" s="7" t="s">
        <v>34</v>
      </c>
      <c r="E74" s="7" t="s">
        <v>1199</v>
      </c>
      <c r="F74" s="7" t="s">
        <v>184</v>
      </c>
      <c r="G74" s="7" t="s">
        <v>1200</v>
      </c>
      <c r="H74" s="7" t="n">
        <v>1259826</v>
      </c>
      <c r="I74" s="7" t="s">
        <v>1180</v>
      </c>
      <c r="J74" s="8" t="n">
        <v>45602</v>
      </c>
      <c r="K74" s="7" t="n">
        <f aca="false">IF(J74="","Not Completed",J74-B74)</f>
        <v>24</v>
      </c>
    </row>
    <row r="75" customFormat="false" ht="15" hidden="false" customHeight="false" outlineLevel="0" collapsed="false">
      <c r="A75" s="7" t="s">
        <v>1263</v>
      </c>
      <c r="B75" s="8" t="n">
        <v>45492</v>
      </c>
      <c r="C75" s="7" t="s">
        <v>68</v>
      </c>
      <c r="D75" s="7" t="s">
        <v>34</v>
      </c>
      <c r="E75" s="7" t="s">
        <v>1178</v>
      </c>
      <c r="F75" s="7" t="s">
        <v>343</v>
      </c>
      <c r="G75" s="7" t="s">
        <v>1179</v>
      </c>
      <c r="H75" s="7" t="n">
        <v>3083786</v>
      </c>
      <c r="I75" s="7" t="s">
        <v>1180</v>
      </c>
      <c r="J75" s="8" t="n">
        <v>45504</v>
      </c>
      <c r="K75" s="7" t="n">
        <f aca="false">IF(J75="","Not Completed",J75-B75)</f>
        <v>12</v>
      </c>
    </row>
    <row r="76" customFormat="false" ht="15" hidden="false" customHeight="false" outlineLevel="0" collapsed="false">
      <c r="A76" s="7" t="s">
        <v>1264</v>
      </c>
      <c r="B76" s="8" t="n">
        <v>45843</v>
      </c>
      <c r="C76" s="7" t="s">
        <v>65</v>
      </c>
      <c r="D76" s="7" t="s">
        <v>34</v>
      </c>
      <c r="E76" s="7" t="s">
        <v>1203</v>
      </c>
      <c r="F76" s="7" t="s">
        <v>263</v>
      </c>
      <c r="G76" s="7" t="s">
        <v>1204</v>
      </c>
      <c r="H76" s="7" t="n">
        <v>3203088</v>
      </c>
      <c r="I76" s="7" t="s">
        <v>1180</v>
      </c>
      <c r="J76" s="8" t="n">
        <v>45852</v>
      </c>
      <c r="K76" s="7" t="n">
        <f aca="false">IF(J76="","Not Completed",J76-B76)</f>
        <v>9</v>
      </c>
    </row>
    <row r="77" customFormat="false" ht="15" hidden="false" customHeight="false" outlineLevel="0" collapsed="false">
      <c r="A77" s="7" t="s">
        <v>1265</v>
      </c>
      <c r="B77" s="8" t="n">
        <v>45929</v>
      </c>
      <c r="C77" s="7" t="s">
        <v>87</v>
      </c>
      <c r="D77" s="7" t="s">
        <v>34</v>
      </c>
      <c r="E77" s="7" t="s">
        <v>1203</v>
      </c>
      <c r="F77" s="7" t="s">
        <v>413</v>
      </c>
      <c r="G77" s="7" t="s">
        <v>1204</v>
      </c>
      <c r="H77" s="7" t="n">
        <v>1456192</v>
      </c>
      <c r="I77" s="7" t="s">
        <v>1180</v>
      </c>
      <c r="J77" s="8" t="n">
        <v>45953</v>
      </c>
      <c r="K77" s="7" t="n">
        <f aca="false">IF(J77="","Not Completed",J77-B77)</f>
        <v>24</v>
      </c>
    </row>
    <row r="78" customFormat="false" ht="15" hidden="false" customHeight="false" outlineLevel="0" collapsed="false">
      <c r="A78" s="7" t="s">
        <v>1266</v>
      </c>
      <c r="B78" s="8" t="n">
        <v>45299</v>
      </c>
      <c r="C78" s="7" t="s">
        <v>79</v>
      </c>
      <c r="D78" s="7" t="s">
        <v>34</v>
      </c>
      <c r="E78" s="7" t="s">
        <v>1178</v>
      </c>
      <c r="F78" s="7" t="s">
        <v>299</v>
      </c>
      <c r="G78" s="7" t="s">
        <v>1179</v>
      </c>
      <c r="H78" s="7" t="n">
        <v>3284270</v>
      </c>
      <c r="I78" s="7" t="s">
        <v>1180</v>
      </c>
      <c r="J78" s="8" t="n">
        <v>45313</v>
      </c>
      <c r="K78" s="7" t="n">
        <f aca="false">IF(J78="","Not Completed",J78-B78)</f>
        <v>14</v>
      </c>
    </row>
    <row r="79" customFormat="false" ht="15" hidden="false" customHeight="false" outlineLevel="0" collapsed="false">
      <c r="A79" s="7" t="s">
        <v>1267</v>
      </c>
      <c r="B79" s="8" t="n">
        <v>45564</v>
      </c>
      <c r="C79" s="7" t="s">
        <v>79</v>
      </c>
      <c r="D79" s="7" t="s">
        <v>34</v>
      </c>
      <c r="E79" s="7" t="s">
        <v>1199</v>
      </c>
      <c r="F79" s="7" t="s">
        <v>293</v>
      </c>
      <c r="G79" s="7" t="s">
        <v>1200</v>
      </c>
      <c r="H79" s="7" t="n">
        <v>1197482</v>
      </c>
      <c r="I79" s="7" t="s">
        <v>1180</v>
      </c>
      <c r="J79" s="8" t="n">
        <v>45593</v>
      </c>
      <c r="K79" s="7" t="n">
        <f aca="false">IF(J79="","Not Completed",J79-B79)</f>
        <v>29</v>
      </c>
    </row>
    <row r="80" customFormat="false" ht="15" hidden="false" customHeight="false" outlineLevel="0" collapsed="false">
      <c r="A80" s="7" t="s">
        <v>1268</v>
      </c>
      <c r="B80" s="8" t="n">
        <v>45540</v>
      </c>
      <c r="C80" s="7" t="s">
        <v>71</v>
      </c>
      <c r="D80" s="7" t="s">
        <v>34</v>
      </c>
      <c r="E80" s="7" t="s">
        <v>1203</v>
      </c>
      <c r="F80" s="7" t="s">
        <v>194</v>
      </c>
      <c r="G80" s="7" t="s">
        <v>1204</v>
      </c>
      <c r="H80" s="7" t="n">
        <v>2690693</v>
      </c>
      <c r="I80" s="7" t="s">
        <v>1180</v>
      </c>
      <c r="J80" s="8" t="n">
        <v>45544</v>
      </c>
      <c r="K80" s="7" t="n">
        <f aca="false">IF(J80="","Not Completed",J80-B80)</f>
        <v>4</v>
      </c>
    </row>
    <row r="81" customFormat="false" ht="15" hidden="false" customHeight="false" outlineLevel="0" collapsed="false">
      <c r="A81" s="7" t="s">
        <v>1269</v>
      </c>
      <c r="B81" s="8" t="n">
        <v>45783</v>
      </c>
      <c r="C81" s="7" t="s">
        <v>83</v>
      </c>
      <c r="D81" s="7" t="s">
        <v>34</v>
      </c>
      <c r="E81" s="7" t="s">
        <v>1203</v>
      </c>
      <c r="F81" s="7" t="s">
        <v>180</v>
      </c>
      <c r="G81" s="7" t="s">
        <v>1204</v>
      </c>
      <c r="H81" s="7" t="n">
        <v>2440693</v>
      </c>
      <c r="I81" s="7" t="s">
        <v>1188</v>
      </c>
      <c r="J81" s="7"/>
      <c r="K81" s="7" t="str">
        <f aca="false">IF(J81="","Not Completed",J81-B81)</f>
        <v>Not Completed</v>
      </c>
    </row>
    <row r="82" customFormat="false" ht="15" hidden="false" customHeight="false" outlineLevel="0" collapsed="false">
      <c r="A82" s="7" t="s">
        <v>1270</v>
      </c>
      <c r="B82" s="8" t="n">
        <v>45757</v>
      </c>
      <c r="C82" s="7" t="s">
        <v>79</v>
      </c>
      <c r="D82" s="7" t="s">
        <v>34</v>
      </c>
      <c r="E82" s="7" t="s">
        <v>1192</v>
      </c>
      <c r="F82" s="7" t="s">
        <v>394</v>
      </c>
      <c r="G82" s="7" t="s">
        <v>1193</v>
      </c>
      <c r="H82" s="7" t="n">
        <v>3261943</v>
      </c>
      <c r="I82" s="7" t="s">
        <v>1176</v>
      </c>
      <c r="J82" s="7"/>
      <c r="K82" s="7" t="str">
        <f aca="false">IF(J82="","Not Completed",J82-B82)</f>
        <v>Not Completed</v>
      </c>
    </row>
    <row r="83" customFormat="false" ht="15" hidden="false" customHeight="false" outlineLevel="0" collapsed="false">
      <c r="A83" s="7" t="s">
        <v>1271</v>
      </c>
      <c r="B83" s="8" t="n">
        <v>45333</v>
      </c>
      <c r="C83" s="7" t="s">
        <v>83</v>
      </c>
      <c r="D83" s="7" t="s">
        <v>34</v>
      </c>
      <c r="E83" s="7" t="s">
        <v>1192</v>
      </c>
      <c r="F83" s="7" t="s">
        <v>269</v>
      </c>
      <c r="G83" s="7" t="s">
        <v>1193</v>
      </c>
      <c r="H83" s="7" t="n">
        <v>2371213</v>
      </c>
      <c r="I83" s="7" t="s">
        <v>1180</v>
      </c>
      <c r="J83" s="8" t="n">
        <v>45349</v>
      </c>
      <c r="K83" s="7" t="n">
        <f aca="false">IF(J83="","Not Completed",J83-B83)</f>
        <v>16</v>
      </c>
    </row>
    <row r="84" customFormat="false" ht="15" hidden="false" customHeight="false" outlineLevel="0" collapsed="false">
      <c r="A84" s="7" t="s">
        <v>1272</v>
      </c>
      <c r="B84" s="8" t="n">
        <v>45626</v>
      </c>
      <c r="C84" s="7" t="s">
        <v>68</v>
      </c>
      <c r="D84" s="7" t="s">
        <v>34</v>
      </c>
      <c r="E84" s="7" t="s">
        <v>1178</v>
      </c>
      <c r="F84" s="7" t="s">
        <v>267</v>
      </c>
      <c r="G84" s="7" t="s">
        <v>1179</v>
      </c>
      <c r="H84" s="7" t="n">
        <v>2566530</v>
      </c>
      <c r="I84" s="7" t="s">
        <v>1180</v>
      </c>
      <c r="J84" s="8" t="n">
        <v>45634</v>
      </c>
      <c r="K84" s="7" t="n">
        <f aca="false">IF(J84="","Not Completed",J84-B84)</f>
        <v>8</v>
      </c>
    </row>
    <row r="85" customFormat="false" ht="15" hidden="false" customHeight="false" outlineLevel="0" collapsed="false">
      <c r="A85" s="7" t="s">
        <v>1273</v>
      </c>
      <c r="B85" s="8" t="n">
        <v>45533</v>
      </c>
      <c r="C85" s="7" t="s">
        <v>71</v>
      </c>
      <c r="D85" s="7" t="s">
        <v>34</v>
      </c>
      <c r="E85" s="7" t="s">
        <v>1199</v>
      </c>
      <c r="F85" s="7" t="s">
        <v>235</v>
      </c>
      <c r="G85" s="7" t="s">
        <v>1200</v>
      </c>
      <c r="H85" s="7" t="n">
        <v>2953463</v>
      </c>
      <c r="I85" s="7" t="s">
        <v>1180</v>
      </c>
      <c r="J85" s="8" t="n">
        <v>45538</v>
      </c>
      <c r="K85" s="7" t="n">
        <f aca="false">IF(J85="","Not Completed",J85-B85)</f>
        <v>5</v>
      </c>
    </row>
    <row r="86" customFormat="false" ht="15" hidden="false" customHeight="false" outlineLevel="0" collapsed="false">
      <c r="A86" s="7" t="s">
        <v>1274</v>
      </c>
      <c r="B86" s="8" t="n">
        <v>45830</v>
      </c>
      <c r="C86" s="7" t="s">
        <v>87</v>
      </c>
      <c r="D86" s="7" t="s">
        <v>34</v>
      </c>
      <c r="E86" s="7" t="s">
        <v>1203</v>
      </c>
      <c r="F86" s="7" t="s">
        <v>385</v>
      </c>
      <c r="G86" s="7" t="s">
        <v>1204</v>
      </c>
      <c r="H86" s="7" t="n">
        <v>1581438</v>
      </c>
      <c r="I86" s="7" t="s">
        <v>1180</v>
      </c>
      <c r="J86" s="8" t="n">
        <v>45837</v>
      </c>
      <c r="K86" s="7" t="n">
        <f aca="false">IF(J86="","Not Completed",J86-B86)</f>
        <v>7</v>
      </c>
    </row>
    <row r="87" customFormat="false" ht="15" hidden="false" customHeight="false" outlineLevel="0" collapsed="false">
      <c r="A87" s="7" t="s">
        <v>1275</v>
      </c>
      <c r="B87" s="8" t="n">
        <v>45951</v>
      </c>
      <c r="C87" s="7" t="s">
        <v>71</v>
      </c>
      <c r="D87" s="7" t="s">
        <v>34</v>
      </c>
      <c r="E87" s="7" t="s">
        <v>1186</v>
      </c>
      <c r="F87" s="7" t="s">
        <v>394</v>
      </c>
      <c r="G87" s="7" t="s">
        <v>1187</v>
      </c>
      <c r="H87" s="7" t="n">
        <v>2012237</v>
      </c>
      <c r="I87" s="7" t="s">
        <v>1180</v>
      </c>
      <c r="J87" s="8" t="n">
        <v>45974</v>
      </c>
      <c r="K87" s="7" t="n">
        <f aca="false">IF(J87="","Not Completed",J87-B87)</f>
        <v>23</v>
      </c>
    </row>
    <row r="88" customFormat="false" ht="15" hidden="false" customHeight="false" outlineLevel="0" collapsed="false">
      <c r="A88" s="7" t="s">
        <v>1276</v>
      </c>
      <c r="B88" s="8" t="n">
        <v>45598</v>
      </c>
      <c r="C88" s="7" t="s">
        <v>65</v>
      </c>
      <c r="D88" s="7" t="s">
        <v>34</v>
      </c>
      <c r="E88" s="7" t="s">
        <v>1203</v>
      </c>
      <c r="F88" s="7" t="s">
        <v>312</v>
      </c>
      <c r="G88" s="7" t="s">
        <v>1204</v>
      </c>
      <c r="H88" s="7" t="n">
        <v>508786</v>
      </c>
      <c r="I88" s="7" t="s">
        <v>1180</v>
      </c>
      <c r="J88" s="8" t="n">
        <v>45615</v>
      </c>
      <c r="K88" s="7" t="n">
        <f aca="false">IF(J88="","Not Completed",J88-B88)</f>
        <v>17</v>
      </c>
    </row>
    <row r="89" customFormat="false" ht="15" hidden="false" customHeight="false" outlineLevel="0" collapsed="false">
      <c r="A89" s="7" t="s">
        <v>1277</v>
      </c>
      <c r="B89" s="8" t="n">
        <v>45806</v>
      </c>
      <c r="C89" s="7" t="s">
        <v>68</v>
      </c>
      <c r="D89" s="7" t="s">
        <v>34</v>
      </c>
      <c r="E89" s="7" t="s">
        <v>1183</v>
      </c>
      <c r="F89" s="7" t="s">
        <v>184</v>
      </c>
      <c r="G89" s="7" t="s">
        <v>1184</v>
      </c>
      <c r="H89" s="7" t="n">
        <v>2183004</v>
      </c>
      <c r="I89" s="7" t="s">
        <v>1180</v>
      </c>
      <c r="J89" s="8" t="n">
        <v>45834</v>
      </c>
      <c r="K89" s="7" t="n">
        <f aca="false">IF(J89="","Not Completed",J89-B89)</f>
        <v>28</v>
      </c>
    </row>
    <row r="90" customFormat="false" ht="15" hidden="false" customHeight="false" outlineLevel="0" collapsed="false">
      <c r="A90" s="7" t="s">
        <v>1278</v>
      </c>
      <c r="B90" s="8" t="n">
        <v>45662</v>
      </c>
      <c r="C90" s="7" t="s">
        <v>75</v>
      </c>
      <c r="D90" s="7" t="s">
        <v>34</v>
      </c>
      <c r="E90" s="7" t="s">
        <v>1178</v>
      </c>
      <c r="F90" s="7" t="s">
        <v>424</v>
      </c>
      <c r="G90" s="7" t="s">
        <v>1179</v>
      </c>
      <c r="H90" s="7" t="n">
        <v>3223243</v>
      </c>
      <c r="I90" s="7" t="s">
        <v>1180</v>
      </c>
      <c r="J90" s="8" t="n">
        <v>45665</v>
      </c>
      <c r="K90" s="7" t="n">
        <f aca="false">IF(J90="","Not Completed",J90-B90)</f>
        <v>3</v>
      </c>
    </row>
    <row r="91" customFormat="false" ht="15" hidden="false" customHeight="false" outlineLevel="0" collapsed="false">
      <c r="A91" s="7" t="s">
        <v>1279</v>
      </c>
      <c r="B91" s="8" t="n">
        <v>45758</v>
      </c>
      <c r="C91" s="7" t="s">
        <v>83</v>
      </c>
      <c r="D91" s="7" t="s">
        <v>34</v>
      </c>
      <c r="E91" s="7" t="s">
        <v>1178</v>
      </c>
      <c r="F91" s="7" t="s">
        <v>310</v>
      </c>
      <c r="G91" s="7" t="s">
        <v>1179</v>
      </c>
      <c r="H91" s="7" t="n">
        <v>98774</v>
      </c>
      <c r="I91" s="7" t="s">
        <v>1188</v>
      </c>
      <c r="J91" s="7"/>
      <c r="K91" s="7" t="str">
        <f aca="false">IF(J91="","Not Completed",J91-B91)</f>
        <v>Not Completed</v>
      </c>
    </row>
    <row r="92" customFormat="false" ht="15" hidden="false" customHeight="false" outlineLevel="0" collapsed="false">
      <c r="A92" s="7" t="s">
        <v>1280</v>
      </c>
      <c r="B92" s="8" t="n">
        <v>45754</v>
      </c>
      <c r="C92" s="7" t="s">
        <v>71</v>
      </c>
      <c r="D92" s="7" t="s">
        <v>34</v>
      </c>
      <c r="E92" s="7" t="s">
        <v>1192</v>
      </c>
      <c r="F92" s="7" t="s">
        <v>387</v>
      </c>
      <c r="G92" s="7" t="s">
        <v>1193</v>
      </c>
      <c r="H92" s="7" t="n">
        <v>507302</v>
      </c>
      <c r="I92" s="7" t="s">
        <v>1180</v>
      </c>
      <c r="J92" s="8" t="n">
        <v>45769</v>
      </c>
      <c r="K92" s="7" t="n">
        <f aca="false">IF(J92="","Not Completed",J92-B92)</f>
        <v>15</v>
      </c>
    </row>
    <row r="93" customFormat="false" ht="15" hidden="false" customHeight="false" outlineLevel="0" collapsed="false">
      <c r="A93" s="7" t="s">
        <v>1281</v>
      </c>
      <c r="B93" s="8" t="n">
        <v>45999</v>
      </c>
      <c r="C93" s="7" t="s">
        <v>65</v>
      </c>
      <c r="D93" s="7" t="s">
        <v>34</v>
      </c>
      <c r="E93" s="7" t="s">
        <v>1203</v>
      </c>
      <c r="F93" s="7" t="s">
        <v>211</v>
      </c>
      <c r="G93" s="7" t="s">
        <v>1204</v>
      </c>
      <c r="H93" s="7" t="n">
        <v>444317</v>
      </c>
      <c r="I93" s="7" t="s">
        <v>1180</v>
      </c>
      <c r="J93" s="8" t="n">
        <v>46017</v>
      </c>
      <c r="K93" s="7" t="n">
        <f aca="false">IF(J93="","Not Completed",J93-B93)</f>
        <v>18</v>
      </c>
    </row>
    <row r="94" customFormat="false" ht="15" hidden="false" customHeight="false" outlineLevel="0" collapsed="false">
      <c r="A94" s="7" t="s">
        <v>1282</v>
      </c>
      <c r="B94" s="8" t="n">
        <v>46012</v>
      </c>
      <c r="C94" s="7" t="s">
        <v>79</v>
      </c>
      <c r="D94" s="7" t="s">
        <v>34</v>
      </c>
      <c r="E94" s="7" t="s">
        <v>1203</v>
      </c>
      <c r="F94" s="7" t="s">
        <v>176</v>
      </c>
      <c r="G94" s="7" t="s">
        <v>1204</v>
      </c>
      <c r="H94" s="7" t="n">
        <v>1737136</v>
      </c>
      <c r="I94" s="7" t="s">
        <v>1180</v>
      </c>
      <c r="J94" s="8" t="n">
        <v>46030</v>
      </c>
      <c r="K94" s="7" t="n">
        <f aca="false">IF(J94="","Not Completed",J94-B94)</f>
        <v>18</v>
      </c>
    </row>
    <row r="95" customFormat="false" ht="15" hidden="false" customHeight="false" outlineLevel="0" collapsed="false">
      <c r="A95" s="7" t="s">
        <v>1283</v>
      </c>
      <c r="B95" s="8" t="n">
        <v>45332</v>
      </c>
      <c r="C95" s="7" t="s">
        <v>83</v>
      </c>
      <c r="D95" s="7" t="s">
        <v>34</v>
      </c>
      <c r="E95" s="7" t="s">
        <v>1183</v>
      </c>
      <c r="F95" s="7" t="s">
        <v>367</v>
      </c>
      <c r="G95" s="7" t="s">
        <v>1184</v>
      </c>
      <c r="H95" s="7" t="n">
        <v>1992941</v>
      </c>
      <c r="I95" s="7" t="s">
        <v>1180</v>
      </c>
      <c r="J95" s="8" t="n">
        <v>45343</v>
      </c>
      <c r="K95" s="7" t="n">
        <f aca="false">IF(J95="","Not Completed",J95-B95)</f>
        <v>11</v>
      </c>
    </row>
    <row r="96" customFormat="false" ht="15" hidden="false" customHeight="false" outlineLevel="0" collapsed="false">
      <c r="A96" s="7" t="s">
        <v>1284</v>
      </c>
      <c r="B96" s="8" t="n">
        <v>45592</v>
      </c>
      <c r="C96" s="7" t="s">
        <v>60</v>
      </c>
      <c r="D96" s="7" t="s">
        <v>34</v>
      </c>
      <c r="E96" s="7" t="s">
        <v>1178</v>
      </c>
      <c r="F96" s="7" t="s">
        <v>381</v>
      </c>
      <c r="G96" s="7" t="s">
        <v>1179</v>
      </c>
      <c r="H96" s="7" t="n">
        <v>759911</v>
      </c>
      <c r="I96" s="7" t="s">
        <v>1180</v>
      </c>
      <c r="J96" s="8" t="n">
        <v>45620</v>
      </c>
      <c r="K96" s="7" t="n">
        <f aca="false">IF(J96="","Not Completed",J96-B96)</f>
        <v>28</v>
      </c>
    </row>
    <row r="97" customFormat="false" ht="15" hidden="false" customHeight="false" outlineLevel="0" collapsed="false">
      <c r="A97" s="7" t="s">
        <v>1285</v>
      </c>
      <c r="B97" s="8" t="n">
        <v>45648</v>
      </c>
      <c r="C97" s="7" t="s">
        <v>83</v>
      </c>
      <c r="D97" s="7" t="s">
        <v>34</v>
      </c>
      <c r="E97" s="7" t="s">
        <v>1178</v>
      </c>
      <c r="F97" s="7" t="s">
        <v>168</v>
      </c>
      <c r="G97" s="7" t="s">
        <v>1179</v>
      </c>
      <c r="H97" s="7" t="n">
        <v>2822202</v>
      </c>
      <c r="I97" s="7" t="s">
        <v>1180</v>
      </c>
      <c r="J97" s="8" t="n">
        <v>45671</v>
      </c>
      <c r="K97" s="7" t="n">
        <f aca="false">IF(J97="","Not Completed",J97-B97)</f>
        <v>23</v>
      </c>
    </row>
    <row r="98" customFormat="false" ht="15" hidden="false" customHeight="false" outlineLevel="0" collapsed="false">
      <c r="A98" s="7" t="s">
        <v>1286</v>
      </c>
      <c r="B98" s="8" t="n">
        <v>45993</v>
      </c>
      <c r="C98" s="7" t="s">
        <v>68</v>
      </c>
      <c r="D98" s="7" t="s">
        <v>34</v>
      </c>
      <c r="E98" s="7" t="s">
        <v>1199</v>
      </c>
      <c r="F98" s="7" t="s">
        <v>397</v>
      </c>
      <c r="G98" s="7" t="s">
        <v>1200</v>
      </c>
      <c r="H98" s="7" t="n">
        <v>2062759</v>
      </c>
      <c r="I98" s="7" t="s">
        <v>1180</v>
      </c>
      <c r="J98" s="8" t="n">
        <v>46013</v>
      </c>
      <c r="K98" s="7" t="n">
        <f aca="false">IF(J98="","Not Completed",J98-B98)</f>
        <v>20</v>
      </c>
    </row>
    <row r="99" customFormat="false" ht="15" hidden="false" customHeight="false" outlineLevel="0" collapsed="false">
      <c r="A99" s="7" t="s">
        <v>1287</v>
      </c>
      <c r="B99" s="8" t="n">
        <v>45957</v>
      </c>
      <c r="C99" s="7" t="s">
        <v>75</v>
      </c>
      <c r="D99" s="7" t="s">
        <v>34</v>
      </c>
      <c r="E99" s="7" t="s">
        <v>1203</v>
      </c>
      <c r="F99" s="7" t="s">
        <v>148</v>
      </c>
      <c r="G99" s="7" t="s">
        <v>1204</v>
      </c>
      <c r="H99" s="7" t="n">
        <v>1736732</v>
      </c>
      <c r="I99" s="7" t="s">
        <v>1188</v>
      </c>
      <c r="J99" s="7"/>
      <c r="K99" s="7" t="str">
        <f aca="false">IF(J99="","Not Completed",J99-B99)</f>
        <v>Not Completed</v>
      </c>
    </row>
    <row r="100" customFormat="false" ht="15" hidden="false" customHeight="false" outlineLevel="0" collapsed="false">
      <c r="A100" s="7" t="s">
        <v>1288</v>
      </c>
      <c r="B100" s="8" t="n">
        <v>45552</v>
      </c>
      <c r="C100" s="7" t="s">
        <v>60</v>
      </c>
      <c r="D100" s="7" t="s">
        <v>34</v>
      </c>
      <c r="E100" s="7" t="s">
        <v>1203</v>
      </c>
      <c r="F100" s="7" t="s">
        <v>203</v>
      </c>
      <c r="G100" s="7" t="s">
        <v>1204</v>
      </c>
      <c r="H100" s="7" t="n">
        <v>1949861</v>
      </c>
      <c r="I100" s="7" t="s">
        <v>1188</v>
      </c>
      <c r="J100" s="7"/>
      <c r="K100" s="7" t="str">
        <f aca="false">IF(J100="","Not Completed",J100-B100)</f>
        <v>Not Completed</v>
      </c>
    </row>
    <row r="101" customFormat="false" ht="15" hidden="false" customHeight="false" outlineLevel="0" collapsed="false">
      <c r="A101" s="7" t="s">
        <v>1289</v>
      </c>
      <c r="B101" s="8" t="n">
        <v>46019</v>
      </c>
      <c r="C101" s="7" t="s">
        <v>71</v>
      </c>
      <c r="D101" s="7" t="s">
        <v>34</v>
      </c>
      <c r="E101" s="7" t="s">
        <v>1178</v>
      </c>
      <c r="F101" s="7" t="s">
        <v>209</v>
      </c>
      <c r="G101" s="7" t="s">
        <v>1179</v>
      </c>
      <c r="H101" s="7" t="n">
        <v>131995</v>
      </c>
      <c r="I101" s="7" t="s">
        <v>1176</v>
      </c>
      <c r="J101" s="7"/>
      <c r="K101" s="7" t="str">
        <f aca="false">IF(J101="","Not Completed",J101-B101)</f>
        <v>Not Completed</v>
      </c>
    </row>
    <row r="102" customFormat="false" ht="15" hidden="false" customHeight="false" outlineLevel="0" collapsed="false">
      <c r="A102" s="7" t="s">
        <v>1290</v>
      </c>
      <c r="B102" s="8" t="n">
        <v>45952</v>
      </c>
      <c r="C102" s="7" t="s">
        <v>75</v>
      </c>
      <c r="D102" s="7" t="s">
        <v>34</v>
      </c>
      <c r="E102" s="7" t="s">
        <v>1178</v>
      </c>
      <c r="F102" s="7" t="s">
        <v>379</v>
      </c>
      <c r="G102" s="7" t="s">
        <v>1179</v>
      </c>
      <c r="H102" s="7" t="n">
        <v>1748569</v>
      </c>
      <c r="I102" s="7" t="s">
        <v>1180</v>
      </c>
      <c r="J102" s="8" t="n">
        <v>45981</v>
      </c>
      <c r="K102" s="7" t="n">
        <f aca="false">IF(J102="","Not Completed",J102-B102)</f>
        <v>29</v>
      </c>
    </row>
    <row r="103" customFormat="false" ht="15" hidden="false" customHeight="false" outlineLevel="0" collapsed="false">
      <c r="A103" s="7" t="s">
        <v>1291</v>
      </c>
      <c r="B103" s="8" t="n">
        <v>45305</v>
      </c>
      <c r="C103" s="7" t="s">
        <v>83</v>
      </c>
      <c r="D103" s="7" t="s">
        <v>34</v>
      </c>
      <c r="E103" s="7" t="s">
        <v>1174</v>
      </c>
      <c r="F103" s="7" t="s">
        <v>163</v>
      </c>
      <c r="G103" s="7" t="s">
        <v>1175</v>
      </c>
      <c r="H103" s="7" t="n">
        <v>2137490</v>
      </c>
      <c r="I103" s="7" t="s">
        <v>1188</v>
      </c>
      <c r="J103" s="7"/>
      <c r="K103" s="7" t="str">
        <f aca="false">IF(J103="","Not Completed",J103-B103)</f>
        <v>Not Completed</v>
      </c>
    </row>
    <row r="104" customFormat="false" ht="15" hidden="false" customHeight="false" outlineLevel="0" collapsed="false">
      <c r="A104" s="7" t="s">
        <v>1292</v>
      </c>
      <c r="B104" s="8" t="n">
        <v>45398</v>
      </c>
      <c r="C104" s="7" t="s">
        <v>60</v>
      </c>
      <c r="D104" s="7" t="s">
        <v>34</v>
      </c>
      <c r="E104" s="7" t="s">
        <v>1186</v>
      </c>
      <c r="F104" s="7" t="s">
        <v>203</v>
      </c>
      <c r="G104" s="7" t="s">
        <v>1187</v>
      </c>
      <c r="H104" s="7" t="n">
        <v>2082693</v>
      </c>
      <c r="I104" s="7" t="s">
        <v>1176</v>
      </c>
      <c r="J104" s="7"/>
      <c r="K104" s="7" t="str">
        <f aca="false">IF(J104="","Not Completed",J104-B104)</f>
        <v>Not Completed</v>
      </c>
    </row>
    <row r="105" customFormat="false" ht="15" hidden="false" customHeight="false" outlineLevel="0" collapsed="false">
      <c r="A105" s="7" t="s">
        <v>1293</v>
      </c>
      <c r="B105" s="8" t="n">
        <v>45448</v>
      </c>
      <c r="C105" s="7" t="s">
        <v>83</v>
      </c>
      <c r="D105" s="7" t="s">
        <v>34</v>
      </c>
      <c r="E105" s="7" t="s">
        <v>1183</v>
      </c>
      <c r="F105" s="7" t="s">
        <v>201</v>
      </c>
      <c r="G105" s="7" t="s">
        <v>1184</v>
      </c>
      <c r="H105" s="7" t="n">
        <v>2127130</v>
      </c>
      <c r="I105" s="7" t="s">
        <v>1176</v>
      </c>
      <c r="J105" s="7"/>
      <c r="K105" s="7" t="str">
        <f aca="false">IF(J105="","Not Completed",J105-B105)</f>
        <v>Not Completed</v>
      </c>
    </row>
    <row r="106" customFormat="false" ht="15" hidden="false" customHeight="false" outlineLevel="0" collapsed="false">
      <c r="A106" s="7" t="s">
        <v>1294</v>
      </c>
      <c r="B106" s="8" t="n">
        <v>45697</v>
      </c>
      <c r="C106" s="7" t="s">
        <v>75</v>
      </c>
      <c r="D106" s="7" t="s">
        <v>34</v>
      </c>
      <c r="E106" s="7" t="s">
        <v>1199</v>
      </c>
      <c r="F106" s="7" t="s">
        <v>257</v>
      </c>
      <c r="G106" s="7" t="s">
        <v>1200</v>
      </c>
      <c r="H106" s="7" t="n">
        <v>498437</v>
      </c>
      <c r="I106" s="7" t="s">
        <v>1180</v>
      </c>
      <c r="J106" s="8" t="n">
        <v>45718</v>
      </c>
      <c r="K106" s="7" t="n">
        <f aca="false">IF(J106="","Not Completed",J106-B106)</f>
        <v>21</v>
      </c>
    </row>
    <row r="107" customFormat="false" ht="15" hidden="false" customHeight="false" outlineLevel="0" collapsed="false">
      <c r="A107" s="7" t="s">
        <v>1295</v>
      </c>
      <c r="B107" s="8" t="n">
        <v>45645</v>
      </c>
      <c r="C107" s="7" t="s">
        <v>65</v>
      </c>
      <c r="D107" s="7" t="s">
        <v>34</v>
      </c>
      <c r="E107" s="7" t="s">
        <v>1183</v>
      </c>
      <c r="F107" s="7" t="s">
        <v>391</v>
      </c>
      <c r="G107" s="7" t="s">
        <v>1184</v>
      </c>
      <c r="H107" s="7" t="n">
        <v>2258396</v>
      </c>
      <c r="I107" s="7" t="s">
        <v>1180</v>
      </c>
      <c r="J107" s="8" t="n">
        <v>45662</v>
      </c>
      <c r="K107" s="7" t="n">
        <f aca="false">IF(J107="","Not Completed",J107-B107)</f>
        <v>17</v>
      </c>
    </row>
    <row r="108" customFormat="false" ht="15" hidden="false" customHeight="false" outlineLevel="0" collapsed="false">
      <c r="A108" s="7" t="s">
        <v>1296</v>
      </c>
      <c r="B108" s="8" t="n">
        <v>45478</v>
      </c>
      <c r="C108" s="7" t="s">
        <v>60</v>
      </c>
      <c r="D108" s="7" t="s">
        <v>34</v>
      </c>
      <c r="E108" s="7" t="s">
        <v>1199</v>
      </c>
      <c r="F108" s="7" t="s">
        <v>302</v>
      </c>
      <c r="G108" s="7" t="s">
        <v>1200</v>
      </c>
      <c r="H108" s="7" t="n">
        <v>985266</v>
      </c>
      <c r="I108" s="7" t="s">
        <v>1180</v>
      </c>
      <c r="J108" s="8" t="n">
        <v>45482</v>
      </c>
      <c r="K108" s="7" t="n">
        <f aca="false">IF(J108="","Not Completed",J108-B108)</f>
        <v>4</v>
      </c>
    </row>
    <row r="109" customFormat="false" ht="15" hidden="false" customHeight="false" outlineLevel="0" collapsed="false">
      <c r="A109" s="7" t="s">
        <v>1297</v>
      </c>
      <c r="B109" s="8" t="n">
        <v>45336</v>
      </c>
      <c r="C109" s="7" t="s">
        <v>68</v>
      </c>
      <c r="D109" s="7" t="s">
        <v>34</v>
      </c>
      <c r="E109" s="7" t="s">
        <v>1199</v>
      </c>
      <c r="F109" s="7" t="s">
        <v>182</v>
      </c>
      <c r="G109" s="7" t="s">
        <v>1200</v>
      </c>
      <c r="H109" s="7" t="n">
        <v>2018003</v>
      </c>
      <c r="I109" s="7" t="s">
        <v>1180</v>
      </c>
      <c r="J109" s="8" t="n">
        <v>45365</v>
      </c>
      <c r="K109" s="7" t="n">
        <f aca="false">IF(J109="","Not Completed",J109-B109)</f>
        <v>29</v>
      </c>
    </row>
    <row r="110" customFormat="false" ht="15" hidden="false" customHeight="false" outlineLevel="0" collapsed="false">
      <c r="A110" s="7" t="s">
        <v>1298</v>
      </c>
      <c r="B110" s="8" t="n">
        <v>45953</v>
      </c>
      <c r="C110" s="7" t="s">
        <v>71</v>
      </c>
      <c r="D110" s="7" t="s">
        <v>34</v>
      </c>
      <c r="E110" s="7" t="s">
        <v>1183</v>
      </c>
      <c r="F110" s="7" t="s">
        <v>341</v>
      </c>
      <c r="G110" s="7" t="s">
        <v>1184</v>
      </c>
      <c r="H110" s="7" t="n">
        <v>1280093</v>
      </c>
      <c r="I110" s="7" t="s">
        <v>1176</v>
      </c>
      <c r="J110" s="7"/>
      <c r="K110" s="7" t="str">
        <f aca="false">IF(J110="","Not Completed",J110-B110)</f>
        <v>Not Completed</v>
      </c>
    </row>
    <row r="111" customFormat="false" ht="15" hidden="false" customHeight="false" outlineLevel="0" collapsed="false">
      <c r="A111" s="7" t="s">
        <v>1299</v>
      </c>
      <c r="B111" s="8" t="n">
        <v>45907</v>
      </c>
      <c r="C111" s="7" t="s">
        <v>68</v>
      </c>
      <c r="D111" s="7" t="s">
        <v>34</v>
      </c>
      <c r="E111" s="7" t="s">
        <v>1192</v>
      </c>
      <c r="F111" s="7" t="s">
        <v>429</v>
      </c>
      <c r="G111" s="7" t="s">
        <v>1193</v>
      </c>
      <c r="H111" s="7" t="n">
        <v>1960155</v>
      </c>
      <c r="I111" s="7" t="s">
        <v>1176</v>
      </c>
      <c r="J111" s="7"/>
      <c r="K111" s="7" t="str">
        <f aca="false">IF(J111="","Not Completed",J111-B111)</f>
        <v>Not Completed</v>
      </c>
    </row>
    <row r="112" customFormat="false" ht="15" hidden="false" customHeight="false" outlineLevel="0" collapsed="false">
      <c r="A112" s="7" t="s">
        <v>1300</v>
      </c>
      <c r="B112" s="8" t="n">
        <v>45445</v>
      </c>
      <c r="C112" s="7" t="s">
        <v>79</v>
      </c>
      <c r="D112" s="7" t="s">
        <v>34</v>
      </c>
      <c r="E112" s="7" t="s">
        <v>1192</v>
      </c>
      <c r="F112" s="7" t="s">
        <v>241</v>
      </c>
      <c r="G112" s="7" t="s">
        <v>1193</v>
      </c>
      <c r="H112" s="7" t="n">
        <v>3389547</v>
      </c>
      <c r="I112" s="7" t="s">
        <v>1180</v>
      </c>
      <c r="J112" s="8" t="n">
        <v>45474</v>
      </c>
      <c r="K112" s="7" t="n">
        <f aca="false">IF(J112="","Not Completed",J112-B112)</f>
        <v>29</v>
      </c>
    </row>
    <row r="113" customFormat="false" ht="15" hidden="false" customHeight="false" outlineLevel="0" collapsed="false">
      <c r="A113" s="7" t="s">
        <v>1301</v>
      </c>
      <c r="B113" s="8" t="n">
        <v>45406</v>
      </c>
      <c r="C113" s="7" t="s">
        <v>71</v>
      </c>
      <c r="D113" s="7" t="s">
        <v>34</v>
      </c>
      <c r="E113" s="7" t="s">
        <v>1186</v>
      </c>
      <c r="F113" s="7" t="s">
        <v>190</v>
      </c>
      <c r="G113" s="7" t="s">
        <v>1187</v>
      </c>
      <c r="H113" s="7" t="n">
        <v>507024</v>
      </c>
      <c r="I113" s="7" t="s">
        <v>1180</v>
      </c>
      <c r="J113" s="8" t="n">
        <v>45430</v>
      </c>
      <c r="K113" s="7" t="n">
        <f aca="false">IF(J113="","Not Completed",J113-B113)</f>
        <v>24</v>
      </c>
    </row>
    <row r="114" customFormat="false" ht="15" hidden="false" customHeight="false" outlineLevel="0" collapsed="false">
      <c r="A114" s="7" t="s">
        <v>1302</v>
      </c>
      <c r="B114" s="8" t="n">
        <v>45617</v>
      </c>
      <c r="C114" s="7" t="s">
        <v>68</v>
      </c>
      <c r="D114" s="7" t="s">
        <v>34</v>
      </c>
      <c r="E114" s="7" t="s">
        <v>1174</v>
      </c>
      <c r="F114" s="7" t="s">
        <v>159</v>
      </c>
      <c r="G114" s="7" t="s">
        <v>1175</v>
      </c>
      <c r="H114" s="7" t="n">
        <v>2766459</v>
      </c>
      <c r="I114" s="7" t="s">
        <v>1180</v>
      </c>
      <c r="J114" s="8" t="n">
        <v>45618</v>
      </c>
      <c r="K114" s="7" t="n">
        <f aca="false">IF(J114="","Not Completed",J114-B114)</f>
        <v>1</v>
      </c>
    </row>
    <row r="115" customFormat="false" ht="15" hidden="false" customHeight="false" outlineLevel="0" collapsed="false">
      <c r="A115" s="7" t="s">
        <v>1303</v>
      </c>
      <c r="B115" s="8" t="n">
        <v>45766</v>
      </c>
      <c r="C115" s="7" t="s">
        <v>83</v>
      </c>
      <c r="D115" s="7" t="s">
        <v>34</v>
      </c>
      <c r="E115" s="7" t="s">
        <v>1192</v>
      </c>
      <c r="F115" s="7" t="s">
        <v>161</v>
      </c>
      <c r="G115" s="7" t="s">
        <v>1193</v>
      </c>
      <c r="H115" s="7" t="n">
        <v>555986</v>
      </c>
      <c r="I115" s="7" t="s">
        <v>1180</v>
      </c>
      <c r="J115" s="8" t="n">
        <v>45787</v>
      </c>
      <c r="K115" s="7" t="n">
        <f aca="false">IF(J115="","Not Completed",J115-B115)</f>
        <v>21</v>
      </c>
    </row>
    <row r="116" customFormat="false" ht="15" hidden="false" customHeight="false" outlineLevel="0" collapsed="false">
      <c r="A116" s="7" t="s">
        <v>1304</v>
      </c>
      <c r="B116" s="8" t="n">
        <v>45691</v>
      </c>
      <c r="C116" s="7" t="s">
        <v>83</v>
      </c>
      <c r="D116" s="7" t="s">
        <v>34</v>
      </c>
      <c r="E116" s="7" t="s">
        <v>1178</v>
      </c>
      <c r="F116" s="7" t="s">
        <v>413</v>
      </c>
      <c r="G116" s="7" t="s">
        <v>1179</v>
      </c>
      <c r="H116" s="7" t="n">
        <v>2193278</v>
      </c>
      <c r="I116" s="7" t="s">
        <v>1180</v>
      </c>
      <c r="J116" s="8" t="n">
        <v>45704</v>
      </c>
      <c r="K116" s="7" t="n">
        <f aca="false">IF(J116="","Not Completed",J116-B116)</f>
        <v>13</v>
      </c>
    </row>
    <row r="117" customFormat="false" ht="15" hidden="false" customHeight="false" outlineLevel="0" collapsed="false">
      <c r="A117" s="7" t="s">
        <v>1305</v>
      </c>
      <c r="B117" s="8" t="n">
        <v>45426</v>
      </c>
      <c r="C117" s="7" t="s">
        <v>75</v>
      </c>
      <c r="D117" s="7" t="s">
        <v>34</v>
      </c>
      <c r="E117" s="7" t="s">
        <v>1203</v>
      </c>
      <c r="F117" s="7" t="s">
        <v>287</v>
      </c>
      <c r="G117" s="7" t="s">
        <v>1204</v>
      </c>
      <c r="H117" s="7" t="n">
        <v>2569837</v>
      </c>
      <c r="I117" s="7" t="s">
        <v>1180</v>
      </c>
      <c r="J117" s="8" t="n">
        <v>45427</v>
      </c>
      <c r="K117" s="7" t="n">
        <f aca="false">IF(J117="","Not Completed",J117-B117)</f>
        <v>1</v>
      </c>
    </row>
    <row r="118" customFormat="false" ht="15" hidden="false" customHeight="false" outlineLevel="0" collapsed="false">
      <c r="A118" s="7" t="s">
        <v>1306</v>
      </c>
      <c r="B118" s="8" t="n">
        <v>45620</v>
      </c>
      <c r="C118" s="7" t="s">
        <v>65</v>
      </c>
      <c r="D118" s="7" t="s">
        <v>34</v>
      </c>
      <c r="E118" s="7" t="s">
        <v>1186</v>
      </c>
      <c r="F118" s="7" t="s">
        <v>383</v>
      </c>
      <c r="G118" s="7" t="s">
        <v>1187</v>
      </c>
      <c r="H118" s="7" t="n">
        <v>1897826</v>
      </c>
      <c r="I118" s="7" t="s">
        <v>1180</v>
      </c>
      <c r="J118" s="8" t="n">
        <v>45624</v>
      </c>
      <c r="K118" s="7" t="n">
        <f aca="false">IF(J118="","Not Completed",J118-B118)</f>
        <v>4</v>
      </c>
    </row>
    <row r="119" customFormat="false" ht="15" hidden="false" customHeight="false" outlineLevel="0" collapsed="false">
      <c r="A119" s="7" t="s">
        <v>1307</v>
      </c>
      <c r="B119" s="8" t="n">
        <v>45628</v>
      </c>
      <c r="C119" s="7" t="s">
        <v>71</v>
      </c>
      <c r="D119" s="7" t="s">
        <v>34</v>
      </c>
      <c r="E119" s="7" t="s">
        <v>1192</v>
      </c>
      <c r="F119" s="7" t="s">
        <v>137</v>
      </c>
      <c r="G119" s="7" t="s">
        <v>1193</v>
      </c>
      <c r="H119" s="7" t="n">
        <v>649737</v>
      </c>
      <c r="I119" s="7" t="s">
        <v>1176</v>
      </c>
      <c r="J119" s="7"/>
      <c r="K119" s="7" t="str">
        <f aca="false">IF(J119="","Not Completed",J119-B119)</f>
        <v>Not Completed</v>
      </c>
    </row>
    <row r="120" customFormat="false" ht="15" hidden="false" customHeight="false" outlineLevel="0" collapsed="false">
      <c r="A120" s="7" t="s">
        <v>1308</v>
      </c>
      <c r="B120" s="8" t="n">
        <v>45971</v>
      </c>
      <c r="C120" s="7" t="s">
        <v>87</v>
      </c>
      <c r="D120" s="7" t="s">
        <v>34</v>
      </c>
      <c r="E120" s="7" t="s">
        <v>1174</v>
      </c>
      <c r="F120" s="7" t="s">
        <v>299</v>
      </c>
      <c r="G120" s="7" t="s">
        <v>1175</v>
      </c>
      <c r="H120" s="7" t="n">
        <v>259733</v>
      </c>
      <c r="I120" s="7" t="s">
        <v>1188</v>
      </c>
      <c r="J120" s="7"/>
      <c r="K120" s="7" t="str">
        <f aca="false">IF(J120="","Not Completed",J120-B120)</f>
        <v>Not Completed</v>
      </c>
    </row>
    <row r="121" customFormat="false" ht="15" hidden="false" customHeight="false" outlineLevel="0" collapsed="false">
      <c r="A121" s="7" t="s">
        <v>1309</v>
      </c>
      <c r="B121" s="8" t="n">
        <v>45531</v>
      </c>
      <c r="C121" s="7" t="s">
        <v>71</v>
      </c>
      <c r="D121" s="7" t="s">
        <v>34</v>
      </c>
      <c r="E121" s="7" t="s">
        <v>1186</v>
      </c>
      <c r="F121" s="7" t="s">
        <v>265</v>
      </c>
      <c r="G121" s="7" t="s">
        <v>1187</v>
      </c>
      <c r="H121" s="7" t="n">
        <v>3477586</v>
      </c>
      <c r="I121" s="7" t="s">
        <v>1180</v>
      </c>
      <c r="J121" s="8" t="n">
        <v>45557</v>
      </c>
      <c r="K121" s="7" t="n">
        <f aca="false">IF(J121="","Not Completed",J121-B121)</f>
        <v>26</v>
      </c>
    </row>
    <row r="122" customFormat="false" ht="15" hidden="false" customHeight="false" outlineLevel="0" collapsed="false">
      <c r="A122" s="7" t="s">
        <v>1310</v>
      </c>
      <c r="B122" s="8" t="n">
        <v>45762</v>
      </c>
      <c r="C122" s="7" t="s">
        <v>83</v>
      </c>
      <c r="D122" s="7" t="s">
        <v>34</v>
      </c>
      <c r="E122" s="7" t="s">
        <v>1199</v>
      </c>
      <c r="F122" s="7" t="s">
        <v>253</v>
      </c>
      <c r="G122" s="7" t="s">
        <v>1200</v>
      </c>
      <c r="H122" s="7" t="n">
        <v>796001</v>
      </c>
      <c r="I122" s="7" t="s">
        <v>1176</v>
      </c>
      <c r="J122" s="7"/>
      <c r="K122" s="7" t="str">
        <f aca="false">IF(J122="","Not Completed",J122-B122)</f>
        <v>Not Completed</v>
      </c>
    </row>
    <row r="123" customFormat="false" ht="15" hidden="false" customHeight="false" outlineLevel="0" collapsed="false">
      <c r="A123" s="7" t="s">
        <v>1311</v>
      </c>
      <c r="B123" s="8" t="n">
        <v>45630</v>
      </c>
      <c r="C123" s="7" t="s">
        <v>79</v>
      </c>
      <c r="D123" s="7" t="s">
        <v>34</v>
      </c>
      <c r="E123" s="7" t="s">
        <v>1192</v>
      </c>
      <c r="F123" s="7" t="s">
        <v>366</v>
      </c>
      <c r="G123" s="7" t="s">
        <v>1193</v>
      </c>
      <c r="H123" s="7" t="n">
        <v>623648</v>
      </c>
      <c r="I123" s="7" t="s">
        <v>1188</v>
      </c>
      <c r="J123" s="7"/>
      <c r="K123" s="7" t="str">
        <f aca="false">IF(J123="","Not Completed",J123-B123)</f>
        <v>Not Completed</v>
      </c>
    </row>
    <row r="124" customFormat="false" ht="15" hidden="false" customHeight="false" outlineLevel="0" collapsed="false">
      <c r="A124" s="7" t="s">
        <v>1312</v>
      </c>
      <c r="B124" s="8" t="n">
        <v>45712</v>
      </c>
      <c r="C124" s="7" t="s">
        <v>71</v>
      </c>
      <c r="D124" s="7" t="s">
        <v>34</v>
      </c>
      <c r="E124" s="7" t="s">
        <v>1199</v>
      </c>
      <c r="F124" s="7" t="s">
        <v>359</v>
      </c>
      <c r="G124" s="7" t="s">
        <v>1200</v>
      </c>
      <c r="H124" s="7" t="n">
        <v>2806953</v>
      </c>
      <c r="I124" s="7" t="s">
        <v>1180</v>
      </c>
      <c r="J124" s="8" t="n">
        <v>45738</v>
      </c>
      <c r="K124" s="7" t="n">
        <f aca="false">IF(J124="","Not Completed",J124-B124)</f>
        <v>26</v>
      </c>
    </row>
    <row r="125" customFormat="false" ht="15" hidden="false" customHeight="false" outlineLevel="0" collapsed="false">
      <c r="A125" s="7" t="s">
        <v>1313</v>
      </c>
      <c r="B125" s="8" t="n">
        <v>45874</v>
      </c>
      <c r="C125" s="7" t="s">
        <v>65</v>
      </c>
      <c r="D125" s="7" t="s">
        <v>34</v>
      </c>
      <c r="E125" s="7" t="s">
        <v>1174</v>
      </c>
      <c r="F125" s="7" t="s">
        <v>426</v>
      </c>
      <c r="G125" s="7" t="s">
        <v>1175</v>
      </c>
      <c r="H125" s="7" t="n">
        <v>47946</v>
      </c>
      <c r="I125" s="7" t="s">
        <v>1180</v>
      </c>
      <c r="J125" s="8" t="n">
        <v>45882</v>
      </c>
      <c r="K125" s="7" t="n">
        <f aca="false">IF(J125="","Not Completed",J125-B125)</f>
        <v>8</v>
      </c>
    </row>
    <row r="126" customFormat="false" ht="15" hidden="false" customHeight="false" outlineLevel="0" collapsed="false">
      <c r="A126" s="7" t="s">
        <v>1314</v>
      </c>
      <c r="B126" s="8" t="n">
        <v>45807</v>
      </c>
      <c r="C126" s="7" t="s">
        <v>65</v>
      </c>
      <c r="D126" s="7" t="s">
        <v>34</v>
      </c>
      <c r="E126" s="7" t="s">
        <v>1192</v>
      </c>
      <c r="F126" s="7" t="s">
        <v>251</v>
      </c>
      <c r="G126" s="7" t="s">
        <v>1193</v>
      </c>
      <c r="H126" s="7" t="n">
        <v>1858464</v>
      </c>
      <c r="I126" s="7" t="s">
        <v>1180</v>
      </c>
      <c r="J126" s="8" t="n">
        <v>45826</v>
      </c>
      <c r="K126" s="7" t="n">
        <f aca="false">IF(J126="","Not Completed",J126-B126)</f>
        <v>19</v>
      </c>
    </row>
    <row r="127" customFormat="false" ht="15" hidden="false" customHeight="false" outlineLevel="0" collapsed="false">
      <c r="A127" s="7" t="s">
        <v>1315</v>
      </c>
      <c r="B127" s="8" t="n">
        <v>45599</v>
      </c>
      <c r="C127" s="7" t="s">
        <v>87</v>
      </c>
      <c r="D127" s="7" t="s">
        <v>34</v>
      </c>
      <c r="E127" s="7" t="s">
        <v>1192</v>
      </c>
      <c r="F127" s="7" t="s">
        <v>227</v>
      </c>
      <c r="G127" s="7" t="s">
        <v>1193</v>
      </c>
      <c r="H127" s="7" t="n">
        <v>3068591</v>
      </c>
      <c r="I127" s="7" t="s">
        <v>1180</v>
      </c>
      <c r="J127" s="8" t="n">
        <v>45610</v>
      </c>
      <c r="K127" s="7" t="n">
        <f aca="false">IF(J127="","Not Completed",J127-B127)</f>
        <v>11</v>
      </c>
    </row>
    <row r="128" customFormat="false" ht="15" hidden="false" customHeight="false" outlineLevel="0" collapsed="false">
      <c r="A128" s="7" t="s">
        <v>1316</v>
      </c>
      <c r="B128" s="8" t="n">
        <v>46022</v>
      </c>
      <c r="C128" s="7" t="s">
        <v>65</v>
      </c>
      <c r="D128" s="7" t="s">
        <v>34</v>
      </c>
      <c r="E128" s="7" t="s">
        <v>1203</v>
      </c>
      <c r="F128" s="7" t="s">
        <v>434</v>
      </c>
      <c r="G128" s="7" t="s">
        <v>1204</v>
      </c>
      <c r="H128" s="7" t="n">
        <v>94383</v>
      </c>
      <c r="I128" s="7" t="s">
        <v>1180</v>
      </c>
      <c r="J128" s="8" t="n">
        <v>46036</v>
      </c>
      <c r="K128" s="7" t="n">
        <f aca="false">IF(J128="","Not Completed",J128-B128)</f>
        <v>14</v>
      </c>
    </row>
    <row r="129" customFormat="false" ht="15" hidden="false" customHeight="false" outlineLevel="0" collapsed="false">
      <c r="A129" s="7" t="s">
        <v>1317</v>
      </c>
      <c r="B129" s="8" t="n">
        <v>45875</v>
      </c>
      <c r="C129" s="7" t="s">
        <v>79</v>
      </c>
      <c r="D129" s="7" t="s">
        <v>34</v>
      </c>
      <c r="E129" s="7" t="s">
        <v>1183</v>
      </c>
      <c r="F129" s="7" t="s">
        <v>150</v>
      </c>
      <c r="G129" s="7" t="s">
        <v>1184</v>
      </c>
      <c r="H129" s="7" t="n">
        <v>1893777</v>
      </c>
      <c r="I129" s="7" t="s">
        <v>1180</v>
      </c>
      <c r="J129" s="8" t="n">
        <v>45893</v>
      </c>
      <c r="K129" s="7" t="n">
        <f aca="false">IF(J129="","Not Completed",J129-B129)</f>
        <v>18</v>
      </c>
    </row>
    <row r="130" customFormat="false" ht="15" hidden="false" customHeight="false" outlineLevel="0" collapsed="false">
      <c r="A130" s="7" t="s">
        <v>1318</v>
      </c>
      <c r="B130" s="8" t="n">
        <v>45479</v>
      </c>
      <c r="C130" s="7" t="s">
        <v>75</v>
      </c>
      <c r="D130" s="7" t="s">
        <v>34</v>
      </c>
      <c r="E130" s="7" t="s">
        <v>1192</v>
      </c>
      <c r="F130" s="7" t="s">
        <v>440</v>
      </c>
      <c r="G130" s="7" t="s">
        <v>1193</v>
      </c>
      <c r="H130" s="7" t="n">
        <v>639282</v>
      </c>
      <c r="I130" s="7" t="s">
        <v>1188</v>
      </c>
      <c r="J130" s="7"/>
      <c r="K130" s="7" t="str">
        <f aca="false">IF(J130="","Not Completed",J130-B130)</f>
        <v>Not Completed</v>
      </c>
    </row>
    <row r="131" customFormat="false" ht="15" hidden="false" customHeight="false" outlineLevel="0" collapsed="false">
      <c r="A131" s="7" t="s">
        <v>1319</v>
      </c>
      <c r="B131" s="8" t="n">
        <v>45786</v>
      </c>
      <c r="C131" s="7" t="s">
        <v>75</v>
      </c>
      <c r="D131" s="7" t="s">
        <v>34</v>
      </c>
      <c r="E131" s="7" t="s">
        <v>1192</v>
      </c>
      <c r="F131" s="7" t="s">
        <v>275</v>
      </c>
      <c r="G131" s="7" t="s">
        <v>1193</v>
      </c>
      <c r="H131" s="7" t="n">
        <v>1888432</v>
      </c>
      <c r="I131" s="7" t="s">
        <v>1176</v>
      </c>
      <c r="J131" s="7"/>
      <c r="K131" s="7" t="str">
        <f aca="false">IF(J131="","Not Completed",J131-B131)</f>
        <v>Not Completed</v>
      </c>
    </row>
    <row r="132" customFormat="false" ht="15" hidden="false" customHeight="false" outlineLevel="0" collapsed="false">
      <c r="A132" s="7" t="s">
        <v>1320</v>
      </c>
      <c r="B132" s="8" t="n">
        <v>45422</v>
      </c>
      <c r="C132" s="7" t="s">
        <v>75</v>
      </c>
      <c r="D132" s="7" t="s">
        <v>34</v>
      </c>
      <c r="E132" s="7" t="s">
        <v>1174</v>
      </c>
      <c r="F132" s="7" t="s">
        <v>357</v>
      </c>
      <c r="G132" s="7" t="s">
        <v>1175</v>
      </c>
      <c r="H132" s="7" t="n">
        <v>907116</v>
      </c>
      <c r="I132" s="7" t="s">
        <v>1188</v>
      </c>
      <c r="J132" s="7"/>
      <c r="K132" s="7" t="str">
        <f aca="false">IF(J132="","Not Completed",J132-B132)</f>
        <v>Not Completed</v>
      </c>
    </row>
    <row r="133" customFormat="false" ht="15" hidden="false" customHeight="false" outlineLevel="0" collapsed="false">
      <c r="A133" s="7" t="s">
        <v>1321</v>
      </c>
      <c r="B133" s="8" t="n">
        <v>45462</v>
      </c>
      <c r="C133" s="7" t="s">
        <v>71</v>
      </c>
      <c r="D133" s="7" t="s">
        <v>34</v>
      </c>
      <c r="E133" s="7" t="s">
        <v>1186</v>
      </c>
      <c r="F133" s="7" t="s">
        <v>201</v>
      </c>
      <c r="G133" s="7" t="s">
        <v>1187</v>
      </c>
      <c r="H133" s="7" t="n">
        <v>911310</v>
      </c>
      <c r="I133" s="7" t="s">
        <v>1180</v>
      </c>
      <c r="J133" s="8" t="n">
        <v>45468</v>
      </c>
      <c r="K133" s="7" t="n">
        <f aca="false">IF(J133="","Not Completed",J133-B133)</f>
        <v>6</v>
      </c>
    </row>
    <row r="134" customFormat="false" ht="15" hidden="false" customHeight="false" outlineLevel="0" collapsed="false">
      <c r="A134" s="7" t="s">
        <v>1322</v>
      </c>
      <c r="B134" s="8" t="n">
        <v>45684</v>
      </c>
      <c r="C134" s="7" t="s">
        <v>75</v>
      </c>
      <c r="D134" s="7" t="s">
        <v>34</v>
      </c>
      <c r="E134" s="7" t="s">
        <v>1186</v>
      </c>
      <c r="F134" s="7" t="s">
        <v>373</v>
      </c>
      <c r="G134" s="7" t="s">
        <v>1187</v>
      </c>
      <c r="H134" s="7" t="n">
        <v>1677757</v>
      </c>
      <c r="I134" s="7" t="s">
        <v>1180</v>
      </c>
      <c r="J134" s="8" t="n">
        <v>45696</v>
      </c>
      <c r="K134" s="7" t="n">
        <f aca="false">IF(J134="","Not Completed",J134-B134)</f>
        <v>12</v>
      </c>
    </row>
    <row r="135" customFormat="false" ht="15" hidden="false" customHeight="false" outlineLevel="0" collapsed="false">
      <c r="A135" s="7" t="s">
        <v>1323</v>
      </c>
      <c r="B135" s="8" t="n">
        <v>45336</v>
      </c>
      <c r="C135" s="7" t="s">
        <v>75</v>
      </c>
      <c r="D135" s="7" t="s">
        <v>34</v>
      </c>
      <c r="E135" s="7" t="s">
        <v>1178</v>
      </c>
      <c r="F135" s="7" t="s">
        <v>397</v>
      </c>
      <c r="G135" s="7" t="s">
        <v>1179</v>
      </c>
      <c r="H135" s="7" t="n">
        <v>1413898</v>
      </c>
      <c r="I135" s="7" t="s">
        <v>1180</v>
      </c>
      <c r="J135" s="8" t="n">
        <v>45349</v>
      </c>
      <c r="K135" s="7" t="n">
        <f aca="false">IF(J135="","Not Completed",J135-B135)</f>
        <v>13</v>
      </c>
    </row>
    <row r="136" customFormat="false" ht="15" hidden="false" customHeight="false" outlineLevel="0" collapsed="false">
      <c r="A136" s="7" t="s">
        <v>1324</v>
      </c>
      <c r="B136" s="8" t="n">
        <v>45562</v>
      </c>
      <c r="C136" s="7" t="s">
        <v>68</v>
      </c>
      <c r="D136" s="7" t="s">
        <v>34</v>
      </c>
      <c r="E136" s="7" t="s">
        <v>1178</v>
      </c>
      <c r="F136" s="7" t="s">
        <v>317</v>
      </c>
      <c r="G136" s="7" t="s">
        <v>1179</v>
      </c>
      <c r="H136" s="7" t="n">
        <v>2945220</v>
      </c>
      <c r="I136" s="7" t="s">
        <v>1176</v>
      </c>
      <c r="J136" s="7"/>
      <c r="K136" s="7" t="str">
        <f aca="false">IF(J136="","Not Completed",J136-B136)</f>
        <v>Not Completed</v>
      </c>
    </row>
    <row r="137" customFormat="false" ht="15" hidden="false" customHeight="false" outlineLevel="0" collapsed="false">
      <c r="A137" s="7" t="s">
        <v>1325</v>
      </c>
      <c r="B137" s="8" t="n">
        <v>45794</v>
      </c>
      <c r="C137" s="7" t="s">
        <v>71</v>
      </c>
      <c r="D137" s="7" t="s">
        <v>34</v>
      </c>
      <c r="E137" s="7" t="s">
        <v>1178</v>
      </c>
      <c r="F137" s="7" t="s">
        <v>225</v>
      </c>
      <c r="G137" s="7" t="s">
        <v>1179</v>
      </c>
      <c r="H137" s="7" t="n">
        <v>2716153</v>
      </c>
      <c r="I137" s="7" t="s">
        <v>1180</v>
      </c>
      <c r="J137" s="8" t="n">
        <v>45816</v>
      </c>
      <c r="K137" s="7" t="n">
        <f aca="false">IF(J137="","Not Completed",J137-B137)</f>
        <v>22</v>
      </c>
    </row>
    <row r="138" customFormat="false" ht="15" hidden="false" customHeight="false" outlineLevel="0" collapsed="false">
      <c r="A138" s="7" t="s">
        <v>1326</v>
      </c>
      <c r="B138" s="8" t="n">
        <v>45817</v>
      </c>
      <c r="C138" s="7" t="s">
        <v>60</v>
      </c>
      <c r="D138" s="7" t="s">
        <v>34</v>
      </c>
      <c r="E138" s="7" t="s">
        <v>1174</v>
      </c>
      <c r="F138" s="7" t="s">
        <v>353</v>
      </c>
      <c r="G138" s="7" t="s">
        <v>1175</v>
      </c>
      <c r="H138" s="7" t="n">
        <v>797041</v>
      </c>
      <c r="I138" s="7" t="s">
        <v>1180</v>
      </c>
      <c r="J138" s="8" t="n">
        <v>45826</v>
      </c>
      <c r="K138" s="7" t="n">
        <f aca="false">IF(J138="","Not Completed",J138-B138)</f>
        <v>9</v>
      </c>
    </row>
    <row r="139" customFormat="false" ht="15" hidden="false" customHeight="false" outlineLevel="0" collapsed="false">
      <c r="A139" s="7" t="s">
        <v>1327</v>
      </c>
      <c r="B139" s="8" t="n">
        <v>45358</v>
      </c>
      <c r="C139" s="7" t="s">
        <v>65</v>
      </c>
      <c r="D139" s="7" t="s">
        <v>34</v>
      </c>
      <c r="E139" s="7" t="s">
        <v>1183</v>
      </c>
      <c r="F139" s="7" t="s">
        <v>285</v>
      </c>
      <c r="G139" s="7" t="s">
        <v>1184</v>
      </c>
      <c r="H139" s="7" t="n">
        <v>2321947</v>
      </c>
      <c r="I139" s="7" t="s">
        <v>1180</v>
      </c>
      <c r="J139" s="8" t="n">
        <v>45378</v>
      </c>
      <c r="K139" s="7" t="n">
        <f aca="false">IF(J139="","Not Completed",J139-B139)</f>
        <v>20</v>
      </c>
    </row>
    <row r="140" customFormat="false" ht="15" hidden="false" customHeight="false" outlineLevel="0" collapsed="false">
      <c r="A140" s="7" t="s">
        <v>1328</v>
      </c>
      <c r="B140" s="8" t="n">
        <v>45514</v>
      </c>
      <c r="C140" s="7" t="s">
        <v>75</v>
      </c>
      <c r="D140" s="7" t="s">
        <v>34</v>
      </c>
      <c r="E140" s="7" t="s">
        <v>1183</v>
      </c>
      <c r="F140" s="7" t="s">
        <v>310</v>
      </c>
      <c r="G140" s="7" t="s">
        <v>1184</v>
      </c>
      <c r="H140" s="7" t="n">
        <v>2855180</v>
      </c>
      <c r="I140" s="7" t="s">
        <v>1176</v>
      </c>
      <c r="J140" s="7"/>
      <c r="K140" s="7" t="str">
        <f aca="false">IF(J140="","Not Completed",J140-B140)</f>
        <v>Not Completed</v>
      </c>
    </row>
    <row r="141" customFormat="false" ht="15" hidden="false" customHeight="false" outlineLevel="0" collapsed="false">
      <c r="A141" s="7" t="s">
        <v>1329</v>
      </c>
      <c r="B141" s="8" t="n">
        <v>45345</v>
      </c>
      <c r="C141" s="7" t="s">
        <v>65</v>
      </c>
      <c r="D141" s="7" t="s">
        <v>34</v>
      </c>
      <c r="E141" s="7" t="s">
        <v>1192</v>
      </c>
      <c r="F141" s="7" t="s">
        <v>157</v>
      </c>
      <c r="G141" s="7" t="s">
        <v>1193</v>
      </c>
      <c r="H141" s="7" t="n">
        <v>110834</v>
      </c>
      <c r="I141" s="7" t="s">
        <v>1180</v>
      </c>
      <c r="J141" s="8" t="n">
        <v>45354</v>
      </c>
      <c r="K141" s="7" t="n">
        <f aca="false">IF(J141="","Not Completed",J141-B141)</f>
        <v>9</v>
      </c>
    </row>
    <row r="142" customFormat="false" ht="15" hidden="false" customHeight="false" outlineLevel="0" collapsed="false">
      <c r="A142" s="7" t="s">
        <v>1330</v>
      </c>
      <c r="B142" s="8" t="n">
        <v>45780</v>
      </c>
      <c r="C142" s="7" t="s">
        <v>83</v>
      </c>
      <c r="D142" s="7" t="s">
        <v>34</v>
      </c>
      <c r="E142" s="7" t="s">
        <v>1178</v>
      </c>
      <c r="F142" s="7" t="s">
        <v>257</v>
      </c>
      <c r="G142" s="7" t="s">
        <v>1179</v>
      </c>
      <c r="H142" s="7" t="n">
        <v>2065156</v>
      </c>
      <c r="I142" s="7" t="s">
        <v>1188</v>
      </c>
      <c r="J142" s="7"/>
      <c r="K142" s="7" t="str">
        <f aca="false">IF(J142="","Not Completed",J142-B142)</f>
        <v>Not Completed</v>
      </c>
    </row>
    <row r="143" customFormat="false" ht="15" hidden="false" customHeight="false" outlineLevel="0" collapsed="false">
      <c r="A143" s="7" t="s">
        <v>1331</v>
      </c>
      <c r="B143" s="8" t="n">
        <v>45611</v>
      </c>
      <c r="C143" s="7" t="s">
        <v>60</v>
      </c>
      <c r="D143" s="7" t="s">
        <v>34</v>
      </c>
      <c r="E143" s="7" t="s">
        <v>1183</v>
      </c>
      <c r="F143" s="7" t="s">
        <v>291</v>
      </c>
      <c r="G143" s="7" t="s">
        <v>1184</v>
      </c>
      <c r="H143" s="7" t="n">
        <v>1089031</v>
      </c>
      <c r="I143" s="7" t="s">
        <v>1188</v>
      </c>
      <c r="J143" s="7"/>
      <c r="K143" s="7" t="str">
        <f aca="false">IF(J143="","Not Completed",J143-B143)</f>
        <v>Not Completed</v>
      </c>
    </row>
    <row r="144" customFormat="false" ht="15" hidden="false" customHeight="false" outlineLevel="0" collapsed="false">
      <c r="A144" s="7" t="s">
        <v>1332</v>
      </c>
      <c r="B144" s="8" t="n">
        <v>45395</v>
      </c>
      <c r="C144" s="7" t="s">
        <v>79</v>
      </c>
      <c r="D144" s="7" t="s">
        <v>34</v>
      </c>
      <c r="E144" s="7" t="s">
        <v>1183</v>
      </c>
      <c r="F144" s="7" t="s">
        <v>409</v>
      </c>
      <c r="G144" s="7" t="s">
        <v>1184</v>
      </c>
      <c r="H144" s="7" t="n">
        <v>1261041</v>
      </c>
      <c r="I144" s="7" t="s">
        <v>1180</v>
      </c>
      <c r="J144" s="8" t="n">
        <v>45419</v>
      </c>
      <c r="K144" s="7" t="n">
        <f aca="false">IF(J144="","Not Completed",J144-B144)</f>
        <v>24</v>
      </c>
    </row>
    <row r="145" customFormat="false" ht="15" hidden="false" customHeight="false" outlineLevel="0" collapsed="false">
      <c r="A145" s="7" t="s">
        <v>1333</v>
      </c>
      <c r="B145" s="8" t="n">
        <v>45504</v>
      </c>
      <c r="C145" s="7" t="s">
        <v>79</v>
      </c>
      <c r="D145" s="7" t="s">
        <v>34</v>
      </c>
      <c r="E145" s="7" t="s">
        <v>1203</v>
      </c>
      <c r="F145" s="7" t="s">
        <v>275</v>
      </c>
      <c r="G145" s="7" t="s">
        <v>1204</v>
      </c>
      <c r="H145" s="7" t="n">
        <v>1157835</v>
      </c>
      <c r="I145" s="7" t="s">
        <v>1180</v>
      </c>
      <c r="J145" s="8" t="n">
        <v>45512</v>
      </c>
      <c r="K145" s="7" t="n">
        <f aca="false">IF(J145="","Not Completed",J145-B145)</f>
        <v>8</v>
      </c>
    </row>
    <row r="146" customFormat="false" ht="15" hidden="false" customHeight="false" outlineLevel="0" collapsed="false">
      <c r="A146" s="7" t="s">
        <v>1334</v>
      </c>
      <c r="B146" s="8" t="n">
        <v>45325</v>
      </c>
      <c r="C146" s="7" t="s">
        <v>83</v>
      </c>
      <c r="D146" s="7" t="s">
        <v>34</v>
      </c>
      <c r="E146" s="7" t="s">
        <v>1203</v>
      </c>
      <c r="F146" s="7" t="s">
        <v>420</v>
      </c>
      <c r="G146" s="7" t="s">
        <v>1204</v>
      </c>
      <c r="H146" s="7" t="n">
        <v>798102</v>
      </c>
      <c r="I146" s="7" t="s">
        <v>1180</v>
      </c>
      <c r="J146" s="8" t="n">
        <v>45336</v>
      </c>
      <c r="K146" s="7" t="n">
        <f aca="false">IF(J146="","Not Completed",J146-B146)</f>
        <v>11</v>
      </c>
    </row>
    <row r="147" customFormat="false" ht="15" hidden="false" customHeight="false" outlineLevel="0" collapsed="false">
      <c r="A147" s="7" t="s">
        <v>1335</v>
      </c>
      <c r="B147" s="8" t="n">
        <v>45543</v>
      </c>
      <c r="C147" s="7" t="s">
        <v>68</v>
      </c>
      <c r="D147" s="7" t="s">
        <v>34</v>
      </c>
      <c r="E147" s="7" t="s">
        <v>1183</v>
      </c>
      <c r="F147" s="7" t="s">
        <v>394</v>
      </c>
      <c r="G147" s="7" t="s">
        <v>1184</v>
      </c>
      <c r="H147" s="7" t="n">
        <v>2156814</v>
      </c>
      <c r="I147" s="7" t="s">
        <v>1180</v>
      </c>
      <c r="J147" s="8" t="n">
        <v>45562</v>
      </c>
      <c r="K147" s="7" t="n">
        <f aca="false">IF(J147="","Not Completed",J147-B147)</f>
        <v>19</v>
      </c>
    </row>
    <row r="148" customFormat="false" ht="15" hidden="false" customHeight="false" outlineLevel="0" collapsed="false">
      <c r="A148" s="7" t="s">
        <v>1336</v>
      </c>
      <c r="B148" s="8" t="n">
        <v>45400</v>
      </c>
      <c r="C148" s="7" t="s">
        <v>68</v>
      </c>
      <c r="D148" s="7" t="s">
        <v>34</v>
      </c>
      <c r="E148" s="7" t="s">
        <v>1199</v>
      </c>
      <c r="F148" s="7" t="s">
        <v>257</v>
      </c>
      <c r="G148" s="7" t="s">
        <v>1200</v>
      </c>
      <c r="H148" s="7" t="n">
        <v>1557642</v>
      </c>
      <c r="I148" s="7" t="s">
        <v>1180</v>
      </c>
      <c r="J148" s="8" t="n">
        <v>45416</v>
      </c>
      <c r="K148" s="7" t="n">
        <f aca="false">IF(J148="","Not Completed",J148-B148)</f>
        <v>16</v>
      </c>
    </row>
    <row r="149" customFormat="false" ht="15" hidden="false" customHeight="false" outlineLevel="0" collapsed="false">
      <c r="A149" s="7" t="s">
        <v>1337</v>
      </c>
      <c r="B149" s="8" t="n">
        <v>45430</v>
      </c>
      <c r="C149" s="7" t="s">
        <v>83</v>
      </c>
      <c r="D149" s="7" t="s">
        <v>34</v>
      </c>
      <c r="E149" s="7" t="s">
        <v>1192</v>
      </c>
      <c r="F149" s="7" t="s">
        <v>369</v>
      </c>
      <c r="G149" s="7" t="s">
        <v>1193</v>
      </c>
      <c r="H149" s="7" t="n">
        <v>708722</v>
      </c>
      <c r="I149" s="7" t="s">
        <v>1180</v>
      </c>
      <c r="J149" s="8" t="n">
        <v>45457</v>
      </c>
      <c r="K149" s="7" t="n">
        <f aca="false">IF(J149="","Not Completed",J149-B149)</f>
        <v>27</v>
      </c>
    </row>
    <row r="150" customFormat="false" ht="15" hidden="false" customHeight="false" outlineLevel="0" collapsed="false">
      <c r="A150" s="7" t="s">
        <v>1338</v>
      </c>
      <c r="B150" s="8" t="n">
        <v>45352</v>
      </c>
      <c r="C150" s="7" t="s">
        <v>79</v>
      </c>
      <c r="D150" s="7" t="s">
        <v>34</v>
      </c>
      <c r="E150" s="7" t="s">
        <v>1183</v>
      </c>
      <c r="F150" s="7" t="s">
        <v>207</v>
      </c>
      <c r="G150" s="7" t="s">
        <v>1184</v>
      </c>
      <c r="H150" s="7" t="n">
        <v>122658</v>
      </c>
      <c r="I150" s="7" t="s">
        <v>1180</v>
      </c>
      <c r="J150" s="8" t="n">
        <v>45378</v>
      </c>
      <c r="K150" s="7" t="n">
        <f aca="false">IF(J150="","Not Completed",J150-B150)</f>
        <v>26</v>
      </c>
    </row>
    <row r="151" customFormat="false" ht="15" hidden="false" customHeight="false" outlineLevel="0" collapsed="false">
      <c r="A151" s="7" t="s">
        <v>1339</v>
      </c>
      <c r="B151" s="8" t="n">
        <v>45448</v>
      </c>
      <c r="C151" s="7" t="s">
        <v>75</v>
      </c>
      <c r="D151" s="7" t="s">
        <v>34</v>
      </c>
      <c r="E151" s="7" t="s">
        <v>1203</v>
      </c>
      <c r="F151" s="7" t="s">
        <v>190</v>
      </c>
      <c r="G151" s="7" t="s">
        <v>1204</v>
      </c>
      <c r="H151" s="7" t="n">
        <v>2139392</v>
      </c>
      <c r="I151" s="7" t="s">
        <v>1180</v>
      </c>
      <c r="J151" s="8" t="n">
        <v>45474</v>
      </c>
      <c r="K151" s="7" t="n">
        <f aca="false">IF(J151="","Not Completed",J151-B151)</f>
        <v>26</v>
      </c>
    </row>
    <row r="152" customFormat="false" ht="15" hidden="false" customHeight="false" outlineLevel="0" collapsed="false">
      <c r="A152" s="7" t="s">
        <v>1340</v>
      </c>
      <c r="B152" s="8" t="n">
        <v>45709</v>
      </c>
      <c r="C152" s="7" t="s">
        <v>68</v>
      </c>
      <c r="D152" s="7" t="s">
        <v>34</v>
      </c>
      <c r="E152" s="7" t="s">
        <v>1192</v>
      </c>
      <c r="F152" s="7" t="s">
        <v>285</v>
      </c>
      <c r="G152" s="7" t="s">
        <v>1193</v>
      </c>
      <c r="H152" s="7" t="n">
        <v>1353831</v>
      </c>
      <c r="I152" s="7" t="s">
        <v>1180</v>
      </c>
      <c r="J152" s="8" t="n">
        <v>45724</v>
      </c>
      <c r="K152" s="7" t="n">
        <f aca="false">IF(J152="","Not Completed",J152-B152)</f>
        <v>15</v>
      </c>
    </row>
    <row r="153" customFormat="false" ht="15" hidden="false" customHeight="false" outlineLevel="0" collapsed="false">
      <c r="A153" s="7" t="s">
        <v>1341</v>
      </c>
      <c r="B153" s="8" t="n">
        <v>45458</v>
      </c>
      <c r="C153" s="7" t="s">
        <v>83</v>
      </c>
      <c r="D153" s="7" t="s">
        <v>34</v>
      </c>
      <c r="E153" s="7" t="s">
        <v>1178</v>
      </c>
      <c r="F153" s="7" t="s">
        <v>199</v>
      </c>
      <c r="G153" s="7" t="s">
        <v>1179</v>
      </c>
      <c r="H153" s="7" t="n">
        <v>1285942</v>
      </c>
      <c r="I153" s="7" t="s">
        <v>1180</v>
      </c>
      <c r="J153" s="8" t="n">
        <v>45476</v>
      </c>
      <c r="K153" s="7" t="n">
        <f aca="false">IF(J153="","Not Completed",J153-B153)</f>
        <v>18</v>
      </c>
    </row>
    <row r="154" customFormat="false" ht="15" hidden="false" customHeight="false" outlineLevel="0" collapsed="false">
      <c r="A154" s="7" t="s">
        <v>1342</v>
      </c>
      <c r="B154" s="8" t="n">
        <v>45614</v>
      </c>
      <c r="C154" s="7" t="s">
        <v>71</v>
      </c>
      <c r="D154" s="7" t="s">
        <v>34</v>
      </c>
      <c r="E154" s="7" t="s">
        <v>1186</v>
      </c>
      <c r="F154" s="7" t="s">
        <v>321</v>
      </c>
      <c r="G154" s="7" t="s">
        <v>1187</v>
      </c>
      <c r="H154" s="7" t="n">
        <v>3371129</v>
      </c>
      <c r="I154" s="7" t="s">
        <v>1176</v>
      </c>
      <c r="J154" s="7"/>
      <c r="K154" s="7" t="str">
        <f aca="false">IF(J154="","Not Completed",J154-B154)</f>
        <v>Not Completed</v>
      </c>
    </row>
    <row r="155" customFormat="false" ht="15" hidden="false" customHeight="false" outlineLevel="0" collapsed="false">
      <c r="A155" s="7" t="s">
        <v>1343</v>
      </c>
      <c r="B155" s="8" t="n">
        <v>45788</v>
      </c>
      <c r="C155" s="7" t="s">
        <v>87</v>
      </c>
      <c r="D155" s="7" t="s">
        <v>34</v>
      </c>
      <c r="E155" s="7" t="s">
        <v>1183</v>
      </c>
      <c r="F155" s="7" t="s">
        <v>184</v>
      </c>
      <c r="G155" s="7" t="s">
        <v>1184</v>
      </c>
      <c r="H155" s="7" t="n">
        <v>3224787</v>
      </c>
      <c r="I155" s="7" t="s">
        <v>1176</v>
      </c>
      <c r="J155" s="7"/>
      <c r="K155" s="7" t="str">
        <f aca="false">IF(J155="","Not Completed",J155-B155)</f>
        <v>Not Completed</v>
      </c>
    </row>
    <row r="156" customFormat="false" ht="15" hidden="false" customHeight="false" outlineLevel="0" collapsed="false">
      <c r="A156" s="7" t="s">
        <v>1344</v>
      </c>
      <c r="B156" s="8" t="n">
        <v>45834</v>
      </c>
      <c r="C156" s="7" t="s">
        <v>65</v>
      </c>
      <c r="D156" s="7" t="s">
        <v>34</v>
      </c>
      <c r="E156" s="7" t="s">
        <v>1192</v>
      </c>
      <c r="F156" s="7" t="s">
        <v>265</v>
      </c>
      <c r="G156" s="7" t="s">
        <v>1193</v>
      </c>
      <c r="H156" s="7" t="n">
        <v>2571395</v>
      </c>
      <c r="I156" s="7" t="s">
        <v>1180</v>
      </c>
      <c r="J156" s="8" t="n">
        <v>45863</v>
      </c>
      <c r="K156" s="7" t="n">
        <f aca="false">IF(J156="","Not Completed",J156-B156)</f>
        <v>29</v>
      </c>
    </row>
    <row r="157" customFormat="false" ht="15" hidden="false" customHeight="false" outlineLevel="0" collapsed="false">
      <c r="A157" s="7" t="s">
        <v>1345</v>
      </c>
      <c r="B157" s="8" t="n">
        <v>45607</v>
      </c>
      <c r="C157" s="7" t="s">
        <v>83</v>
      </c>
      <c r="D157" s="7" t="s">
        <v>34</v>
      </c>
      <c r="E157" s="7" t="s">
        <v>1199</v>
      </c>
      <c r="F157" s="7" t="s">
        <v>402</v>
      </c>
      <c r="G157" s="7" t="s">
        <v>1200</v>
      </c>
      <c r="H157" s="7" t="n">
        <v>425606</v>
      </c>
      <c r="I157" s="7" t="s">
        <v>1180</v>
      </c>
      <c r="J157" s="8" t="n">
        <v>45630</v>
      </c>
      <c r="K157" s="7" t="n">
        <f aca="false">IF(J157="","Not Completed",J157-B157)</f>
        <v>23</v>
      </c>
    </row>
    <row r="158" customFormat="false" ht="15" hidden="false" customHeight="false" outlineLevel="0" collapsed="false">
      <c r="A158" s="7" t="s">
        <v>1346</v>
      </c>
      <c r="B158" s="8" t="n">
        <v>45714</v>
      </c>
      <c r="C158" s="7" t="s">
        <v>75</v>
      </c>
      <c r="D158" s="7" t="s">
        <v>34</v>
      </c>
      <c r="E158" s="7" t="s">
        <v>1203</v>
      </c>
      <c r="F158" s="7" t="s">
        <v>163</v>
      </c>
      <c r="G158" s="7" t="s">
        <v>1204</v>
      </c>
      <c r="H158" s="7" t="n">
        <v>625068</v>
      </c>
      <c r="I158" s="7" t="s">
        <v>1180</v>
      </c>
      <c r="J158" s="8" t="n">
        <v>45723</v>
      </c>
      <c r="K158" s="7" t="n">
        <f aca="false">IF(J158="","Not Completed",J158-B158)</f>
        <v>9</v>
      </c>
    </row>
    <row r="159" customFormat="false" ht="15" hidden="false" customHeight="false" outlineLevel="0" collapsed="false">
      <c r="A159" s="7" t="s">
        <v>1347</v>
      </c>
      <c r="B159" s="8" t="n">
        <v>45965</v>
      </c>
      <c r="C159" s="7" t="s">
        <v>79</v>
      </c>
      <c r="D159" s="7" t="s">
        <v>34</v>
      </c>
      <c r="E159" s="7" t="s">
        <v>1203</v>
      </c>
      <c r="F159" s="7" t="s">
        <v>308</v>
      </c>
      <c r="G159" s="7" t="s">
        <v>1204</v>
      </c>
      <c r="H159" s="7" t="n">
        <v>2747345</v>
      </c>
      <c r="I159" s="7" t="s">
        <v>1180</v>
      </c>
      <c r="J159" s="8" t="n">
        <v>45992</v>
      </c>
      <c r="K159" s="7" t="n">
        <f aca="false">IF(J159="","Not Completed",J159-B159)</f>
        <v>27</v>
      </c>
    </row>
    <row r="160" customFormat="false" ht="15" hidden="false" customHeight="false" outlineLevel="0" collapsed="false">
      <c r="A160" s="7" t="s">
        <v>1348</v>
      </c>
      <c r="B160" s="8" t="n">
        <v>45731</v>
      </c>
      <c r="C160" s="7" t="s">
        <v>60</v>
      </c>
      <c r="D160" s="7" t="s">
        <v>34</v>
      </c>
      <c r="E160" s="7" t="s">
        <v>1203</v>
      </c>
      <c r="F160" s="7" t="s">
        <v>289</v>
      </c>
      <c r="G160" s="7" t="s">
        <v>1204</v>
      </c>
      <c r="H160" s="7" t="n">
        <v>1362169</v>
      </c>
      <c r="I160" s="7" t="s">
        <v>1180</v>
      </c>
      <c r="J160" s="8" t="n">
        <v>45735</v>
      </c>
      <c r="K160" s="7" t="n">
        <f aca="false">IF(J160="","Not Completed",J160-B160)</f>
        <v>4</v>
      </c>
    </row>
    <row r="161" customFormat="false" ht="15" hidden="false" customHeight="false" outlineLevel="0" collapsed="false">
      <c r="A161" s="7" t="s">
        <v>1349</v>
      </c>
      <c r="B161" s="8" t="n">
        <v>46002</v>
      </c>
      <c r="C161" s="7" t="s">
        <v>60</v>
      </c>
      <c r="D161" s="7" t="s">
        <v>34</v>
      </c>
      <c r="E161" s="7" t="s">
        <v>1203</v>
      </c>
      <c r="F161" s="7" t="s">
        <v>399</v>
      </c>
      <c r="G161" s="7" t="s">
        <v>1204</v>
      </c>
      <c r="H161" s="7" t="n">
        <v>1708209</v>
      </c>
      <c r="I161" s="7" t="s">
        <v>1180</v>
      </c>
      <c r="J161" s="8" t="n">
        <v>46014</v>
      </c>
      <c r="K161" s="7" t="n">
        <f aca="false">IF(J161="","Not Completed",J161-B161)</f>
        <v>12</v>
      </c>
    </row>
    <row r="162" customFormat="false" ht="15" hidden="false" customHeight="false" outlineLevel="0" collapsed="false">
      <c r="A162" s="7" t="s">
        <v>1350</v>
      </c>
      <c r="B162" s="8" t="n">
        <v>45826</v>
      </c>
      <c r="C162" s="7" t="s">
        <v>79</v>
      </c>
      <c r="D162" s="7" t="s">
        <v>34</v>
      </c>
      <c r="E162" s="7" t="s">
        <v>1186</v>
      </c>
      <c r="F162" s="7" t="s">
        <v>275</v>
      </c>
      <c r="G162" s="7" t="s">
        <v>1187</v>
      </c>
      <c r="H162" s="7" t="n">
        <v>593696</v>
      </c>
      <c r="I162" s="7" t="s">
        <v>1176</v>
      </c>
      <c r="J162" s="7"/>
      <c r="K162" s="7" t="str">
        <f aca="false">IF(J162="","Not Completed",J162-B162)</f>
        <v>Not Completed</v>
      </c>
    </row>
    <row r="163" customFormat="false" ht="15" hidden="false" customHeight="false" outlineLevel="0" collapsed="false">
      <c r="A163" s="7" t="s">
        <v>1351</v>
      </c>
      <c r="B163" s="8" t="n">
        <v>45586</v>
      </c>
      <c r="C163" s="7" t="s">
        <v>65</v>
      </c>
      <c r="D163" s="7" t="s">
        <v>34</v>
      </c>
      <c r="E163" s="7" t="s">
        <v>1174</v>
      </c>
      <c r="F163" s="7" t="s">
        <v>233</v>
      </c>
      <c r="G163" s="7" t="s">
        <v>1175</v>
      </c>
      <c r="H163" s="7" t="n">
        <v>2770148</v>
      </c>
      <c r="I163" s="7" t="s">
        <v>1188</v>
      </c>
      <c r="J163" s="7"/>
      <c r="K163" s="7" t="str">
        <f aca="false">IF(J163="","Not Completed",J163-B163)</f>
        <v>Not Completed</v>
      </c>
    </row>
    <row r="164" customFormat="false" ht="15" hidden="false" customHeight="false" outlineLevel="0" collapsed="false">
      <c r="A164" s="7" t="s">
        <v>1352</v>
      </c>
      <c r="B164" s="8" t="n">
        <v>45324</v>
      </c>
      <c r="C164" s="7" t="s">
        <v>75</v>
      </c>
      <c r="D164" s="7" t="s">
        <v>34</v>
      </c>
      <c r="E164" s="7" t="s">
        <v>1192</v>
      </c>
      <c r="F164" s="7" t="s">
        <v>404</v>
      </c>
      <c r="G164" s="7" t="s">
        <v>1193</v>
      </c>
      <c r="H164" s="7" t="n">
        <v>772457</v>
      </c>
      <c r="I164" s="7" t="s">
        <v>1180</v>
      </c>
      <c r="J164" s="8" t="n">
        <v>45342</v>
      </c>
      <c r="K164" s="7" t="n">
        <f aca="false">IF(J164="","Not Completed",J164-B164)</f>
        <v>18</v>
      </c>
    </row>
    <row r="165" customFormat="false" ht="15" hidden="false" customHeight="false" outlineLevel="0" collapsed="false">
      <c r="A165" s="7" t="s">
        <v>1353</v>
      </c>
      <c r="B165" s="8" t="n">
        <v>45811</v>
      </c>
      <c r="C165" s="7" t="s">
        <v>68</v>
      </c>
      <c r="D165" s="7" t="s">
        <v>34</v>
      </c>
      <c r="E165" s="7" t="s">
        <v>1178</v>
      </c>
      <c r="F165" s="7" t="s">
        <v>188</v>
      </c>
      <c r="G165" s="7" t="s">
        <v>1179</v>
      </c>
      <c r="H165" s="7" t="n">
        <v>2867039</v>
      </c>
      <c r="I165" s="7" t="s">
        <v>1180</v>
      </c>
      <c r="J165" s="8" t="n">
        <v>45833</v>
      </c>
      <c r="K165" s="7" t="n">
        <f aca="false">IF(J165="","Not Completed",J165-B165)</f>
        <v>22</v>
      </c>
    </row>
    <row r="166" customFormat="false" ht="15" hidden="false" customHeight="false" outlineLevel="0" collapsed="false">
      <c r="A166" s="7" t="s">
        <v>1354</v>
      </c>
      <c r="B166" s="8" t="n">
        <v>45737</v>
      </c>
      <c r="C166" s="7" t="s">
        <v>60</v>
      </c>
      <c r="D166" s="7" t="s">
        <v>34</v>
      </c>
      <c r="E166" s="7" t="s">
        <v>1178</v>
      </c>
      <c r="F166" s="7" t="s">
        <v>161</v>
      </c>
      <c r="G166" s="7" t="s">
        <v>1179</v>
      </c>
      <c r="H166" s="7" t="n">
        <v>960319</v>
      </c>
      <c r="I166" s="7" t="s">
        <v>1180</v>
      </c>
      <c r="J166" s="8" t="n">
        <v>45745</v>
      </c>
      <c r="K166" s="7" t="n">
        <f aca="false">IF(J166="","Not Completed",J166-B166)</f>
        <v>8</v>
      </c>
    </row>
    <row r="167" customFormat="false" ht="15" hidden="false" customHeight="false" outlineLevel="0" collapsed="false">
      <c r="A167" s="7" t="s">
        <v>1355</v>
      </c>
      <c r="B167" s="8" t="n">
        <v>45425</v>
      </c>
      <c r="C167" s="7" t="s">
        <v>68</v>
      </c>
      <c r="D167" s="7" t="s">
        <v>34</v>
      </c>
      <c r="E167" s="7" t="s">
        <v>1178</v>
      </c>
      <c r="F167" s="7" t="s">
        <v>399</v>
      </c>
      <c r="G167" s="7" t="s">
        <v>1179</v>
      </c>
      <c r="H167" s="7" t="n">
        <v>3198999</v>
      </c>
      <c r="I167" s="7" t="s">
        <v>1180</v>
      </c>
      <c r="J167" s="8" t="n">
        <v>45438</v>
      </c>
      <c r="K167" s="7" t="n">
        <f aca="false">IF(J167="","Not Completed",J167-B167)</f>
        <v>13</v>
      </c>
    </row>
    <row r="168" customFormat="false" ht="15" hidden="false" customHeight="false" outlineLevel="0" collapsed="false">
      <c r="A168" s="7" t="s">
        <v>1356</v>
      </c>
      <c r="B168" s="8" t="n">
        <v>45773</v>
      </c>
      <c r="C168" s="7" t="s">
        <v>75</v>
      </c>
      <c r="D168" s="7" t="s">
        <v>34</v>
      </c>
      <c r="E168" s="7" t="s">
        <v>1199</v>
      </c>
      <c r="F168" s="7" t="s">
        <v>253</v>
      </c>
      <c r="G168" s="7" t="s">
        <v>1200</v>
      </c>
      <c r="H168" s="7" t="n">
        <v>2868834</v>
      </c>
      <c r="I168" s="7" t="s">
        <v>1180</v>
      </c>
      <c r="J168" s="8" t="n">
        <v>45791</v>
      </c>
      <c r="K168" s="7" t="n">
        <f aca="false">IF(J168="","Not Completed",J168-B168)</f>
        <v>18</v>
      </c>
    </row>
    <row r="169" customFormat="false" ht="15" hidden="false" customHeight="false" outlineLevel="0" collapsed="false">
      <c r="A169" s="7" t="s">
        <v>1357</v>
      </c>
      <c r="B169" s="8" t="n">
        <v>46017</v>
      </c>
      <c r="C169" s="7" t="s">
        <v>87</v>
      </c>
      <c r="D169" s="7" t="s">
        <v>34</v>
      </c>
      <c r="E169" s="7" t="s">
        <v>1183</v>
      </c>
      <c r="F169" s="7" t="s">
        <v>150</v>
      </c>
      <c r="G169" s="7" t="s">
        <v>1184</v>
      </c>
      <c r="H169" s="7" t="n">
        <v>1541099</v>
      </c>
      <c r="I169" s="7" t="s">
        <v>1180</v>
      </c>
      <c r="J169" s="8" t="n">
        <v>46022</v>
      </c>
      <c r="K169" s="7" t="n">
        <f aca="false">IF(J169="","Not Completed",J169-B169)</f>
        <v>5</v>
      </c>
    </row>
    <row r="170" customFormat="false" ht="15" hidden="false" customHeight="false" outlineLevel="0" collapsed="false">
      <c r="A170" s="7" t="s">
        <v>1358</v>
      </c>
      <c r="B170" s="8" t="n">
        <v>45950</v>
      </c>
      <c r="C170" s="7" t="s">
        <v>87</v>
      </c>
      <c r="D170" s="7" t="s">
        <v>34</v>
      </c>
      <c r="E170" s="7" t="s">
        <v>1178</v>
      </c>
      <c r="F170" s="7" t="s">
        <v>414</v>
      </c>
      <c r="G170" s="7" t="s">
        <v>1179</v>
      </c>
      <c r="H170" s="7" t="n">
        <v>2529572</v>
      </c>
      <c r="I170" s="7" t="s">
        <v>1176</v>
      </c>
      <c r="J170" s="7"/>
      <c r="K170" s="7" t="str">
        <f aca="false">IF(J170="","Not Completed",J170-B170)</f>
        <v>Not Completed</v>
      </c>
    </row>
    <row r="171" customFormat="false" ht="15" hidden="false" customHeight="false" outlineLevel="0" collapsed="false">
      <c r="A171" s="7" t="s">
        <v>1359</v>
      </c>
      <c r="B171" s="8" t="n">
        <v>45788</v>
      </c>
      <c r="C171" s="7" t="s">
        <v>60</v>
      </c>
      <c r="D171" s="7" t="s">
        <v>34</v>
      </c>
      <c r="E171" s="7" t="s">
        <v>1174</v>
      </c>
      <c r="F171" s="7" t="s">
        <v>381</v>
      </c>
      <c r="G171" s="7" t="s">
        <v>1175</v>
      </c>
      <c r="H171" s="7" t="n">
        <v>2329822</v>
      </c>
      <c r="I171" s="7" t="s">
        <v>1176</v>
      </c>
      <c r="J171" s="7"/>
      <c r="K171" s="7" t="str">
        <f aca="false">IF(J171="","Not Completed",J171-B171)</f>
        <v>Not Completed</v>
      </c>
    </row>
    <row r="172" customFormat="false" ht="15" hidden="false" customHeight="false" outlineLevel="0" collapsed="false">
      <c r="A172" s="7" t="s">
        <v>1360</v>
      </c>
      <c r="B172" s="8" t="n">
        <v>45413</v>
      </c>
      <c r="C172" s="7" t="s">
        <v>79</v>
      </c>
      <c r="D172" s="7" t="s">
        <v>34</v>
      </c>
      <c r="E172" s="7" t="s">
        <v>1186</v>
      </c>
      <c r="F172" s="7" t="s">
        <v>335</v>
      </c>
      <c r="G172" s="7" t="s">
        <v>1187</v>
      </c>
      <c r="H172" s="7" t="n">
        <v>1579067</v>
      </c>
      <c r="I172" s="7" t="s">
        <v>1180</v>
      </c>
      <c r="J172" s="8" t="n">
        <v>45414</v>
      </c>
      <c r="K172" s="7" t="n">
        <f aca="false">IF(J172="","Not Completed",J172-B172)</f>
        <v>1</v>
      </c>
    </row>
    <row r="173" customFormat="false" ht="15" hidden="false" customHeight="false" outlineLevel="0" collapsed="false">
      <c r="A173" s="7" t="s">
        <v>1361</v>
      </c>
      <c r="B173" s="8" t="n">
        <v>45916</v>
      </c>
      <c r="C173" s="7" t="s">
        <v>60</v>
      </c>
      <c r="D173" s="7" t="s">
        <v>34</v>
      </c>
      <c r="E173" s="7" t="s">
        <v>1199</v>
      </c>
      <c r="F173" s="7" t="s">
        <v>371</v>
      </c>
      <c r="G173" s="7" t="s">
        <v>1200</v>
      </c>
      <c r="H173" s="7" t="n">
        <v>335202</v>
      </c>
      <c r="I173" s="7" t="s">
        <v>1180</v>
      </c>
      <c r="J173" s="8" t="n">
        <v>45929</v>
      </c>
      <c r="K173" s="7" t="n">
        <f aca="false">IF(J173="","Not Completed",J173-B173)</f>
        <v>13</v>
      </c>
    </row>
    <row r="174" customFormat="false" ht="15" hidden="false" customHeight="false" outlineLevel="0" collapsed="false">
      <c r="A174" s="7" t="s">
        <v>1362</v>
      </c>
      <c r="B174" s="8" t="n">
        <v>45604</v>
      </c>
      <c r="C174" s="7" t="s">
        <v>75</v>
      </c>
      <c r="D174" s="7" t="s">
        <v>34</v>
      </c>
      <c r="E174" s="7" t="s">
        <v>1174</v>
      </c>
      <c r="F174" s="7" t="s">
        <v>361</v>
      </c>
      <c r="G174" s="7" t="s">
        <v>1175</v>
      </c>
      <c r="H174" s="7" t="n">
        <v>2731100</v>
      </c>
      <c r="I174" s="7" t="s">
        <v>1180</v>
      </c>
      <c r="J174" s="8" t="n">
        <v>45634</v>
      </c>
      <c r="K174" s="7" t="n">
        <f aca="false">IF(J174="","Not Completed",J174-B174)</f>
        <v>30</v>
      </c>
    </row>
    <row r="175" customFormat="false" ht="15" hidden="false" customHeight="false" outlineLevel="0" collapsed="false">
      <c r="A175" s="7" t="s">
        <v>1363</v>
      </c>
      <c r="B175" s="8" t="n">
        <v>45835</v>
      </c>
      <c r="C175" s="7" t="s">
        <v>87</v>
      </c>
      <c r="D175" s="7" t="s">
        <v>34</v>
      </c>
      <c r="E175" s="7" t="s">
        <v>1192</v>
      </c>
      <c r="F175" s="7" t="s">
        <v>291</v>
      </c>
      <c r="G175" s="7" t="s">
        <v>1193</v>
      </c>
      <c r="H175" s="7" t="n">
        <v>2239282</v>
      </c>
      <c r="I175" s="7" t="s">
        <v>1180</v>
      </c>
      <c r="J175" s="8" t="n">
        <v>45847</v>
      </c>
      <c r="K175" s="7" t="n">
        <f aca="false">IF(J175="","Not Completed",J175-B175)</f>
        <v>12</v>
      </c>
    </row>
    <row r="176" customFormat="false" ht="15" hidden="false" customHeight="false" outlineLevel="0" collapsed="false">
      <c r="A176" s="7" t="s">
        <v>1364</v>
      </c>
      <c r="B176" s="8" t="n">
        <v>45775</v>
      </c>
      <c r="C176" s="7" t="s">
        <v>71</v>
      </c>
      <c r="D176" s="7" t="s">
        <v>34</v>
      </c>
      <c r="E176" s="7" t="s">
        <v>1183</v>
      </c>
      <c r="F176" s="7" t="s">
        <v>353</v>
      </c>
      <c r="G176" s="7" t="s">
        <v>1184</v>
      </c>
      <c r="H176" s="7" t="n">
        <v>330721</v>
      </c>
      <c r="I176" s="7" t="s">
        <v>1180</v>
      </c>
      <c r="J176" s="8" t="n">
        <v>45792</v>
      </c>
      <c r="K176" s="7" t="n">
        <f aca="false">IF(J176="","Not Completed",J176-B176)</f>
        <v>17</v>
      </c>
    </row>
    <row r="177" customFormat="false" ht="15" hidden="false" customHeight="false" outlineLevel="0" collapsed="false">
      <c r="A177" s="7" t="s">
        <v>1365</v>
      </c>
      <c r="B177" s="8" t="n">
        <v>45649</v>
      </c>
      <c r="C177" s="7" t="s">
        <v>68</v>
      </c>
      <c r="D177" s="7" t="s">
        <v>34</v>
      </c>
      <c r="E177" s="7" t="s">
        <v>1192</v>
      </c>
      <c r="F177" s="7" t="s">
        <v>349</v>
      </c>
      <c r="G177" s="7" t="s">
        <v>1193</v>
      </c>
      <c r="H177" s="7" t="n">
        <v>2809121</v>
      </c>
      <c r="I177" s="7" t="s">
        <v>1176</v>
      </c>
      <c r="J177" s="7"/>
      <c r="K177" s="7" t="str">
        <f aca="false">IF(J177="","Not Completed",J177-B177)</f>
        <v>Not Completed</v>
      </c>
    </row>
    <row r="178" customFormat="false" ht="15" hidden="false" customHeight="false" outlineLevel="0" collapsed="false">
      <c r="A178" s="7" t="s">
        <v>1366</v>
      </c>
      <c r="B178" s="8" t="n">
        <v>45512</v>
      </c>
      <c r="C178" s="7" t="s">
        <v>71</v>
      </c>
      <c r="D178" s="7" t="s">
        <v>34</v>
      </c>
      <c r="E178" s="7" t="s">
        <v>1178</v>
      </c>
      <c r="F178" s="7" t="s">
        <v>308</v>
      </c>
      <c r="G178" s="7" t="s">
        <v>1179</v>
      </c>
      <c r="H178" s="7" t="n">
        <v>113139</v>
      </c>
      <c r="I178" s="7" t="s">
        <v>1180</v>
      </c>
      <c r="J178" s="8" t="n">
        <v>45522</v>
      </c>
      <c r="K178" s="7" t="n">
        <f aca="false">IF(J178="","Not Completed",J178-B178)</f>
        <v>10</v>
      </c>
    </row>
    <row r="179" customFormat="false" ht="15" hidden="false" customHeight="false" outlineLevel="0" collapsed="false">
      <c r="A179" s="7" t="s">
        <v>1367</v>
      </c>
      <c r="B179" s="8" t="n">
        <v>45323</v>
      </c>
      <c r="C179" s="7" t="s">
        <v>83</v>
      </c>
      <c r="D179" s="7" t="s">
        <v>34</v>
      </c>
      <c r="E179" s="7" t="s">
        <v>1203</v>
      </c>
      <c r="F179" s="7" t="s">
        <v>413</v>
      </c>
      <c r="G179" s="7" t="s">
        <v>1204</v>
      </c>
      <c r="H179" s="7" t="n">
        <v>1649192</v>
      </c>
      <c r="I179" s="7" t="s">
        <v>1180</v>
      </c>
      <c r="J179" s="8" t="n">
        <v>45333</v>
      </c>
      <c r="K179" s="7" t="n">
        <f aca="false">IF(J179="","Not Completed",J179-B179)</f>
        <v>10</v>
      </c>
    </row>
    <row r="180" customFormat="false" ht="15" hidden="false" customHeight="false" outlineLevel="0" collapsed="false">
      <c r="A180" s="7" t="s">
        <v>1368</v>
      </c>
      <c r="B180" s="8" t="n">
        <v>46010</v>
      </c>
      <c r="C180" s="7" t="s">
        <v>68</v>
      </c>
      <c r="D180" s="7" t="s">
        <v>34</v>
      </c>
      <c r="E180" s="7" t="s">
        <v>1186</v>
      </c>
      <c r="F180" s="7" t="s">
        <v>365</v>
      </c>
      <c r="G180" s="7" t="s">
        <v>1187</v>
      </c>
      <c r="H180" s="7" t="n">
        <v>1960624</v>
      </c>
      <c r="I180" s="7" t="s">
        <v>1176</v>
      </c>
      <c r="J180" s="7"/>
      <c r="K180" s="7" t="str">
        <f aca="false">IF(J180="","Not Completed",J180-B180)</f>
        <v>Not Completed</v>
      </c>
    </row>
    <row r="181" customFormat="false" ht="15" hidden="false" customHeight="false" outlineLevel="0" collapsed="false">
      <c r="A181" s="7" t="s">
        <v>1369</v>
      </c>
      <c r="B181" s="8" t="n">
        <v>45659</v>
      </c>
      <c r="C181" s="7" t="s">
        <v>65</v>
      </c>
      <c r="D181" s="7" t="s">
        <v>34</v>
      </c>
      <c r="E181" s="7" t="s">
        <v>1186</v>
      </c>
      <c r="F181" s="7" t="s">
        <v>438</v>
      </c>
      <c r="G181" s="7" t="s">
        <v>1187</v>
      </c>
      <c r="H181" s="7" t="n">
        <v>1368484</v>
      </c>
      <c r="I181" s="7" t="s">
        <v>1180</v>
      </c>
      <c r="J181" s="8" t="n">
        <v>45687</v>
      </c>
      <c r="K181" s="7" t="n">
        <f aca="false">IF(J181="","Not Completed",J181-B181)</f>
        <v>28</v>
      </c>
    </row>
    <row r="182" customFormat="false" ht="15" hidden="false" customHeight="false" outlineLevel="0" collapsed="false">
      <c r="A182" s="7" t="s">
        <v>1370</v>
      </c>
      <c r="B182" s="8" t="n">
        <v>45806</v>
      </c>
      <c r="C182" s="7" t="s">
        <v>60</v>
      </c>
      <c r="D182" s="7" t="s">
        <v>34</v>
      </c>
      <c r="E182" s="7" t="s">
        <v>1183</v>
      </c>
      <c r="F182" s="7" t="s">
        <v>381</v>
      </c>
      <c r="G182" s="7" t="s">
        <v>1184</v>
      </c>
      <c r="H182" s="7" t="n">
        <v>752108</v>
      </c>
      <c r="I182" s="7" t="s">
        <v>1180</v>
      </c>
      <c r="J182" s="8" t="n">
        <v>45818</v>
      </c>
      <c r="K182" s="7" t="n">
        <f aca="false">IF(J182="","Not Completed",J182-B182)</f>
        <v>12</v>
      </c>
    </row>
    <row r="183" customFormat="false" ht="15" hidden="false" customHeight="false" outlineLevel="0" collapsed="false">
      <c r="A183" s="7" t="s">
        <v>1371</v>
      </c>
      <c r="B183" s="8" t="n">
        <v>46011</v>
      </c>
      <c r="C183" s="7" t="s">
        <v>65</v>
      </c>
      <c r="D183" s="7" t="s">
        <v>34</v>
      </c>
      <c r="E183" s="7" t="s">
        <v>1203</v>
      </c>
      <c r="F183" s="7" t="s">
        <v>131</v>
      </c>
      <c r="G183" s="7" t="s">
        <v>1204</v>
      </c>
      <c r="H183" s="7" t="n">
        <v>2456014</v>
      </c>
      <c r="I183" s="7" t="s">
        <v>1180</v>
      </c>
      <c r="J183" s="8" t="n">
        <v>46023</v>
      </c>
      <c r="K183" s="7" t="n">
        <f aca="false">IF(J183="","Not Completed",J183-B183)</f>
        <v>12</v>
      </c>
    </row>
    <row r="184" customFormat="false" ht="15" hidden="false" customHeight="false" outlineLevel="0" collapsed="false">
      <c r="A184" s="7" t="s">
        <v>1372</v>
      </c>
      <c r="B184" s="8" t="n">
        <v>45677</v>
      </c>
      <c r="C184" s="7" t="s">
        <v>65</v>
      </c>
      <c r="D184" s="7" t="s">
        <v>34</v>
      </c>
      <c r="E184" s="7" t="s">
        <v>1183</v>
      </c>
      <c r="F184" s="7" t="s">
        <v>306</v>
      </c>
      <c r="G184" s="7" t="s">
        <v>1184</v>
      </c>
      <c r="H184" s="7" t="n">
        <v>1400220</v>
      </c>
      <c r="I184" s="7" t="s">
        <v>1188</v>
      </c>
      <c r="J184" s="7"/>
      <c r="K184" s="7" t="str">
        <f aca="false">IF(J184="","Not Completed",J184-B184)</f>
        <v>Not Completed</v>
      </c>
    </row>
    <row r="185" customFormat="false" ht="15" hidden="false" customHeight="false" outlineLevel="0" collapsed="false">
      <c r="A185" s="7" t="s">
        <v>1373</v>
      </c>
      <c r="B185" s="8" t="n">
        <v>45623</v>
      </c>
      <c r="C185" s="7" t="s">
        <v>75</v>
      </c>
      <c r="D185" s="7" t="s">
        <v>34</v>
      </c>
      <c r="E185" s="7" t="s">
        <v>1178</v>
      </c>
      <c r="F185" s="7" t="s">
        <v>225</v>
      </c>
      <c r="G185" s="7" t="s">
        <v>1179</v>
      </c>
      <c r="H185" s="7" t="n">
        <v>3331550</v>
      </c>
      <c r="I185" s="7" t="s">
        <v>1188</v>
      </c>
      <c r="J185" s="7"/>
      <c r="K185" s="7" t="str">
        <f aca="false">IF(J185="","Not Completed",J185-B185)</f>
        <v>Not Completed</v>
      </c>
    </row>
    <row r="186" customFormat="false" ht="15" hidden="false" customHeight="false" outlineLevel="0" collapsed="false">
      <c r="A186" s="7" t="s">
        <v>1374</v>
      </c>
      <c r="B186" s="8" t="n">
        <v>45866</v>
      </c>
      <c r="C186" s="7" t="s">
        <v>65</v>
      </c>
      <c r="D186" s="7" t="s">
        <v>34</v>
      </c>
      <c r="E186" s="7" t="s">
        <v>1186</v>
      </c>
      <c r="F186" s="7" t="s">
        <v>404</v>
      </c>
      <c r="G186" s="7" t="s">
        <v>1187</v>
      </c>
      <c r="H186" s="7" t="n">
        <v>3089603</v>
      </c>
      <c r="I186" s="7" t="s">
        <v>1180</v>
      </c>
      <c r="J186" s="8" t="n">
        <v>45874</v>
      </c>
      <c r="K186" s="7" t="n">
        <f aca="false">IF(J186="","Not Completed",J186-B186)</f>
        <v>8</v>
      </c>
    </row>
    <row r="187" customFormat="false" ht="15" hidden="false" customHeight="false" outlineLevel="0" collapsed="false">
      <c r="A187" s="7" t="s">
        <v>1375</v>
      </c>
      <c r="B187" s="8" t="n">
        <v>45781</v>
      </c>
      <c r="C187" s="7" t="s">
        <v>60</v>
      </c>
      <c r="D187" s="7" t="s">
        <v>34</v>
      </c>
      <c r="E187" s="7" t="s">
        <v>1203</v>
      </c>
      <c r="F187" s="7" t="s">
        <v>245</v>
      </c>
      <c r="G187" s="7" t="s">
        <v>1204</v>
      </c>
      <c r="H187" s="7" t="n">
        <v>1730949</v>
      </c>
      <c r="I187" s="7" t="s">
        <v>1180</v>
      </c>
      <c r="J187" s="8" t="n">
        <v>45792</v>
      </c>
      <c r="K187" s="7" t="n">
        <f aca="false">IF(J187="","Not Completed",J187-B187)</f>
        <v>11</v>
      </c>
    </row>
    <row r="188" customFormat="false" ht="15" hidden="false" customHeight="false" outlineLevel="0" collapsed="false">
      <c r="A188" s="7" t="s">
        <v>1376</v>
      </c>
      <c r="B188" s="8" t="n">
        <v>45553</v>
      </c>
      <c r="C188" s="7" t="s">
        <v>60</v>
      </c>
      <c r="D188" s="7" t="s">
        <v>34</v>
      </c>
      <c r="E188" s="7" t="s">
        <v>1199</v>
      </c>
      <c r="F188" s="7" t="s">
        <v>401</v>
      </c>
      <c r="G188" s="7" t="s">
        <v>1200</v>
      </c>
      <c r="H188" s="7" t="n">
        <v>1121412</v>
      </c>
      <c r="I188" s="7" t="s">
        <v>1180</v>
      </c>
      <c r="J188" s="8" t="n">
        <v>45574</v>
      </c>
      <c r="K188" s="7" t="n">
        <f aca="false">IF(J188="","Not Completed",J188-B188)</f>
        <v>21</v>
      </c>
    </row>
    <row r="189" customFormat="false" ht="15" hidden="false" customHeight="false" outlineLevel="0" collapsed="false">
      <c r="A189" s="7" t="s">
        <v>1377</v>
      </c>
      <c r="B189" s="8" t="n">
        <v>45629</v>
      </c>
      <c r="C189" s="7" t="s">
        <v>83</v>
      </c>
      <c r="D189" s="7" t="s">
        <v>34</v>
      </c>
      <c r="E189" s="7" t="s">
        <v>1192</v>
      </c>
      <c r="F189" s="7" t="s">
        <v>265</v>
      </c>
      <c r="G189" s="7" t="s">
        <v>1193</v>
      </c>
      <c r="H189" s="7" t="n">
        <v>3458430</v>
      </c>
      <c r="I189" s="7" t="s">
        <v>1176</v>
      </c>
      <c r="J189" s="7"/>
      <c r="K189" s="7" t="str">
        <f aca="false">IF(J189="","Not Completed",J189-B189)</f>
        <v>Not Completed</v>
      </c>
    </row>
    <row r="190" customFormat="false" ht="15" hidden="false" customHeight="false" outlineLevel="0" collapsed="false">
      <c r="A190" s="7" t="s">
        <v>1378</v>
      </c>
      <c r="B190" s="8" t="n">
        <v>45640</v>
      </c>
      <c r="C190" s="7" t="s">
        <v>60</v>
      </c>
      <c r="D190" s="7" t="s">
        <v>34</v>
      </c>
      <c r="E190" s="7" t="s">
        <v>1203</v>
      </c>
      <c r="F190" s="7" t="s">
        <v>265</v>
      </c>
      <c r="G190" s="7" t="s">
        <v>1204</v>
      </c>
      <c r="H190" s="7" t="n">
        <v>83311</v>
      </c>
      <c r="I190" s="7" t="s">
        <v>1180</v>
      </c>
      <c r="J190" s="8" t="n">
        <v>45659</v>
      </c>
      <c r="K190" s="7" t="n">
        <f aca="false">IF(J190="","Not Completed",J190-B190)</f>
        <v>19</v>
      </c>
    </row>
    <row r="191" customFormat="false" ht="15" hidden="false" customHeight="false" outlineLevel="0" collapsed="false">
      <c r="A191" s="7" t="s">
        <v>1379</v>
      </c>
      <c r="B191" s="8" t="n">
        <v>45330</v>
      </c>
      <c r="C191" s="7" t="s">
        <v>87</v>
      </c>
      <c r="D191" s="7" t="s">
        <v>34</v>
      </c>
      <c r="E191" s="7" t="s">
        <v>1199</v>
      </c>
      <c r="F191" s="7" t="s">
        <v>429</v>
      </c>
      <c r="G191" s="7" t="s">
        <v>1200</v>
      </c>
      <c r="H191" s="7" t="n">
        <v>1433919</v>
      </c>
      <c r="I191" s="7" t="s">
        <v>1180</v>
      </c>
      <c r="J191" s="8" t="n">
        <v>45353</v>
      </c>
      <c r="K191" s="7" t="n">
        <f aca="false">IF(J191="","Not Completed",J191-B191)</f>
        <v>23</v>
      </c>
    </row>
    <row r="192" customFormat="false" ht="15" hidden="false" customHeight="false" outlineLevel="0" collapsed="false">
      <c r="A192" s="7" t="s">
        <v>1380</v>
      </c>
      <c r="B192" s="8" t="n">
        <v>45547</v>
      </c>
      <c r="C192" s="7" t="s">
        <v>65</v>
      </c>
      <c r="D192" s="7" t="s">
        <v>34</v>
      </c>
      <c r="E192" s="7" t="s">
        <v>1178</v>
      </c>
      <c r="F192" s="7" t="s">
        <v>174</v>
      </c>
      <c r="G192" s="7" t="s">
        <v>1179</v>
      </c>
      <c r="H192" s="7" t="n">
        <v>3127728</v>
      </c>
      <c r="I192" s="7" t="s">
        <v>1188</v>
      </c>
      <c r="J192" s="7"/>
      <c r="K192" s="7" t="str">
        <f aca="false">IF(J192="","Not Completed",J192-B192)</f>
        <v>Not Completed</v>
      </c>
    </row>
    <row r="193" customFormat="false" ht="15" hidden="false" customHeight="false" outlineLevel="0" collapsed="false">
      <c r="A193" s="7" t="s">
        <v>1381</v>
      </c>
      <c r="B193" s="8" t="n">
        <v>45731</v>
      </c>
      <c r="C193" s="7" t="s">
        <v>71</v>
      </c>
      <c r="D193" s="7" t="s">
        <v>34</v>
      </c>
      <c r="E193" s="7" t="s">
        <v>1178</v>
      </c>
      <c r="F193" s="7" t="s">
        <v>401</v>
      </c>
      <c r="G193" s="7" t="s">
        <v>1179</v>
      </c>
      <c r="H193" s="7" t="n">
        <v>3408128</v>
      </c>
      <c r="I193" s="7" t="s">
        <v>1180</v>
      </c>
      <c r="J193" s="8" t="n">
        <v>45748</v>
      </c>
      <c r="K193" s="7" t="n">
        <f aca="false">IF(J193="","Not Completed",J193-B193)</f>
        <v>17</v>
      </c>
    </row>
    <row r="194" customFormat="false" ht="15" hidden="false" customHeight="false" outlineLevel="0" collapsed="false">
      <c r="A194" s="7" t="s">
        <v>1382</v>
      </c>
      <c r="B194" s="8" t="n">
        <v>45623</v>
      </c>
      <c r="C194" s="7" t="s">
        <v>87</v>
      </c>
      <c r="D194" s="7" t="s">
        <v>34</v>
      </c>
      <c r="E194" s="7" t="s">
        <v>1174</v>
      </c>
      <c r="F194" s="7" t="s">
        <v>263</v>
      </c>
      <c r="G194" s="7" t="s">
        <v>1175</v>
      </c>
      <c r="H194" s="7" t="n">
        <v>1730076</v>
      </c>
      <c r="I194" s="7" t="s">
        <v>1180</v>
      </c>
      <c r="J194" s="8" t="n">
        <v>45642</v>
      </c>
      <c r="K194" s="7" t="n">
        <f aca="false">IF(J194="","Not Completed",J194-B194)</f>
        <v>19</v>
      </c>
    </row>
    <row r="195" customFormat="false" ht="15" hidden="false" customHeight="false" outlineLevel="0" collapsed="false">
      <c r="A195" s="7" t="s">
        <v>1383</v>
      </c>
      <c r="B195" s="8" t="n">
        <v>45476</v>
      </c>
      <c r="C195" s="7" t="s">
        <v>60</v>
      </c>
      <c r="D195" s="7" t="s">
        <v>34</v>
      </c>
      <c r="E195" s="7" t="s">
        <v>1192</v>
      </c>
      <c r="F195" s="7" t="s">
        <v>402</v>
      </c>
      <c r="G195" s="7" t="s">
        <v>1193</v>
      </c>
      <c r="H195" s="7" t="n">
        <v>2426150</v>
      </c>
      <c r="I195" s="7" t="s">
        <v>1180</v>
      </c>
      <c r="J195" s="8" t="n">
        <v>45502</v>
      </c>
      <c r="K195" s="7" t="n">
        <f aca="false">IF(J195="","Not Completed",J195-B195)</f>
        <v>26</v>
      </c>
    </row>
    <row r="196" customFormat="false" ht="15" hidden="false" customHeight="false" outlineLevel="0" collapsed="false">
      <c r="A196" s="7" t="s">
        <v>1384</v>
      </c>
      <c r="B196" s="8" t="n">
        <v>45727</v>
      </c>
      <c r="C196" s="7" t="s">
        <v>68</v>
      </c>
      <c r="D196" s="7" t="s">
        <v>34</v>
      </c>
      <c r="E196" s="7" t="s">
        <v>1186</v>
      </c>
      <c r="F196" s="7" t="s">
        <v>343</v>
      </c>
      <c r="G196" s="7" t="s">
        <v>1187</v>
      </c>
      <c r="H196" s="7" t="n">
        <v>2495466</v>
      </c>
      <c r="I196" s="7" t="s">
        <v>1180</v>
      </c>
      <c r="J196" s="8" t="n">
        <v>45734</v>
      </c>
      <c r="K196" s="7" t="n">
        <f aca="false">IF(J196="","Not Completed",J196-B196)</f>
        <v>7</v>
      </c>
    </row>
    <row r="197" customFormat="false" ht="15" hidden="false" customHeight="false" outlineLevel="0" collapsed="false">
      <c r="A197" s="7" t="s">
        <v>1385</v>
      </c>
      <c r="B197" s="8" t="n">
        <v>45313</v>
      </c>
      <c r="C197" s="7" t="s">
        <v>65</v>
      </c>
      <c r="D197" s="7" t="s">
        <v>34</v>
      </c>
      <c r="E197" s="7" t="s">
        <v>1183</v>
      </c>
      <c r="F197" s="7" t="s">
        <v>406</v>
      </c>
      <c r="G197" s="7" t="s">
        <v>1184</v>
      </c>
      <c r="H197" s="7" t="n">
        <v>568053</v>
      </c>
      <c r="I197" s="7" t="s">
        <v>1180</v>
      </c>
      <c r="J197" s="8" t="n">
        <v>45328</v>
      </c>
      <c r="K197" s="7" t="n">
        <f aca="false">IF(J197="","Not Completed",J197-B197)</f>
        <v>15</v>
      </c>
    </row>
    <row r="198" customFormat="false" ht="15" hidden="false" customHeight="false" outlineLevel="0" collapsed="false">
      <c r="A198" s="7" t="s">
        <v>1386</v>
      </c>
      <c r="B198" s="8" t="n">
        <v>45866</v>
      </c>
      <c r="C198" s="7" t="s">
        <v>68</v>
      </c>
      <c r="D198" s="7" t="s">
        <v>34</v>
      </c>
      <c r="E198" s="7" t="s">
        <v>1174</v>
      </c>
      <c r="F198" s="7" t="s">
        <v>131</v>
      </c>
      <c r="G198" s="7" t="s">
        <v>1175</v>
      </c>
      <c r="H198" s="7" t="n">
        <v>3178570</v>
      </c>
      <c r="I198" s="7" t="s">
        <v>1180</v>
      </c>
      <c r="J198" s="8" t="n">
        <v>45894</v>
      </c>
      <c r="K198" s="7" t="n">
        <f aca="false">IF(J198="","Not Completed",J198-B198)</f>
        <v>28</v>
      </c>
    </row>
    <row r="199" customFormat="false" ht="15" hidden="false" customHeight="false" outlineLevel="0" collapsed="false">
      <c r="A199" s="7" t="s">
        <v>1387</v>
      </c>
      <c r="B199" s="8" t="n">
        <v>45637</v>
      </c>
      <c r="C199" s="7" t="s">
        <v>60</v>
      </c>
      <c r="D199" s="7" t="s">
        <v>34</v>
      </c>
      <c r="E199" s="7" t="s">
        <v>1199</v>
      </c>
      <c r="F199" s="7" t="s">
        <v>353</v>
      </c>
      <c r="G199" s="7" t="s">
        <v>1200</v>
      </c>
      <c r="H199" s="7" t="n">
        <v>1120078</v>
      </c>
      <c r="I199" s="7" t="s">
        <v>1180</v>
      </c>
      <c r="J199" s="8" t="n">
        <v>45656</v>
      </c>
      <c r="K199" s="7" t="n">
        <f aca="false">IF(J199="","Not Completed",J199-B199)</f>
        <v>19</v>
      </c>
    </row>
    <row r="200" customFormat="false" ht="15" hidden="false" customHeight="false" outlineLevel="0" collapsed="false">
      <c r="A200" s="7" t="s">
        <v>1388</v>
      </c>
      <c r="B200" s="8" t="n">
        <v>45397</v>
      </c>
      <c r="C200" s="7" t="s">
        <v>71</v>
      </c>
      <c r="D200" s="7" t="s">
        <v>34</v>
      </c>
      <c r="E200" s="7" t="s">
        <v>1199</v>
      </c>
      <c r="F200" s="7" t="s">
        <v>251</v>
      </c>
      <c r="G200" s="7" t="s">
        <v>1200</v>
      </c>
      <c r="H200" s="7" t="n">
        <v>466559</v>
      </c>
      <c r="I200" s="7" t="s">
        <v>1180</v>
      </c>
      <c r="J200" s="8" t="n">
        <v>45401</v>
      </c>
      <c r="K200" s="7" t="n">
        <f aca="false">IF(J200="","Not Completed",J200-B200)</f>
        <v>4</v>
      </c>
    </row>
    <row r="201" customFormat="false" ht="15" hidden="false" customHeight="false" outlineLevel="0" collapsed="false">
      <c r="A201" s="7" t="s">
        <v>1389</v>
      </c>
      <c r="B201" s="8" t="n">
        <v>45735</v>
      </c>
      <c r="C201" s="7" t="s">
        <v>65</v>
      </c>
      <c r="D201" s="7" t="s">
        <v>34</v>
      </c>
      <c r="E201" s="7" t="s">
        <v>1203</v>
      </c>
      <c r="F201" s="7" t="s">
        <v>355</v>
      </c>
      <c r="G201" s="7" t="s">
        <v>1204</v>
      </c>
      <c r="H201" s="7" t="n">
        <v>1339806</v>
      </c>
      <c r="I201" s="7" t="s">
        <v>1188</v>
      </c>
      <c r="J201" s="7"/>
      <c r="K201" s="7" t="str">
        <f aca="false">IF(J201="","Not Completed",J201-B201)</f>
        <v>Not Completed</v>
      </c>
    </row>
    <row r="202" customFormat="false" ht="15" hidden="false" customHeight="false" outlineLevel="0" collapsed="false">
      <c r="A202" s="7" t="s">
        <v>1390</v>
      </c>
      <c r="B202" s="8" t="n">
        <v>45469</v>
      </c>
      <c r="C202" s="7" t="s">
        <v>83</v>
      </c>
      <c r="D202" s="7" t="s">
        <v>34</v>
      </c>
      <c r="E202" s="7" t="s">
        <v>1186</v>
      </c>
      <c r="F202" s="7" t="s">
        <v>215</v>
      </c>
      <c r="G202" s="7" t="s">
        <v>1187</v>
      </c>
      <c r="H202" s="7" t="n">
        <v>1374053</v>
      </c>
      <c r="I202" s="7" t="s">
        <v>1180</v>
      </c>
      <c r="J202" s="8" t="n">
        <v>45484</v>
      </c>
      <c r="K202" s="7" t="n">
        <f aca="false">IF(J202="","Not Completed",J202-B202)</f>
        <v>15</v>
      </c>
    </row>
    <row r="203" customFormat="false" ht="15" hidden="false" customHeight="false" outlineLevel="0" collapsed="false">
      <c r="A203" s="7" t="s">
        <v>1391</v>
      </c>
      <c r="B203" s="8" t="n">
        <v>45461</v>
      </c>
      <c r="C203" s="7" t="s">
        <v>65</v>
      </c>
      <c r="D203" s="7" t="s">
        <v>34</v>
      </c>
      <c r="E203" s="7" t="s">
        <v>1174</v>
      </c>
      <c r="F203" s="7" t="s">
        <v>184</v>
      </c>
      <c r="G203" s="7" t="s">
        <v>1175</v>
      </c>
      <c r="H203" s="7" t="n">
        <v>1914701</v>
      </c>
      <c r="I203" s="7" t="s">
        <v>1180</v>
      </c>
      <c r="J203" s="8" t="n">
        <v>45477</v>
      </c>
      <c r="K203" s="7" t="n">
        <f aca="false">IF(J203="","Not Completed",J203-B203)</f>
        <v>16</v>
      </c>
    </row>
    <row r="204" customFormat="false" ht="15" hidden="false" customHeight="false" outlineLevel="0" collapsed="false">
      <c r="A204" s="7" t="s">
        <v>1392</v>
      </c>
      <c r="B204" s="8" t="n">
        <v>45385</v>
      </c>
      <c r="C204" s="7" t="s">
        <v>71</v>
      </c>
      <c r="D204" s="7" t="s">
        <v>34</v>
      </c>
      <c r="E204" s="7" t="s">
        <v>1174</v>
      </c>
      <c r="F204" s="7" t="s">
        <v>321</v>
      </c>
      <c r="G204" s="7" t="s">
        <v>1175</v>
      </c>
      <c r="H204" s="7" t="n">
        <v>553158</v>
      </c>
      <c r="I204" s="7" t="s">
        <v>1180</v>
      </c>
      <c r="J204" s="8" t="n">
        <v>45407</v>
      </c>
      <c r="K204" s="7" t="n">
        <f aca="false">IF(J204="","Not Completed",J204-B204)</f>
        <v>22</v>
      </c>
    </row>
    <row r="205" customFormat="false" ht="15" hidden="false" customHeight="false" outlineLevel="0" collapsed="false">
      <c r="A205" s="7" t="s">
        <v>1393</v>
      </c>
      <c r="B205" s="8" t="n">
        <v>45704</v>
      </c>
      <c r="C205" s="7" t="s">
        <v>87</v>
      </c>
      <c r="D205" s="7" t="s">
        <v>34</v>
      </c>
      <c r="E205" s="7" t="s">
        <v>1186</v>
      </c>
      <c r="F205" s="7" t="s">
        <v>205</v>
      </c>
      <c r="G205" s="7" t="s">
        <v>1187</v>
      </c>
      <c r="H205" s="7" t="n">
        <v>2570931</v>
      </c>
      <c r="I205" s="7" t="s">
        <v>1176</v>
      </c>
      <c r="J205" s="7"/>
      <c r="K205" s="7" t="str">
        <f aca="false">IF(J205="","Not Completed",J205-B205)</f>
        <v>Not Completed</v>
      </c>
    </row>
    <row r="206" customFormat="false" ht="15" hidden="false" customHeight="false" outlineLevel="0" collapsed="false">
      <c r="A206" s="7" t="s">
        <v>1394</v>
      </c>
      <c r="B206" s="8" t="n">
        <v>45753</v>
      </c>
      <c r="C206" s="7" t="s">
        <v>87</v>
      </c>
      <c r="D206" s="7" t="s">
        <v>34</v>
      </c>
      <c r="E206" s="7" t="s">
        <v>1203</v>
      </c>
      <c r="F206" s="7" t="s">
        <v>407</v>
      </c>
      <c r="G206" s="7" t="s">
        <v>1204</v>
      </c>
      <c r="H206" s="7" t="n">
        <v>414459</v>
      </c>
      <c r="I206" s="7" t="s">
        <v>1176</v>
      </c>
      <c r="J206" s="7"/>
      <c r="K206" s="7" t="str">
        <f aca="false">IF(J206="","Not Completed",J206-B206)</f>
        <v>Not Completed</v>
      </c>
    </row>
    <row r="207" customFormat="false" ht="15" hidden="false" customHeight="false" outlineLevel="0" collapsed="false">
      <c r="A207" s="7" t="s">
        <v>1395</v>
      </c>
      <c r="B207" s="8" t="n">
        <v>45814</v>
      </c>
      <c r="C207" s="7" t="s">
        <v>79</v>
      </c>
      <c r="D207" s="7" t="s">
        <v>34</v>
      </c>
      <c r="E207" s="7" t="s">
        <v>1203</v>
      </c>
      <c r="F207" s="7" t="s">
        <v>249</v>
      </c>
      <c r="G207" s="7" t="s">
        <v>1204</v>
      </c>
      <c r="H207" s="7" t="n">
        <v>2515148</v>
      </c>
      <c r="I207" s="7" t="s">
        <v>1180</v>
      </c>
      <c r="J207" s="8" t="n">
        <v>45838</v>
      </c>
      <c r="K207" s="7" t="n">
        <f aca="false">IF(J207="","Not Completed",J207-B207)</f>
        <v>24</v>
      </c>
    </row>
    <row r="208" customFormat="false" ht="15" hidden="false" customHeight="false" outlineLevel="0" collapsed="false">
      <c r="A208" s="7" t="s">
        <v>1396</v>
      </c>
      <c r="B208" s="8" t="n">
        <v>45512</v>
      </c>
      <c r="C208" s="7" t="s">
        <v>87</v>
      </c>
      <c r="D208" s="7" t="s">
        <v>34</v>
      </c>
      <c r="E208" s="7" t="s">
        <v>1174</v>
      </c>
      <c r="F208" s="7" t="s">
        <v>333</v>
      </c>
      <c r="G208" s="7" t="s">
        <v>1175</v>
      </c>
      <c r="H208" s="7" t="n">
        <v>2127092</v>
      </c>
      <c r="I208" s="7" t="s">
        <v>1188</v>
      </c>
      <c r="J208" s="7"/>
      <c r="K208" s="7" t="str">
        <f aca="false">IF(J208="","Not Completed",J208-B208)</f>
        <v>Not Completed</v>
      </c>
    </row>
    <row r="209" customFormat="false" ht="15" hidden="false" customHeight="false" outlineLevel="0" collapsed="false">
      <c r="A209" s="7" t="s">
        <v>1397</v>
      </c>
      <c r="B209" s="8" t="n">
        <v>45706</v>
      </c>
      <c r="C209" s="7" t="s">
        <v>68</v>
      </c>
      <c r="D209" s="7" t="s">
        <v>34</v>
      </c>
      <c r="E209" s="7" t="s">
        <v>1178</v>
      </c>
      <c r="F209" s="7" t="s">
        <v>251</v>
      </c>
      <c r="G209" s="7" t="s">
        <v>1179</v>
      </c>
      <c r="H209" s="7" t="n">
        <v>1464229</v>
      </c>
      <c r="I209" s="7" t="s">
        <v>1176</v>
      </c>
      <c r="J209" s="7"/>
      <c r="K209" s="7" t="str">
        <f aca="false">IF(J209="","Not Completed",J209-B209)</f>
        <v>Not Completed</v>
      </c>
    </row>
    <row r="210" customFormat="false" ht="15" hidden="false" customHeight="false" outlineLevel="0" collapsed="false">
      <c r="A210" s="7" t="s">
        <v>1398</v>
      </c>
      <c r="B210" s="8" t="n">
        <v>45599</v>
      </c>
      <c r="C210" s="7" t="s">
        <v>65</v>
      </c>
      <c r="D210" s="7" t="s">
        <v>34</v>
      </c>
      <c r="E210" s="7" t="s">
        <v>1203</v>
      </c>
      <c r="F210" s="7" t="s">
        <v>195</v>
      </c>
      <c r="G210" s="7" t="s">
        <v>1204</v>
      </c>
      <c r="H210" s="7" t="n">
        <v>2013534</v>
      </c>
      <c r="I210" s="7" t="s">
        <v>1180</v>
      </c>
      <c r="J210" s="8" t="n">
        <v>45614</v>
      </c>
      <c r="K210" s="7" t="n">
        <f aca="false">IF(J210="","Not Completed",J210-B210)</f>
        <v>15</v>
      </c>
    </row>
    <row r="211" customFormat="false" ht="15" hidden="false" customHeight="false" outlineLevel="0" collapsed="false">
      <c r="A211" s="7" t="s">
        <v>1399</v>
      </c>
      <c r="B211" s="8" t="n">
        <v>45930</v>
      </c>
      <c r="C211" s="7" t="s">
        <v>87</v>
      </c>
      <c r="D211" s="7" t="s">
        <v>34</v>
      </c>
      <c r="E211" s="7" t="s">
        <v>1199</v>
      </c>
      <c r="F211" s="7" t="s">
        <v>339</v>
      </c>
      <c r="G211" s="7" t="s">
        <v>1200</v>
      </c>
      <c r="H211" s="7" t="n">
        <v>314163</v>
      </c>
      <c r="I211" s="7" t="s">
        <v>1180</v>
      </c>
      <c r="J211" s="8" t="n">
        <v>45947</v>
      </c>
      <c r="K211" s="7" t="n">
        <f aca="false">IF(J211="","Not Completed",J211-B211)</f>
        <v>17</v>
      </c>
    </row>
    <row r="212" customFormat="false" ht="15" hidden="false" customHeight="false" outlineLevel="0" collapsed="false">
      <c r="A212" s="7" t="s">
        <v>1400</v>
      </c>
      <c r="B212" s="8" t="n">
        <v>45695</v>
      </c>
      <c r="C212" s="7" t="s">
        <v>60</v>
      </c>
      <c r="D212" s="7" t="s">
        <v>34</v>
      </c>
      <c r="E212" s="7" t="s">
        <v>1192</v>
      </c>
      <c r="F212" s="7" t="s">
        <v>199</v>
      </c>
      <c r="G212" s="7" t="s">
        <v>1193</v>
      </c>
      <c r="H212" s="7" t="n">
        <v>863420</v>
      </c>
      <c r="I212" s="7" t="s">
        <v>1176</v>
      </c>
      <c r="J212" s="7"/>
      <c r="K212" s="7" t="str">
        <f aca="false">IF(J212="","Not Completed",J212-B212)</f>
        <v>Not Completed</v>
      </c>
    </row>
    <row r="213" customFormat="false" ht="15" hidden="false" customHeight="false" outlineLevel="0" collapsed="false">
      <c r="A213" s="7" t="s">
        <v>1401</v>
      </c>
      <c r="B213" s="8" t="n">
        <v>45640</v>
      </c>
      <c r="C213" s="7" t="s">
        <v>79</v>
      </c>
      <c r="D213" s="7" t="s">
        <v>34</v>
      </c>
      <c r="E213" s="7" t="s">
        <v>1178</v>
      </c>
      <c r="F213" s="7" t="s">
        <v>316</v>
      </c>
      <c r="G213" s="7" t="s">
        <v>1179</v>
      </c>
      <c r="H213" s="7" t="n">
        <v>2738963</v>
      </c>
      <c r="I213" s="7" t="s">
        <v>1180</v>
      </c>
      <c r="J213" s="8" t="n">
        <v>45658</v>
      </c>
      <c r="K213" s="7" t="n">
        <f aca="false">IF(J213="","Not Completed",J213-B213)</f>
        <v>18</v>
      </c>
    </row>
    <row r="214" customFormat="false" ht="15" hidden="false" customHeight="false" outlineLevel="0" collapsed="false">
      <c r="A214" s="7" t="s">
        <v>1402</v>
      </c>
      <c r="B214" s="8" t="n">
        <v>45542</v>
      </c>
      <c r="C214" s="7" t="s">
        <v>60</v>
      </c>
      <c r="D214" s="7" t="s">
        <v>34</v>
      </c>
      <c r="E214" s="7" t="s">
        <v>1178</v>
      </c>
      <c r="F214" s="7" t="s">
        <v>299</v>
      </c>
      <c r="G214" s="7" t="s">
        <v>1179</v>
      </c>
      <c r="H214" s="7" t="n">
        <v>3136562</v>
      </c>
      <c r="I214" s="7" t="s">
        <v>1176</v>
      </c>
      <c r="J214" s="7"/>
      <c r="K214" s="7" t="str">
        <f aca="false">IF(J214="","Not Completed",J214-B214)</f>
        <v>Not Completed</v>
      </c>
    </row>
    <row r="215" customFormat="false" ht="15" hidden="false" customHeight="false" outlineLevel="0" collapsed="false">
      <c r="A215" s="7" t="s">
        <v>1403</v>
      </c>
      <c r="B215" s="8" t="n">
        <v>45779</v>
      </c>
      <c r="C215" s="7" t="s">
        <v>60</v>
      </c>
      <c r="D215" s="7" t="s">
        <v>34</v>
      </c>
      <c r="E215" s="7" t="s">
        <v>1174</v>
      </c>
      <c r="F215" s="7" t="s">
        <v>287</v>
      </c>
      <c r="G215" s="7" t="s">
        <v>1175</v>
      </c>
      <c r="H215" s="7" t="n">
        <v>72634</v>
      </c>
      <c r="I215" s="7" t="s">
        <v>1180</v>
      </c>
      <c r="J215" s="8" t="n">
        <v>45805</v>
      </c>
      <c r="K215" s="7" t="n">
        <f aca="false">IF(J215="","Not Completed",J215-B215)</f>
        <v>26</v>
      </c>
    </row>
    <row r="216" customFormat="false" ht="15" hidden="false" customHeight="false" outlineLevel="0" collapsed="false">
      <c r="A216" s="7" t="s">
        <v>1404</v>
      </c>
      <c r="B216" s="8" t="n">
        <v>45383</v>
      </c>
      <c r="C216" s="7" t="s">
        <v>83</v>
      </c>
      <c r="D216" s="7" t="s">
        <v>34</v>
      </c>
      <c r="E216" s="7" t="s">
        <v>1192</v>
      </c>
      <c r="F216" s="7" t="s">
        <v>347</v>
      </c>
      <c r="G216" s="7" t="s">
        <v>1193</v>
      </c>
      <c r="H216" s="7" t="n">
        <v>3144393</v>
      </c>
      <c r="I216" s="7" t="s">
        <v>1180</v>
      </c>
      <c r="J216" s="8" t="n">
        <v>45410</v>
      </c>
      <c r="K216" s="7" t="n">
        <f aca="false">IF(J216="","Not Completed",J216-B216)</f>
        <v>27</v>
      </c>
    </row>
    <row r="217" customFormat="false" ht="15" hidden="false" customHeight="false" outlineLevel="0" collapsed="false">
      <c r="A217" s="7" t="s">
        <v>1405</v>
      </c>
      <c r="B217" s="8" t="n">
        <v>45321</v>
      </c>
      <c r="C217" s="7" t="s">
        <v>87</v>
      </c>
      <c r="D217" s="7" t="s">
        <v>34</v>
      </c>
      <c r="E217" s="7" t="s">
        <v>1178</v>
      </c>
      <c r="F217" s="7" t="s">
        <v>426</v>
      </c>
      <c r="G217" s="7" t="s">
        <v>1179</v>
      </c>
      <c r="H217" s="7" t="n">
        <v>162885</v>
      </c>
      <c r="I217" s="7" t="s">
        <v>1180</v>
      </c>
      <c r="J217" s="8" t="n">
        <v>45348</v>
      </c>
      <c r="K217" s="7" t="n">
        <f aca="false">IF(J217="","Not Completed",J217-B217)</f>
        <v>27</v>
      </c>
    </row>
    <row r="218" customFormat="false" ht="15" hidden="false" customHeight="false" outlineLevel="0" collapsed="false">
      <c r="A218" s="7" t="s">
        <v>1406</v>
      </c>
      <c r="B218" s="8" t="n">
        <v>45953</v>
      </c>
      <c r="C218" s="7" t="s">
        <v>87</v>
      </c>
      <c r="D218" s="7" t="s">
        <v>34</v>
      </c>
      <c r="E218" s="7" t="s">
        <v>1203</v>
      </c>
      <c r="F218" s="7" t="s">
        <v>418</v>
      </c>
      <c r="G218" s="7" t="s">
        <v>1204</v>
      </c>
      <c r="H218" s="7" t="n">
        <v>1135296</v>
      </c>
      <c r="I218" s="7" t="s">
        <v>1176</v>
      </c>
      <c r="J218" s="7"/>
      <c r="K218" s="7" t="str">
        <f aca="false">IF(J218="","Not Completed",J218-B218)</f>
        <v>Not Completed</v>
      </c>
    </row>
    <row r="219" customFormat="false" ht="15" hidden="false" customHeight="false" outlineLevel="0" collapsed="false">
      <c r="A219" s="7" t="s">
        <v>1407</v>
      </c>
      <c r="B219" s="8" t="n">
        <v>45823</v>
      </c>
      <c r="C219" s="7" t="s">
        <v>60</v>
      </c>
      <c r="D219" s="7" t="s">
        <v>34</v>
      </c>
      <c r="E219" s="7" t="s">
        <v>1203</v>
      </c>
      <c r="F219" s="7" t="s">
        <v>308</v>
      </c>
      <c r="G219" s="7" t="s">
        <v>1204</v>
      </c>
      <c r="H219" s="7" t="n">
        <v>1478354</v>
      </c>
      <c r="I219" s="7" t="s">
        <v>1180</v>
      </c>
      <c r="J219" s="8" t="n">
        <v>45848</v>
      </c>
      <c r="K219" s="7" t="n">
        <f aca="false">IF(J219="","Not Completed",J219-B219)</f>
        <v>25</v>
      </c>
    </row>
    <row r="220" customFormat="false" ht="15" hidden="false" customHeight="false" outlineLevel="0" collapsed="false">
      <c r="A220" s="7" t="s">
        <v>1408</v>
      </c>
      <c r="B220" s="8" t="n">
        <v>45380</v>
      </c>
      <c r="C220" s="7" t="s">
        <v>87</v>
      </c>
      <c r="D220" s="7" t="s">
        <v>34</v>
      </c>
      <c r="E220" s="7" t="s">
        <v>1183</v>
      </c>
      <c r="F220" s="7" t="s">
        <v>131</v>
      </c>
      <c r="G220" s="7" t="s">
        <v>1184</v>
      </c>
      <c r="H220" s="7" t="n">
        <v>2213923</v>
      </c>
      <c r="I220" s="7" t="s">
        <v>1180</v>
      </c>
      <c r="J220" s="8" t="n">
        <v>45384</v>
      </c>
      <c r="K220" s="7" t="n">
        <f aca="false">IF(J220="","Not Completed",J220-B220)</f>
        <v>4</v>
      </c>
    </row>
    <row r="221" customFormat="false" ht="15" hidden="false" customHeight="false" outlineLevel="0" collapsed="false">
      <c r="A221" s="7" t="s">
        <v>1409</v>
      </c>
      <c r="B221" s="8" t="n">
        <v>46007</v>
      </c>
      <c r="C221" s="7" t="s">
        <v>65</v>
      </c>
      <c r="D221" s="7" t="s">
        <v>34</v>
      </c>
      <c r="E221" s="7" t="s">
        <v>1183</v>
      </c>
      <c r="F221" s="7" t="s">
        <v>195</v>
      </c>
      <c r="G221" s="7" t="s">
        <v>1184</v>
      </c>
      <c r="H221" s="7" t="n">
        <v>1142787</v>
      </c>
      <c r="I221" s="7" t="s">
        <v>1180</v>
      </c>
      <c r="J221" s="8" t="n">
        <v>46010</v>
      </c>
      <c r="K221" s="7" t="n">
        <f aca="false">IF(J221="","Not Completed",J221-B221)</f>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3"/>
    <col collapsed="false" customWidth="true" hidden="false" outlineLevel="0" max="5" min="4" style="0" width="10"/>
    <col collapsed="false" customWidth="true" hidden="false" outlineLevel="0" max="6" min="6" style="0" width="9"/>
    <col collapsed="false" customWidth="true" hidden="false" outlineLevel="0" max="7" min="7" style="0" width="20"/>
    <col collapsed="false" customWidth="true" hidden="false" outlineLevel="0" max="8" min="8" style="0" width="10"/>
    <col collapsed="false" customWidth="true" hidden="false" outlineLevel="0" max="10" min="9" style="0" width="16"/>
    <col collapsed="false" customWidth="true" hidden="false" outlineLevel="0" max="11" min="11" style="0" width="15"/>
    <col collapsed="false" customWidth="true" hidden="false" outlineLevel="0" max="12" min="12" style="0" width="11"/>
  </cols>
  <sheetData>
    <row r="1" customFormat="false" ht="23.85" hidden="false" customHeight="false" outlineLevel="0" collapsed="false">
      <c r="A1" s="6" t="s">
        <v>1410</v>
      </c>
      <c r="B1" s="6" t="s">
        <v>444</v>
      </c>
      <c r="C1" s="6" t="s">
        <v>1411</v>
      </c>
      <c r="D1" s="6" t="s">
        <v>91</v>
      </c>
      <c r="E1" s="6" t="s">
        <v>55</v>
      </c>
      <c r="F1" s="6" t="s">
        <v>21</v>
      </c>
      <c r="G1" s="6" t="s">
        <v>1412</v>
      </c>
      <c r="H1" s="6" t="s">
        <v>1413</v>
      </c>
      <c r="I1" s="6" t="s">
        <v>995</v>
      </c>
      <c r="J1" s="6" t="s">
        <v>1414</v>
      </c>
      <c r="K1" s="6" t="s">
        <v>1415</v>
      </c>
      <c r="L1" s="6" t="s">
        <v>999</v>
      </c>
    </row>
    <row r="2" customFormat="false" ht="15" hidden="false" customHeight="false" outlineLevel="0" collapsed="false">
      <c r="A2" s="7" t="s">
        <v>1416</v>
      </c>
      <c r="B2" s="8" t="n">
        <v>45835</v>
      </c>
      <c r="C2" s="7" t="s">
        <v>1417</v>
      </c>
      <c r="D2" s="7" t="s">
        <v>104</v>
      </c>
      <c r="E2" s="7" t="s">
        <v>83</v>
      </c>
      <c r="F2" s="7" t="s">
        <v>37</v>
      </c>
      <c r="G2" s="7" t="s">
        <v>1418</v>
      </c>
      <c r="H2" s="7" t="s">
        <v>1009</v>
      </c>
      <c r="I2" s="7" t="s">
        <v>283</v>
      </c>
      <c r="J2" s="7" t="n">
        <v>58.5</v>
      </c>
      <c r="K2" s="7" t="n">
        <v>5</v>
      </c>
      <c r="L2" s="7" t="s">
        <v>1419</v>
      </c>
    </row>
    <row r="3" customFormat="false" ht="15" hidden="false" customHeight="false" outlineLevel="0" collapsed="false">
      <c r="A3" s="7" t="s">
        <v>1420</v>
      </c>
      <c r="B3" s="8" t="n">
        <v>45857</v>
      </c>
      <c r="C3" s="7" t="s">
        <v>1421</v>
      </c>
      <c r="D3" s="7" t="s">
        <v>95</v>
      </c>
      <c r="E3" s="7" t="s">
        <v>65</v>
      </c>
      <c r="F3" s="7" t="s">
        <v>37</v>
      </c>
      <c r="G3" s="7" t="s">
        <v>1422</v>
      </c>
      <c r="H3" s="7" t="s">
        <v>1026</v>
      </c>
      <c r="I3" s="7" t="s">
        <v>277</v>
      </c>
      <c r="J3" s="7" t="n">
        <v>17.1</v>
      </c>
      <c r="K3" s="7" t="n">
        <v>3</v>
      </c>
      <c r="L3" s="7" t="s">
        <v>1419</v>
      </c>
    </row>
    <row r="4" customFormat="false" ht="15" hidden="false" customHeight="false" outlineLevel="0" collapsed="false">
      <c r="A4" s="7" t="s">
        <v>1423</v>
      </c>
      <c r="B4" s="8" t="n">
        <v>45334</v>
      </c>
      <c r="C4" s="7" t="s">
        <v>1424</v>
      </c>
      <c r="D4" s="7" t="s">
        <v>102</v>
      </c>
      <c r="E4" s="7" t="s">
        <v>87</v>
      </c>
      <c r="F4" s="7" t="s">
        <v>37</v>
      </c>
      <c r="G4" s="7" t="s">
        <v>1422</v>
      </c>
      <c r="H4" s="7" t="s">
        <v>1026</v>
      </c>
      <c r="I4" s="7" t="s">
        <v>295</v>
      </c>
      <c r="J4" s="7" t="n">
        <v>1.2</v>
      </c>
      <c r="K4" s="7" t="n">
        <v>2</v>
      </c>
      <c r="L4" s="7" t="s">
        <v>1419</v>
      </c>
    </row>
    <row r="5" customFormat="false" ht="15" hidden="false" customHeight="false" outlineLevel="0" collapsed="false">
      <c r="A5" s="7" t="s">
        <v>1425</v>
      </c>
      <c r="B5" s="8" t="n">
        <v>45695</v>
      </c>
      <c r="C5" s="7" t="s">
        <v>1417</v>
      </c>
      <c r="D5" s="7" t="s">
        <v>115</v>
      </c>
      <c r="E5" s="7" t="s">
        <v>71</v>
      </c>
      <c r="F5" s="7" t="s">
        <v>37</v>
      </c>
      <c r="G5" s="7" t="s">
        <v>1426</v>
      </c>
      <c r="H5" s="7" t="s">
        <v>1009</v>
      </c>
      <c r="I5" s="7" t="s">
        <v>283</v>
      </c>
      <c r="J5" s="7" t="n">
        <v>70.9</v>
      </c>
      <c r="K5" s="7" t="n">
        <v>5</v>
      </c>
      <c r="L5" s="7" t="s">
        <v>1419</v>
      </c>
    </row>
    <row r="6" customFormat="false" ht="15" hidden="false" customHeight="false" outlineLevel="0" collapsed="false">
      <c r="A6" s="7" t="s">
        <v>1427</v>
      </c>
      <c r="B6" s="8" t="n">
        <v>45851</v>
      </c>
      <c r="C6" s="7" t="s">
        <v>1428</v>
      </c>
      <c r="D6" s="7" t="s">
        <v>99</v>
      </c>
      <c r="E6" s="7" t="s">
        <v>65</v>
      </c>
      <c r="F6" s="7" t="s">
        <v>37</v>
      </c>
      <c r="G6" s="7" t="s">
        <v>1429</v>
      </c>
      <c r="H6" s="7" t="s">
        <v>1009</v>
      </c>
      <c r="I6" s="7" t="s">
        <v>269</v>
      </c>
      <c r="J6" s="7" t="n">
        <v>46.9</v>
      </c>
      <c r="K6" s="7" t="n">
        <v>1</v>
      </c>
      <c r="L6" s="7" t="s">
        <v>1419</v>
      </c>
    </row>
    <row r="7" customFormat="false" ht="15" hidden="false" customHeight="false" outlineLevel="0" collapsed="false">
      <c r="A7" s="7" t="s">
        <v>1430</v>
      </c>
      <c r="B7" s="8" t="n">
        <v>45871</v>
      </c>
      <c r="C7" s="7" t="s">
        <v>1421</v>
      </c>
      <c r="D7" s="7" t="s">
        <v>95</v>
      </c>
      <c r="E7" s="7" t="s">
        <v>68</v>
      </c>
      <c r="F7" s="7" t="s">
        <v>37</v>
      </c>
      <c r="G7" s="7" t="s">
        <v>1418</v>
      </c>
      <c r="H7" s="7" t="s">
        <v>1026</v>
      </c>
      <c r="I7" s="7" t="s">
        <v>295</v>
      </c>
      <c r="J7" s="7" t="n">
        <v>22.2</v>
      </c>
      <c r="K7" s="7" t="n">
        <v>5</v>
      </c>
      <c r="L7" s="7" t="s">
        <v>1419</v>
      </c>
    </row>
    <row r="8" customFormat="false" ht="15" hidden="false" customHeight="false" outlineLevel="0" collapsed="false">
      <c r="A8" s="7" t="s">
        <v>1431</v>
      </c>
      <c r="B8" s="8" t="n">
        <v>45513</v>
      </c>
      <c r="C8" s="7" t="s">
        <v>1432</v>
      </c>
      <c r="D8" s="7" t="s">
        <v>102</v>
      </c>
      <c r="E8" s="7" t="s">
        <v>79</v>
      </c>
      <c r="F8" s="7" t="s">
        <v>37</v>
      </c>
      <c r="G8" s="7" t="s">
        <v>1433</v>
      </c>
      <c r="H8" s="7" t="s">
        <v>1004</v>
      </c>
      <c r="I8" s="7" t="s">
        <v>273</v>
      </c>
      <c r="J8" s="7" t="n">
        <v>43.3</v>
      </c>
      <c r="K8" s="7" t="n">
        <v>5</v>
      </c>
      <c r="L8" s="7" t="s">
        <v>1419</v>
      </c>
    </row>
    <row r="9" customFormat="false" ht="15" hidden="false" customHeight="false" outlineLevel="0" collapsed="false">
      <c r="A9" s="7" t="s">
        <v>1434</v>
      </c>
      <c r="B9" s="8" t="n">
        <v>45572</v>
      </c>
      <c r="C9" s="7" t="s">
        <v>1435</v>
      </c>
      <c r="D9" s="7" t="s">
        <v>104</v>
      </c>
      <c r="E9" s="7" t="s">
        <v>87</v>
      </c>
      <c r="F9" s="7" t="s">
        <v>37</v>
      </c>
      <c r="G9" s="7" t="s">
        <v>1426</v>
      </c>
      <c r="H9" s="7" t="s">
        <v>1436</v>
      </c>
      <c r="I9" s="7" t="s">
        <v>297</v>
      </c>
      <c r="J9" s="7" t="n">
        <v>35.5</v>
      </c>
      <c r="K9" s="7" t="n">
        <v>1</v>
      </c>
      <c r="L9" s="7" t="s">
        <v>1419</v>
      </c>
    </row>
    <row r="10" customFormat="false" ht="15" hidden="false" customHeight="false" outlineLevel="0" collapsed="false">
      <c r="A10" s="7" t="s">
        <v>1437</v>
      </c>
      <c r="B10" s="8" t="n">
        <v>45834</v>
      </c>
      <c r="C10" s="7" t="s">
        <v>1417</v>
      </c>
      <c r="D10" s="7" t="s">
        <v>102</v>
      </c>
      <c r="E10" s="7" t="s">
        <v>65</v>
      </c>
      <c r="F10" s="7" t="s">
        <v>37</v>
      </c>
      <c r="G10" s="7" t="s">
        <v>1429</v>
      </c>
      <c r="H10" s="7" t="s">
        <v>1436</v>
      </c>
      <c r="I10" s="7" t="s">
        <v>271</v>
      </c>
      <c r="J10" s="7" t="n">
        <v>81.2</v>
      </c>
      <c r="K10" s="7" t="n">
        <v>2</v>
      </c>
      <c r="L10" s="7" t="s">
        <v>1419</v>
      </c>
    </row>
    <row r="11" customFormat="false" ht="15" hidden="false" customHeight="false" outlineLevel="0" collapsed="false">
      <c r="A11" s="7" t="s">
        <v>1438</v>
      </c>
      <c r="B11" s="8" t="n">
        <v>45309</v>
      </c>
      <c r="C11" s="7" t="s">
        <v>1432</v>
      </c>
      <c r="D11" s="7" t="s">
        <v>109</v>
      </c>
      <c r="E11" s="7" t="s">
        <v>83</v>
      </c>
      <c r="F11" s="7" t="s">
        <v>37</v>
      </c>
      <c r="G11" s="7" t="s">
        <v>1418</v>
      </c>
      <c r="H11" s="7" t="s">
        <v>1009</v>
      </c>
      <c r="I11" s="7" t="s">
        <v>263</v>
      </c>
      <c r="J11" s="7" t="n">
        <v>78.3</v>
      </c>
      <c r="K11" s="7" t="n">
        <v>2</v>
      </c>
      <c r="L11" s="7" t="s">
        <v>1013</v>
      </c>
    </row>
    <row r="12" customFormat="false" ht="15" hidden="false" customHeight="false" outlineLevel="0" collapsed="false">
      <c r="A12" s="7" t="s">
        <v>1439</v>
      </c>
      <c r="B12" s="8" t="n">
        <v>45426</v>
      </c>
      <c r="C12" s="7" t="s">
        <v>1432</v>
      </c>
      <c r="D12" s="7" t="s">
        <v>109</v>
      </c>
      <c r="E12" s="7" t="s">
        <v>79</v>
      </c>
      <c r="F12" s="7" t="s">
        <v>37</v>
      </c>
      <c r="G12" s="7" t="s">
        <v>1426</v>
      </c>
      <c r="H12" s="7" t="s">
        <v>1009</v>
      </c>
      <c r="I12" s="7" t="s">
        <v>295</v>
      </c>
      <c r="J12" s="7" t="n">
        <v>80.5</v>
      </c>
      <c r="K12" s="7" t="n">
        <v>5</v>
      </c>
      <c r="L12" s="7" t="s">
        <v>1419</v>
      </c>
    </row>
    <row r="13" customFormat="false" ht="15" hidden="false" customHeight="false" outlineLevel="0" collapsed="false">
      <c r="A13" s="7" t="s">
        <v>1440</v>
      </c>
      <c r="B13" s="8" t="n">
        <v>45312</v>
      </c>
      <c r="C13" s="7" t="s">
        <v>1421</v>
      </c>
      <c r="D13" s="7" t="s">
        <v>99</v>
      </c>
      <c r="E13" s="7" t="s">
        <v>87</v>
      </c>
      <c r="F13" s="7" t="s">
        <v>37</v>
      </c>
      <c r="G13" s="7" t="s">
        <v>1441</v>
      </c>
      <c r="H13" s="7" t="s">
        <v>1004</v>
      </c>
      <c r="I13" s="7" t="s">
        <v>293</v>
      </c>
      <c r="J13" s="7" t="n">
        <v>85.6</v>
      </c>
      <c r="K13" s="7" t="n">
        <v>1</v>
      </c>
      <c r="L13" s="7" t="s">
        <v>1442</v>
      </c>
    </row>
    <row r="14" customFormat="false" ht="15" hidden="false" customHeight="false" outlineLevel="0" collapsed="false">
      <c r="A14" s="7" t="s">
        <v>1443</v>
      </c>
      <c r="B14" s="8" t="n">
        <v>45734</v>
      </c>
      <c r="C14" s="7" t="s">
        <v>1428</v>
      </c>
      <c r="D14" s="7" t="s">
        <v>95</v>
      </c>
      <c r="E14" s="7" t="s">
        <v>79</v>
      </c>
      <c r="F14" s="7" t="s">
        <v>37</v>
      </c>
      <c r="G14" s="7" t="s">
        <v>1422</v>
      </c>
      <c r="H14" s="7" t="s">
        <v>1004</v>
      </c>
      <c r="I14" s="7" t="s">
        <v>275</v>
      </c>
      <c r="J14" s="7" t="n">
        <v>60.5</v>
      </c>
      <c r="K14" s="7" t="n">
        <v>5</v>
      </c>
      <c r="L14" s="7" t="s">
        <v>1013</v>
      </c>
    </row>
    <row r="15" customFormat="false" ht="15" hidden="false" customHeight="false" outlineLevel="0" collapsed="false">
      <c r="A15" s="7" t="s">
        <v>1444</v>
      </c>
      <c r="B15" s="8" t="n">
        <v>45780</v>
      </c>
      <c r="C15" s="7" t="s">
        <v>1417</v>
      </c>
      <c r="D15" s="7" t="s">
        <v>95</v>
      </c>
      <c r="E15" s="7" t="s">
        <v>71</v>
      </c>
      <c r="F15" s="7" t="s">
        <v>37</v>
      </c>
      <c r="G15" s="7" t="s">
        <v>1418</v>
      </c>
      <c r="H15" s="7" t="s">
        <v>1004</v>
      </c>
      <c r="I15" s="7" t="s">
        <v>281</v>
      </c>
      <c r="J15" s="7" t="n">
        <v>7.8</v>
      </c>
      <c r="K15" s="7" t="n">
        <v>1</v>
      </c>
      <c r="L15" s="7" t="s">
        <v>1419</v>
      </c>
    </row>
    <row r="16" customFormat="false" ht="15" hidden="false" customHeight="false" outlineLevel="0" collapsed="false">
      <c r="A16" s="7" t="s">
        <v>1445</v>
      </c>
      <c r="B16" s="8" t="n">
        <v>45630</v>
      </c>
      <c r="C16" s="7" t="s">
        <v>1421</v>
      </c>
      <c r="D16" s="7" t="s">
        <v>113</v>
      </c>
      <c r="E16" s="7" t="s">
        <v>75</v>
      </c>
      <c r="F16" s="7" t="s">
        <v>37</v>
      </c>
      <c r="G16" s="7" t="s">
        <v>1422</v>
      </c>
      <c r="H16" s="7" t="s">
        <v>1009</v>
      </c>
      <c r="I16" s="7" t="s">
        <v>269</v>
      </c>
      <c r="J16" s="7" t="n">
        <v>64.8</v>
      </c>
      <c r="K16" s="7" t="n">
        <v>2</v>
      </c>
      <c r="L16" s="7" t="s">
        <v>1419</v>
      </c>
    </row>
    <row r="17" customFormat="false" ht="15" hidden="false" customHeight="false" outlineLevel="0" collapsed="false">
      <c r="A17" s="7" t="s">
        <v>1446</v>
      </c>
      <c r="B17" s="8" t="n">
        <v>45692</v>
      </c>
      <c r="C17" s="7" t="s">
        <v>1424</v>
      </c>
      <c r="D17" s="7" t="s">
        <v>102</v>
      </c>
      <c r="E17" s="7" t="s">
        <v>68</v>
      </c>
      <c r="F17" s="7" t="s">
        <v>37</v>
      </c>
      <c r="G17" s="7" t="s">
        <v>1422</v>
      </c>
      <c r="H17" s="7" t="s">
        <v>1026</v>
      </c>
      <c r="I17" s="7" t="s">
        <v>271</v>
      </c>
      <c r="J17" s="7" t="n">
        <v>61.6</v>
      </c>
      <c r="K17" s="7" t="n">
        <v>2</v>
      </c>
      <c r="L17" s="7" t="s">
        <v>1419</v>
      </c>
    </row>
    <row r="18" customFormat="false" ht="15" hidden="false" customHeight="false" outlineLevel="0" collapsed="false">
      <c r="A18" s="7" t="s">
        <v>1447</v>
      </c>
      <c r="B18" s="8" t="n">
        <v>45986</v>
      </c>
      <c r="C18" s="7" t="s">
        <v>1421</v>
      </c>
      <c r="D18" s="7" t="s">
        <v>115</v>
      </c>
      <c r="E18" s="7" t="s">
        <v>68</v>
      </c>
      <c r="F18" s="7" t="s">
        <v>37</v>
      </c>
      <c r="G18" s="7" t="s">
        <v>1422</v>
      </c>
      <c r="H18" s="7" t="s">
        <v>1009</v>
      </c>
      <c r="I18" s="7" t="s">
        <v>271</v>
      </c>
      <c r="J18" s="7" t="n">
        <v>37.8</v>
      </c>
      <c r="K18" s="7" t="n">
        <v>4</v>
      </c>
      <c r="L18" s="7" t="s">
        <v>1419</v>
      </c>
    </row>
    <row r="19" customFormat="false" ht="15" hidden="false" customHeight="false" outlineLevel="0" collapsed="false">
      <c r="A19" s="7" t="s">
        <v>1448</v>
      </c>
      <c r="B19" s="8" t="n">
        <v>45617</v>
      </c>
      <c r="C19" s="7" t="s">
        <v>1417</v>
      </c>
      <c r="D19" s="7" t="s">
        <v>99</v>
      </c>
      <c r="E19" s="7" t="s">
        <v>71</v>
      </c>
      <c r="F19" s="7" t="s">
        <v>37</v>
      </c>
      <c r="G19" s="7" t="s">
        <v>1429</v>
      </c>
      <c r="H19" s="7" t="s">
        <v>1004</v>
      </c>
      <c r="I19" s="7" t="s">
        <v>295</v>
      </c>
      <c r="J19" s="7" t="n">
        <v>2.2</v>
      </c>
      <c r="K19" s="7" t="n">
        <v>1</v>
      </c>
      <c r="L19" s="7" t="s">
        <v>1419</v>
      </c>
    </row>
    <row r="20" customFormat="false" ht="15" hidden="false" customHeight="false" outlineLevel="0" collapsed="false">
      <c r="A20" s="7" t="s">
        <v>1449</v>
      </c>
      <c r="B20" s="8" t="n">
        <v>45894</v>
      </c>
      <c r="C20" s="7" t="s">
        <v>1428</v>
      </c>
      <c r="D20" s="7" t="s">
        <v>99</v>
      </c>
      <c r="E20" s="7" t="s">
        <v>79</v>
      </c>
      <c r="F20" s="7" t="s">
        <v>37</v>
      </c>
      <c r="G20" s="7" t="s">
        <v>1422</v>
      </c>
      <c r="H20" s="7" t="s">
        <v>1436</v>
      </c>
      <c r="I20" s="7" t="s">
        <v>289</v>
      </c>
      <c r="J20" s="7" t="n">
        <v>51.1</v>
      </c>
      <c r="K20" s="7" t="n">
        <v>3</v>
      </c>
      <c r="L20" s="7" t="s">
        <v>1419</v>
      </c>
    </row>
    <row r="21" customFormat="false" ht="15" hidden="false" customHeight="false" outlineLevel="0" collapsed="false">
      <c r="A21" s="7" t="s">
        <v>1450</v>
      </c>
      <c r="B21" s="8" t="n">
        <v>46004</v>
      </c>
      <c r="C21" s="7" t="s">
        <v>1435</v>
      </c>
      <c r="D21" s="7" t="s">
        <v>113</v>
      </c>
      <c r="E21" s="7" t="s">
        <v>68</v>
      </c>
      <c r="F21" s="7" t="s">
        <v>37</v>
      </c>
      <c r="G21" s="7" t="s">
        <v>1418</v>
      </c>
      <c r="H21" s="7" t="s">
        <v>1004</v>
      </c>
      <c r="I21" s="7" t="s">
        <v>265</v>
      </c>
      <c r="J21" s="7" t="n">
        <v>93.2</v>
      </c>
      <c r="K21" s="7" t="n">
        <v>2</v>
      </c>
      <c r="L21" s="7" t="s">
        <v>1419</v>
      </c>
    </row>
    <row r="22" customFormat="false" ht="15" hidden="false" customHeight="false" outlineLevel="0" collapsed="false">
      <c r="A22" s="7" t="s">
        <v>1451</v>
      </c>
      <c r="B22" s="8" t="n">
        <v>45851</v>
      </c>
      <c r="C22" s="7" t="s">
        <v>1424</v>
      </c>
      <c r="D22" s="7" t="s">
        <v>104</v>
      </c>
      <c r="E22" s="7" t="s">
        <v>83</v>
      </c>
      <c r="F22" s="7" t="s">
        <v>37</v>
      </c>
      <c r="G22" s="7" t="s">
        <v>1418</v>
      </c>
      <c r="H22" s="7" t="s">
        <v>1004</v>
      </c>
      <c r="I22" s="7" t="s">
        <v>267</v>
      </c>
      <c r="J22" s="7" t="n">
        <v>47.2</v>
      </c>
      <c r="K22" s="7" t="n">
        <v>4</v>
      </c>
      <c r="L22" s="7" t="s">
        <v>1419</v>
      </c>
    </row>
    <row r="23" customFormat="false" ht="15" hidden="false" customHeight="false" outlineLevel="0" collapsed="false">
      <c r="A23" s="7" t="s">
        <v>1452</v>
      </c>
      <c r="B23" s="8" t="n">
        <v>45559</v>
      </c>
      <c r="C23" s="7" t="s">
        <v>1432</v>
      </c>
      <c r="D23" s="7" t="s">
        <v>113</v>
      </c>
      <c r="E23" s="7" t="s">
        <v>75</v>
      </c>
      <c r="F23" s="7" t="s">
        <v>37</v>
      </c>
      <c r="G23" s="7" t="s">
        <v>1433</v>
      </c>
      <c r="H23" s="7" t="s">
        <v>1004</v>
      </c>
      <c r="I23" s="7" t="s">
        <v>293</v>
      </c>
      <c r="J23" s="7" t="n">
        <v>67</v>
      </c>
      <c r="K23" s="7" t="n">
        <v>1</v>
      </c>
      <c r="L23" s="7" t="s">
        <v>1419</v>
      </c>
    </row>
    <row r="24" customFormat="false" ht="15" hidden="false" customHeight="false" outlineLevel="0" collapsed="false">
      <c r="A24" s="7" t="s">
        <v>1453</v>
      </c>
      <c r="B24" s="8" t="n">
        <v>45643</v>
      </c>
      <c r="C24" s="7" t="s">
        <v>1428</v>
      </c>
      <c r="D24" s="7" t="s">
        <v>115</v>
      </c>
      <c r="E24" s="7" t="s">
        <v>68</v>
      </c>
      <c r="F24" s="7" t="s">
        <v>37</v>
      </c>
      <c r="G24" s="7" t="s">
        <v>1454</v>
      </c>
      <c r="H24" s="7" t="s">
        <v>1026</v>
      </c>
      <c r="I24" s="7" t="s">
        <v>281</v>
      </c>
      <c r="J24" s="7" t="n">
        <v>10.5</v>
      </c>
      <c r="K24" s="7" t="n">
        <v>4</v>
      </c>
      <c r="L24" s="7" t="s">
        <v>1419</v>
      </c>
    </row>
    <row r="25" customFormat="false" ht="15" hidden="false" customHeight="false" outlineLevel="0" collapsed="false">
      <c r="A25" s="7" t="s">
        <v>1455</v>
      </c>
      <c r="B25" s="8" t="n">
        <v>45458</v>
      </c>
      <c r="C25" s="7" t="s">
        <v>1424</v>
      </c>
      <c r="D25" s="7" t="s">
        <v>109</v>
      </c>
      <c r="E25" s="7" t="s">
        <v>87</v>
      </c>
      <c r="F25" s="7" t="s">
        <v>37</v>
      </c>
      <c r="G25" s="7" t="s">
        <v>1454</v>
      </c>
      <c r="H25" s="7" t="s">
        <v>1009</v>
      </c>
      <c r="I25" s="7" t="s">
        <v>283</v>
      </c>
      <c r="J25" s="7" t="n">
        <v>37.6</v>
      </c>
      <c r="K25" s="7" t="n">
        <v>2</v>
      </c>
      <c r="L25" s="7" t="s">
        <v>1419</v>
      </c>
    </row>
    <row r="26" customFormat="false" ht="15" hidden="false" customHeight="false" outlineLevel="0" collapsed="false">
      <c r="A26" s="7" t="s">
        <v>1456</v>
      </c>
      <c r="B26" s="8" t="n">
        <v>45918</v>
      </c>
      <c r="C26" s="7" t="s">
        <v>1428</v>
      </c>
      <c r="D26" s="7" t="s">
        <v>109</v>
      </c>
      <c r="E26" s="7" t="s">
        <v>75</v>
      </c>
      <c r="F26" s="7" t="s">
        <v>37</v>
      </c>
      <c r="G26" s="7" t="s">
        <v>1422</v>
      </c>
      <c r="H26" s="7" t="s">
        <v>1004</v>
      </c>
      <c r="I26" s="7" t="s">
        <v>283</v>
      </c>
      <c r="J26" s="7" t="n">
        <v>31.1</v>
      </c>
      <c r="K26" s="7" t="n">
        <v>4</v>
      </c>
      <c r="L26" s="7" t="s">
        <v>1419</v>
      </c>
    </row>
    <row r="27" customFormat="false" ht="15" hidden="false" customHeight="false" outlineLevel="0" collapsed="false">
      <c r="A27" s="7" t="s">
        <v>1457</v>
      </c>
      <c r="B27" s="8" t="n">
        <v>45296</v>
      </c>
      <c r="C27" s="7" t="s">
        <v>1421</v>
      </c>
      <c r="D27" s="7" t="s">
        <v>104</v>
      </c>
      <c r="E27" s="7" t="s">
        <v>79</v>
      </c>
      <c r="F27" s="7" t="s">
        <v>37</v>
      </c>
      <c r="G27" s="7" t="s">
        <v>1422</v>
      </c>
      <c r="H27" s="7" t="s">
        <v>1004</v>
      </c>
      <c r="I27" s="7" t="s">
        <v>287</v>
      </c>
      <c r="J27" s="7" t="n">
        <v>13</v>
      </c>
      <c r="K27" s="7" t="n">
        <v>5</v>
      </c>
      <c r="L27" s="7" t="s">
        <v>1419</v>
      </c>
    </row>
    <row r="28" customFormat="false" ht="15" hidden="false" customHeight="false" outlineLevel="0" collapsed="false">
      <c r="A28" s="7" t="s">
        <v>1458</v>
      </c>
      <c r="B28" s="8" t="n">
        <v>45855</v>
      </c>
      <c r="C28" s="7" t="s">
        <v>1428</v>
      </c>
      <c r="D28" s="7" t="s">
        <v>104</v>
      </c>
      <c r="E28" s="7" t="s">
        <v>79</v>
      </c>
      <c r="F28" s="7" t="s">
        <v>37</v>
      </c>
      <c r="G28" s="7" t="s">
        <v>1433</v>
      </c>
      <c r="H28" s="7" t="s">
        <v>1009</v>
      </c>
      <c r="I28" s="7" t="s">
        <v>271</v>
      </c>
      <c r="J28" s="7" t="n">
        <v>51.5</v>
      </c>
      <c r="K28" s="7" t="n">
        <v>5</v>
      </c>
      <c r="L28" s="7" t="s">
        <v>1419</v>
      </c>
    </row>
    <row r="29" customFormat="false" ht="15" hidden="false" customHeight="false" outlineLevel="0" collapsed="false">
      <c r="A29" s="7" t="s">
        <v>1459</v>
      </c>
      <c r="B29" s="8" t="n">
        <v>46001</v>
      </c>
      <c r="C29" s="7" t="s">
        <v>1432</v>
      </c>
      <c r="D29" s="7" t="s">
        <v>113</v>
      </c>
      <c r="E29" s="7" t="s">
        <v>87</v>
      </c>
      <c r="F29" s="7" t="s">
        <v>37</v>
      </c>
      <c r="G29" s="7" t="s">
        <v>1426</v>
      </c>
      <c r="H29" s="7" t="s">
        <v>1004</v>
      </c>
      <c r="I29" s="7" t="s">
        <v>295</v>
      </c>
      <c r="J29" s="7" t="n">
        <v>35.7</v>
      </c>
      <c r="K29" s="7" t="n">
        <v>3</v>
      </c>
      <c r="L29" s="7" t="s">
        <v>1419</v>
      </c>
    </row>
    <row r="30" customFormat="false" ht="15" hidden="false" customHeight="false" outlineLevel="0" collapsed="false">
      <c r="A30" s="7" t="s">
        <v>1460</v>
      </c>
      <c r="B30" s="8" t="n">
        <v>45512</v>
      </c>
      <c r="C30" s="7" t="s">
        <v>1424</v>
      </c>
      <c r="D30" s="7" t="s">
        <v>106</v>
      </c>
      <c r="E30" s="7" t="s">
        <v>68</v>
      </c>
      <c r="F30" s="7" t="s">
        <v>37</v>
      </c>
      <c r="G30" s="7" t="s">
        <v>1441</v>
      </c>
      <c r="H30" s="7" t="s">
        <v>1026</v>
      </c>
      <c r="I30" s="7" t="s">
        <v>297</v>
      </c>
      <c r="J30" s="7" t="n">
        <v>11.5</v>
      </c>
      <c r="K30" s="7" t="n">
        <v>2</v>
      </c>
      <c r="L30" s="7" t="s">
        <v>1419</v>
      </c>
    </row>
    <row r="31" customFormat="false" ht="15" hidden="false" customHeight="false" outlineLevel="0" collapsed="false">
      <c r="A31" s="7" t="s">
        <v>1461</v>
      </c>
      <c r="B31" s="8" t="n">
        <v>45365</v>
      </c>
      <c r="C31" s="7" t="s">
        <v>1435</v>
      </c>
      <c r="D31" s="7" t="s">
        <v>106</v>
      </c>
      <c r="E31" s="7" t="s">
        <v>65</v>
      </c>
      <c r="F31" s="7" t="s">
        <v>37</v>
      </c>
      <c r="G31" s="7" t="s">
        <v>1429</v>
      </c>
      <c r="H31" s="7" t="s">
        <v>1026</v>
      </c>
      <c r="I31" s="7" t="s">
        <v>269</v>
      </c>
      <c r="J31" s="7" t="n">
        <v>34.6</v>
      </c>
      <c r="K31" s="7" t="n">
        <v>2</v>
      </c>
      <c r="L31" s="7" t="s">
        <v>1419</v>
      </c>
    </row>
    <row r="32" customFormat="false" ht="15" hidden="false" customHeight="false" outlineLevel="0" collapsed="false">
      <c r="A32" s="7" t="s">
        <v>1462</v>
      </c>
      <c r="B32" s="8" t="n">
        <v>45759</v>
      </c>
      <c r="C32" s="7" t="s">
        <v>1432</v>
      </c>
      <c r="D32" s="7" t="s">
        <v>102</v>
      </c>
      <c r="E32" s="7" t="s">
        <v>87</v>
      </c>
      <c r="F32" s="7" t="s">
        <v>37</v>
      </c>
      <c r="G32" s="7" t="s">
        <v>1422</v>
      </c>
      <c r="H32" s="7" t="s">
        <v>1009</v>
      </c>
      <c r="I32" s="7" t="s">
        <v>273</v>
      </c>
      <c r="J32" s="7" t="n">
        <v>67.2</v>
      </c>
      <c r="K32" s="7" t="n">
        <v>2</v>
      </c>
      <c r="L32" s="7" t="s">
        <v>1419</v>
      </c>
    </row>
    <row r="33" customFormat="false" ht="15" hidden="false" customHeight="false" outlineLevel="0" collapsed="false">
      <c r="A33" s="7" t="s">
        <v>1463</v>
      </c>
      <c r="B33" s="8" t="n">
        <v>45874</v>
      </c>
      <c r="C33" s="7" t="s">
        <v>1421</v>
      </c>
      <c r="D33" s="7" t="s">
        <v>115</v>
      </c>
      <c r="E33" s="7" t="s">
        <v>75</v>
      </c>
      <c r="F33" s="7" t="s">
        <v>37</v>
      </c>
      <c r="G33" s="7" t="s">
        <v>1441</v>
      </c>
      <c r="H33" s="7" t="s">
        <v>1009</v>
      </c>
      <c r="I33" s="7" t="s">
        <v>287</v>
      </c>
      <c r="J33" s="7" t="n">
        <v>25.7</v>
      </c>
      <c r="K33" s="7" t="n">
        <v>2</v>
      </c>
      <c r="L33" s="7" t="s">
        <v>1419</v>
      </c>
    </row>
    <row r="34" customFormat="false" ht="15" hidden="false" customHeight="false" outlineLevel="0" collapsed="false">
      <c r="A34" s="7" t="s">
        <v>1464</v>
      </c>
      <c r="B34" s="8" t="n">
        <v>45879</v>
      </c>
      <c r="C34" s="7" t="s">
        <v>1428</v>
      </c>
      <c r="D34" s="7" t="s">
        <v>106</v>
      </c>
      <c r="E34" s="7" t="s">
        <v>60</v>
      </c>
      <c r="F34" s="7" t="s">
        <v>37</v>
      </c>
      <c r="G34" s="7" t="s">
        <v>1426</v>
      </c>
      <c r="H34" s="7" t="s">
        <v>1026</v>
      </c>
      <c r="I34" s="7" t="s">
        <v>273</v>
      </c>
      <c r="J34" s="7" t="n">
        <v>87.6</v>
      </c>
      <c r="K34" s="7" t="n">
        <v>2</v>
      </c>
      <c r="L34" s="7" t="s">
        <v>1419</v>
      </c>
    </row>
    <row r="35" customFormat="false" ht="15" hidden="false" customHeight="false" outlineLevel="0" collapsed="false">
      <c r="A35" s="7" t="s">
        <v>1465</v>
      </c>
      <c r="B35" s="8" t="n">
        <v>45869</v>
      </c>
      <c r="C35" s="7" t="s">
        <v>1424</v>
      </c>
      <c r="D35" s="7" t="s">
        <v>102</v>
      </c>
      <c r="E35" s="7" t="s">
        <v>87</v>
      </c>
      <c r="F35" s="7" t="s">
        <v>37</v>
      </c>
      <c r="G35" s="7" t="s">
        <v>1429</v>
      </c>
      <c r="H35" s="7" t="s">
        <v>1009</v>
      </c>
      <c r="I35" s="7" t="s">
        <v>297</v>
      </c>
      <c r="J35" s="7" t="n">
        <v>33.4</v>
      </c>
      <c r="K35" s="7" t="n">
        <v>3</v>
      </c>
      <c r="L35" s="7" t="s">
        <v>1013</v>
      </c>
    </row>
    <row r="36" customFormat="false" ht="15" hidden="false" customHeight="false" outlineLevel="0" collapsed="false">
      <c r="A36" s="7" t="s">
        <v>1466</v>
      </c>
      <c r="B36" s="8" t="n">
        <v>45333</v>
      </c>
      <c r="C36" s="7" t="s">
        <v>1424</v>
      </c>
      <c r="D36" s="7" t="s">
        <v>99</v>
      </c>
      <c r="E36" s="7" t="s">
        <v>71</v>
      </c>
      <c r="F36" s="7" t="s">
        <v>37</v>
      </c>
      <c r="G36" s="7" t="s">
        <v>1441</v>
      </c>
      <c r="H36" s="7" t="s">
        <v>1009</v>
      </c>
      <c r="I36" s="7" t="s">
        <v>271</v>
      </c>
      <c r="J36" s="7" t="n">
        <v>25</v>
      </c>
      <c r="K36" s="7" t="n">
        <v>1</v>
      </c>
      <c r="L36" s="7" t="s">
        <v>1419</v>
      </c>
    </row>
    <row r="37" customFormat="false" ht="15" hidden="false" customHeight="false" outlineLevel="0" collapsed="false">
      <c r="A37" s="7" t="s">
        <v>1467</v>
      </c>
      <c r="B37" s="8" t="n">
        <v>45808</v>
      </c>
      <c r="C37" s="7" t="s">
        <v>1421</v>
      </c>
      <c r="D37" s="7" t="s">
        <v>115</v>
      </c>
      <c r="E37" s="7" t="s">
        <v>68</v>
      </c>
      <c r="F37" s="7" t="s">
        <v>37</v>
      </c>
      <c r="G37" s="7" t="s">
        <v>1429</v>
      </c>
      <c r="H37" s="7" t="s">
        <v>1009</v>
      </c>
      <c r="I37" s="7" t="s">
        <v>283</v>
      </c>
      <c r="J37" s="7" t="n">
        <v>49.9</v>
      </c>
      <c r="K37" s="7" t="n">
        <v>2</v>
      </c>
      <c r="L37" s="7" t="s">
        <v>1419</v>
      </c>
    </row>
    <row r="38" customFormat="false" ht="15" hidden="false" customHeight="false" outlineLevel="0" collapsed="false">
      <c r="A38" s="7" t="s">
        <v>1468</v>
      </c>
      <c r="B38" s="8" t="n">
        <v>45548</v>
      </c>
      <c r="C38" s="7" t="s">
        <v>1428</v>
      </c>
      <c r="D38" s="7" t="s">
        <v>115</v>
      </c>
      <c r="E38" s="7" t="s">
        <v>65</v>
      </c>
      <c r="F38" s="7" t="s">
        <v>37</v>
      </c>
      <c r="G38" s="7" t="s">
        <v>1429</v>
      </c>
      <c r="H38" s="7" t="s">
        <v>1026</v>
      </c>
      <c r="I38" s="7" t="s">
        <v>289</v>
      </c>
      <c r="J38" s="7" t="n">
        <v>95.6</v>
      </c>
      <c r="K38" s="7" t="n">
        <v>2</v>
      </c>
      <c r="L38" s="7" t="s">
        <v>1419</v>
      </c>
    </row>
    <row r="39" customFormat="false" ht="15" hidden="false" customHeight="false" outlineLevel="0" collapsed="false">
      <c r="A39" s="7" t="s">
        <v>1469</v>
      </c>
      <c r="B39" s="8" t="n">
        <v>45390</v>
      </c>
      <c r="C39" s="7" t="s">
        <v>1421</v>
      </c>
      <c r="D39" s="7" t="s">
        <v>95</v>
      </c>
      <c r="E39" s="7" t="s">
        <v>79</v>
      </c>
      <c r="F39" s="7" t="s">
        <v>37</v>
      </c>
      <c r="G39" s="7" t="s">
        <v>1429</v>
      </c>
      <c r="H39" s="7" t="s">
        <v>1004</v>
      </c>
      <c r="I39" s="7" t="s">
        <v>287</v>
      </c>
      <c r="J39" s="7" t="n">
        <v>92.6</v>
      </c>
      <c r="K39" s="7" t="n">
        <v>5</v>
      </c>
      <c r="L39" s="7" t="s">
        <v>1419</v>
      </c>
    </row>
    <row r="40" customFormat="false" ht="15" hidden="false" customHeight="false" outlineLevel="0" collapsed="false">
      <c r="A40" s="7" t="s">
        <v>1470</v>
      </c>
      <c r="B40" s="8" t="n">
        <v>45984</v>
      </c>
      <c r="C40" s="7" t="s">
        <v>1428</v>
      </c>
      <c r="D40" s="7" t="s">
        <v>102</v>
      </c>
      <c r="E40" s="7" t="s">
        <v>65</v>
      </c>
      <c r="F40" s="7" t="s">
        <v>37</v>
      </c>
      <c r="G40" s="7" t="s">
        <v>1441</v>
      </c>
      <c r="H40" s="7" t="s">
        <v>1004</v>
      </c>
      <c r="I40" s="7" t="s">
        <v>291</v>
      </c>
      <c r="J40" s="7" t="n">
        <v>80.4</v>
      </c>
      <c r="K40" s="7" t="n">
        <v>1</v>
      </c>
      <c r="L40" s="7" t="s">
        <v>1013</v>
      </c>
    </row>
    <row r="41" customFormat="false" ht="15" hidden="false" customHeight="false" outlineLevel="0" collapsed="false">
      <c r="A41" s="7" t="s">
        <v>1471</v>
      </c>
      <c r="B41" s="8" t="n">
        <v>45964</v>
      </c>
      <c r="C41" s="7" t="s">
        <v>1428</v>
      </c>
      <c r="D41" s="7" t="s">
        <v>113</v>
      </c>
      <c r="E41" s="7" t="s">
        <v>65</v>
      </c>
      <c r="F41" s="7" t="s">
        <v>37</v>
      </c>
      <c r="G41" s="7" t="s">
        <v>1426</v>
      </c>
      <c r="H41" s="7" t="s">
        <v>1009</v>
      </c>
      <c r="I41" s="7" t="s">
        <v>279</v>
      </c>
      <c r="J41" s="7" t="n">
        <v>57.3</v>
      </c>
      <c r="K41" s="7" t="n">
        <v>5</v>
      </c>
      <c r="L41" s="7" t="s">
        <v>1442</v>
      </c>
    </row>
    <row r="42" customFormat="false" ht="15" hidden="false" customHeight="false" outlineLevel="0" collapsed="false">
      <c r="A42" s="7" t="s">
        <v>1472</v>
      </c>
      <c r="B42" s="8" t="n">
        <v>45624</v>
      </c>
      <c r="C42" s="7" t="s">
        <v>1432</v>
      </c>
      <c r="D42" s="7" t="s">
        <v>99</v>
      </c>
      <c r="E42" s="7" t="s">
        <v>87</v>
      </c>
      <c r="F42" s="7" t="s">
        <v>37</v>
      </c>
      <c r="G42" s="7" t="s">
        <v>1422</v>
      </c>
      <c r="H42" s="7" t="s">
        <v>1004</v>
      </c>
      <c r="I42" s="7" t="s">
        <v>269</v>
      </c>
      <c r="J42" s="7" t="n">
        <v>21</v>
      </c>
      <c r="K42" s="7" t="n">
        <v>2</v>
      </c>
      <c r="L42" s="7" t="s">
        <v>1419</v>
      </c>
    </row>
    <row r="43" customFormat="false" ht="15" hidden="false" customHeight="false" outlineLevel="0" collapsed="false">
      <c r="A43" s="7" t="s">
        <v>1473</v>
      </c>
      <c r="B43" s="8" t="n">
        <v>45432</v>
      </c>
      <c r="C43" s="7" t="s">
        <v>1417</v>
      </c>
      <c r="D43" s="7" t="s">
        <v>95</v>
      </c>
      <c r="E43" s="7" t="s">
        <v>60</v>
      </c>
      <c r="F43" s="7" t="s">
        <v>37</v>
      </c>
      <c r="G43" s="7" t="s">
        <v>1429</v>
      </c>
      <c r="H43" s="7" t="s">
        <v>1436</v>
      </c>
      <c r="I43" s="7" t="s">
        <v>279</v>
      </c>
      <c r="J43" s="7" t="n">
        <v>55.3</v>
      </c>
      <c r="K43" s="7" t="n">
        <v>2</v>
      </c>
      <c r="L43" s="7" t="s">
        <v>1013</v>
      </c>
    </row>
    <row r="44" customFormat="false" ht="15" hidden="false" customHeight="false" outlineLevel="0" collapsed="false">
      <c r="A44" s="7" t="s">
        <v>1474</v>
      </c>
      <c r="B44" s="8" t="n">
        <v>45386</v>
      </c>
      <c r="C44" s="7" t="s">
        <v>1432</v>
      </c>
      <c r="D44" s="7" t="s">
        <v>104</v>
      </c>
      <c r="E44" s="7" t="s">
        <v>60</v>
      </c>
      <c r="F44" s="7" t="s">
        <v>37</v>
      </c>
      <c r="G44" s="7" t="s">
        <v>1422</v>
      </c>
      <c r="H44" s="7" t="s">
        <v>1004</v>
      </c>
      <c r="I44" s="7" t="s">
        <v>289</v>
      </c>
      <c r="J44" s="7" t="n">
        <v>74.1</v>
      </c>
      <c r="K44" s="7" t="n">
        <v>5</v>
      </c>
      <c r="L44" s="7" t="s">
        <v>1419</v>
      </c>
    </row>
    <row r="45" customFormat="false" ht="15" hidden="false" customHeight="false" outlineLevel="0" collapsed="false">
      <c r="A45" s="7" t="s">
        <v>1475</v>
      </c>
      <c r="B45" s="8" t="n">
        <v>45390</v>
      </c>
      <c r="C45" s="7" t="s">
        <v>1421</v>
      </c>
      <c r="D45" s="7" t="s">
        <v>95</v>
      </c>
      <c r="E45" s="7" t="s">
        <v>65</v>
      </c>
      <c r="F45" s="7" t="s">
        <v>37</v>
      </c>
      <c r="G45" s="7" t="s">
        <v>1433</v>
      </c>
      <c r="H45" s="7" t="s">
        <v>1009</v>
      </c>
      <c r="I45" s="7" t="s">
        <v>279</v>
      </c>
      <c r="J45" s="7" t="n">
        <v>70.4</v>
      </c>
      <c r="K45" s="7" t="n">
        <v>4</v>
      </c>
      <c r="L45" s="7" t="s">
        <v>1419</v>
      </c>
    </row>
    <row r="46" customFormat="false" ht="15" hidden="false" customHeight="false" outlineLevel="0" collapsed="false">
      <c r="A46" s="7" t="s">
        <v>1476</v>
      </c>
      <c r="B46" s="8" t="n">
        <v>45642</v>
      </c>
      <c r="C46" s="7" t="s">
        <v>1428</v>
      </c>
      <c r="D46" s="7" t="s">
        <v>104</v>
      </c>
      <c r="E46" s="7" t="s">
        <v>65</v>
      </c>
      <c r="F46" s="7" t="s">
        <v>37</v>
      </c>
      <c r="G46" s="7" t="s">
        <v>1454</v>
      </c>
      <c r="H46" s="7" t="s">
        <v>1004</v>
      </c>
      <c r="I46" s="7" t="s">
        <v>265</v>
      </c>
      <c r="J46" s="7" t="n">
        <v>35.7</v>
      </c>
      <c r="K46" s="7" t="n">
        <v>4</v>
      </c>
      <c r="L46" s="7" t="s">
        <v>1419</v>
      </c>
    </row>
    <row r="47" customFormat="false" ht="15" hidden="false" customHeight="false" outlineLevel="0" collapsed="false">
      <c r="A47" s="7" t="s">
        <v>1477</v>
      </c>
      <c r="B47" s="8" t="n">
        <v>45677</v>
      </c>
      <c r="C47" s="7" t="s">
        <v>1417</v>
      </c>
      <c r="D47" s="7" t="s">
        <v>113</v>
      </c>
      <c r="E47" s="7" t="s">
        <v>68</v>
      </c>
      <c r="F47" s="7" t="s">
        <v>37</v>
      </c>
      <c r="G47" s="7" t="s">
        <v>1429</v>
      </c>
      <c r="H47" s="7" t="s">
        <v>1004</v>
      </c>
      <c r="I47" s="7" t="s">
        <v>283</v>
      </c>
      <c r="J47" s="7" t="n">
        <v>56.1</v>
      </c>
      <c r="K47" s="7" t="n">
        <v>1</v>
      </c>
      <c r="L47" s="7" t="s">
        <v>1419</v>
      </c>
    </row>
    <row r="48" customFormat="false" ht="15" hidden="false" customHeight="false" outlineLevel="0" collapsed="false">
      <c r="A48" s="7" t="s">
        <v>1478</v>
      </c>
      <c r="B48" s="8" t="n">
        <v>45319</v>
      </c>
      <c r="C48" s="7" t="s">
        <v>1435</v>
      </c>
      <c r="D48" s="7" t="s">
        <v>106</v>
      </c>
      <c r="E48" s="7" t="s">
        <v>79</v>
      </c>
      <c r="F48" s="7" t="s">
        <v>37</v>
      </c>
      <c r="G48" s="7" t="s">
        <v>1454</v>
      </c>
      <c r="H48" s="7" t="s">
        <v>1004</v>
      </c>
      <c r="I48" s="7" t="s">
        <v>291</v>
      </c>
      <c r="J48" s="7" t="n">
        <v>87.6</v>
      </c>
      <c r="K48" s="7" t="n">
        <v>1</v>
      </c>
      <c r="L48" s="7" t="s">
        <v>1419</v>
      </c>
    </row>
    <row r="49" customFormat="false" ht="15" hidden="false" customHeight="false" outlineLevel="0" collapsed="false">
      <c r="A49" s="7" t="s">
        <v>1479</v>
      </c>
      <c r="B49" s="8" t="n">
        <v>45540</v>
      </c>
      <c r="C49" s="7" t="s">
        <v>1435</v>
      </c>
      <c r="D49" s="7" t="s">
        <v>95</v>
      </c>
      <c r="E49" s="7" t="s">
        <v>71</v>
      </c>
      <c r="F49" s="7" t="s">
        <v>37</v>
      </c>
      <c r="G49" s="7" t="s">
        <v>1441</v>
      </c>
      <c r="H49" s="7" t="s">
        <v>1026</v>
      </c>
      <c r="I49" s="7" t="s">
        <v>293</v>
      </c>
      <c r="J49" s="7" t="n">
        <v>23.4</v>
      </c>
      <c r="K49" s="7" t="n">
        <v>3</v>
      </c>
      <c r="L49" s="7" t="s">
        <v>1419</v>
      </c>
    </row>
    <row r="50" customFormat="false" ht="15" hidden="false" customHeight="false" outlineLevel="0" collapsed="false">
      <c r="A50" s="7" t="s">
        <v>1480</v>
      </c>
      <c r="B50" s="8" t="n">
        <v>45594</v>
      </c>
      <c r="C50" s="7" t="s">
        <v>1417</v>
      </c>
      <c r="D50" s="7" t="s">
        <v>109</v>
      </c>
      <c r="E50" s="7" t="s">
        <v>71</v>
      </c>
      <c r="F50" s="7" t="s">
        <v>37</v>
      </c>
      <c r="G50" s="7" t="s">
        <v>1426</v>
      </c>
      <c r="H50" s="7" t="s">
        <v>1009</v>
      </c>
      <c r="I50" s="7" t="s">
        <v>263</v>
      </c>
      <c r="J50" s="7" t="n">
        <v>3</v>
      </c>
      <c r="K50" s="7" t="n">
        <v>3</v>
      </c>
      <c r="L50" s="7" t="s">
        <v>1419</v>
      </c>
    </row>
    <row r="51" customFormat="false" ht="15" hidden="false" customHeight="false" outlineLevel="0" collapsed="false">
      <c r="A51" s="7" t="s">
        <v>1481</v>
      </c>
      <c r="B51" s="8" t="n">
        <v>45725</v>
      </c>
      <c r="C51" s="7" t="s">
        <v>1417</v>
      </c>
      <c r="D51" s="7" t="s">
        <v>106</v>
      </c>
      <c r="E51" s="7" t="s">
        <v>68</v>
      </c>
      <c r="F51" s="7" t="s">
        <v>37</v>
      </c>
      <c r="G51" s="7" t="s">
        <v>1441</v>
      </c>
      <c r="H51" s="7" t="s">
        <v>1004</v>
      </c>
      <c r="I51" s="7" t="s">
        <v>267</v>
      </c>
      <c r="J51" s="7" t="n">
        <v>65.5</v>
      </c>
      <c r="K51" s="7" t="n">
        <v>5</v>
      </c>
      <c r="L51" s="7" t="s">
        <v>1419</v>
      </c>
    </row>
    <row r="52" customFormat="false" ht="15" hidden="false" customHeight="false" outlineLevel="0" collapsed="false">
      <c r="A52" s="7" t="s">
        <v>1482</v>
      </c>
      <c r="B52" s="8" t="n">
        <v>45389</v>
      </c>
      <c r="C52" s="7" t="s">
        <v>1435</v>
      </c>
      <c r="D52" s="7" t="s">
        <v>106</v>
      </c>
      <c r="E52" s="7" t="s">
        <v>60</v>
      </c>
      <c r="F52" s="7" t="s">
        <v>37</v>
      </c>
      <c r="G52" s="7" t="s">
        <v>1426</v>
      </c>
      <c r="H52" s="7" t="s">
        <v>1004</v>
      </c>
      <c r="I52" s="7" t="s">
        <v>293</v>
      </c>
      <c r="J52" s="7" t="n">
        <v>88.8</v>
      </c>
      <c r="K52" s="7" t="n">
        <v>5</v>
      </c>
      <c r="L52" s="7" t="s">
        <v>1419</v>
      </c>
    </row>
    <row r="53" customFormat="false" ht="15" hidden="false" customHeight="false" outlineLevel="0" collapsed="false">
      <c r="A53" s="7" t="s">
        <v>1483</v>
      </c>
      <c r="B53" s="8" t="n">
        <v>45704</v>
      </c>
      <c r="C53" s="7" t="s">
        <v>1428</v>
      </c>
      <c r="D53" s="7" t="s">
        <v>109</v>
      </c>
      <c r="E53" s="7" t="s">
        <v>75</v>
      </c>
      <c r="F53" s="7" t="s">
        <v>37</v>
      </c>
      <c r="G53" s="7" t="s">
        <v>1429</v>
      </c>
      <c r="H53" s="7" t="s">
        <v>1004</v>
      </c>
      <c r="I53" s="7" t="s">
        <v>293</v>
      </c>
      <c r="J53" s="7" t="n">
        <v>38</v>
      </c>
      <c r="K53" s="7" t="n">
        <v>3</v>
      </c>
      <c r="L53" s="7" t="s">
        <v>1419</v>
      </c>
    </row>
    <row r="54" customFormat="false" ht="15" hidden="false" customHeight="false" outlineLevel="0" collapsed="false">
      <c r="A54" s="7" t="s">
        <v>1484</v>
      </c>
      <c r="B54" s="8" t="n">
        <v>45476</v>
      </c>
      <c r="C54" s="7" t="s">
        <v>1435</v>
      </c>
      <c r="D54" s="7" t="s">
        <v>95</v>
      </c>
      <c r="E54" s="7" t="s">
        <v>87</v>
      </c>
      <c r="F54" s="7" t="s">
        <v>37</v>
      </c>
      <c r="G54" s="7" t="s">
        <v>1426</v>
      </c>
      <c r="H54" s="7" t="s">
        <v>1436</v>
      </c>
      <c r="I54" s="7" t="s">
        <v>273</v>
      </c>
      <c r="J54" s="7" t="n">
        <v>8.8</v>
      </c>
      <c r="K54" s="7" t="n">
        <v>1</v>
      </c>
      <c r="L54" s="7" t="s">
        <v>1419</v>
      </c>
    </row>
    <row r="55" customFormat="false" ht="15" hidden="false" customHeight="false" outlineLevel="0" collapsed="false">
      <c r="A55" s="7" t="s">
        <v>1485</v>
      </c>
      <c r="B55" s="8" t="n">
        <v>45677</v>
      </c>
      <c r="C55" s="7" t="s">
        <v>1428</v>
      </c>
      <c r="D55" s="7" t="s">
        <v>95</v>
      </c>
      <c r="E55" s="7" t="s">
        <v>60</v>
      </c>
      <c r="F55" s="7" t="s">
        <v>37</v>
      </c>
      <c r="G55" s="7" t="s">
        <v>1441</v>
      </c>
      <c r="H55" s="7" t="s">
        <v>1004</v>
      </c>
      <c r="I55" s="7" t="s">
        <v>263</v>
      </c>
      <c r="J55" s="7" t="n">
        <v>58</v>
      </c>
      <c r="K55" s="7" t="n">
        <v>1</v>
      </c>
      <c r="L55" s="7" t="s">
        <v>1419</v>
      </c>
    </row>
    <row r="56" customFormat="false" ht="15" hidden="false" customHeight="false" outlineLevel="0" collapsed="false">
      <c r="A56" s="7" t="s">
        <v>1486</v>
      </c>
      <c r="B56" s="8" t="n">
        <v>45959</v>
      </c>
      <c r="C56" s="7" t="s">
        <v>1428</v>
      </c>
      <c r="D56" s="7" t="s">
        <v>102</v>
      </c>
      <c r="E56" s="7" t="s">
        <v>71</v>
      </c>
      <c r="F56" s="7" t="s">
        <v>37</v>
      </c>
      <c r="G56" s="7" t="s">
        <v>1433</v>
      </c>
      <c r="H56" s="7" t="s">
        <v>1026</v>
      </c>
      <c r="I56" s="7" t="s">
        <v>267</v>
      </c>
      <c r="J56" s="7" t="n">
        <v>26.2</v>
      </c>
      <c r="K56" s="7" t="n">
        <v>4</v>
      </c>
      <c r="L56" s="7" t="s">
        <v>1419</v>
      </c>
    </row>
    <row r="57" customFormat="false" ht="15" hidden="false" customHeight="false" outlineLevel="0" collapsed="false">
      <c r="A57" s="7" t="s">
        <v>1487</v>
      </c>
      <c r="B57" s="8" t="n">
        <v>45418</v>
      </c>
      <c r="C57" s="7" t="s">
        <v>1435</v>
      </c>
      <c r="D57" s="7" t="s">
        <v>109</v>
      </c>
      <c r="E57" s="7" t="s">
        <v>60</v>
      </c>
      <c r="F57" s="7" t="s">
        <v>37</v>
      </c>
      <c r="G57" s="7" t="s">
        <v>1429</v>
      </c>
      <c r="H57" s="7" t="s">
        <v>1009</v>
      </c>
      <c r="I57" s="7" t="s">
        <v>297</v>
      </c>
      <c r="J57" s="7" t="n">
        <v>81.3</v>
      </c>
      <c r="K57" s="7" t="n">
        <v>5</v>
      </c>
      <c r="L57" s="7" t="s">
        <v>1419</v>
      </c>
    </row>
    <row r="58" customFormat="false" ht="15" hidden="false" customHeight="false" outlineLevel="0" collapsed="false">
      <c r="A58" s="7" t="s">
        <v>1488</v>
      </c>
      <c r="B58" s="8" t="n">
        <v>45402</v>
      </c>
      <c r="C58" s="7" t="s">
        <v>1435</v>
      </c>
      <c r="D58" s="7" t="s">
        <v>109</v>
      </c>
      <c r="E58" s="7" t="s">
        <v>68</v>
      </c>
      <c r="F58" s="7" t="s">
        <v>37</v>
      </c>
      <c r="G58" s="7" t="s">
        <v>1418</v>
      </c>
      <c r="H58" s="7" t="s">
        <v>1009</v>
      </c>
      <c r="I58" s="7" t="s">
        <v>271</v>
      </c>
      <c r="J58" s="7" t="n">
        <v>86.4</v>
      </c>
      <c r="K58" s="7" t="n">
        <v>1</v>
      </c>
      <c r="L58" s="7" t="s">
        <v>1013</v>
      </c>
    </row>
    <row r="59" customFormat="false" ht="15" hidden="false" customHeight="false" outlineLevel="0" collapsed="false">
      <c r="A59" s="7" t="s">
        <v>1489</v>
      </c>
      <c r="B59" s="8" t="n">
        <v>45907</v>
      </c>
      <c r="C59" s="7" t="s">
        <v>1421</v>
      </c>
      <c r="D59" s="7" t="s">
        <v>99</v>
      </c>
      <c r="E59" s="7" t="s">
        <v>65</v>
      </c>
      <c r="F59" s="7" t="s">
        <v>37</v>
      </c>
      <c r="G59" s="7" t="s">
        <v>1418</v>
      </c>
      <c r="H59" s="7" t="s">
        <v>1026</v>
      </c>
      <c r="I59" s="7" t="s">
        <v>297</v>
      </c>
      <c r="J59" s="7" t="n">
        <v>36.7</v>
      </c>
      <c r="K59" s="7" t="n">
        <v>3</v>
      </c>
      <c r="L59" s="7" t="s">
        <v>1419</v>
      </c>
    </row>
    <row r="60" customFormat="false" ht="15" hidden="false" customHeight="false" outlineLevel="0" collapsed="false">
      <c r="A60" s="7" t="s">
        <v>1490</v>
      </c>
      <c r="B60" s="8" t="n">
        <v>45362</v>
      </c>
      <c r="C60" s="7" t="s">
        <v>1417</v>
      </c>
      <c r="D60" s="7" t="s">
        <v>102</v>
      </c>
      <c r="E60" s="7" t="s">
        <v>68</v>
      </c>
      <c r="F60" s="7" t="s">
        <v>37</v>
      </c>
      <c r="G60" s="7" t="s">
        <v>1441</v>
      </c>
      <c r="H60" s="7" t="s">
        <v>1004</v>
      </c>
      <c r="I60" s="7" t="s">
        <v>279</v>
      </c>
      <c r="J60" s="7" t="n">
        <v>63.7</v>
      </c>
      <c r="K60" s="7" t="n">
        <v>2</v>
      </c>
      <c r="L60" s="7" t="s">
        <v>1419</v>
      </c>
    </row>
    <row r="61" customFormat="false" ht="15" hidden="false" customHeight="false" outlineLevel="0" collapsed="false">
      <c r="A61" s="7" t="s">
        <v>1491</v>
      </c>
      <c r="B61" s="8" t="n">
        <v>45565</v>
      </c>
      <c r="C61" s="7" t="s">
        <v>1424</v>
      </c>
      <c r="D61" s="7" t="s">
        <v>106</v>
      </c>
      <c r="E61" s="7" t="s">
        <v>71</v>
      </c>
      <c r="F61" s="7" t="s">
        <v>37</v>
      </c>
      <c r="G61" s="7" t="s">
        <v>1422</v>
      </c>
      <c r="H61" s="7" t="s">
        <v>1009</v>
      </c>
      <c r="I61" s="7" t="s">
        <v>293</v>
      </c>
      <c r="J61" s="7" t="n">
        <v>35.2</v>
      </c>
      <c r="K61" s="7" t="n">
        <v>4</v>
      </c>
      <c r="L61" s="7" t="s">
        <v>1419</v>
      </c>
    </row>
    <row r="62" customFormat="false" ht="15" hidden="false" customHeight="false" outlineLevel="0" collapsed="false">
      <c r="A62" s="7" t="s">
        <v>1492</v>
      </c>
      <c r="B62" s="8" t="n">
        <v>45551</v>
      </c>
      <c r="C62" s="7" t="s">
        <v>1428</v>
      </c>
      <c r="D62" s="7" t="s">
        <v>106</v>
      </c>
      <c r="E62" s="7" t="s">
        <v>75</v>
      </c>
      <c r="F62" s="7" t="s">
        <v>37</v>
      </c>
      <c r="G62" s="7" t="s">
        <v>1429</v>
      </c>
      <c r="H62" s="7" t="s">
        <v>1009</v>
      </c>
      <c r="I62" s="7" t="s">
        <v>293</v>
      </c>
      <c r="J62" s="7" t="n">
        <v>14.7</v>
      </c>
      <c r="K62" s="7" t="n">
        <v>3</v>
      </c>
      <c r="L62" s="7" t="s">
        <v>1419</v>
      </c>
    </row>
    <row r="63" customFormat="false" ht="15" hidden="false" customHeight="false" outlineLevel="0" collapsed="false">
      <c r="A63" s="7" t="s">
        <v>1493</v>
      </c>
      <c r="B63" s="8" t="n">
        <v>45981</v>
      </c>
      <c r="C63" s="7" t="s">
        <v>1424</v>
      </c>
      <c r="D63" s="7" t="s">
        <v>115</v>
      </c>
      <c r="E63" s="7" t="s">
        <v>71</v>
      </c>
      <c r="F63" s="7" t="s">
        <v>37</v>
      </c>
      <c r="G63" s="7" t="s">
        <v>1454</v>
      </c>
      <c r="H63" s="7" t="s">
        <v>1004</v>
      </c>
      <c r="I63" s="7" t="s">
        <v>267</v>
      </c>
      <c r="J63" s="7" t="n">
        <v>66.9</v>
      </c>
      <c r="K63" s="7" t="n">
        <v>2</v>
      </c>
      <c r="L63" s="7" t="s">
        <v>1419</v>
      </c>
    </row>
    <row r="64" customFormat="false" ht="15" hidden="false" customHeight="false" outlineLevel="0" collapsed="false">
      <c r="A64" s="7" t="s">
        <v>1494</v>
      </c>
      <c r="B64" s="8" t="n">
        <v>45593</v>
      </c>
      <c r="C64" s="7" t="s">
        <v>1428</v>
      </c>
      <c r="D64" s="7" t="s">
        <v>115</v>
      </c>
      <c r="E64" s="7" t="s">
        <v>87</v>
      </c>
      <c r="F64" s="7" t="s">
        <v>37</v>
      </c>
      <c r="G64" s="7" t="s">
        <v>1422</v>
      </c>
      <c r="H64" s="7" t="s">
        <v>1004</v>
      </c>
      <c r="I64" s="7" t="s">
        <v>297</v>
      </c>
      <c r="J64" s="7" t="n">
        <v>63.1</v>
      </c>
      <c r="K64" s="7" t="n">
        <v>3</v>
      </c>
      <c r="L64" s="7" t="s">
        <v>1419</v>
      </c>
    </row>
    <row r="65" customFormat="false" ht="15" hidden="false" customHeight="false" outlineLevel="0" collapsed="false">
      <c r="A65" s="7" t="s">
        <v>1495</v>
      </c>
      <c r="B65" s="8" t="n">
        <v>45552</v>
      </c>
      <c r="C65" s="7" t="s">
        <v>1428</v>
      </c>
      <c r="D65" s="7" t="s">
        <v>109</v>
      </c>
      <c r="E65" s="7" t="s">
        <v>68</v>
      </c>
      <c r="F65" s="7" t="s">
        <v>37</v>
      </c>
      <c r="G65" s="7" t="s">
        <v>1441</v>
      </c>
      <c r="H65" s="7" t="s">
        <v>1026</v>
      </c>
      <c r="I65" s="7" t="s">
        <v>281</v>
      </c>
      <c r="J65" s="7" t="n">
        <v>42.4</v>
      </c>
      <c r="K65" s="7" t="n">
        <v>1</v>
      </c>
      <c r="L65" s="7" t="s">
        <v>1419</v>
      </c>
    </row>
    <row r="66" customFormat="false" ht="15" hidden="false" customHeight="false" outlineLevel="0" collapsed="false">
      <c r="A66" s="7" t="s">
        <v>1496</v>
      </c>
      <c r="B66" s="8" t="n">
        <v>45893</v>
      </c>
      <c r="C66" s="7" t="s">
        <v>1417</v>
      </c>
      <c r="D66" s="7" t="s">
        <v>106</v>
      </c>
      <c r="E66" s="7" t="s">
        <v>75</v>
      </c>
      <c r="F66" s="7" t="s">
        <v>37</v>
      </c>
      <c r="G66" s="7" t="s">
        <v>1418</v>
      </c>
      <c r="H66" s="7" t="s">
        <v>1026</v>
      </c>
      <c r="I66" s="7" t="s">
        <v>277</v>
      </c>
      <c r="J66" s="7" t="n">
        <v>24.8</v>
      </c>
      <c r="K66" s="7" t="n">
        <v>4</v>
      </c>
      <c r="L66" s="7" t="s">
        <v>1419</v>
      </c>
    </row>
    <row r="67" customFormat="false" ht="15" hidden="false" customHeight="false" outlineLevel="0" collapsed="false">
      <c r="A67" s="7" t="s">
        <v>1497</v>
      </c>
      <c r="B67" s="8" t="n">
        <v>45811</v>
      </c>
      <c r="C67" s="7" t="s">
        <v>1435</v>
      </c>
      <c r="D67" s="7" t="s">
        <v>106</v>
      </c>
      <c r="E67" s="7" t="s">
        <v>87</v>
      </c>
      <c r="F67" s="7" t="s">
        <v>37</v>
      </c>
      <c r="G67" s="7" t="s">
        <v>1441</v>
      </c>
      <c r="H67" s="7" t="s">
        <v>1004</v>
      </c>
      <c r="I67" s="7" t="s">
        <v>291</v>
      </c>
      <c r="J67" s="7" t="n">
        <v>7.2</v>
      </c>
      <c r="K67" s="7" t="n">
        <v>3</v>
      </c>
      <c r="L67" s="7" t="s">
        <v>1419</v>
      </c>
    </row>
    <row r="68" customFormat="false" ht="15" hidden="false" customHeight="false" outlineLevel="0" collapsed="false">
      <c r="A68" s="7" t="s">
        <v>1498</v>
      </c>
      <c r="B68" s="8" t="n">
        <v>45430</v>
      </c>
      <c r="C68" s="7" t="s">
        <v>1428</v>
      </c>
      <c r="D68" s="7" t="s">
        <v>115</v>
      </c>
      <c r="E68" s="7" t="s">
        <v>75</v>
      </c>
      <c r="F68" s="7" t="s">
        <v>37</v>
      </c>
      <c r="G68" s="7" t="s">
        <v>1418</v>
      </c>
      <c r="H68" s="7" t="s">
        <v>1009</v>
      </c>
      <c r="I68" s="7" t="s">
        <v>265</v>
      </c>
      <c r="J68" s="7" t="n">
        <v>33.1</v>
      </c>
      <c r="K68" s="7" t="n">
        <v>5</v>
      </c>
      <c r="L68" s="7" t="s">
        <v>1013</v>
      </c>
    </row>
    <row r="69" customFormat="false" ht="15" hidden="false" customHeight="false" outlineLevel="0" collapsed="false">
      <c r="A69" s="7" t="s">
        <v>1499</v>
      </c>
      <c r="B69" s="8" t="n">
        <v>45605</v>
      </c>
      <c r="C69" s="7" t="s">
        <v>1435</v>
      </c>
      <c r="D69" s="7" t="s">
        <v>104</v>
      </c>
      <c r="E69" s="7" t="s">
        <v>65</v>
      </c>
      <c r="F69" s="7" t="s">
        <v>37</v>
      </c>
      <c r="G69" s="7" t="s">
        <v>1429</v>
      </c>
      <c r="H69" s="7" t="s">
        <v>1004</v>
      </c>
      <c r="I69" s="7" t="s">
        <v>267</v>
      </c>
      <c r="J69" s="7" t="n">
        <v>52.1</v>
      </c>
      <c r="K69" s="7" t="n">
        <v>1</v>
      </c>
      <c r="L69" s="7" t="s">
        <v>1442</v>
      </c>
    </row>
    <row r="70" customFormat="false" ht="15" hidden="false" customHeight="false" outlineLevel="0" collapsed="false">
      <c r="A70" s="7" t="s">
        <v>1500</v>
      </c>
      <c r="B70" s="8" t="n">
        <v>45516</v>
      </c>
      <c r="C70" s="7" t="s">
        <v>1432</v>
      </c>
      <c r="D70" s="7" t="s">
        <v>95</v>
      </c>
      <c r="E70" s="7" t="s">
        <v>71</v>
      </c>
      <c r="F70" s="7" t="s">
        <v>37</v>
      </c>
      <c r="G70" s="7" t="s">
        <v>1429</v>
      </c>
      <c r="H70" s="7" t="s">
        <v>1004</v>
      </c>
      <c r="I70" s="7" t="s">
        <v>275</v>
      </c>
      <c r="J70" s="7" t="n">
        <v>37.6</v>
      </c>
      <c r="K70" s="7" t="n">
        <v>4</v>
      </c>
      <c r="L70" s="7" t="s">
        <v>1419</v>
      </c>
    </row>
    <row r="71" customFormat="false" ht="15" hidden="false" customHeight="false" outlineLevel="0" collapsed="false">
      <c r="A71" s="7" t="s">
        <v>1501</v>
      </c>
      <c r="B71" s="8" t="n">
        <v>45643</v>
      </c>
      <c r="C71" s="7" t="s">
        <v>1432</v>
      </c>
      <c r="D71" s="7" t="s">
        <v>109</v>
      </c>
      <c r="E71" s="7" t="s">
        <v>71</v>
      </c>
      <c r="F71" s="7" t="s">
        <v>37</v>
      </c>
      <c r="G71" s="7" t="s">
        <v>1429</v>
      </c>
      <c r="H71" s="7" t="s">
        <v>1026</v>
      </c>
      <c r="I71" s="7" t="s">
        <v>297</v>
      </c>
      <c r="J71" s="7" t="n">
        <v>62.4</v>
      </c>
      <c r="K71" s="7" t="n">
        <v>5</v>
      </c>
      <c r="L71" s="7" t="s">
        <v>1419</v>
      </c>
    </row>
    <row r="72" customFormat="false" ht="15" hidden="false" customHeight="false" outlineLevel="0" collapsed="false">
      <c r="A72" s="7" t="s">
        <v>1502</v>
      </c>
      <c r="B72" s="8" t="n">
        <v>45358</v>
      </c>
      <c r="C72" s="7" t="s">
        <v>1417</v>
      </c>
      <c r="D72" s="7" t="s">
        <v>109</v>
      </c>
      <c r="E72" s="7" t="s">
        <v>87</v>
      </c>
      <c r="F72" s="7" t="s">
        <v>37</v>
      </c>
      <c r="G72" s="7" t="s">
        <v>1429</v>
      </c>
      <c r="H72" s="7" t="s">
        <v>1009</v>
      </c>
      <c r="I72" s="7" t="s">
        <v>275</v>
      </c>
      <c r="J72" s="7" t="n">
        <v>6.4</v>
      </c>
      <c r="K72" s="7" t="n">
        <v>5</v>
      </c>
      <c r="L72" s="7" t="s">
        <v>1419</v>
      </c>
    </row>
    <row r="73" customFormat="false" ht="15" hidden="false" customHeight="false" outlineLevel="0" collapsed="false">
      <c r="A73" s="7" t="s">
        <v>1503</v>
      </c>
      <c r="B73" s="8" t="n">
        <v>45783</v>
      </c>
      <c r="C73" s="7" t="s">
        <v>1421</v>
      </c>
      <c r="D73" s="7" t="s">
        <v>109</v>
      </c>
      <c r="E73" s="7" t="s">
        <v>68</v>
      </c>
      <c r="F73" s="7" t="s">
        <v>37</v>
      </c>
      <c r="G73" s="7" t="s">
        <v>1426</v>
      </c>
      <c r="H73" s="7" t="s">
        <v>1026</v>
      </c>
      <c r="I73" s="7" t="s">
        <v>297</v>
      </c>
      <c r="J73" s="7" t="n">
        <v>45.1</v>
      </c>
      <c r="K73" s="7" t="n">
        <v>5</v>
      </c>
      <c r="L73" s="7" t="s">
        <v>1419</v>
      </c>
    </row>
    <row r="74" customFormat="false" ht="15" hidden="false" customHeight="false" outlineLevel="0" collapsed="false">
      <c r="A74" s="7" t="s">
        <v>1504</v>
      </c>
      <c r="B74" s="8" t="n">
        <v>45599</v>
      </c>
      <c r="C74" s="7" t="s">
        <v>1432</v>
      </c>
      <c r="D74" s="7" t="s">
        <v>115</v>
      </c>
      <c r="E74" s="7" t="s">
        <v>71</v>
      </c>
      <c r="F74" s="7" t="s">
        <v>37</v>
      </c>
      <c r="G74" s="7" t="s">
        <v>1426</v>
      </c>
      <c r="H74" s="7" t="s">
        <v>1004</v>
      </c>
      <c r="I74" s="7" t="s">
        <v>297</v>
      </c>
      <c r="J74" s="7" t="n">
        <v>6.1</v>
      </c>
      <c r="K74" s="7" t="n">
        <v>1</v>
      </c>
      <c r="L74" s="7" t="s">
        <v>1419</v>
      </c>
    </row>
    <row r="75" customFormat="false" ht="15" hidden="false" customHeight="false" outlineLevel="0" collapsed="false">
      <c r="A75" s="7" t="s">
        <v>1505</v>
      </c>
      <c r="B75" s="8" t="n">
        <v>45994</v>
      </c>
      <c r="C75" s="7" t="s">
        <v>1435</v>
      </c>
      <c r="D75" s="7" t="s">
        <v>102</v>
      </c>
      <c r="E75" s="7" t="s">
        <v>79</v>
      </c>
      <c r="F75" s="7" t="s">
        <v>37</v>
      </c>
      <c r="G75" s="7" t="s">
        <v>1441</v>
      </c>
      <c r="H75" s="7" t="s">
        <v>1004</v>
      </c>
      <c r="I75" s="7" t="s">
        <v>267</v>
      </c>
      <c r="J75" s="7" t="n">
        <v>51.4</v>
      </c>
      <c r="K75" s="7" t="n">
        <v>4</v>
      </c>
      <c r="L75" s="7" t="s">
        <v>1419</v>
      </c>
    </row>
    <row r="76" customFormat="false" ht="15" hidden="false" customHeight="false" outlineLevel="0" collapsed="false">
      <c r="A76" s="7" t="s">
        <v>1506</v>
      </c>
      <c r="B76" s="8" t="n">
        <v>45817</v>
      </c>
      <c r="C76" s="7" t="s">
        <v>1417</v>
      </c>
      <c r="D76" s="7" t="s">
        <v>115</v>
      </c>
      <c r="E76" s="7" t="s">
        <v>68</v>
      </c>
      <c r="F76" s="7" t="s">
        <v>37</v>
      </c>
      <c r="G76" s="7" t="s">
        <v>1422</v>
      </c>
      <c r="H76" s="7" t="s">
        <v>1009</v>
      </c>
      <c r="I76" s="7" t="s">
        <v>295</v>
      </c>
      <c r="J76" s="7" t="n">
        <v>8.7</v>
      </c>
      <c r="K76" s="7" t="n">
        <v>4</v>
      </c>
      <c r="L76" s="7" t="s">
        <v>1419</v>
      </c>
    </row>
    <row r="77" customFormat="false" ht="15" hidden="false" customHeight="false" outlineLevel="0" collapsed="false">
      <c r="A77" s="7" t="s">
        <v>1507</v>
      </c>
      <c r="B77" s="8" t="n">
        <v>45336</v>
      </c>
      <c r="C77" s="7" t="s">
        <v>1421</v>
      </c>
      <c r="D77" s="7" t="s">
        <v>95</v>
      </c>
      <c r="E77" s="7" t="s">
        <v>68</v>
      </c>
      <c r="F77" s="7" t="s">
        <v>37</v>
      </c>
      <c r="G77" s="7" t="s">
        <v>1418</v>
      </c>
      <c r="H77" s="7" t="s">
        <v>1009</v>
      </c>
      <c r="I77" s="7" t="s">
        <v>289</v>
      </c>
      <c r="J77" s="7" t="n">
        <v>10.9</v>
      </c>
      <c r="K77" s="7" t="n">
        <v>4</v>
      </c>
      <c r="L77" s="7" t="s">
        <v>1419</v>
      </c>
    </row>
    <row r="78" customFormat="false" ht="15" hidden="false" customHeight="false" outlineLevel="0" collapsed="false">
      <c r="A78" s="7" t="s">
        <v>1508</v>
      </c>
      <c r="B78" s="8" t="n">
        <v>45699</v>
      </c>
      <c r="C78" s="7" t="s">
        <v>1424</v>
      </c>
      <c r="D78" s="7" t="s">
        <v>106</v>
      </c>
      <c r="E78" s="7" t="s">
        <v>60</v>
      </c>
      <c r="F78" s="7" t="s">
        <v>37</v>
      </c>
      <c r="G78" s="7" t="s">
        <v>1454</v>
      </c>
      <c r="H78" s="7" t="s">
        <v>1009</v>
      </c>
      <c r="I78" s="7" t="s">
        <v>271</v>
      </c>
      <c r="J78" s="7" t="n">
        <v>75.1</v>
      </c>
      <c r="K78" s="7" t="n">
        <v>3</v>
      </c>
      <c r="L78" s="7" t="s">
        <v>1419</v>
      </c>
    </row>
    <row r="79" customFormat="false" ht="15" hidden="false" customHeight="false" outlineLevel="0" collapsed="false">
      <c r="A79" s="7" t="s">
        <v>1509</v>
      </c>
      <c r="B79" s="8" t="n">
        <v>45628</v>
      </c>
      <c r="C79" s="7" t="s">
        <v>1432</v>
      </c>
      <c r="D79" s="7" t="s">
        <v>109</v>
      </c>
      <c r="E79" s="7" t="s">
        <v>68</v>
      </c>
      <c r="F79" s="7" t="s">
        <v>37</v>
      </c>
      <c r="G79" s="7" t="s">
        <v>1426</v>
      </c>
      <c r="H79" s="7" t="s">
        <v>1436</v>
      </c>
      <c r="I79" s="7" t="s">
        <v>275</v>
      </c>
      <c r="J79" s="7" t="n">
        <v>30.8</v>
      </c>
      <c r="K79" s="7" t="n">
        <v>5</v>
      </c>
      <c r="L79" s="7" t="s">
        <v>1419</v>
      </c>
    </row>
    <row r="80" customFormat="false" ht="15" hidden="false" customHeight="false" outlineLevel="0" collapsed="false">
      <c r="A80" s="7" t="s">
        <v>1510</v>
      </c>
      <c r="B80" s="8" t="n">
        <v>45946</v>
      </c>
      <c r="C80" s="7" t="s">
        <v>1424</v>
      </c>
      <c r="D80" s="7" t="s">
        <v>109</v>
      </c>
      <c r="E80" s="7" t="s">
        <v>75</v>
      </c>
      <c r="F80" s="7" t="s">
        <v>37</v>
      </c>
      <c r="G80" s="7" t="s">
        <v>1422</v>
      </c>
      <c r="H80" s="7" t="s">
        <v>1004</v>
      </c>
      <c r="I80" s="7" t="s">
        <v>297</v>
      </c>
      <c r="J80" s="7" t="n">
        <v>34.3</v>
      </c>
      <c r="K80" s="7" t="n">
        <v>5</v>
      </c>
      <c r="L80" s="7" t="s">
        <v>1419</v>
      </c>
    </row>
    <row r="81" customFormat="false" ht="15" hidden="false" customHeight="false" outlineLevel="0" collapsed="false">
      <c r="A81" s="7" t="s">
        <v>1511</v>
      </c>
      <c r="B81" s="8" t="n">
        <v>45702</v>
      </c>
      <c r="C81" s="7" t="s">
        <v>1428</v>
      </c>
      <c r="D81" s="7" t="s">
        <v>106</v>
      </c>
      <c r="E81" s="7" t="s">
        <v>65</v>
      </c>
      <c r="F81" s="7" t="s">
        <v>37</v>
      </c>
      <c r="G81" s="7" t="s">
        <v>1441</v>
      </c>
      <c r="H81" s="7" t="s">
        <v>1009</v>
      </c>
      <c r="I81" s="7" t="s">
        <v>273</v>
      </c>
      <c r="J81" s="7" t="n">
        <v>59</v>
      </c>
      <c r="K81" s="7" t="n">
        <v>3</v>
      </c>
      <c r="L81" s="7" t="s">
        <v>1419</v>
      </c>
    </row>
    <row r="82" customFormat="false" ht="15" hidden="false" customHeight="false" outlineLevel="0" collapsed="false">
      <c r="A82" s="7" t="s">
        <v>1512</v>
      </c>
      <c r="B82" s="8" t="n">
        <v>45530</v>
      </c>
      <c r="C82" s="7" t="s">
        <v>1421</v>
      </c>
      <c r="D82" s="7" t="s">
        <v>102</v>
      </c>
      <c r="E82" s="7" t="s">
        <v>87</v>
      </c>
      <c r="F82" s="7" t="s">
        <v>37</v>
      </c>
      <c r="G82" s="7" t="s">
        <v>1422</v>
      </c>
      <c r="H82" s="7" t="s">
        <v>1026</v>
      </c>
      <c r="I82" s="7" t="s">
        <v>279</v>
      </c>
      <c r="J82" s="7" t="n">
        <v>8.5</v>
      </c>
      <c r="K82" s="7" t="n">
        <v>1</v>
      </c>
      <c r="L82" s="7" t="s">
        <v>1419</v>
      </c>
    </row>
    <row r="83" customFormat="false" ht="15" hidden="false" customHeight="false" outlineLevel="0" collapsed="false">
      <c r="A83" s="7" t="s">
        <v>1513</v>
      </c>
      <c r="B83" s="8" t="n">
        <v>45716</v>
      </c>
      <c r="C83" s="7" t="s">
        <v>1435</v>
      </c>
      <c r="D83" s="7" t="s">
        <v>115</v>
      </c>
      <c r="E83" s="7" t="s">
        <v>65</v>
      </c>
      <c r="F83" s="7" t="s">
        <v>37</v>
      </c>
      <c r="G83" s="7" t="s">
        <v>1418</v>
      </c>
      <c r="H83" s="7" t="s">
        <v>1004</v>
      </c>
      <c r="I83" s="7" t="s">
        <v>285</v>
      </c>
      <c r="J83" s="7" t="n">
        <v>11.7</v>
      </c>
      <c r="K83" s="7" t="n">
        <v>1</v>
      </c>
      <c r="L83" s="7" t="s">
        <v>1419</v>
      </c>
    </row>
    <row r="84" customFormat="false" ht="15" hidden="false" customHeight="false" outlineLevel="0" collapsed="false">
      <c r="A84" s="7" t="s">
        <v>1514</v>
      </c>
      <c r="B84" s="8" t="n">
        <v>45379</v>
      </c>
      <c r="C84" s="7" t="s">
        <v>1432</v>
      </c>
      <c r="D84" s="7" t="s">
        <v>106</v>
      </c>
      <c r="E84" s="7" t="s">
        <v>79</v>
      </c>
      <c r="F84" s="7" t="s">
        <v>37</v>
      </c>
      <c r="G84" s="7" t="s">
        <v>1454</v>
      </c>
      <c r="H84" s="7" t="s">
        <v>1436</v>
      </c>
      <c r="I84" s="7" t="s">
        <v>263</v>
      </c>
      <c r="J84" s="7" t="n">
        <v>20.5</v>
      </c>
      <c r="K84" s="7" t="n">
        <v>2</v>
      </c>
      <c r="L84" s="7" t="s">
        <v>1419</v>
      </c>
    </row>
    <row r="85" customFormat="false" ht="15" hidden="false" customHeight="false" outlineLevel="0" collapsed="false">
      <c r="A85" s="7" t="s">
        <v>1515</v>
      </c>
      <c r="B85" s="8" t="n">
        <v>45785</v>
      </c>
      <c r="C85" s="7" t="s">
        <v>1432</v>
      </c>
      <c r="D85" s="7" t="s">
        <v>115</v>
      </c>
      <c r="E85" s="7" t="s">
        <v>68</v>
      </c>
      <c r="F85" s="7" t="s">
        <v>37</v>
      </c>
      <c r="G85" s="7" t="s">
        <v>1418</v>
      </c>
      <c r="H85" s="7" t="s">
        <v>1004</v>
      </c>
      <c r="I85" s="7" t="s">
        <v>271</v>
      </c>
      <c r="J85" s="7" t="n">
        <v>18.8</v>
      </c>
      <c r="K85" s="7" t="n">
        <v>3</v>
      </c>
      <c r="L85" s="7" t="s">
        <v>1013</v>
      </c>
    </row>
    <row r="86" customFormat="false" ht="15" hidden="false" customHeight="false" outlineLevel="0" collapsed="false">
      <c r="A86" s="7" t="s">
        <v>1516</v>
      </c>
      <c r="B86" s="8" t="n">
        <v>45878</v>
      </c>
      <c r="C86" s="7" t="s">
        <v>1435</v>
      </c>
      <c r="D86" s="7" t="s">
        <v>109</v>
      </c>
      <c r="E86" s="7" t="s">
        <v>83</v>
      </c>
      <c r="F86" s="7" t="s">
        <v>37</v>
      </c>
      <c r="G86" s="7" t="s">
        <v>1422</v>
      </c>
      <c r="H86" s="7" t="s">
        <v>1004</v>
      </c>
      <c r="I86" s="7" t="s">
        <v>271</v>
      </c>
      <c r="J86" s="7" t="n">
        <v>64.3</v>
      </c>
      <c r="K86" s="7" t="n">
        <v>4</v>
      </c>
      <c r="L86" s="7" t="s">
        <v>1419</v>
      </c>
    </row>
    <row r="87" customFormat="false" ht="15" hidden="false" customHeight="false" outlineLevel="0" collapsed="false">
      <c r="A87" s="7" t="s">
        <v>1517</v>
      </c>
      <c r="B87" s="8" t="n">
        <v>45391</v>
      </c>
      <c r="C87" s="7" t="s">
        <v>1424</v>
      </c>
      <c r="D87" s="7" t="s">
        <v>106</v>
      </c>
      <c r="E87" s="7" t="s">
        <v>75</v>
      </c>
      <c r="F87" s="7" t="s">
        <v>37</v>
      </c>
      <c r="G87" s="7" t="s">
        <v>1429</v>
      </c>
      <c r="H87" s="7" t="s">
        <v>1026</v>
      </c>
      <c r="I87" s="7" t="s">
        <v>275</v>
      </c>
      <c r="J87" s="7" t="n">
        <v>80.1</v>
      </c>
      <c r="K87" s="7" t="n">
        <v>2</v>
      </c>
      <c r="L87" s="7" t="s">
        <v>1419</v>
      </c>
    </row>
    <row r="88" customFormat="false" ht="15" hidden="false" customHeight="false" outlineLevel="0" collapsed="false">
      <c r="A88" s="7" t="s">
        <v>1518</v>
      </c>
      <c r="B88" s="8" t="n">
        <v>45598</v>
      </c>
      <c r="C88" s="7" t="s">
        <v>1428</v>
      </c>
      <c r="D88" s="7" t="s">
        <v>102</v>
      </c>
      <c r="E88" s="7" t="s">
        <v>87</v>
      </c>
      <c r="F88" s="7" t="s">
        <v>37</v>
      </c>
      <c r="G88" s="7" t="s">
        <v>1454</v>
      </c>
      <c r="H88" s="7" t="s">
        <v>1026</v>
      </c>
      <c r="I88" s="7" t="s">
        <v>275</v>
      </c>
      <c r="J88" s="7" t="n">
        <v>36.5</v>
      </c>
      <c r="K88" s="7" t="n">
        <v>5</v>
      </c>
      <c r="L88" s="7" t="s">
        <v>1419</v>
      </c>
    </row>
    <row r="89" customFormat="false" ht="15" hidden="false" customHeight="false" outlineLevel="0" collapsed="false">
      <c r="A89" s="7" t="s">
        <v>1519</v>
      </c>
      <c r="B89" s="8" t="n">
        <v>45330</v>
      </c>
      <c r="C89" s="7" t="s">
        <v>1421</v>
      </c>
      <c r="D89" s="7" t="s">
        <v>102</v>
      </c>
      <c r="E89" s="7" t="s">
        <v>60</v>
      </c>
      <c r="F89" s="7" t="s">
        <v>37</v>
      </c>
      <c r="G89" s="7" t="s">
        <v>1454</v>
      </c>
      <c r="H89" s="7" t="s">
        <v>1009</v>
      </c>
      <c r="I89" s="7" t="s">
        <v>297</v>
      </c>
      <c r="J89" s="7" t="n">
        <v>48</v>
      </c>
      <c r="K89" s="7" t="n">
        <v>1</v>
      </c>
      <c r="L89" s="7" t="s">
        <v>1419</v>
      </c>
    </row>
    <row r="90" customFormat="false" ht="15" hidden="false" customHeight="false" outlineLevel="0" collapsed="false">
      <c r="A90" s="7" t="s">
        <v>1520</v>
      </c>
      <c r="B90" s="8" t="n">
        <v>45609</v>
      </c>
      <c r="C90" s="7" t="s">
        <v>1417</v>
      </c>
      <c r="D90" s="7" t="s">
        <v>95</v>
      </c>
      <c r="E90" s="7" t="s">
        <v>83</v>
      </c>
      <c r="F90" s="7" t="s">
        <v>37</v>
      </c>
      <c r="G90" s="7" t="s">
        <v>1433</v>
      </c>
      <c r="H90" s="7" t="s">
        <v>1004</v>
      </c>
      <c r="I90" s="7" t="s">
        <v>265</v>
      </c>
      <c r="J90" s="7" t="n">
        <v>37.4</v>
      </c>
      <c r="K90" s="7" t="n">
        <v>5</v>
      </c>
      <c r="L90" s="7" t="s">
        <v>1013</v>
      </c>
    </row>
    <row r="91" customFormat="false" ht="15" hidden="false" customHeight="false" outlineLevel="0" collapsed="false">
      <c r="A91" s="7" t="s">
        <v>1521</v>
      </c>
      <c r="B91" s="8" t="n">
        <v>45332</v>
      </c>
      <c r="C91" s="7" t="s">
        <v>1421</v>
      </c>
      <c r="D91" s="7" t="s">
        <v>113</v>
      </c>
      <c r="E91" s="7" t="s">
        <v>60</v>
      </c>
      <c r="F91" s="7" t="s">
        <v>37</v>
      </c>
      <c r="G91" s="7" t="s">
        <v>1454</v>
      </c>
      <c r="H91" s="7" t="s">
        <v>1004</v>
      </c>
      <c r="I91" s="7" t="s">
        <v>297</v>
      </c>
      <c r="J91" s="7" t="n">
        <v>3.7</v>
      </c>
      <c r="K91" s="7" t="n">
        <v>2</v>
      </c>
      <c r="L91" s="7" t="s">
        <v>1442</v>
      </c>
    </row>
    <row r="92" customFormat="false" ht="15" hidden="false" customHeight="false" outlineLevel="0" collapsed="false">
      <c r="A92" s="7" t="s">
        <v>1522</v>
      </c>
      <c r="B92" s="8" t="n">
        <v>45778</v>
      </c>
      <c r="C92" s="7" t="s">
        <v>1424</v>
      </c>
      <c r="D92" s="7" t="s">
        <v>95</v>
      </c>
      <c r="E92" s="7" t="s">
        <v>68</v>
      </c>
      <c r="F92" s="7" t="s">
        <v>37</v>
      </c>
      <c r="G92" s="7" t="s">
        <v>1422</v>
      </c>
      <c r="H92" s="7" t="s">
        <v>1004</v>
      </c>
      <c r="I92" s="7" t="s">
        <v>269</v>
      </c>
      <c r="J92" s="7" t="n">
        <v>95.2</v>
      </c>
      <c r="K92" s="7" t="n">
        <v>4</v>
      </c>
      <c r="L92" s="7" t="s">
        <v>1419</v>
      </c>
    </row>
    <row r="93" customFormat="false" ht="15" hidden="false" customHeight="false" outlineLevel="0" collapsed="false">
      <c r="A93" s="7" t="s">
        <v>1523</v>
      </c>
      <c r="B93" s="8" t="n">
        <v>45305</v>
      </c>
      <c r="C93" s="7" t="s">
        <v>1424</v>
      </c>
      <c r="D93" s="7" t="s">
        <v>95</v>
      </c>
      <c r="E93" s="7" t="s">
        <v>71</v>
      </c>
      <c r="F93" s="7" t="s">
        <v>37</v>
      </c>
      <c r="G93" s="7" t="s">
        <v>1418</v>
      </c>
      <c r="H93" s="7" t="s">
        <v>1436</v>
      </c>
      <c r="I93" s="7" t="s">
        <v>267</v>
      </c>
      <c r="J93" s="7" t="n">
        <v>21.2</v>
      </c>
      <c r="K93" s="7" t="n">
        <v>4</v>
      </c>
      <c r="L93" s="7" t="s">
        <v>1419</v>
      </c>
    </row>
    <row r="94" customFormat="false" ht="15" hidden="false" customHeight="false" outlineLevel="0" collapsed="false">
      <c r="A94" s="7" t="s">
        <v>1524</v>
      </c>
      <c r="B94" s="8" t="n">
        <v>45857</v>
      </c>
      <c r="C94" s="7" t="s">
        <v>1424</v>
      </c>
      <c r="D94" s="7" t="s">
        <v>104</v>
      </c>
      <c r="E94" s="7" t="s">
        <v>60</v>
      </c>
      <c r="F94" s="7" t="s">
        <v>37</v>
      </c>
      <c r="G94" s="7" t="s">
        <v>1433</v>
      </c>
      <c r="H94" s="7" t="s">
        <v>1004</v>
      </c>
      <c r="I94" s="7" t="s">
        <v>287</v>
      </c>
      <c r="J94" s="7" t="n">
        <v>66.4</v>
      </c>
      <c r="K94" s="7" t="n">
        <v>5</v>
      </c>
      <c r="L94" s="7" t="s">
        <v>1419</v>
      </c>
    </row>
    <row r="95" customFormat="false" ht="15" hidden="false" customHeight="false" outlineLevel="0" collapsed="false">
      <c r="A95" s="7" t="s">
        <v>1525</v>
      </c>
      <c r="B95" s="8" t="n">
        <v>45707</v>
      </c>
      <c r="C95" s="7" t="s">
        <v>1432</v>
      </c>
      <c r="D95" s="7" t="s">
        <v>115</v>
      </c>
      <c r="E95" s="7" t="s">
        <v>60</v>
      </c>
      <c r="F95" s="7" t="s">
        <v>37</v>
      </c>
      <c r="G95" s="7" t="s">
        <v>1441</v>
      </c>
      <c r="H95" s="7" t="s">
        <v>1004</v>
      </c>
      <c r="I95" s="7" t="s">
        <v>295</v>
      </c>
      <c r="J95" s="7" t="n">
        <v>79.3</v>
      </c>
      <c r="K95" s="7" t="n">
        <v>5</v>
      </c>
      <c r="L95" s="7" t="s">
        <v>1419</v>
      </c>
    </row>
    <row r="96" customFormat="false" ht="15" hidden="false" customHeight="false" outlineLevel="0" collapsed="false">
      <c r="A96" s="7" t="s">
        <v>1526</v>
      </c>
      <c r="B96" s="8" t="n">
        <v>45551</v>
      </c>
      <c r="C96" s="7" t="s">
        <v>1428</v>
      </c>
      <c r="D96" s="7" t="s">
        <v>99</v>
      </c>
      <c r="E96" s="7" t="s">
        <v>68</v>
      </c>
      <c r="F96" s="7" t="s">
        <v>37</v>
      </c>
      <c r="G96" s="7" t="s">
        <v>1426</v>
      </c>
      <c r="H96" s="7" t="s">
        <v>1004</v>
      </c>
      <c r="I96" s="7" t="s">
        <v>263</v>
      </c>
      <c r="J96" s="7" t="n">
        <v>65.3</v>
      </c>
      <c r="K96" s="7" t="n">
        <v>5</v>
      </c>
      <c r="L96" s="7" t="s">
        <v>1013</v>
      </c>
    </row>
    <row r="97" customFormat="false" ht="15" hidden="false" customHeight="false" outlineLevel="0" collapsed="false">
      <c r="A97" s="7" t="s">
        <v>1527</v>
      </c>
      <c r="B97" s="8" t="n">
        <v>45746</v>
      </c>
      <c r="C97" s="7" t="s">
        <v>1424</v>
      </c>
      <c r="D97" s="7" t="s">
        <v>106</v>
      </c>
      <c r="E97" s="7" t="s">
        <v>83</v>
      </c>
      <c r="F97" s="7" t="s">
        <v>37</v>
      </c>
      <c r="G97" s="7" t="s">
        <v>1433</v>
      </c>
      <c r="H97" s="7" t="s">
        <v>1026</v>
      </c>
      <c r="I97" s="7" t="s">
        <v>275</v>
      </c>
      <c r="J97" s="7" t="n">
        <v>3.5</v>
      </c>
      <c r="K97" s="7" t="n">
        <v>1</v>
      </c>
      <c r="L97" s="7" t="s">
        <v>1419</v>
      </c>
    </row>
    <row r="98" customFormat="false" ht="15" hidden="false" customHeight="false" outlineLevel="0" collapsed="false">
      <c r="A98" s="7" t="s">
        <v>1528</v>
      </c>
      <c r="B98" s="8" t="n">
        <v>45873</v>
      </c>
      <c r="C98" s="7" t="s">
        <v>1435</v>
      </c>
      <c r="D98" s="7" t="s">
        <v>102</v>
      </c>
      <c r="E98" s="7" t="s">
        <v>65</v>
      </c>
      <c r="F98" s="7" t="s">
        <v>37</v>
      </c>
      <c r="G98" s="7" t="s">
        <v>1429</v>
      </c>
      <c r="H98" s="7" t="s">
        <v>1026</v>
      </c>
      <c r="I98" s="7" t="s">
        <v>277</v>
      </c>
      <c r="J98" s="7" t="n">
        <v>9.3</v>
      </c>
      <c r="K98" s="7" t="n">
        <v>3</v>
      </c>
      <c r="L98" s="7" t="s">
        <v>1419</v>
      </c>
    </row>
    <row r="99" customFormat="false" ht="15" hidden="false" customHeight="false" outlineLevel="0" collapsed="false">
      <c r="A99" s="7" t="s">
        <v>1529</v>
      </c>
      <c r="B99" s="8" t="n">
        <v>45960</v>
      </c>
      <c r="C99" s="7" t="s">
        <v>1424</v>
      </c>
      <c r="D99" s="7" t="s">
        <v>95</v>
      </c>
      <c r="E99" s="7" t="s">
        <v>79</v>
      </c>
      <c r="F99" s="7" t="s">
        <v>37</v>
      </c>
      <c r="G99" s="7" t="s">
        <v>1433</v>
      </c>
      <c r="H99" s="7" t="s">
        <v>1004</v>
      </c>
      <c r="I99" s="7" t="s">
        <v>297</v>
      </c>
      <c r="J99" s="7" t="n">
        <v>40.3</v>
      </c>
      <c r="K99" s="7" t="n">
        <v>2</v>
      </c>
      <c r="L99" s="7" t="s">
        <v>1419</v>
      </c>
    </row>
    <row r="100" customFormat="false" ht="15" hidden="false" customHeight="false" outlineLevel="0" collapsed="false">
      <c r="A100" s="7" t="s">
        <v>1530</v>
      </c>
      <c r="B100" s="8" t="n">
        <v>45984</v>
      </c>
      <c r="C100" s="7" t="s">
        <v>1428</v>
      </c>
      <c r="D100" s="7" t="s">
        <v>115</v>
      </c>
      <c r="E100" s="7" t="s">
        <v>65</v>
      </c>
      <c r="F100" s="7" t="s">
        <v>37</v>
      </c>
      <c r="G100" s="7" t="s">
        <v>1454</v>
      </c>
      <c r="H100" s="7" t="s">
        <v>1004</v>
      </c>
      <c r="I100" s="7" t="s">
        <v>285</v>
      </c>
      <c r="J100" s="7" t="n">
        <v>9.8</v>
      </c>
      <c r="K100" s="7" t="n">
        <v>1</v>
      </c>
      <c r="L100" s="7" t="s">
        <v>1419</v>
      </c>
    </row>
    <row r="101" customFormat="false" ht="15" hidden="false" customHeight="false" outlineLevel="0" collapsed="false">
      <c r="A101" s="7" t="s">
        <v>1531</v>
      </c>
      <c r="B101" s="8" t="n">
        <v>45989</v>
      </c>
      <c r="C101" s="7" t="s">
        <v>1435</v>
      </c>
      <c r="D101" s="7" t="s">
        <v>102</v>
      </c>
      <c r="E101" s="7" t="s">
        <v>79</v>
      </c>
      <c r="F101" s="7" t="s">
        <v>37</v>
      </c>
      <c r="G101" s="7" t="s">
        <v>1433</v>
      </c>
      <c r="H101" s="7" t="s">
        <v>1004</v>
      </c>
      <c r="I101" s="7" t="s">
        <v>275</v>
      </c>
      <c r="J101" s="7" t="n">
        <v>46.3</v>
      </c>
      <c r="K101" s="7" t="n">
        <v>4</v>
      </c>
      <c r="L101" s="7" t="s">
        <v>1419</v>
      </c>
    </row>
    <row r="102" customFormat="false" ht="15" hidden="false" customHeight="false" outlineLevel="0" collapsed="false">
      <c r="A102" s="7" t="s">
        <v>1532</v>
      </c>
      <c r="B102" s="8" t="n">
        <v>45616</v>
      </c>
      <c r="C102" s="7" t="s">
        <v>1435</v>
      </c>
      <c r="D102" s="7" t="s">
        <v>104</v>
      </c>
      <c r="E102" s="7" t="s">
        <v>87</v>
      </c>
      <c r="F102" s="7" t="s">
        <v>37</v>
      </c>
      <c r="G102" s="7" t="s">
        <v>1441</v>
      </c>
      <c r="H102" s="7" t="s">
        <v>1009</v>
      </c>
      <c r="I102" s="7" t="s">
        <v>293</v>
      </c>
      <c r="J102" s="7" t="n">
        <v>37.9</v>
      </c>
      <c r="K102" s="7" t="n">
        <v>4</v>
      </c>
      <c r="L102" s="7" t="s">
        <v>1419</v>
      </c>
    </row>
    <row r="103" customFormat="false" ht="15" hidden="false" customHeight="false" outlineLevel="0" collapsed="false">
      <c r="A103" s="7" t="s">
        <v>1533</v>
      </c>
      <c r="B103" s="8" t="n">
        <v>45761</v>
      </c>
      <c r="C103" s="7" t="s">
        <v>1417</v>
      </c>
      <c r="D103" s="7" t="s">
        <v>115</v>
      </c>
      <c r="E103" s="7" t="s">
        <v>79</v>
      </c>
      <c r="F103" s="7" t="s">
        <v>37</v>
      </c>
      <c r="G103" s="7" t="s">
        <v>1418</v>
      </c>
      <c r="H103" s="7" t="s">
        <v>1004</v>
      </c>
      <c r="I103" s="7" t="s">
        <v>293</v>
      </c>
      <c r="J103" s="7" t="n">
        <v>74.2</v>
      </c>
      <c r="K103" s="7" t="n">
        <v>2</v>
      </c>
      <c r="L103" s="7" t="s">
        <v>1442</v>
      </c>
    </row>
    <row r="104" customFormat="false" ht="15" hidden="false" customHeight="false" outlineLevel="0" collapsed="false">
      <c r="A104" s="7" t="s">
        <v>1534</v>
      </c>
      <c r="B104" s="8" t="n">
        <v>45591</v>
      </c>
      <c r="C104" s="7" t="s">
        <v>1435</v>
      </c>
      <c r="D104" s="7" t="s">
        <v>106</v>
      </c>
      <c r="E104" s="7" t="s">
        <v>68</v>
      </c>
      <c r="F104" s="7" t="s">
        <v>37</v>
      </c>
      <c r="G104" s="7" t="s">
        <v>1422</v>
      </c>
      <c r="H104" s="7" t="s">
        <v>1436</v>
      </c>
      <c r="I104" s="7" t="s">
        <v>267</v>
      </c>
      <c r="J104" s="7" t="n">
        <v>20.1</v>
      </c>
      <c r="K104" s="7" t="n">
        <v>2</v>
      </c>
      <c r="L104" s="7" t="s">
        <v>1442</v>
      </c>
    </row>
    <row r="105" customFormat="false" ht="15" hidden="false" customHeight="false" outlineLevel="0" collapsed="false">
      <c r="A105" s="7" t="s">
        <v>1535</v>
      </c>
      <c r="B105" s="8" t="n">
        <v>45368</v>
      </c>
      <c r="C105" s="7" t="s">
        <v>1421</v>
      </c>
      <c r="D105" s="7" t="s">
        <v>95</v>
      </c>
      <c r="E105" s="7" t="s">
        <v>75</v>
      </c>
      <c r="F105" s="7" t="s">
        <v>37</v>
      </c>
      <c r="G105" s="7" t="s">
        <v>1454</v>
      </c>
      <c r="H105" s="7" t="s">
        <v>1009</v>
      </c>
      <c r="I105" s="7" t="s">
        <v>281</v>
      </c>
      <c r="J105" s="7" t="n">
        <v>18.5</v>
      </c>
      <c r="K105" s="7" t="n">
        <v>4</v>
      </c>
      <c r="L105" s="7" t="s">
        <v>1419</v>
      </c>
    </row>
    <row r="106" customFormat="false" ht="15" hidden="false" customHeight="false" outlineLevel="0" collapsed="false">
      <c r="A106" s="7" t="s">
        <v>1536</v>
      </c>
      <c r="B106" s="8" t="n">
        <v>45873</v>
      </c>
      <c r="C106" s="7" t="s">
        <v>1428</v>
      </c>
      <c r="D106" s="7" t="s">
        <v>95</v>
      </c>
      <c r="E106" s="7" t="s">
        <v>65</v>
      </c>
      <c r="F106" s="7" t="s">
        <v>37</v>
      </c>
      <c r="G106" s="7" t="s">
        <v>1418</v>
      </c>
      <c r="H106" s="7" t="s">
        <v>1004</v>
      </c>
      <c r="I106" s="7" t="s">
        <v>281</v>
      </c>
      <c r="J106" s="7" t="n">
        <v>53</v>
      </c>
      <c r="K106" s="7" t="n">
        <v>5</v>
      </c>
      <c r="L106" s="7" t="s">
        <v>1419</v>
      </c>
    </row>
    <row r="107" customFormat="false" ht="15" hidden="false" customHeight="false" outlineLevel="0" collapsed="false">
      <c r="A107" s="7" t="s">
        <v>1537</v>
      </c>
      <c r="B107" s="8" t="n">
        <v>45886</v>
      </c>
      <c r="C107" s="7" t="s">
        <v>1421</v>
      </c>
      <c r="D107" s="7" t="s">
        <v>113</v>
      </c>
      <c r="E107" s="7" t="s">
        <v>68</v>
      </c>
      <c r="F107" s="7" t="s">
        <v>37</v>
      </c>
      <c r="G107" s="7" t="s">
        <v>1429</v>
      </c>
      <c r="H107" s="7" t="s">
        <v>1026</v>
      </c>
      <c r="I107" s="7" t="s">
        <v>271</v>
      </c>
      <c r="J107" s="7" t="n">
        <v>6.5</v>
      </c>
      <c r="K107" s="7" t="n">
        <v>4</v>
      </c>
      <c r="L107" s="7" t="s">
        <v>1419</v>
      </c>
    </row>
    <row r="108" customFormat="false" ht="15" hidden="false" customHeight="false" outlineLevel="0" collapsed="false">
      <c r="A108" s="7" t="s">
        <v>1538</v>
      </c>
      <c r="B108" s="8" t="n">
        <v>45741</v>
      </c>
      <c r="C108" s="7" t="s">
        <v>1435</v>
      </c>
      <c r="D108" s="7" t="s">
        <v>95</v>
      </c>
      <c r="E108" s="7" t="s">
        <v>75</v>
      </c>
      <c r="F108" s="7" t="s">
        <v>37</v>
      </c>
      <c r="G108" s="7" t="s">
        <v>1429</v>
      </c>
      <c r="H108" s="7" t="s">
        <v>1004</v>
      </c>
      <c r="I108" s="7" t="s">
        <v>287</v>
      </c>
      <c r="J108" s="7" t="n">
        <v>25.7</v>
      </c>
      <c r="K108" s="7" t="n">
        <v>1</v>
      </c>
      <c r="L108" s="7" t="s">
        <v>1419</v>
      </c>
    </row>
    <row r="109" customFormat="false" ht="15" hidden="false" customHeight="false" outlineLevel="0" collapsed="false">
      <c r="A109" s="7" t="s">
        <v>1539</v>
      </c>
      <c r="B109" s="8" t="n">
        <v>45935</v>
      </c>
      <c r="C109" s="7" t="s">
        <v>1421</v>
      </c>
      <c r="D109" s="7" t="s">
        <v>115</v>
      </c>
      <c r="E109" s="7" t="s">
        <v>68</v>
      </c>
      <c r="F109" s="7" t="s">
        <v>37</v>
      </c>
      <c r="G109" s="7" t="s">
        <v>1429</v>
      </c>
      <c r="H109" s="7" t="s">
        <v>1009</v>
      </c>
      <c r="I109" s="7" t="s">
        <v>285</v>
      </c>
      <c r="J109" s="7" t="n">
        <v>87.7</v>
      </c>
      <c r="K109" s="7" t="n">
        <v>5</v>
      </c>
      <c r="L109" s="7" t="s">
        <v>1419</v>
      </c>
    </row>
    <row r="110" customFormat="false" ht="15" hidden="false" customHeight="false" outlineLevel="0" collapsed="false">
      <c r="A110" s="7" t="s">
        <v>1540</v>
      </c>
      <c r="B110" s="8" t="n">
        <v>45419</v>
      </c>
      <c r="C110" s="7" t="s">
        <v>1428</v>
      </c>
      <c r="D110" s="7" t="s">
        <v>95</v>
      </c>
      <c r="E110" s="7" t="s">
        <v>60</v>
      </c>
      <c r="F110" s="7" t="s">
        <v>37</v>
      </c>
      <c r="G110" s="7" t="s">
        <v>1422</v>
      </c>
      <c r="H110" s="7" t="s">
        <v>1009</v>
      </c>
      <c r="I110" s="7" t="s">
        <v>279</v>
      </c>
      <c r="J110" s="7" t="n">
        <v>1.2</v>
      </c>
      <c r="K110" s="7" t="n">
        <v>1</v>
      </c>
      <c r="L110" s="7" t="s">
        <v>1419</v>
      </c>
    </row>
    <row r="111" customFormat="false" ht="15" hidden="false" customHeight="false" outlineLevel="0" collapsed="false">
      <c r="A111" s="7" t="s">
        <v>1541</v>
      </c>
      <c r="B111" s="8" t="n">
        <v>45599</v>
      </c>
      <c r="C111" s="7" t="s">
        <v>1435</v>
      </c>
      <c r="D111" s="7" t="s">
        <v>115</v>
      </c>
      <c r="E111" s="7" t="s">
        <v>68</v>
      </c>
      <c r="F111" s="7" t="s">
        <v>37</v>
      </c>
      <c r="G111" s="7" t="s">
        <v>1426</v>
      </c>
      <c r="H111" s="7" t="s">
        <v>1004</v>
      </c>
      <c r="I111" s="7" t="s">
        <v>269</v>
      </c>
      <c r="J111" s="7" t="n">
        <v>47.6</v>
      </c>
      <c r="K111" s="7" t="n">
        <v>5</v>
      </c>
      <c r="L111" s="7" t="s">
        <v>1013</v>
      </c>
    </row>
    <row r="112" customFormat="false" ht="15" hidden="false" customHeight="false" outlineLevel="0" collapsed="false">
      <c r="A112" s="7" t="s">
        <v>1542</v>
      </c>
      <c r="B112" s="8" t="n">
        <v>45459</v>
      </c>
      <c r="C112" s="7" t="s">
        <v>1428</v>
      </c>
      <c r="D112" s="7" t="s">
        <v>104</v>
      </c>
      <c r="E112" s="7" t="s">
        <v>68</v>
      </c>
      <c r="F112" s="7" t="s">
        <v>37</v>
      </c>
      <c r="G112" s="7" t="s">
        <v>1422</v>
      </c>
      <c r="H112" s="7" t="s">
        <v>1009</v>
      </c>
      <c r="I112" s="7" t="s">
        <v>269</v>
      </c>
      <c r="J112" s="7" t="n">
        <v>21.5</v>
      </c>
      <c r="K112" s="7" t="n">
        <v>2</v>
      </c>
      <c r="L112" s="7" t="s">
        <v>1419</v>
      </c>
    </row>
    <row r="113" customFormat="false" ht="15" hidden="false" customHeight="false" outlineLevel="0" collapsed="false">
      <c r="A113" s="7" t="s">
        <v>1543</v>
      </c>
      <c r="B113" s="8" t="n">
        <v>45302</v>
      </c>
      <c r="C113" s="7" t="s">
        <v>1428</v>
      </c>
      <c r="D113" s="7" t="s">
        <v>109</v>
      </c>
      <c r="E113" s="7" t="s">
        <v>79</v>
      </c>
      <c r="F113" s="7" t="s">
        <v>37</v>
      </c>
      <c r="G113" s="7" t="s">
        <v>1429</v>
      </c>
      <c r="H113" s="7" t="s">
        <v>1004</v>
      </c>
      <c r="I113" s="7" t="s">
        <v>281</v>
      </c>
      <c r="J113" s="7" t="n">
        <v>49</v>
      </c>
      <c r="K113" s="7" t="n">
        <v>2</v>
      </c>
      <c r="L113" s="7" t="s">
        <v>1442</v>
      </c>
    </row>
    <row r="114" customFormat="false" ht="15" hidden="false" customHeight="false" outlineLevel="0" collapsed="false">
      <c r="A114" s="7" t="s">
        <v>1544</v>
      </c>
      <c r="B114" s="8" t="n">
        <v>45676</v>
      </c>
      <c r="C114" s="7" t="s">
        <v>1417</v>
      </c>
      <c r="D114" s="7" t="s">
        <v>106</v>
      </c>
      <c r="E114" s="7" t="s">
        <v>68</v>
      </c>
      <c r="F114" s="7" t="s">
        <v>37</v>
      </c>
      <c r="G114" s="7" t="s">
        <v>1422</v>
      </c>
      <c r="H114" s="7" t="s">
        <v>1009</v>
      </c>
      <c r="I114" s="7" t="s">
        <v>263</v>
      </c>
      <c r="J114" s="7" t="n">
        <v>14.8</v>
      </c>
      <c r="K114" s="7" t="n">
        <v>5</v>
      </c>
      <c r="L114" s="7" t="s">
        <v>1419</v>
      </c>
    </row>
    <row r="115" customFormat="false" ht="15" hidden="false" customHeight="false" outlineLevel="0" collapsed="false">
      <c r="A115" s="7" t="s">
        <v>1545</v>
      </c>
      <c r="B115" s="8" t="n">
        <v>45362</v>
      </c>
      <c r="C115" s="7" t="s">
        <v>1428</v>
      </c>
      <c r="D115" s="7" t="s">
        <v>115</v>
      </c>
      <c r="E115" s="7" t="s">
        <v>87</v>
      </c>
      <c r="F115" s="7" t="s">
        <v>37</v>
      </c>
      <c r="G115" s="7" t="s">
        <v>1454</v>
      </c>
      <c r="H115" s="7" t="s">
        <v>1026</v>
      </c>
      <c r="I115" s="7" t="s">
        <v>267</v>
      </c>
      <c r="J115" s="7" t="n">
        <v>95.5</v>
      </c>
      <c r="K115" s="7" t="n">
        <v>2</v>
      </c>
      <c r="L115" s="7" t="s">
        <v>1419</v>
      </c>
    </row>
    <row r="116" customFormat="false" ht="15" hidden="false" customHeight="false" outlineLevel="0" collapsed="false">
      <c r="A116" s="7" t="s">
        <v>1546</v>
      </c>
      <c r="B116" s="8" t="n">
        <v>45861</v>
      </c>
      <c r="C116" s="7" t="s">
        <v>1432</v>
      </c>
      <c r="D116" s="7" t="s">
        <v>115</v>
      </c>
      <c r="E116" s="7" t="s">
        <v>71</v>
      </c>
      <c r="F116" s="7" t="s">
        <v>37</v>
      </c>
      <c r="G116" s="7" t="s">
        <v>1422</v>
      </c>
      <c r="H116" s="7" t="s">
        <v>1009</v>
      </c>
      <c r="I116" s="7" t="s">
        <v>285</v>
      </c>
      <c r="J116" s="7" t="n">
        <v>71.9</v>
      </c>
      <c r="K116" s="7" t="n">
        <v>1</v>
      </c>
      <c r="L116" s="7" t="s">
        <v>1419</v>
      </c>
    </row>
    <row r="117" customFormat="false" ht="15" hidden="false" customHeight="false" outlineLevel="0" collapsed="false">
      <c r="A117" s="7" t="s">
        <v>1547</v>
      </c>
      <c r="B117" s="8" t="n">
        <v>45544</v>
      </c>
      <c r="C117" s="7" t="s">
        <v>1435</v>
      </c>
      <c r="D117" s="7" t="s">
        <v>95</v>
      </c>
      <c r="E117" s="7" t="s">
        <v>65</v>
      </c>
      <c r="F117" s="7" t="s">
        <v>37</v>
      </c>
      <c r="G117" s="7" t="s">
        <v>1433</v>
      </c>
      <c r="H117" s="7" t="s">
        <v>1004</v>
      </c>
      <c r="I117" s="7" t="s">
        <v>293</v>
      </c>
      <c r="J117" s="7" t="n">
        <v>45.4</v>
      </c>
      <c r="K117" s="7" t="n">
        <v>3</v>
      </c>
      <c r="L117" s="7" t="s">
        <v>1419</v>
      </c>
    </row>
    <row r="118" customFormat="false" ht="15" hidden="false" customHeight="false" outlineLevel="0" collapsed="false">
      <c r="A118" s="7" t="s">
        <v>1548</v>
      </c>
      <c r="B118" s="8" t="n">
        <v>45828</v>
      </c>
      <c r="C118" s="7" t="s">
        <v>1424</v>
      </c>
      <c r="D118" s="7" t="s">
        <v>99</v>
      </c>
      <c r="E118" s="7" t="s">
        <v>68</v>
      </c>
      <c r="F118" s="7" t="s">
        <v>37</v>
      </c>
      <c r="G118" s="7" t="s">
        <v>1418</v>
      </c>
      <c r="H118" s="7" t="s">
        <v>1004</v>
      </c>
      <c r="I118" s="7" t="s">
        <v>271</v>
      </c>
      <c r="J118" s="7" t="n">
        <v>29.6</v>
      </c>
      <c r="K118" s="7" t="n">
        <v>1</v>
      </c>
      <c r="L118" s="7" t="s">
        <v>1013</v>
      </c>
    </row>
    <row r="119" customFormat="false" ht="15" hidden="false" customHeight="false" outlineLevel="0" collapsed="false">
      <c r="A119" s="7" t="s">
        <v>1549</v>
      </c>
      <c r="B119" s="8" t="n">
        <v>45294</v>
      </c>
      <c r="C119" s="7" t="s">
        <v>1432</v>
      </c>
      <c r="D119" s="7" t="s">
        <v>104</v>
      </c>
      <c r="E119" s="7" t="s">
        <v>60</v>
      </c>
      <c r="F119" s="7" t="s">
        <v>37</v>
      </c>
      <c r="G119" s="7" t="s">
        <v>1418</v>
      </c>
      <c r="H119" s="7" t="s">
        <v>1004</v>
      </c>
      <c r="I119" s="7" t="s">
        <v>275</v>
      </c>
      <c r="J119" s="7" t="n">
        <v>45</v>
      </c>
      <c r="K119" s="7" t="n">
        <v>3</v>
      </c>
      <c r="L119" s="7" t="s">
        <v>1419</v>
      </c>
    </row>
    <row r="120" customFormat="false" ht="15" hidden="false" customHeight="false" outlineLevel="0" collapsed="false">
      <c r="A120" s="7" t="s">
        <v>1550</v>
      </c>
      <c r="B120" s="8" t="n">
        <v>46008</v>
      </c>
      <c r="C120" s="7" t="s">
        <v>1417</v>
      </c>
      <c r="D120" s="7" t="s">
        <v>113</v>
      </c>
      <c r="E120" s="7" t="s">
        <v>87</v>
      </c>
      <c r="F120" s="7" t="s">
        <v>37</v>
      </c>
      <c r="G120" s="7" t="s">
        <v>1454</v>
      </c>
      <c r="H120" s="7" t="s">
        <v>1004</v>
      </c>
      <c r="I120" s="7" t="s">
        <v>275</v>
      </c>
      <c r="J120" s="7" t="n">
        <v>91.5</v>
      </c>
      <c r="K120" s="7" t="n">
        <v>4</v>
      </c>
      <c r="L120" s="7" t="s">
        <v>1013</v>
      </c>
    </row>
    <row r="121" customFormat="false" ht="15" hidden="false" customHeight="false" outlineLevel="0" collapsed="false">
      <c r="A121" s="7" t="s">
        <v>1551</v>
      </c>
      <c r="B121" s="8" t="n">
        <v>45619</v>
      </c>
      <c r="C121" s="7" t="s">
        <v>1432</v>
      </c>
      <c r="D121" s="7" t="s">
        <v>99</v>
      </c>
      <c r="E121" s="7" t="s">
        <v>68</v>
      </c>
      <c r="F121" s="7" t="s">
        <v>37</v>
      </c>
      <c r="G121" s="7" t="s">
        <v>1433</v>
      </c>
      <c r="H121" s="7" t="s">
        <v>1004</v>
      </c>
      <c r="I121" s="7" t="s">
        <v>291</v>
      </c>
      <c r="J121" s="7" t="n">
        <v>28.8</v>
      </c>
      <c r="K121" s="7" t="n">
        <v>4</v>
      </c>
      <c r="L121" s="7" t="s">
        <v>1419</v>
      </c>
    </row>
    <row r="122" customFormat="false" ht="15" hidden="false" customHeight="false" outlineLevel="0" collapsed="false">
      <c r="A122" s="7" t="s">
        <v>1552</v>
      </c>
      <c r="B122" s="8" t="n">
        <v>45718</v>
      </c>
      <c r="C122" s="7" t="s">
        <v>1428</v>
      </c>
      <c r="D122" s="7" t="s">
        <v>106</v>
      </c>
      <c r="E122" s="7" t="s">
        <v>75</v>
      </c>
      <c r="F122" s="7" t="s">
        <v>37</v>
      </c>
      <c r="G122" s="7" t="s">
        <v>1441</v>
      </c>
      <c r="H122" s="7" t="s">
        <v>1026</v>
      </c>
      <c r="I122" s="7" t="s">
        <v>265</v>
      </c>
      <c r="J122" s="7" t="n">
        <v>29</v>
      </c>
      <c r="K122" s="7" t="n">
        <v>5</v>
      </c>
      <c r="L122" s="7" t="s">
        <v>1419</v>
      </c>
    </row>
    <row r="123" customFormat="false" ht="15" hidden="false" customHeight="false" outlineLevel="0" collapsed="false">
      <c r="A123" s="7" t="s">
        <v>1553</v>
      </c>
      <c r="B123" s="8" t="n">
        <v>45421</v>
      </c>
      <c r="C123" s="7" t="s">
        <v>1435</v>
      </c>
      <c r="D123" s="7" t="s">
        <v>113</v>
      </c>
      <c r="E123" s="7" t="s">
        <v>79</v>
      </c>
      <c r="F123" s="7" t="s">
        <v>37</v>
      </c>
      <c r="G123" s="7" t="s">
        <v>1454</v>
      </c>
      <c r="H123" s="7" t="s">
        <v>1004</v>
      </c>
      <c r="I123" s="7" t="s">
        <v>297</v>
      </c>
      <c r="J123" s="7" t="n">
        <v>33.5</v>
      </c>
      <c r="K123" s="7" t="n">
        <v>1</v>
      </c>
      <c r="L123" s="7" t="s">
        <v>1419</v>
      </c>
    </row>
    <row r="124" customFormat="false" ht="15" hidden="false" customHeight="false" outlineLevel="0" collapsed="false">
      <c r="A124" s="7" t="s">
        <v>1554</v>
      </c>
      <c r="B124" s="8" t="n">
        <v>45315</v>
      </c>
      <c r="C124" s="7" t="s">
        <v>1432</v>
      </c>
      <c r="D124" s="7" t="s">
        <v>113</v>
      </c>
      <c r="E124" s="7" t="s">
        <v>65</v>
      </c>
      <c r="F124" s="7" t="s">
        <v>37</v>
      </c>
      <c r="G124" s="7" t="s">
        <v>1429</v>
      </c>
      <c r="H124" s="7" t="s">
        <v>1026</v>
      </c>
      <c r="I124" s="7" t="s">
        <v>277</v>
      </c>
      <c r="J124" s="7" t="n">
        <v>53.9</v>
      </c>
      <c r="K124" s="7" t="n">
        <v>2</v>
      </c>
      <c r="L124" s="7" t="s">
        <v>1419</v>
      </c>
    </row>
    <row r="125" customFormat="false" ht="15" hidden="false" customHeight="false" outlineLevel="0" collapsed="false">
      <c r="A125" s="7" t="s">
        <v>1555</v>
      </c>
      <c r="B125" s="8" t="n">
        <v>45972</v>
      </c>
      <c r="C125" s="7" t="s">
        <v>1435</v>
      </c>
      <c r="D125" s="7" t="s">
        <v>99</v>
      </c>
      <c r="E125" s="7" t="s">
        <v>60</v>
      </c>
      <c r="F125" s="7" t="s">
        <v>37</v>
      </c>
      <c r="G125" s="7" t="s">
        <v>1418</v>
      </c>
      <c r="H125" s="7" t="s">
        <v>1009</v>
      </c>
      <c r="I125" s="7" t="s">
        <v>277</v>
      </c>
      <c r="J125" s="7" t="n">
        <v>66.5</v>
      </c>
      <c r="K125" s="7" t="n">
        <v>3</v>
      </c>
      <c r="L125" s="7" t="s">
        <v>1419</v>
      </c>
    </row>
    <row r="126" customFormat="false" ht="15" hidden="false" customHeight="false" outlineLevel="0" collapsed="false">
      <c r="A126" s="7" t="s">
        <v>1556</v>
      </c>
      <c r="B126" s="8" t="n">
        <v>45622</v>
      </c>
      <c r="C126" s="7" t="s">
        <v>1417</v>
      </c>
      <c r="D126" s="7" t="s">
        <v>115</v>
      </c>
      <c r="E126" s="7" t="s">
        <v>68</v>
      </c>
      <c r="F126" s="7" t="s">
        <v>37</v>
      </c>
      <c r="G126" s="7" t="s">
        <v>1422</v>
      </c>
      <c r="H126" s="7" t="s">
        <v>1009</v>
      </c>
      <c r="I126" s="7" t="s">
        <v>293</v>
      </c>
      <c r="J126" s="7" t="n">
        <v>8.1</v>
      </c>
      <c r="K126" s="7" t="n">
        <v>5</v>
      </c>
      <c r="L126" s="7" t="s">
        <v>1419</v>
      </c>
    </row>
    <row r="127" customFormat="false" ht="15" hidden="false" customHeight="false" outlineLevel="0" collapsed="false">
      <c r="A127" s="7" t="s">
        <v>1557</v>
      </c>
      <c r="B127" s="8" t="n">
        <v>45738</v>
      </c>
      <c r="C127" s="7" t="s">
        <v>1421</v>
      </c>
      <c r="D127" s="7" t="s">
        <v>106</v>
      </c>
      <c r="E127" s="7" t="s">
        <v>68</v>
      </c>
      <c r="F127" s="7" t="s">
        <v>37</v>
      </c>
      <c r="G127" s="7" t="s">
        <v>1426</v>
      </c>
      <c r="H127" s="7" t="s">
        <v>1026</v>
      </c>
      <c r="I127" s="7" t="s">
        <v>283</v>
      </c>
      <c r="J127" s="7" t="n">
        <v>72.3</v>
      </c>
      <c r="K127" s="7" t="n">
        <v>5</v>
      </c>
      <c r="L127" s="7" t="s">
        <v>1442</v>
      </c>
    </row>
    <row r="128" customFormat="false" ht="15" hidden="false" customHeight="false" outlineLevel="0" collapsed="false">
      <c r="A128" s="7" t="s">
        <v>1558</v>
      </c>
      <c r="B128" s="8" t="n">
        <v>45887</v>
      </c>
      <c r="C128" s="7" t="s">
        <v>1424</v>
      </c>
      <c r="D128" s="7" t="s">
        <v>106</v>
      </c>
      <c r="E128" s="7" t="s">
        <v>75</v>
      </c>
      <c r="F128" s="7" t="s">
        <v>37</v>
      </c>
      <c r="G128" s="7" t="s">
        <v>1426</v>
      </c>
      <c r="H128" s="7" t="s">
        <v>1004</v>
      </c>
      <c r="I128" s="7" t="s">
        <v>283</v>
      </c>
      <c r="J128" s="7" t="n">
        <v>93.3</v>
      </c>
      <c r="K128" s="7" t="n">
        <v>1</v>
      </c>
      <c r="L128" s="7" t="s">
        <v>1419</v>
      </c>
    </row>
    <row r="129" customFormat="false" ht="15" hidden="false" customHeight="false" outlineLevel="0" collapsed="false">
      <c r="A129" s="7" t="s">
        <v>1559</v>
      </c>
      <c r="B129" s="8" t="n">
        <v>46010</v>
      </c>
      <c r="C129" s="7" t="s">
        <v>1435</v>
      </c>
      <c r="D129" s="7" t="s">
        <v>99</v>
      </c>
      <c r="E129" s="7" t="s">
        <v>75</v>
      </c>
      <c r="F129" s="7" t="s">
        <v>37</v>
      </c>
      <c r="G129" s="7" t="s">
        <v>1454</v>
      </c>
      <c r="H129" s="7" t="s">
        <v>1004</v>
      </c>
      <c r="I129" s="7" t="s">
        <v>285</v>
      </c>
      <c r="J129" s="7" t="n">
        <v>64.8</v>
      </c>
      <c r="K129" s="7" t="n">
        <v>1</v>
      </c>
      <c r="L129" s="7" t="s">
        <v>1419</v>
      </c>
    </row>
    <row r="130" customFormat="false" ht="15" hidden="false" customHeight="false" outlineLevel="0" collapsed="false">
      <c r="A130" s="7" t="s">
        <v>1560</v>
      </c>
      <c r="B130" s="8" t="n">
        <v>45554</v>
      </c>
      <c r="C130" s="7" t="s">
        <v>1435</v>
      </c>
      <c r="D130" s="7" t="s">
        <v>113</v>
      </c>
      <c r="E130" s="7" t="s">
        <v>79</v>
      </c>
      <c r="F130" s="7" t="s">
        <v>37</v>
      </c>
      <c r="G130" s="7" t="s">
        <v>1441</v>
      </c>
      <c r="H130" s="7" t="s">
        <v>1009</v>
      </c>
      <c r="I130" s="7" t="s">
        <v>291</v>
      </c>
      <c r="J130" s="7" t="n">
        <v>27.4</v>
      </c>
      <c r="K130" s="7" t="n">
        <v>3</v>
      </c>
      <c r="L130" s="7" t="s">
        <v>1013</v>
      </c>
    </row>
    <row r="131" customFormat="false" ht="15" hidden="false" customHeight="false" outlineLevel="0" collapsed="false">
      <c r="A131" s="7" t="s">
        <v>1561</v>
      </c>
      <c r="B131" s="8" t="n">
        <v>45904</v>
      </c>
      <c r="C131" s="7" t="s">
        <v>1435</v>
      </c>
      <c r="D131" s="7" t="s">
        <v>95</v>
      </c>
      <c r="E131" s="7" t="s">
        <v>71</v>
      </c>
      <c r="F131" s="7" t="s">
        <v>37</v>
      </c>
      <c r="G131" s="7" t="s">
        <v>1422</v>
      </c>
      <c r="H131" s="7" t="s">
        <v>1026</v>
      </c>
      <c r="I131" s="7" t="s">
        <v>263</v>
      </c>
      <c r="J131" s="7" t="n">
        <v>86.9</v>
      </c>
      <c r="K131" s="7" t="n">
        <v>5</v>
      </c>
      <c r="L131" s="7" t="s">
        <v>1442</v>
      </c>
    </row>
    <row r="132" customFormat="false" ht="15" hidden="false" customHeight="false" outlineLevel="0" collapsed="false">
      <c r="A132" s="7" t="s">
        <v>1562</v>
      </c>
      <c r="B132" s="8" t="n">
        <v>45575</v>
      </c>
      <c r="C132" s="7" t="s">
        <v>1424</v>
      </c>
      <c r="D132" s="7" t="s">
        <v>99</v>
      </c>
      <c r="E132" s="7" t="s">
        <v>71</v>
      </c>
      <c r="F132" s="7" t="s">
        <v>37</v>
      </c>
      <c r="G132" s="7" t="s">
        <v>1422</v>
      </c>
      <c r="H132" s="7" t="s">
        <v>1004</v>
      </c>
      <c r="I132" s="7" t="s">
        <v>263</v>
      </c>
      <c r="J132" s="7" t="n">
        <v>57.9</v>
      </c>
      <c r="K132" s="7" t="n">
        <v>4</v>
      </c>
      <c r="L132" s="7" t="s">
        <v>1419</v>
      </c>
    </row>
    <row r="133" customFormat="false" ht="15" hidden="false" customHeight="false" outlineLevel="0" collapsed="false">
      <c r="A133" s="7" t="s">
        <v>1563</v>
      </c>
      <c r="B133" s="8" t="n">
        <v>45439</v>
      </c>
      <c r="C133" s="7" t="s">
        <v>1428</v>
      </c>
      <c r="D133" s="7" t="s">
        <v>109</v>
      </c>
      <c r="E133" s="7" t="s">
        <v>65</v>
      </c>
      <c r="F133" s="7" t="s">
        <v>37</v>
      </c>
      <c r="G133" s="7" t="s">
        <v>1422</v>
      </c>
      <c r="H133" s="7" t="s">
        <v>1009</v>
      </c>
      <c r="I133" s="7" t="s">
        <v>269</v>
      </c>
      <c r="J133" s="7" t="n">
        <v>83.7</v>
      </c>
      <c r="K133" s="7" t="n">
        <v>5</v>
      </c>
      <c r="L133" s="7" t="s">
        <v>1419</v>
      </c>
    </row>
    <row r="134" customFormat="false" ht="15" hidden="false" customHeight="false" outlineLevel="0" collapsed="false">
      <c r="A134" s="7" t="s">
        <v>1564</v>
      </c>
      <c r="B134" s="8" t="n">
        <v>45774</v>
      </c>
      <c r="C134" s="7" t="s">
        <v>1421</v>
      </c>
      <c r="D134" s="7" t="s">
        <v>106</v>
      </c>
      <c r="E134" s="7" t="s">
        <v>65</v>
      </c>
      <c r="F134" s="7" t="s">
        <v>37</v>
      </c>
      <c r="G134" s="7" t="s">
        <v>1418</v>
      </c>
      <c r="H134" s="7" t="s">
        <v>1004</v>
      </c>
      <c r="I134" s="7" t="s">
        <v>293</v>
      </c>
      <c r="J134" s="7" t="n">
        <v>4.9</v>
      </c>
      <c r="K134" s="7" t="n">
        <v>3</v>
      </c>
      <c r="L134" s="7" t="s">
        <v>1419</v>
      </c>
    </row>
    <row r="135" customFormat="false" ht="15" hidden="false" customHeight="false" outlineLevel="0" collapsed="false">
      <c r="A135" s="7" t="s">
        <v>1565</v>
      </c>
      <c r="B135" s="8" t="n">
        <v>45963</v>
      </c>
      <c r="C135" s="7" t="s">
        <v>1435</v>
      </c>
      <c r="D135" s="7" t="s">
        <v>99</v>
      </c>
      <c r="E135" s="7" t="s">
        <v>83</v>
      </c>
      <c r="F135" s="7" t="s">
        <v>37</v>
      </c>
      <c r="G135" s="7" t="s">
        <v>1433</v>
      </c>
      <c r="H135" s="7" t="s">
        <v>1026</v>
      </c>
      <c r="I135" s="7" t="s">
        <v>281</v>
      </c>
      <c r="J135" s="7" t="n">
        <v>64.7</v>
      </c>
      <c r="K135" s="7" t="n">
        <v>2</v>
      </c>
      <c r="L135" s="7" t="s">
        <v>1419</v>
      </c>
    </row>
    <row r="136" customFormat="false" ht="15" hidden="false" customHeight="false" outlineLevel="0" collapsed="false">
      <c r="A136" s="7" t="s">
        <v>1566</v>
      </c>
      <c r="B136" s="8" t="n">
        <v>45486</v>
      </c>
      <c r="C136" s="7" t="s">
        <v>1417</v>
      </c>
      <c r="D136" s="7" t="s">
        <v>102</v>
      </c>
      <c r="E136" s="7" t="s">
        <v>60</v>
      </c>
      <c r="F136" s="7" t="s">
        <v>37</v>
      </c>
      <c r="G136" s="7" t="s">
        <v>1426</v>
      </c>
      <c r="H136" s="7" t="s">
        <v>1026</v>
      </c>
      <c r="I136" s="7" t="s">
        <v>295</v>
      </c>
      <c r="J136" s="7" t="n">
        <v>20.3</v>
      </c>
      <c r="K136" s="7" t="n">
        <v>5</v>
      </c>
      <c r="L136" s="7" t="s">
        <v>1419</v>
      </c>
    </row>
    <row r="137" customFormat="false" ht="15" hidden="false" customHeight="false" outlineLevel="0" collapsed="false">
      <c r="A137" s="7" t="s">
        <v>1567</v>
      </c>
      <c r="B137" s="8" t="n">
        <v>45826</v>
      </c>
      <c r="C137" s="7" t="s">
        <v>1432</v>
      </c>
      <c r="D137" s="7" t="s">
        <v>106</v>
      </c>
      <c r="E137" s="7" t="s">
        <v>71</v>
      </c>
      <c r="F137" s="7" t="s">
        <v>37</v>
      </c>
      <c r="G137" s="7" t="s">
        <v>1454</v>
      </c>
      <c r="H137" s="7" t="s">
        <v>1026</v>
      </c>
      <c r="I137" s="7" t="s">
        <v>291</v>
      </c>
      <c r="J137" s="7" t="n">
        <v>1</v>
      </c>
      <c r="K137" s="7" t="n">
        <v>5</v>
      </c>
      <c r="L137" s="7" t="s">
        <v>1419</v>
      </c>
    </row>
    <row r="138" customFormat="false" ht="15" hidden="false" customHeight="false" outlineLevel="0" collapsed="false">
      <c r="A138" s="7" t="s">
        <v>1568</v>
      </c>
      <c r="B138" s="8" t="n">
        <v>45996</v>
      </c>
      <c r="C138" s="7" t="s">
        <v>1421</v>
      </c>
      <c r="D138" s="7" t="s">
        <v>95</v>
      </c>
      <c r="E138" s="7" t="s">
        <v>87</v>
      </c>
      <c r="F138" s="7" t="s">
        <v>37</v>
      </c>
      <c r="G138" s="7" t="s">
        <v>1454</v>
      </c>
      <c r="H138" s="7" t="s">
        <v>1436</v>
      </c>
      <c r="I138" s="7" t="s">
        <v>291</v>
      </c>
      <c r="J138" s="7" t="n">
        <v>84.7</v>
      </c>
      <c r="K138" s="7" t="n">
        <v>5</v>
      </c>
      <c r="L138" s="7" t="s">
        <v>1419</v>
      </c>
    </row>
    <row r="139" customFormat="false" ht="15" hidden="false" customHeight="false" outlineLevel="0" collapsed="false">
      <c r="A139" s="7" t="s">
        <v>1569</v>
      </c>
      <c r="B139" s="8" t="n">
        <v>45344</v>
      </c>
      <c r="C139" s="7" t="s">
        <v>1424</v>
      </c>
      <c r="D139" s="7" t="s">
        <v>99</v>
      </c>
      <c r="E139" s="7" t="s">
        <v>75</v>
      </c>
      <c r="F139" s="7" t="s">
        <v>37</v>
      </c>
      <c r="G139" s="7" t="s">
        <v>1441</v>
      </c>
      <c r="H139" s="7" t="s">
        <v>1009</v>
      </c>
      <c r="I139" s="7" t="s">
        <v>285</v>
      </c>
      <c r="J139" s="7" t="n">
        <v>21</v>
      </c>
      <c r="K139" s="7" t="n">
        <v>3</v>
      </c>
      <c r="L139" s="7" t="s">
        <v>1419</v>
      </c>
    </row>
    <row r="140" customFormat="false" ht="15" hidden="false" customHeight="false" outlineLevel="0" collapsed="false">
      <c r="A140" s="7" t="s">
        <v>1570</v>
      </c>
      <c r="B140" s="8" t="n">
        <v>45528</v>
      </c>
      <c r="C140" s="7" t="s">
        <v>1432</v>
      </c>
      <c r="D140" s="7" t="s">
        <v>109</v>
      </c>
      <c r="E140" s="7" t="s">
        <v>79</v>
      </c>
      <c r="F140" s="7" t="s">
        <v>37</v>
      </c>
      <c r="G140" s="7" t="s">
        <v>1422</v>
      </c>
      <c r="H140" s="7" t="s">
        <v>1026</v>
      </c>
      <c r="I140" s="7" t="s">
        <v>281</v>
      </c>
      <c r="J140" s="7" t="n">
        <v>92.1</v>
      </c>
      <c r="K140" s="7" t="n">
        <v>4</v>
      </c>
      <c r="L140" s="7" t="s">
        <v>1419</v>
      </c>
    </row>
    <row r="141" customFormat="false" ht="15" hidden="false" customHeight="false" outlineLevel="0" collapsed="false">
      <c r="A141" s="7" t="s">
        <v>1571</v>
      </c>
      <c r="B141" s="8" t="n">
        <v>45408</v>
      </c>
      <c r="C141" s="7" t="s">
        <v>1432</v>
      </c>
      <c r="D141" s="7" t="s">
        <v>102</v>
      </c>
      <c r="E141" s="7" t="s">
        <v>87</v>
      </c>
      <c r="F141" s="7" t="s">
        <v>37</v>
      </c>
      <c r="G141" s="7" t="s">
        <v>1418</v>
      </c>
      <c r="H141" s="7" t="s">
        <v>1004</v>
      </c>
      <c r="I141" s="7" t="s">
        <v>291</v>
      </c>
      <c r="J141" s="7" t="n">
        <v>34</v>
      </c>
      <c r="K141" s="7" t="n">
        <v>4</v>
      </c>
      <c r="L141" s="7" t="s">
        <v>1419</v>
      </c>
    </row>
    <row r="142" customFormat="false" ht="15" hidden="false" customHeight="false" outlineLevel="0" collapsed="false">
      <c r="A142" s="7" t="s">
        <v>1572</v>
      </c>
      <c r="B142" s="8" t="n">
        <v>45701</v>
      </c>
      <c r="C142" s="7" t="s">
        <v>1435</v>
      </c>
      <c r="D142" s="7" t="s">
        <v>109</v>
      </c>
      <c r="E142" s="7" t="s">
        <v>68</v>
      </c>
      <c r="F142" s="7" t="s">
        <v>37</v>
      </c>
      <c r="G142" s="7" t="s">
        <v>1426</v>
      </c>
      <c r="H142" s="7" t="s">
        <v>1009</v>
      </c>
      <c r="I142" s="7" t="s">
        <v>265</v>
      </c>
      <c r="J142" s="7" t="n">
        <v>19.7</v>
      </c>
      <c r="K142" s="7" t="n">
        <v>3</v>
      </c>
      <c r="L142" s="7" t="s">
        <v>1013</v>
      </c>
    </row>
    <row r="143" customFormat="false" ht="15" hidden="false" customHeight="false" outlineLevel="0" collapsed="false">
      <c r="A143" s="7" t="s">
        <v>1573</v>
      </c>
      <c r="B143" s="8" t="n">
        <v>45946</v>
      </c>
      <c r="C143" s="7" t="s">
        <v>1424</v>
      </c>
      <c r="D143" s="7" t="s">
        <v>102</v>
      </c>
      <c r="E143" s="7" t="s">
        <v>83</v>
      </c>
      <c r="F143" s="7" t="s">
        <v>37</v>
      </c>
      <c r="G143" s="7" t="s">
        <v>1422</v>
      </c>
      <c r="H143" s="7" t="s">
        <v>1009</v>
      </c>
      <c r="I143" s="7" t="s">
        <v>263</v>
      </c>
      <c r="J143" s="7" t="n">
        <v>31.8</v>
      </c>
      <c r="K143" s="7" t="n">
        <v>1</v>
      </c>
      <c r="L143" s="7" t="s">
        <v>1013</v>
      </c>
    </row>
    <row r="144" customFormat="false" ht="15" hidden="false" customHeight="false" outlineLevel="0" collapsed="false">
      <c r="A144" s="7" t="s">
        <v>1574</v>
      </c>
      <c r="B144" s="8" t="n">
        <v>45498</v>
      </c>
      <c r="C144" s="7" t="s">
        <v>1417</v>
      </c>
      <c r="D144" s="7" t="s">
        <v>106</v>
      </c>
      <c r="E144" s="7" t="s">
        <v>75</v>
      </c>
      <c r="F144" s="7" t="s">
        <v>37</v>
      </c>
      <c r="G144" s="7" t="s">
        <v>1422</v>
      </c>
      <c r="H144" s="7" t="s">
        <v>1004</v>
      </c>
      <c r="I144" s="7" t="s">
        <v>271</v>
      </c>
      <c r="J144" s="7" t="n">
        <v>0.7</v>
      </c>
      <c r="K144" s="7" t="n">
        <v>1</v>
      </c>
      <c r="L144" s="7" t="s">
        <v>1419</v>
      </c>
    </row>
    <row r="145" customFormat="false" ht="15" hidden="false" customHeight="false" outlineLevel="0" collapsed="false">
      <c r="A145" s="7" t="s">
        <v>1575</v>
      </c>
      <c r="B145" s="8" t="n">
        <v>45325</v>
      </c>
      <c r="C145" s="7" t="s">
        <v>1432</v>
      </c>
      <c r="D145" s="7" t="s">
        <v>113</v>
      </c>
      <c r="E145" s="7" t="s">
        <v>68</v>
      </c>
      <c r="F145" s="7" t="s">
        <v>37</v>
      </c>
      <c r="G145" s="7" t="s">
        <v>1454</v>
      </c>
      <c r="H145" s="7" t="s">
        <v>1004</v>
      </c>
      <c r="I145" s="7" t="s">
        <v>267</v>
      </c>
      <c r="J145" s="7" t="n">
        <v>74.1</v>
      </c>
      <c r="K145" s="7" t="n">
        <v>2</v>
      </c>
      <c r="L145" s="7" t="s">
        <v>1419</v>
      </c>
    </row>
    <row r="146" customFormat="false" ht="15" hidden="false" customHeight="false" outlineLevel="0" collapsed="false">
      <c r="A146" s="7" t="s">
        <v>1576</v>
      </c>
      <c r="B146" s="8" t="n">
        <v>45997</v>
      </c>
      <c r="C146" s="7" t="s">
        <v>1421</v>
      </c>
      <c r="D146" s="7" t="s">
        <v>104</v>
      </c>
      <c r="E146" s="7" t="s">
        <v>71</v>
      </c>
      <c r="F146" s="7" t="s">
        <v>37</v>
      </c>
      <c r="G146" s="7" t="s">
        <v>1429</v>
      </c>
      <c r="H146" s="7" t="s">
        <v>1009</v>
      </c>
      <c r="I146" s="7" t="s">
        <v>297</v>
      </c>
      <c r="J146" s="7" t="n">
        <v>69.6</v>
      </c>
      <c r="K146" s="7" t="n">
        <v>2</v>
      </c>
      <c r="L146" s="7" t="s">
        <v>1419</v>
      </c>
    </row>
    <row r="147" customFormat="false" ht="15" hidden="false" customHeight="false" outlineLevel="0" collapsed="false">
      <c r="A147" s="7" t="s">
        <v>1577</v>
      </c>
      <c r="B147" s="8" t="n">
        <v>45445</v>
      </c>
      <c r="C147" s="7" t="s">
        <v>1428</v>
      </c>
      <c r="D147" s="7" t="s">
        <v>106</v>
      </c>
      <c r="E147" s="7" t="s">
        <v>68</v>
      </c>
      <c r="F147" s="7" t="s">
        <v>37</v>
      </c>
      <c r="G147" s="7" t="s">
        <v>1429</v>
      </c>
      <c r="H147" s="7" t="s">
        <v>1009</v>
      </c>
      <c r="I147" s="7" t="s">
        <v>271</v>
      </c>
      <c r="J147" s="7" t="n">
        <v>8.8</v>
      </c>
      <c r="K147" s="7" t="n">
        <v>5</v>
      </c>
      <c r="L147" s="7" t="s">
        <v>1013</v>
      </c>
    </row>
    <row r="148" customFormat="false" ht="15" hidden="false" customHeight="false" outlineLevel="0" collapsed="false">
      <c r="A148" s="7" t="s">
        <v>1578</v>
      </c>
      <c r="B148" s="8" t="n">
        <v>45410</v>
      </c>
      <c r="C148" s="7" t="s">
        <v>1428</v>
      </c>
      <c r="D148" s="7" t="s">
        <v>106</v>
      </c>
      <c r="E148" s="7" t="s">
        <v>79</v>
      </c>
      <c r="F148" s="7" t="s">
        <v>37</v>
      </c>
      <c r="G148" s="7" t="s">
        <v>1433</v>
      </c>
      <c r="H148" s="7" t="s">
        <v>1009</v>
      </c>
      <c r="I148" s="7" t="s">
        <v>269</v>
      </c>
      <c r="J148" s="7" t="n">
        <v>53</v>
      </c>
      <c r="K148" s="7" t="n">
        <v>2</v>
      </c>
      <c r="L148" s="7" t="s">
        <v>1419</v>
      </c>
    </row>
    <row r="149" customFormat="false" ht="15" hidden="false" customHeight="false" outlineLevel="0" collapsed="false">
      <c r="A149" s="7" t="s">
        <v>1579</v>
      </c>
      <c r="B149" s="8" t="n">
        <v>45486</v>
      </c>
      <c r="C149" s="7" t="s">
        <v>1432</v>
      </c>
      <c r="D149" s="7" t="s">
        <v>104</v>
      </c>
      <c r="E149" s="7" t="s">
        <v>65</v>
      </c>
      <c r="F149" s="7" t="s">
        <v>37</v>
      </c>
      <c r="G149" s="7" t="s">
        <v>1422</v>
      </c>
      <c r="H149" s="7" t="s">
        <v>1009</v>
      </c>
      <c r="I149" s="7" t="s">
        <v>265</v>
      </c>
      <c r="J149" s="7" t="n">
        <v>57</v>
      </c>
      <c r="K149" s="7" t="n">
        <v>3</v>
      </c>
      <c r="L149" s="7" t="s">
        <v>1419</v>
      </c>
    </row>
    <row r="150" customFormat="false" ht="15" hidden="false" customHeight="false" outlineLevel="0" collapsed="false">
      <c r="A150" s="7" t="s">
        <v>1580</v>
      </c>
      <c r="B150" s="8" t="n">
        <v>45831</v>
      </c>
      <c r="C150" s="7" t="s">
        <v>1417</v>
      </c>
      <c r="D150" s="7" t="s">
        <v>95</v>
      </c>
      <c r="E150" s="7" t="s">
        <v>71</v>
      </c>
      <c r="F150" s="7" t="s">
        <v>37</v>
      </c>
      <c r="G150" s="7" t="s">
        <v>1426</v>
      </c>
      <c r="H150" s="7" t="s">
        <v>1009</v>
      </c>
      <c r="I150" s="7" t="s">
        <v>285</v>
      </c>
      <c r="J150" s="7" t="n">
        <v>66.8</v>
      </c>
      <c r="K150" s="7" t="n">
        <v>1</v>
      </c>
      <c r="L150" s="7" t="s">
        <v>1419</v>
      </c>
    </row>
    <row r="151" customFormat="false" ht="15" hidden="false" customHeight="false" outlineLevel="0" collapsed="false">
      <c r="A151" s="7" t="s">
        <v>1581</v>
      </c>
      <c r="B151" s="8" t="n">
        <v>45850</v>
      </c>
      <c r="C151" s="7" t="s">
        <v>1435</v>
      </c>
      <c r="D151" s="7" t="s">
        <v>102</v>
      </c>
      <c r="E151" s="7" t="s">
        <v>83</v>
      </c>
      <c r="F151" s="7" t="s">
        <v>37</v>
      </c>
      <c r="G151" s="7" t="s">
        <v>1433</v>
      </c>
      <c r="H151" s="7" t="s">
        <v>1026</v>
      </c>
      <c r="I151" s="7" t="s">
        <v>291</v>
      </c>
      <c r="J151" s="7" t="n">
        <v>73.9</v>
      </c>
      <c r="K151" s="7" t="n">
        <v>4</v>
      </c>
      <c r="L151" s="7" t="s">
        <v>1442</v>
      </c>
    </row>
    <row r="152" customFormat="false" ht="15" hidden="false" customHeight="false" outlineLevel="0" collapsed="false">
      <c r="A152" s="7" t="s">
        <v>1582</v>
      </c>
      <c r="B152" s="8" t="n">
        <v>45491</v>
      </c>
      <c r="C152" s="7" t="s">
        <v>1424</v>
      </c>
      <c r="D152" s="7" t="s">
        <v>113</v>
      </c>
      <c r="E152" s="7" t="s">
        <v>71</v>
      </c>
      <c r="F152" s="7" t="s">
        <v>37</v>
      </c>
      <c r="G152" s="7" t="s">
        <v>1426</v>
      </c>
      <c r="H152" s="7" t="s">
        <v>1026</v>
      </c>
      <c r="I152" s="7" t="s">
        <v>263</v>
      </c>
      <c r="J152" s="7" t="n">
        <v>21.6</v>
      </c>
      <c r="K152" s="7" t="n">
        <v>3</v>
      </c>
      <c r="L152" s="7" t="s">
        <v>1419</v>
      </c>
    </row>
    <row r="153" customFormat="false" ht="15" hidden="false" customHeight="false" outlineLevel="0" collapsed="false">
      <c r="A153" s="7" t="s">
        <v>1583</v>
      </c>
      <c r="B153" s="8" t="n">
        <v>45502</v>
      </c>
      <c r="C153" s="7" t="s">
        <v>1417</v>
      </c>
      <c r="D153" s="7" t="s">
        <v>115</v>
      </c>
      <c r="E153" s="7" t="s">
        <v>71</v>
      </c>
      <c r="F153" s="7" t="s">
        <v>37</v>
      </c>
      <c r="G153" s="7" t="s">
        <v>1418</v>
      </c>
      <c r="H153" s="7" t="s">
        <v>1004</v>
      </c>
      <c r="I153" s="7" t="s">
        <v>267</v>
      </c>
      <c r="J153" s="7" t="n">
        <v>49.8</v>
      </c>
      <c r="K153" s="7" t="n">
        <v>1</v>
      </c>
      <c r="L153" s="7" t="s">
        <v>1419</v>
      </c>
    </row>
    <row r="154" customFormat="false" ht="15" hidden="false" customHeight="false" outlineLevel="0" collapsed="false">
      <c r="A154" s="7" t="s">
        <v>1584</v>
      </c>
      <c r="B154" s="8" t="n">
        <v>45672</v>
      </c>
      <c r="C154" s="7" t="s">
        <v>1421</v>
      </c>
      <c r="D154" s="7" t="s">
        <v>115</v>
      </c>
      <c r="E154" s="7" t="s">
        <v>65</v>
      </c>
      <c r="F154" s="7" t="s">
        <v>37</v>
      </c>
      <c r="G154" s="7" t="s">
        <v>1426</v>
      </c>
      <c r="H154" s="7" t="s">
        <v>1026</v>
      </c>
      <c r="I154" s="7" t="s">
        <v>263</v>
      </c>
      <c r="J154" s="7" t="n">
        <v>55</v>
      </c>
      <c r="K154" s="7" t="n">
        <v>4</v>
      </c>
      <c r="L154" s="7" t="s">
        <v>1013</v>
      </c>
    </row>
    <row r="155" customFormat="false" ht="15" hidden="false" customHeight="false" outlineLevel="0" collapsed="false">
      <c r="A155" s="7" t="s">
        <v>1585</v>
      </c>
      <c r="B155" s="8" t="n">
        <v>45587</v>
      </c>
      <c r="C155" s="7" t="s">
        <v>1421</v>
      </c>
      <c r="D155" s="7" t="s">
        <v>102</v>
      </c>
      <c r="E155" s="7" t="s">
        <v>68</v>
      </c>
      <c r="F155" s="7" t="s">
        <v>37</v>
      </c>
      <c r="G155" s="7" t="s">
        <v>1454</v>
      </c>
      <c r="H155" s="7" t="s">
        <v>1004</v>
      </c>
      <c r="I155" s="7" t="s">
        <v>271</v>
      </c>
      <c r="J155" s="7" t="n">
        <v>18.6</v>
      </c>
      <c r="K155" s="7" t="n">
        <v>1</v>
      </c>
      <c r="L155" s="7" t="s">
        <v>1419</v>
      </c>
    </row>
    <row r="156" customFormat="false" ht="15" hidden="false" customHeight="false" outlineLevel="0" collapsed="false">
      <c r="A156" s="7" t="s">
        <v>1586</v>
      </c>
      <c r="B156" s="8" t="n">
        <v>46016</v>
      </c>
      <c r="C156" s="7" t="s">
        <v>1417</v>
      </c>
      <c r="D156" s="7" t="s">
        <v>106</v>
      </c>
      <c r="E156" s="7" t="s">
        <v>87</v>
      </c>
      <c r="F156" s="7" t="s">
        <v>37</v>
      </c>
      <c r="G156" s="7" t="s">
        <v>1418</v>
      </c>
      <c r="H156" s="7" t="s">
        <v>1009</v>
      </c>
      <c r="I156" s="7" t="s">
        <v>287</v>
      </c>
      <c r="J156" s="7" t="n">
        <v>87.4</v>
      </c>
      <c r="K156" s="7" t="n">
        <v>1</v>
      </c>
      <c r="L156" s="7" t="s">
        <v>1419</v>
      </c>
    </row>
    <row r="157" customFormat="false" ht="15" hidden="false" customHeight="false" outlineLevel="0" collapsed="false">
      <c r="A157" s="7" t="s">
        <v>1587</v>
      </c>
      <c r="B157" s="8" t="n">
        <v>45323</v>
      </c>
      <c r="C157" s="7" t="s">
        <v>1417</v>
      </c>
      <c r="D157" s="7" t="s">
        <v>109</v>
      </c>
      <c r="E157" s="7" t="s">
        <v>65</v>
      </c>
      <c r="F157" s="7" t="s">
        <v>37</v>
      </c>
      <c r="G157" s="7" t="s">
        <v>1426</v>
      </c>
      <c r="H157" s="7" t="s">
        <v>1004</v>
      </c>
      <c r="I157" s="7" t="s">
        <v>267</v>
      </c>
      <c r="J157" s="7" t="n">
        <v>83.3</v>
      </c>
      <c r="K157" s="7" t="n">
        <v>1</v>
      </c>
      <c r="L157" s="7" t="s">
        <v>1013</v>
      </c>
    </row>
    <row r="158" customFormat="false" ht="15" hidden="false" customHeight="false" outlineLevel="0" collapsed="false">
      <c r="A158" s="7" t="s">
        <v>1588</v>
      </c>
      <c r="B158" s="8" t="n">
        <v>45864</v>
      </c>
      <c r="C158" s="7" t="s">
        <v>1428</v>
      </c>
      <c r="D158" s="7" t="s">
        <v>109</v>
      </c>
      <c r="E158" s="7" t="s">
        <v>71</v>
      </c>
      <c r="F158" s="7" t="s">
        <v>37</v>
      </c>
      <c r="G158" s="7" t="s">
        <v>1418</v>
      </c>
      <c r="H158" s="7" t="s">
        <v>1009</v>
      </c>
      <c r="I158" s="7" t="s">
        <v>277</v>
      </c>
      <c r="J158" s="7" t="n">
        <v>83.9</v>
      </c>
      <c r="K158" s="7" t="n">
        <v>2</v>
      </c>
      <c r="L158" s="7" t="s">
        <v>1419</v>
      </c>
    </row>
    <row r="159" customFormat="false" ht="15" hidden="false" customHeight="false" outlineLevel="0" collapsed="false">
      <c r="A159" s="7" t="s">
        <v>1589</v>
      </c>
      <c r="B159" s="8" t="n">
        <v>45814</v>
      </c>
      <c r="C159" s="7" t="s">
        <v>1424</v>
      </c>
      <c r="D159" s="7" t="s">
        <v>113</v>
      </c>
      <c r="E159" s="7" t="s">
        <v>60</v>
      </c>
      <c r="F159" s="7" t="s">
        <v>37</v>
      </c>
      <c r="G159" s="7" t="s">
        <v>1429</v>
      </c>
      <c r="H159" s="7" t="s">
        <v>1004</v>
      </c>
      <c r="I159" s="7" t="s">
        <v>263</v>
      </c>
      <c r="J159" s="7" t="n">
        <v>11.5</v>
      </c>
      <c r="K159" s="7" t="n">
        <v>2</v>
      </c>
      <c r="L159" s="7" t="s">
        <v>1419</v>
      </c>
    </row>
    <row r="160" customFormat="false" ht="15" hidden="false" customHeight="false" outlineLevel="0" collapsed="false">
      <c r="A160" s="7" t="s">
        <v>1590</v>
      </c>
      <c r="B160" s="8" t="n">
        <v>45584</v>
      </c>
      <c r="C160" s="7" t="s">
        <v>1435</v>
      </c>
      <c r="D160" s="7" t="s">
        <v>109</v>
      </c>
      <c r="E160" s="7" t="s">
        <v>71</v>
      </c>
      <c r="F160" s="7" t="s">
        <v>37</v>
      </c>
      <c r="G160" s="7" t="s">
        <v>1429</v>
      </c>
      <c r="H160" s="7" t="s">
        <v>1004</v>
      </c>
      <c r="I160" s="7" t="s">
        <v>275</v>
      </c>
      <c r="J160" s="7" t="n">
        <v>65.1</v>
      </c>
      <c r="K160" s="7" t="n">
        <v>4</v>
      </c>
      <c r="L160" s="7" t="s">
        <v>1419</v>
      </c>
    </row>
    <row r="161" customFormat="false" ht="15" hidden="false" customHeight="false" outlineLevel="0" collapsed="false">
      <c r="A161" s="7" t="s">
        <v>1591</v>
      </c>
      <c r="B161" s="8" t="n">
        <v>45854</v>
      </c>
      <c r="C161" s="7" t="s">
        <v>1417</v>
      </c>
      <c r="D161" s="7" t="s">
        <v>109</v>
      </c>
      <c r="E161" s="7" t="s">
        <v>60</v>
      </c>
      <c r="F161" s="7" t="s">
        <v>37</v>
      </c>
      <c r="G161" s="7" t="s">
        <v>1454</v>
      </c>
      <c r="H161" s="7" t="s">
        <v>1009</v>
      </c>
      <c r="I161" s="7" t="s">
        <v>267</v>
      </c>
      <c r="J161" s="7" t="n">
        <v>56.8</v>
      </c>
      <c r="K161" s="7" t="n">
        <v>5</v>
      </c>
      <c r="L161" s="7" t="s">
        <v>1442</v>
      </c>
    </row>
    <row r="162" customFormat="false" ht="15" hidden="false" customHeight="false" outlineLevel="0" collapsed="false">
      <c r="A162" s="7" t="s">
        <v>1592</v>
      </c>
      <c r="B162" s="8" t="n">
        <v>45661</v>
      </c>
      <c r="C162" s="7" t="s">
        <v>1421</v>
      </c>
      <c r="D162" s="7" t="s">
        <v>109</v>
      </c>
      <c r="E162" s="7" t="s">
        <v>75</v>
      </c>
      <c r="F162" s="7" t="s">
        <v>37</v>
      </c>
      <c r="G162" s="7" t="s">
        <v>1433</v>
      </c>
      <c r="H162" s="7" t="s">
        <v>1009</v>
      </c>
      <c r="I162" s="7" t="s">
        <v>291</v>
      </c>
      <c r="J162" s="7" t="n">
        <v>25</v>
      </c>
      <c r="K162" s="7" t="n">
        <v>4</v>
      </c>
      <c r="L162" s="7" t="s">
        <v>1419</v>
      </c>
    </row>
    <row r="163" customFormat="false" ht="15" hidden="false" customHeight="false" outlineLevel="0" collapsed="false">
      <c r="A163" s="7" t="s">
        <v>1593</v>
      </c>
      <c r="B163" s="8" t="n">
        <v>45821</v>
      </c>
      <c r="C163" s="7" t="s">
        <v>1428</v>
      </c>
      <c r="D163" s="7" t="s">
        <v>113</v>
      </c>
      <c r="E163" s="7" t="s">
        <v>65</v>
      </c>
      <c r="F163" s="7" t="s">
        <v>37</v>
      </c>
      <c r="G163" s="7" t="s">
        <v>1418</v>
      </c>
      <c r="H163" s="7" t="s">
        <v>1004</v>
      </c>
      <c r="I163" s="7" t="s">
        <v>269</v>
      </c>
      <c r="J163" s="7" t="n">
        <v>38.6</v>
      </c>
      <c r="K163" s="7" t="n">
        <v>5</v>
      </c>
      <c r="L163" s="7" t="s">
        <v>1419</v>
      </c>
    </row>
    <row r="164" customFormat="false" ht="15" hidden="false" customHeight="false" outlineLevel="0" collapsed="false">
      <c r="A164" s="7" t="s">
        <v>1594</v>
      </c>
      <c r="B164" s="8" t="n">
        <v>45561</v>
      </c>
      <c r="C164" s="7" t="s">
        <v>1424</v>
      </c>
      <c r="D164" s="7" t="s">
        <v>95</v>
      </c>
      <c r="E164" s="7" t="s">
        <v>83</v>
      </c>
      <c r="F164" s="7" t="s">
        <v>37</v>
      </c>
      <c r="G164" s="7" t="s">
        <v>1429</v>
      </c>
      <c r="H164" s="7" t="s">
        <v>1026</v>
      </c>
      <c r="I164" s="7" t="s">
        <v>275</v>
      </c>
      <c r="J164" s="7" t="n">
        <v>23.8</v>
      </c>
      <c r="K164" s="7" t="n">
        <v>2</v>
      </c>
      <c r="L164" s="7" t="s">
        <v>1419</v>
      </c>
    </row>
    <row r="165" customFormat="false" ht="15" hidden="false" customHeight="false" outlineLevel="0" collapsed="false">
      <c r="A165" s="7" t="s">
        <v>1595</v>
      </c>
      <c r="B165" s="8" t="n">
        <v>45504</v>
      </c>
      <c r="C165" s="7" t="s">
        <v>1421</v>
      </c>
      <c r="D165" s="7" t="s">
        <v>106</v>
      </c>
      <c r="E165" s="7" t="s">
        <v>79</v>
      </c>
      <c r="F165" s="7" t="s">
        <v>37</v>
      </c>
      <c r="G165" s="7" t="s">
        <v>1433</v>
      </c>
      <c r="H165" s="7" t="s">
        <v>1009</v>
      </c>
      <c r="I165" s="7" t="s">
        <v>267</v>
      </c>
      <c r="J165" s="7" t="n">
        <v>10</v>
      </c>
      <c r="K165" s="7" t="n">
        <v>3</v>
      </c>
      <c r="L165" s="7" t="s">
        <v>1442</v>
      </c>
    </row>
    <row r="166" customFormat="false" ht="15" hidden="false" customHeight="false" outlineLevel="0" collapsed="false">
      <c r="A166" s="7" t="s">
        <v>1596</v>
      </c>
      <c r="B166" s="8" t="n">
        <v>45896</v>
      </c>
      <c r="C166" s="7" t="s">
        <v>1428</v>
      </c>
      <c r="D166" s="7" t="s">
        <v>115</v>
      </c>
      <c r="E166" s="7" t="s">
        <v>60</v>
      </c>
      <c r="F166" s="7" t="s">
        <v>37</v>
      </c>
      <c r="G166" s="7" t="s">
        <v>1429</v>
      </c>
      <c r="H166" s="7" t="s">
        <v>1009</v>
      </c>
      <c r="I166" s="7" t="s">
        <v>283</v>
      </c>
      <c r="J166" s="7" t="n">
        <v>74.7</v>
      </c>
      <c r="K166" s="7" t="n">
        <v>2</v>
      </c>
      <c r="L166" s="7" t="s">
        <v>1419</v>
      </c>
    </row>
    <row r="167" customFormat="false" ht="15" hidden="false" customHeight="false" outlineLevel="0" collapsed="false">
      <c r="A167" s="7" t="s">
        <v>1597</v>
      </c>
      <c r="B167" s="8" t="n">
        <v>45308</v>
      </c>
      <c r="C167" s="7" t="s">
        <v>1424</v>
      </c>
      <c r="D167" s="7" t="s">
        <v>113</v>
      </c>
      <c r="E167" s="7" t="s">
        <v>68</v>
      </c>
      <c r="F167" s="7" t="s">
        <v>37</v>
      </c>
      <c r="G167" s="7" t="s">
        <v>1454</v>
      </c>
      <c r="H167" s="7" t="s">
        <v>1009</v>
      </c>
      <c r="I167" s="7" t="s">
        <v>275</v>
      </c>
      <c r="J167" s="7" t="n">
        <v>24.7</v>
      </c>
      <c r="K167" s="7" t="n">
        <v>3</v>
      </c>
      <c r="L167" s="7" t="s">
        <v>1442</v>
      </c>
    </row>
    <row r="168" customFormat="false" ht="15" hidden="false" customHeight="false" outlineLevel="0" collapsed="false">
      <c r="A168" s="7" t="s">
        <v>1598</v>
      </c>
      <c r="B168" s="8" t="n">
        <v>45959</v>
      </c>
      <c r="C168" s="7" t="s">
        <v>1424</v>
      </c>
      <c r="D168" s="7" t="s">
        <v>113</v>
      </c>
      <c r="E168" s="7" t="s">
        <v>87</v>
      </c>
      <c r="F168" s="7" t="s">
        <v>37</v>
      </c>
      <c r="G168" s="7" t="s">
        <v>1454</v>
      </c>
      <c r="H168" s="7" t="s">
        <v>1009</v>
      </c>
      <c r="I168" s="7" t="s">
        <v>267</v>
      </c>
      <c r="J168" s="7" t="n">
        <v>54.9</v>
      </c>
      <c r="K168" s="7" t="n">
        <v>2</v>
      </c>
      <c r="L168" s="7" t="s">
        <v>1442</v>
      </c>
    </row>
    <row r="169" customFormat="false" ht="15" hidden="false" customHeight="false" outlineLevel="0" collapsed="false">
      <c r="A169" s="7" t="s">
        <v>1599</v>
      </c>
      <c r="B169" s="8" t="n">
        <v>45759</v>
      </c>
      <c r="C169" s="7" t="s">
        <v>1435</v>
      </c>
      <c r="D169" s="7" t="s">
        <v>115</v>
      </c>
      <c r="E169" s="7" t="s">
        <v>87</v>
      </c>
      <c r="F169" s="7" t="s">
        <v>37</v>
      </c>
      <c r="G169" s="7" t="s">
        <v>1441</v>
      </c>
      <c r="H169" s="7" t="s">
        <v>1009</v>
      </c>
      <c r="I169" s="7" t="s">
        <v>281</v>
      </c>
      <c r="J169" s="7" t="n">
        <v>20.1</v>
      </c>
      <c r="K169" s="7" t="n">
        <v>1</v>
      </c>
      <c r="L169" s="7" t="s">
        <v>1419</v>
      </c>
    </row>
    <row r="170" customFormat="false" ht="15" hidden="false" customHeight="false" outlineLevel="0" collapsed="false">
      <c r="A170" s="7" t="s">
        <v>1600</v>
      </c>
      <c r="B170" s="8" t="n">
        <v>45605</v>
      </c>
      <c r="C170" s="7" t="s">
        <v>1424</v>
      </c>
      <c r="D170" s="7" t="s">
        <v>102</v>
      </c>
      <c r="E170" s="7" t="s">
        <v>79</v>
      </c>
      <c r="F170" s="7" t="s">
        <v>37</v>
      </c>
      <c r="G170" s="7" t="s">
        <v>1441</v>
      </c>
      <c r="H170" s="7" t="s">
        <v>1436</v>
      </c>
      <c r="I170" s="7" t="s">
        <v>271</v>
      </c>
      <c r="J170" s="7" t="n">
        <v>50.7</v>
      </c>
      <c r="K170" s="7" t="n">
        <v>5</v>
      </c>
      <c r="L170" s="7" t="s">
        <v>1419</v>
      </c>
    </row>
    <row r="171" customFormat="false" ht="15" hidden="false" customHeight="false" outlineLevel="0" collapsed="false">
      <c r="A171" s="7" t="s">
        <v>1601</v>
      </c>
      <c r="B171" s="8" t="n">
        <v>45758</v>
      </c>
      <c r="C171" s="7" t="s">
        <v>1424</v>
      </c>
      <c r="D171" s="7" t="s">
        <v>109</v>
      </c>
      <c r="E171" s="7" t="s">
        <v>60</v>
      </c>
      <c r="F171" s="7" t="s">
        <v>37</v>
      </c>
      <c r="G171" s="7" t="s">
        <v>1454</v>
      </c>
      <c r="H171" s="7" t="s">
        <v>1009</v>
      </c>
      <c r="I171" s="7" t="s">
        <v>291</v>
      </c>
      <c r="J171" s="7" t="n">
        <v>64</v>
      </c>
      <c r="K171" s="7" t="n">
        <v>1</v>
      </c>
      <c r="L171" s="7" t="s">
        <v>1419</v>
      </c>
    </row>
    <row r="172" customFormat="false" ht="15" hidden="false" customHeight="false" outlineLevel="0" collapsed="false">
      <c r="A172" s="7" t="s">
        <v>1602</v>
      </c>
      <c r="B172" s="8" t="n">
        <v>45680</v>
      </c>
      <c r="C172" s="7" t="s">
        <v>1421</v>
      </c>
      <c r="D172" s="7" t="s">
        <v>113</v>
      </c>
      <c r="E172" s="7" t="s">
        <v>79</v>
      </c>
      <c r="F172" s="7" t="s">
        <v>37</v>
      </c>
      <c r="G172" s="7" t="s">
        <v>1429</v>
      </c>
      <c r="H172" s="7" t="s">
        <v>1026</v>
      </c>
      <c r="I172" s="7" t="s">
        <v>279</v>
      </c>
      <c r="J172" s="7" t="n">
        <v>22.3</v>
      </c>
      <c r="K172" s="7" t="n">
        <v>2</v>
      </c>
      <c r="L172" s="7" t="s">
        <v>1419</v>
      </c>
    </row>
    <row r="173" customFormat="false" ht="15" hidden="false" customHeight="false" outlineLevel="0" collapsed="false">
      <c r="A173" s="7" t="s">
        <v>1603</v>
      </c>
      <c r="B173" s="8" t="n">
        <v>45626</v>
      </c>
      <c r="C173" s="7" t="s">
        <v>1428</v>
      </c>
      <c r="D173" s="7" t="s">
        <v>99</v>
      </c>
      <c r="E173" s="7" t="s">
        <v>87</v>
      </c>
      <c r="F173" s="7" t="s">
        <v>37</v>
      </c>
      <c r="G173" s="7" t="s">
        <v>1418</v>
      </c>
      <c r="H173" s="7" t="s">
        <v>1004</v>
      </c>
      <c r="I173" s="7" t="s">
        <v>263</v>
      </c>
      <c r="J173" s="7" t="n">
        <v>67.2</v>
      </c>
      <c r="K173" s="7" t="n">
        <v>4</v>
      </c>
      <c r="L173" s="7" t="s">
        <v>1419</v>
      </c>
    </row>
    <row r="174" customFormat="false" ht="15" hidden="false" customHeight="false" outlineLevel="0" collapsed="false">
      <c r="A174" s="7" t="s">
        <v>1604</v>
      </c>
      <c r="B174" s="8" t="n">
        <v>45603</v>
      </c>
      <c r="C174" s="7" t="s">
        <v>1432</v>
      </c>
      <c r="D174" s="7" t="s">
        <v>102</v>
      </c>
      <c r="E174" s="7" t="s">
        <v>71</v>
      </c>
      <c r="F174" s="7" t="s">
        <v>37</v>
      </c>
      <c r="G174" s="7" t="s">
        <v>1418</v>
      </c>
      <c r="H174" s="7" t="s">
        <v>1009</v>
      </c>
      <c r="I174" s="7" t="s">
        <v>285</v>
      </c>
      <c r="J174" s="7" t="n">
        <v>48.2</v>
      </c>
      <c r="K174" s="7" t="n">
        <v>1</v>
      </c>
      <c r="L174" s="7" t="s">
        <v>1419</v>
      </c>
    </row>
    <row r="175" customFormat="false" ht="15" hidden="false" customHeight="false" outlineLevel="0" collapsed="false">
      <c r="A175" s="7" t="s">
        <v>1605</v>
      </c>
      <c r="B175" s="8" t="n">
        <v>45313</v>
      </c>
      <c r="C175" s="7" t="s">
        <v>1424</v>
      </c>
      <c r="D175" s="7" t="s">
        <v>99</v>
      </c>
      <c r="E175" s="7" t="s">
        <v>87</v>
      </c>
      <c r="F175" s="7" t="s">
        <v>37</v>
      </c>
      <c r="G175" s="7" t="s">
        <v>1433</v>
      </c>
      <c r="H175" s="7" t="s">
        <v>1436</v>
      </c>
      <c r="I175" s="7" t="s">
        <v>287</v>
      </c>
      <c r="J175" s="7" t="n">
        <v>53.6</v>
      </c>
      <c r="K175" s="7" t="n">
        <v>1</v>
      </c>
      <c r="L175" s="7" t="s">
        <v>1419</v>
      </c>
    </row>
    <row r="176" customFormat="false" ht="15" hidden="false" customHeight="false" outlineLevel="0" collapsed="false">
      <c r="A176" s="7" t="s">
        <v>1606</v>
      </c>
      <c r="B176" s="8" t="n">
        <v>45643</v>
      </c>
      <c r="C176" s="7" t="s">
        <v>1435</v>
      </c>
      <c r="D176" s="7" t="s">
        <v>102</v>
      </c>
      <c r="E176" s="7" t="s">
        <v>60</v>
      </c>
      <c r="F176" s="7" t="s">
        <v>37</v>
      </c>
      <c r="G176" s="7" t="s">
        <v>1441</v>
      </c>
      <c r="H176" s="7" t="s">
        <v>1009</v>
      </c>
      <c r="I176" s="7" t="s">
        <v>293</v>
      </c>
      <c r="J176" s="7" t="n">
        <v>35.6</v>
      </c>
      <c r="K176" s="7" t="n">
        <v>2</v>
      </c>
      <c r="L176" s="7" t="s">
        <v>1419</v>
      </c>
    </row>
    <row r="177" customFormat="false" ht="15" hidden="false" customHeight="false" outlineLevel="0" collapsed="false">
      <c r="A177" s="7" t="s">
        <v>1607</v>
      </c>
      <c r="B177" s="8" t="n">
        <v>45560</v>
      </c>
      <c r="C177" s="7" t="s">
        <v>1432</v>
      </c>
      <c r="D177" s="7" t="s">
        <v>109</v>
      </c>
      <c r="E177" s="7" t="s">
        <v>79</v>
      </c>
      <c r="F177" s="7" t="s">
        <v>37</v>
      </c>
      <c r="G177" s="7" t="s">
        <v>1429</v>
      </c>
      <c r="H177" s="7" t="s">
        <v>1436</v>
      </c>
      <c r="I177" s="7" t="s">
        <v>267</v>
      </c>
      <c r="J177" s="7" t="n">
        <v>30.1</v>
      </c>
      <c r="K177" s="7" t="n">
        <v>3</v>
      </c>
      <c r="L177" s="7" t="s">
        <v>1419</v>
      </c>
    </row>
    <row r="178" customFormat="false" ht="15" hidden="false" customHeight="false" outlineLevel="0" collapsed="false">
      <c r="A178" s="7" t="s">
        <v>1608</v>
      </c>
      <c r="B178" s="8" t="n">
        <v>45949</v>
      </c>
      <c r="C178" s="7" t="s">
        <v>1421</v>
      </c>
      <c r="D178" s="7" t="s">
        <v>95</v>
      </c>
      <c r="E178" s="7" t="s">
        <v>87</v>
      </c>
      <c r="F178" s="7" t="s">
        <v>37</v>
      </c>
      <c r="G178" s="7" t="s">
        <v>1441</v>
      </c>
      <c r="H178" s="7" t="s">
        <v>1009</v>
      </c>
      <c r="I178" s="7" t="s">
        <v>269</v>
      </c>
      <c r="J178" s="7" t="n">
        <v>42.9</v>
      </c>
      <c r="K178" s="7" t="n">
        <v>4</v>
      </c>
      <c r="L178" s="7" t="s">
        <v>1419</v>
      </c>
    </row>
    <row r="179" customFormat="false" ht="15" hidden="false" customHeight="false" outlineLevel="0" collapsed="false">
      <c r="A179" s="7" t="s">
        <v>1609</v>
      </c>
      <c r="B179" s="8" t="n">
        <v>45857</v>
      </c>
      <c r="C179" s="7" t="s">
        <v>1421</v>
      </c>
      <c r="D179" s="7" t="s">
        <v>99</v>
      </c>
      <c r="E179" s="7" t="s">
        <v>75</v>
      </c>
      <c r="F179" s="7" t="s">
        <v>37</v>
      </c>
      <c r="G179" s="7" t="s">
        <v>1422</v>
      </c>
      <c r="H179" s="7" t="s">
        <v>1009</v>
      </c>
      <c r="I179" s="7" t="s">
        <v>293</v>
      </c>
      <c r="J179" s="7" t="n">
        <v>2.9</v>
      </c>
      <c r="K179" s="7" t="n">
        <v>2</v>
      </c>
      <c r="L179" s="7" t="s">
        <v>1442</v>
      </c>
    </row>
    <row r="180" customFormat="false" ht="15" hidden="false" customHeight="false" outlineLevel="0" collapsed="false">
      <c r="A180" s="7" t="s">
        <v>1610</v>
      </c>
      <c r="B180" s="8" t="n">
        <v>45496</v>
      </c>
      <c r="C180" s="7" t="s">
        <v>1432</v>
      </c>
      <c r="D180" s="7" t="s">
        <v>104</v>
      </c>
      <c r="E180" s="7" t="s">
        <v>75</v>
      </c>
      <c r="F180" s="7" t="s">
        <v>37</v>
      </c>
      <c r="G180" s="7" t="s">
        <v>1433</v>
      </c>
      <c r="H180" s="7" t="s">
        <v>1004</v>
      </c>
      <c r="I180" s="7" t="s">
        <v>295</v>
      </c>
      <c r="J180" s="7" t="n">
        <v>81.8</v>
      </c>
      <c r="K180" s="7" t="n">
        <v>2</v>
      </c>
      <c r="L180" s="7" t="s">
        <v>1419</v>
      </c>
    </row>
    <row r="181" customFormat="false" ht="15" hidden="false" customHeight="false" outlineLevel="0" collapsed="false">
      <c r="A181" s="7" t="s">
        <v>1611</v>
      </c>
      <c r="B181" s="8" t="n">
        <v>45626</v>
      </c>
      <c r="C181" s="7" t="s">
        <v>1417</v>
      </c>
      <c r="D181" s="7" t="s">
        <v>95</v>
      </c>
      <c r="E181" s="7" t="s">
        <v>60</v>
      </c>
      <c r="F181" s="7" t="s">
        <v>37</v>
      </c>
      <c r="G181" s="7" t="s">
        <v>1441</v>
      </c>
      <c r="H181" s="7" t="s">
        <v>1009</v>
      </c>
      <c r="I181" s="7" t="s">
        <v>273</v>
      </c>
      <c r="J181" s="7" t="n">
        <v>41.7</v>
      </c>
      <c r="K181" s="7" t="n">
        <v>1</v>
      </c>
      <c r="L181" s="7" t="s">
        <v>1419</v>
      </c>
    </row>
    <row r="182" customFormat="false" ht="15" hidden="false" customHeight="false" outlineLevel="0" collapsed="false">
      <c r="A182" s="7" t="s">
        <v>1612</v>
      </c>
      <c r="B182" s="8" t="n">
        <v>45492</v>
      </c>
      <c r="C182" s="7" t="s">
        <v>1435</v>
      </c>
      <c r="D182" s="7" t="s">
        <v>115</v>
      </c>
      <c r="E182" s="7" t="s">
        <v>79</v>
      </c>
      <c r="F182" s="7" t="s">
        <v>37</v>
      </c>
      <c r="G182" s="7" t="s">
        <v>1426</v>
      </c>
      <c r="H182" s="7" t="s">
        <v>1009</v>
      </c>
      <c r="I182" s="7" t="s">
        <v>283</v>
      </c>
      <c r="J182" s="7" t="n">
        <v>6.6</v>
      </c>
      <c r="K182" s="7" t="n">
        <v>1</v>
      </c>
      <c r="L182" s="7" t="s">
        <v>1419</v>
      </c>
    </row>
    <row r="183" customFormat="false" ht="15" hidden="false" customHeight="false" outlineLevel="0" collapsed="false">
      <c r="A183" s="7" t="s">
        <v>1613</v>
      </c>
      <c r="B183" s="8" t="n">
        <v>45797</v>
      </c>
      <c r="C183" s="7" t="s">
        <v>1421</v>
      </c>
      <c r="D183" s="7" t="s">
        <v>95</v>
      </c>
      <c r="E183" s="7" t="s">
        <v>79</v>
      </c>
      <c r="F183" s="7" t="s">
        <v>37</v>
      </c>
      <c r="G183" s="7" t="s">
        <v>1422</v>
      </c>
      <c r="H183" s="7" t="s">
        <v>1009</v>
      </c>
      <c r="I183" s="7" t="s">
        <v>281</v>
      </c>
      <c r="J183" s="7" t="n">
        <v>43.6</v>
      </c>
      <c r="K183" s="7" t="n">
        <v>1</v>
      </c>
      <c r="L183" s="7" t="s">
        <v>1419</v>
      </c>
    </row>
    <row r="184" customFormat="false" ht="15" hidden="false" customHeight="false" outlineLevel="0" collapsed="false">
      <c r="A184" s="7" t="s">
        <v>1614</v>
      </c>
      <c r="B184" s="8" t="n">
        <v>45391</v>
      </c>
      <c r="C184" s="7" t="s">
        <v>1424</v>
      </c>
      <c r="D184" s="7" t="s">
        <v>106</v>
      </c>
      <c r="E184" s="7" t="s">
        <v>79</v>
      </c>
      <c r="F184" s="7" t="s">
        <v>37</v>
      </c>
      <c r="G184" s="7" t="s">
        <v>1426</v>
      </c>
      <c r="H184" s="7" t="s">
        <v>1004</v>
      </c>
      <c r="I184" s="7" t="s">
        <v>297</v>
      </c>
      <c r="J184" s="7" t="n">
        <v>42.2</v>
      </c>
      <c r="K184" s="7" t="n">
        <v>4</v>
      </c>
      <c r="L184" s="7" t="s">
        <v>1419</v>
      </c>
    </row>
    <row r="185" customFormat="false" ht="15" hidden="false" customHeight="false" outlineLevel="0" collapsed="false">
      <c r="A185" s="7" t="s">
        <v>1615</v>
      </c>
      <c r="B185" s="8" t="n">
        <v>45516</v>
      </c>
      <c r="C185" s="7" t="s">
        <v>1432</v>
      </c>
      <c r="D185" s="7" t="s">
        <v>95</v>
      </c>
      <c r="E185" s="7" t="s">
        <v>83</v>
      </c>
      <c r="F185" s="7" t="s">
        <v>37</v>
      </c>
      <c r="G185" s="7" t="s">
        <v>1426</v>
      </c>
      <c r="H185" s="7" t="s">
        <v>1026</v>
      </c>
      <c r="I185" s="7" t="s">
        <v>275</v>
      </c>
      <c r="J185" s="7" t="n">
        <v>19.7</v>
      </c>
      <c r="K185" s="7" t="n">
        <v>2</v>
      </c>
      <c r="L185" s="7" t="s">
        <v>1419</v>
      </c>
    </row>
    <row r="186" customFormat="false" ht="15" hidden="false" customHeight="false" outlineLevel="0" collapsed="false">
      <c r="A186" s="7" t="s">
        <v>1616</v>
      </c>
      <c r="B186" s="8" t="n">
        <v>45423</v>
      </c>
      <c r="C186" s="7" t="s">
        <v>1424</v>
      </c>
      <c r="D186" s="7" t="s">
        <v>99</v>
      </c>
      <c r="E186" s="7" t="s">
        <v>79</v>
      </c>
      <c r="F186" s="7" t="s">
        <v>37</v>
      </c>
      <c r="G186" s="7" t="s">
        <v>1433</v>
      </c>
      <c r="H186" s="7" t="s">
        <v>1026</v>
      </c>
      <c r="I186" s="7" t="s">
        <v>271</v>
      </c>
      <c r="J186" s="7" t="n">
        <v>47.3</v>
      </c>
      <c r="K186" s="7" t="n">
        <v>2</v>
      </c>
      <c r="L186" s="7" t="s">
        <v>1419</v>
      </c>
    </row>
    <row r="187" customFormat="false" ht="15" hidden="false" customHeight="false" outlineLevel="0" collapsed="false">
      <c r="A187" s="7" t="s">
        <v>1617</v>
      </c>
      <c r="B187" s="8" t="n">
        <v>45556</v>
      </c>
      <c r="C187" s="7" t="s">
        <v>1424</v>
      </c>
      <c r="D187" s="7" t="s">
        <v>102</v>
      </c>
      <c r="E187" s="7" t="s">
        <v>75</v>
      </c>
      <c r="F187" s="7" t="s">
        <v>37</v>
      </c>
      <c r="G187" s="7" t="s">
        <v>1429</v>
      </c>
      <c r="H187" s="7" t="s">
        <v>1009</v>
      </c>
      <c r="I187" s="7" t="s">
        <v>297</v>
      </c>
      <c r="J187" s="7" t="n">
        <v>69</v>
      </c>
      <c r="K187" s="7" t="n">
        <v>1</v>
      </c>
      <c r="L187" s="7" t="s">
        <v>1419</v>
      </c>
    </row>
    <row r="188" customFormat="false" ht="15" hidden="false" customHeight="false" outlineLevel="0" collapsed="false">
      <c r="A188" s="7" t="s">
        <v>1618</v>
      </c>
      <c r="B188" s="8" t="n">
        <v>45717</v>
      </c>
      <c r="C188" s="7" t="s">
        <v>1421</v>
      </c>
      <c r="D188" s="7" t="s">
        <v>102</v>
      </c>
      <c r="E188" s="7" t="s">
        <v>60</v>
      </c>
      <c r="F188" s="7" t="s">
        <v>37</v>
      </c>
      <c r="G188" s="7" t="s">
        <v>1422</v>
      </c>
      <c r="H188" s="7" t="s">
        <v>1004</v>
      </c>
      <c r="I188" s="7" t="s">
        <v>295</v>
      </c>
      <c r="J188" s="7" t="n">
        <v>16.7</v>
      </c>
      <c r="K188" s="7" t="n">
        <v>5</v>
      </c>
      <c r="L188" s="7" t="s">
        <v>1419</v>
      </c>
    </row>
    <row r="189" customFormat="false" ht="15" hidden="false" customHeight="false" outlineLevel="0" collapsed="false">
      <c r="A189" s="7" t="s">
        <v>1619</v>
      </c>
      <c r="B189" s="8" t="n">
        <v>45749</v>
      </c>
      <c r="C189" s="7" t="s">
        <v>1424</v>
      </c>
      <c r="D189" s="7" t="s">
        <v>99</v>
      </c>
      <c r="E189" s="7" t="s">
        <v>83</v>
      </c>
      <c r="F189" s="7" t="s">
        <v>37</v>
      </c>
      <c r="G189" s="7" t="s">
        <v>1433</v>
      </c>
      <c r="H189" s="7" t="s">
        <v>1004</v>
      </c>
      <c r="I189" s="7" t="s">
        <v>283</v>
      </c>
      <c r="J189" s="7" t="n">
        <v>51.9</v>
      </c>
      <c r="K189" s="7" t="n">
        <v>2</v>
      </c>
      <c r="L189" s="7" t="s">
        <v>1419</v>
      </c>
    </row>
    <row r="190" customFormat="false" ht="15" hidden="false" customHeight="false" outlineLevel="0" collapsed="false">
      <c r="A190" s="7" t="s">
        <v>1620</v>
      </c>
      <c r="B190" s="8" t="n">
        <v>45692</v>
      </c>
      <c r="C190" s="7" t="s">
        <v>1421</v>
      </c>
      <c r="D190" s="7" t="s">
        <v>99</v>
      </c>
      <c r="E190" s="7" t="s">
        <v>79</v>
      </c>
      <c r="F190" s="7" t="s">
        <v>37</v>
      </c>
      <c r="G190" s="7" t="s">
        <v>1426</v>
      </c>
      <c r="H190" s="7" t="s">
        <v>1436</v>
      </c>
      <c r="I190" s="7" t="s">
        <v>287</v>
      </c>
      <c r="J190" s="7" t="n">
        <v>5.8</v>
      </c>
      <c r="K190" s="7" t="n">
        <v>2</v>
      </c>
      <c r="L190" s="7" t="s">
        <v>1419</v>
      </c>
    </row>
    <row r="191" customFormat="false" ht="15" hidden="false" customHeight="false" outlineLevel="0" collapsed="false">
      <c r="A191" s="7" t="s">
        <v>1621</v>
      </c>
      <c r="B191" s="8" t="n">
        <v>45333</v>
      </c>
      <c r="C191" s="7" t="s">
        <v>1435</v>
      </c>
      <c r="D191" s="7" t="s">
        <v>95</v>
      </c>
      <c r="E191" s="7" t="s">
        <v>79</v>
      </c>
      <c r="F191" s="7" t="s">
        <v>37</v>
      </c>
      <c r="G191" s="7" t="s">
        <v>1454</v>
      </c>
      <c r="H191" s="7" t="s">
        <v>1004</v>
      </c>
      <c r="I191" s="7" t="s">
        <v>283</v>
      </c>
      <c r="J191" s="7" t="n">
        <v>36.9</v>
      </c>
      <c r="K191" s="7" t="n">
        <v>1</v>
      </c>
      <c r="L191" s="7" t="s">
        <v>1419</v>
      </c>
    </row>
    <row r="192" customFormat="false" ht="15" hidden="false" customHeight="false" outlineLevel="0" collapsed="false">
      <c r="A192" s="7" t="s">
        <v>1622</v>
      </c>
      <c r="B192" s="8" t="n">
        <v>45798</v>
      </c>
      <c r="C192" s="7" t="s">
        <v>1424</v>
      </c>
      <c r="D192" s="7" t="s">
        <v>113</v>
      </c>
      <c r="E192" s="7" t="s">
        <v>75</v>
      </c>
      <c r="F192" s="7" t="s">
        <v>37</v>
      </c>
      <c r="G192" s="7" t="s">
        <v>1418</v>
      </c>
      <c r="H192" s="7" t="s">
        <v>1009</v>
      </c>
      <c r="I192" s="7" t="s">
        <v>287</v>
      </c>
      <c r="J192" s="7" t="n">
        <v>59.4</v>
      </c>
      <c r="K192" s="7" t="n">
        <v>4</v>
      </c>
      <c r="L192" s="7" t="s">
        <v>1419</v>
      </c>
    </row>
    <row r="193" customFormat="false" ht="15" hidden="false" customHeight="false" outlineLevel="0" collapsed="false">
      <c r="A193" s="7" t="s">
        <v>1623</v>
      </c>
      <c r="B193" s="8" t="n">
        <v>45521</v>
      </c>
      <c r="C193" s="7" t="s">
        <v>1428</v>
      </c>
      <c r="D193" s="7" t="s">
        <v>102</v>
      </c>
      <c r="E193" s="7" t="s">
        <v>83</v>
      </c>
      <c r="F193" s="7" t="s">
        <v>37</v>
      </c>
      <c r="G193" s="7" t="s">
        <v>1429</v>
      </c>
      <c r="H193" s="7" t="s">
        <v>1009</v>
      </c>
      <c r="I193" s="7" t="s">
        <v>267</v>
      </c>
      <c r="J193" s="7" t="n">
        <v>28.3</v>
      </c>
      <c r="K193" s="7" t="n">
        <v>2</v>
      </c>
      <c r="L193" s="7" t="s">
        <v>1419</v>
      </c>
    </row>
    <row r="194" customFormat="false" ht="15" hidden="false" customHeight="false" outlineLevel="0" collapsed="false">
      <c r="A194" s="7" t="s">
        <v>1624</v>
      </c>
      <c r="B194" s="8" t="n">
        <v>45727</v>
      </c>
      <c r="C194" s="7" t="s">
        <v>1428</v>
      </c>
      <c r="D194" s="7" t="s">
        <v>99</v>
      </c>
      <c r="E194" s="7" t="s">
        <v>71</v>
      </c>
      <c r="F194" s="7" t="s">
        <v>37</v>
      </c>
      <c r="G194" s="7" t="s">
        <v>1433</v>
      </c>
      <c r="H194" s="7" t="s">
        <v>1009</v>
      </c>
      <c r="I194" s="7" t="s">
        <v>271</v>
      </c>
      <c r="J194" s="7" t="n">
        <v>17.1</v>
      </c>
      <c r="K194" s="7" t="n">
        <v>4</v>
      </c>
      <c r="L194" s="7" t="s">
        <v>1419</v>
      </c>
    </row>
    <row r="195" customFormat="false" ht="15" hidden="false" customHeight="false" outlineLevel="0" collapsed="false">
      <c r="A195" s="7" t="s">
        <v>1625</v>
      </c>
      <c r="B195" s="8" t="n">
        <v>45849</v>
      </c>
      <c r="C195" s="7" t="s">
        <v>1417</v>
      </c>
      <c r="D195" s="7" t="s">
        <v>109</v>
      </c>
      <c r="E195" s="7" t="s">
        <v>68</v>
      </c>
      <c r="F195" s="7" t="s">
        <v>37</v>
      </c>
      <c r="G195" s="7" t="s">
        <v>1418</v>
      </c>
      <c r="H195" s="7" t="s">
        <v>1009</v>
      </c>
      <c r="I195" s="7" t="s">
        <v>267</v>
      </c>
      <c r="J195" s="7" t="n">
        <v>40.4</v>
      </c>
      <c r="K195" s="7" t="n">
        <v>4</v>
      </c>
      <c r="L195" s="7" t="s">
        <v>1419</v>
      </c>
    </row>
    <row r="196" customFormat="false" ht="15" hidden="false" customHeight="false" outlineLevel="0" collapsed="false">
      <c r="A196" s="7" t="s">
        <v>1626</v>
      </c>
      <c r="B196" s="8" t="n">
        <v>45595</v>
      </c>
      <c r="C196" s="7" t="s">
        <v>1424</v>
      </c>
      <c r="D196" s="7" t="s">
        <v>109</v>
      </c>
      <c r="E196" s="7" t="s">
        <v>60</v>
      </c>
      <c r="F196" s="7" t="s">
        <v>37</v>
      </c>
      <c r="G196" s="7" t="s">
        <v>1422</v>
      </c>
      <c r="H196" s="7" t="s">
        <v>1004</v>
      </c>
      <c r="I196" s="7" t="s">
        <v>263</v>
      </c>
      <c r="J196" s="7" t="n">
        <v>47.9</v>
      </c>
      <c r="K196" s="7" t="n">
        <v>2</v>
      </c>
      <c r="L196" s="7" t="s">
        <v>1419</v>
      </c>
    </row>
    <row r="197" customFormat="false" ht="15" hidden="false" customHeight="false" outlineLevel="0" collapsed="false">
      <c r="A197" s="7" t="s">
        <v>1627</v>
      </c>
      <c r="B197" s="8" t="n">
        <v>45740</v>
      </c>
      <c r="C197" s="7" t="s">
        <v>1424</v>
      </c>
      <c r="D197" s="7" t="s">
        <v>109</v>
      </c>
      <c r="E197" s="7" t="s">
        <v>65</v>
      </c>
      <c r="F197" s="7" t="s">
        <v>37</v>
      </c>
      <c r="G197" s="7" t="s">
        <v>1422</v>
      </c>
      <c r="H197" s="7" t="s">
        <v>1004</v>
      </c>
      <c r="I197" s="7" t="s">
        <v>275</v>
      </c>
      <c r="J197" s="7" t="n">
        <v>60.4</v>
      </c>
      <c r="K197" s="7" t="n">
        <v>1</v>
      </c>
      <c r="L197" s="7" t="s">
        <v>1419</v>
      </c>
    </row>
    <row r="198" customFormat="false" ht="15" hidden="false" customHeight="false" outlineLevel="0" collapsed="false">
      <c r="A198" s="7" t="s">
        <v>1628</v>
      </c>
      <c r="B198" s="8" t="n">
        <v>45687</v>
      </c>
      <c r="C198" s="7" t="s">
        <v>1435</v>
      </c>
      <c r="D198" s="7" t="s">
        <v>106</v>
      </c>
      <c r="E198" s="7" t="s">
        <v>87</v>
      </c>
      <c r="F198" s="7" t="s">
        <v>37</v>
      </c>
      <c r="G198" s="7" t="s">
        <v>1426</v>
      </c>
      <c r="H198" s="7" t="s">
        <v>1009</v>
      </c>
      <c r="I198" s="7" t="s">
        <v>265</v>
      </c>
      <c r="J198" s="7" t="n">
        <v>36.1</v>
      </c>
      <c r="K198" s="7" t="n">
        <v>2</v>
      </c>
      <c r="L198" s="7" t="s">
        <v>1442</v>
      </c>
    </row>
    <row r="199" customFormat="false" ht="15" hidden="false" customHeight="false" outlineLevel="0" collapsed="false">
      <c r="A199" s="7" t="s">
        <v>1629</v>
      </c>
      <c r="B199" s="8" t="n">
        <v>45424</v>
      </c>
      <c r="C199" s="7" t="s">
        <v>1421</v>
      </c>
      <c r="D199" s="7" t="s">
        <v>113</v>
      </c>
      <c r="E199" s="7" t="s">
        <v>68</v>
      </c>
      <c r="F199" s="7" t="s">
        <v>37</v>
      </c>
      <c r="G199" s="7" t="s">
        <v>1454</v>
      </c>
      <c r="H199" s="7" t="s">
        <v>1004</v>
      </c>
      <c r="I199" s="7" t="s">
        <v>281</v>
      </c>
      <c r="J199" s="7" t="n">
        <v>56.3</v>
      </c>
      <c r="K199" s="7" t="n">
        <v>5</v>
      </c>
      <c r="L199" s="7" t="s">
        <v>1013</v>
      </c>
    </row>
    <row r="200" customFormat="false" ht="15" hidden="false" customHeight="false" outlineLevel="0" collapsed="false">
      <c r="A200" s="7" t="s">
        <v>1630</v>
      </c>
      <c r="B200" s="8" t="n">
        <v>45373</v>
      </c>
      <c r="C200" s="7" t="s">
        <v>1428</v>
      </c>
      <c r="D200" s="7" t="s">
        <v>95</v>
      </c>
      <c r="E200" s="7" t="s">
        <v>65</v>
      </c>
      <c r="F200" s="7" t="s">
        <v>37</v>
      </c>
      <c r="G200" s="7" t="s">
        <v>1441</v>
      </c>
      <c r="H200" s="7" t="s">
        <v>1009</v>
      </c>
      <c r="I200" s="7" t="s">
        <v>271</v>
      </c>
      <c r="J200" s="7" t="n">
        <v>14.1</v>
      </c>
      <c r="K200" s="7" t="n">
        <v>2</v>
      </c>
      <c r="L200" s="7" t="s">
        <v>1419</v>
      </c>
    </row>
    <row r="201" customFormat="false" ht="15" hidden="false" customHeight="false" outlineLevel="0" collapsed="false">
      <c r="A201" s="7" t="s">
        <v>1631</v>
      </c>
      <c r="B201" s="8" t="n">
        <v>46014</v>
      </c>
      <c r="C201" s="7" t="s">
        <v>1417</v>
      </c>
      <c r="D201" s="7" t="s">
        <v>99</v>
      </c>
      <c r="E201" s="7" t="s">
        <v>83</v>
      </c>
      <c r="F201" s="7" t="s">
        <v>37</v>
      </c>
      <c r="G201" s="7" t="s">
        <v>1433</v>
      </c>
      <c r="H201" s="7" t="s">
        <v>1004</v>
      </c>
      <c r="I201" s="7" t="s">
        <v>271</v>
      </c>
      <c r="J201" s="7" t="n">
        <v>45.6</v>
      </c>
      <c r="K201" s="7" t="n">
        <v>2</v>
      </c>
      <c r="L201" s="7" t="s">
        <v>1013</v>
      </c>
    </row>
    <row r="202" customFormat="false" ht="15" hidden="false" customHeight="false" outlineLevel="0" collapsed="false">
      <c r="A202" s="7" t="s">
        <v>1632</v>
      </c>
      <c r="B202" s="8" t="n">
        <v>45570</v>
      </c>
      <c r="C202" s="7" t="s">
        <v>1421</v>
      </c>
      <c r="D202" s="7" t="s">
        <v>102</v>
      </c>
      <c r="E202" s="7" t="s">
        <v>60</v>
      </c>
      <c r="F202" s="7" t="s">
        <v>37</v>
      </c>
      <c r="G202" s="7" t="s">
        <v>1418</v>
      </c>
      <c r="H202" s="7" t="s">
        <v>1026</v>
      </c>
      <c r="I202" s="7" t="s">
        <v>281</v>
      </c>
      <c r="J202" s="7" t="n">
        <v>2.7</v>
      </c>
      <c r="K202" s="7" t="n">
        <v>3</v>
      </c>
      <c r="L202" s="7" t="s">
        <v>1419</v>
      </c>
    </row>
    <row r="203" customFormat="false" ht="15" hidden="false" customHeight="false" outlineLevel="0" collapsed="false">
      <c r="A203" s="7" t="s">
        <v>1633</v>
      </c>
      <c r="B203" s="8" t="n">
        <v>45607</v>
      </c>
      <c r="C203" s="7" t="s">
        <v>1428</v>
      </c>
      <c r="D203" s="7" t="s">
        <v>106</v>
      </c>
      <c r="E203" s="7" t="s">
        <v>65</v>
      </c>
      <c r="F203" s="7" t="s">
        <v>37</v>
      </c>
      <c r="G203" s="7" t="s">
        <v>1433</v>
      </c>
      <c r="H203" s="7" t="s">
        <v>1004</v>
      </c>
      <c r="I203" s="7" t="s">
        <v>285</v>
      </c>
      <c r="J203" s="7" t="n">
        <v>56.6</v>
      </c>
      <c r="K203" s="7" t="n">
        <v>2</v>
      </c>
      <c r="L203" s="7" t="s">
        <v>1013</v>
      </c>
    </row>
    <row r="204" customFormat="false" ht="15" hidden="false" customHeight="false" outlineLevel="0" collapsed="false">
      <c r="A204" s="7" t="s">
        <v>1634</v>
      </c>
      <c r="B204" s="8" t="n">
        <v>45669</v>
      </c>
      <c r="C204" s="7" t="s">
        <v>1421</v>
      </c>
      <c r="D204" s="7" t="s">
        <v>104</v>
      </c>
      <c r="E204" s="7" t="s">
        <v>83</v>
      </c>
      <c r="F204" s="7" t="s">
        <v>37</v>
      </c>
      <c r="G204" s="7" t="s">
        <v>1454</v>
      </c>
      <c r="H204" s="7" t="s">
        <v>1004</v>
      </c>
      <c r="I204" s="7" t="s">
        <v>281</v>
      </c>
      <c r="J204" s="7" t="n">
        <v>77.6</v>
      </c>
      <c r="K204" s="7" t="n">
        <v>2</v>
      </c>
      <c r="L204" s="7" t="s">
        <v>1442</v>
      </c>
    </row>
    <row r="205" customFormat="false" ht="15" hidden="false" customHeight="false" outlineLevel="0" collapsed="false">
      <c r="A205" s="7" t="s">
        <v>1635</v>
      </c>
      <c r="B205" s="8" t="n">
        <v>45755</v>
      </c>
      <c r="C205" s="7" t="s">
        <v>1428</v>
      </c>
      <c r="D205" s="7" t="s">
        <v>113</v>
      </c>
      <c r="E205" s="7" t="s">
        <v>75</v>
      </c>
      <c r="F205" s="7" t="s">
        <v>37</v>
      </c>
      <c r="G205" s="7" t="s">
        <v>1441</v>
      </c>
      <c r="H205" s="7" t="s">
        <v>1026</v>
      </c>
      <c r="I205" s="7" t="s">
        <v>285</v>
      </c>
      <c r="J205" s="7" t="n">
        <v>72.6</v>
      </c>
      <c r="K205" s="7" t="n">
        <v>2</v>
      </c>
      <c r="L205" s="7" t="s">
        <v>1013</v>
      </c>
    </row>
    <row r="206" customFormat="false" ht="15" hidden="false" customHeight="false" outlineLevel="0" collapsed="false">
      <c r="A206" s="7" t="s">
        <v>1636</v>
      </c>
      <c r="B206" s="8" t="n">
        <v>46009</v>
      </c>
      <c r="C206" s="7" t="s">
        <v>1424</v>
      </c>
      <c r="D206" s="7" t="s">
        <v>102</v>
      </c>
      <c r="E206" s="7" t="s">
        <v>60</v>
      </c>
      <c r="F206" s="7" t="s">
        <v>37</v>
      </c>
      <c r="G206" s="7" t="s">
        <v>1426</v>
      </c>
      <c r="H206" s="7" t="s">
        <v>1004</v>
      </c>
      <c r="I206" s="7" t="s">
        <v>285</v>
      </c>
      <c r="J206" s="7" t="n">
        <v>74.7</v>
      </c>
      <c r="K206" s="7" t="n">
        <v>2</v>
      </c>
      <c r="L206" s="7" t="s">
        <v>1442</v>
      </c>
    </row>
    <row r="207" customFormat="false" ht="15" hidden="false" customHeight="false" outlineLevel="0" collapsed="false">
      <c r="A207" s="7" t="s">
        <v>1637</v>
      </c>
      <c r="B207" s="8" t="n">
        <v>45580</v>
      </c>
      <c r="C207" s="7" t="s">
        <v>1432</v>
      </c>
      <c r="D207" s="7" t="s">
        <v>95</v>
      </c>
      <c r="E207" s="7" t="s">
        <v>79</v>
      </c>
      <c r="F207" s="7" t="s">
        <v>37</v>
      </c>
      <c r="G207" s="7" t="s">
        <v>1418</v>
      </c>
      <c r="H207" s="7" t="s">
        <v>1026</v>
      </c>
      <c r="I207" s="7" t="s">
        <v>283</v>
      </c>
      <c r="J207" s="7" t="n">
        <v>47.1</v>
      </c>
      <c r="K207" s="7" t="n">
        <v>1</v>
      </c>
      <c r="L207" s="7" t="s">
        <v>1419</v>
      </c>
    </row>
    <row r="208" customFormat="false" ht="15" hidden="false" customHeight="false" outlineLevel="0" collapsed="false">
      <c r="A208" s="7" t="s">
        <v>1638</v>
      </c>
      <c r="B208" s="8" t="n">
        <v>45863</v>
      </c>
      <c r="C208" s="7" t="s">
        <v>1417</v>
      </c>
      <c r="D208" s="7" t="s">
        <v>115</v>
      </c>
      <c r="E208" s="7" t="s">
        <v>68</v>
      </c>
      <c r="F208" s="7" t="s">
        <v>37</v>
      </c>
      <c r="G208" s="7" t="s">
        <v>1418</v>
      </c>
      <c r="H208" s="7" t="s">
        <v>1004</v>
      </c>
      <c r="I208" s="7" t="s">
        <v>283</v>
      </c>
      <c r="J208" s="7" t="n">
        <v>45.9</v>
      </c>
      <c r="K208" s="7" t="n">
        <v>4</v>
      </c>
      <c r="L208" s="7" t="s">
        <v>1419</v>
      </c>
    </row>
    <row r="209" customFormat="false" ht="15" hidden="false" customHeight="false" outlineLevel="0" collapsed="false">
      <c r="A209" s="7" t="s">
        <v>1639</v>
      </c>
      <c r="B209" s="8" t="n">
        <v>46007</v>
      </c>
      <c r="C209" s="7" t="s">
        <v>1432</v>
      </c>
      <c r="D209" s="7" t="s">
        <v>104</v>
      </c>
      <c r="E209" s="7" t="s">
        <v>83</v>
      </c>
      <c r="F209" s="7" t="s">
        <v>37</v>
      </c>
      <c r="G209" s="7" t="s">
        <v>1433</v>
      </c>
      <c r="H209" s="7" t="s">
        <v>1004</v>
      </c>
      <c r="I209" s="7" t="s">
        <v>287</v>
      </c>
      <c r="J209" s="7" t="n">
        <v>1</v>
      </c>
      <c r="K209" s="7" t="n">
        <v>1</v>
      </c>
      <c r="L209" s="7" t="s">
        <v>1419</v>
      </c>
    </row>
    <row r="210" customFormat="false" ht="15" hidden="false" customHeight="false" outlineLevel="0" collapsed="false">
      <c r="A210" s="7" t="s">
        <v>1640</v>
      </c>
      <c r="B210" s="8" t="n">
        <v>45654</v>
      </c>
      <c r="C210" s="7" t="s">
        <v>1424</v>
      </c>
      <c r="D210" s="7" t="s">
        <v>95</v>
      </c>
      <c r="E210" s="7" t="s">
        <v>75</v>
      </c>
      <c r="F210" s="7" t="s">
        <v>37</v>
      </c>
      <c r="G210" s="7" t="s">
        <v>1454</v>
      </c>
      <c r="H210" s="7" t="s">
        <v>1009</v>
      </c>
      <c r="I210" s="7" t="s">
        <v>275</v>
      </c>
      <c r="J210" s="7" t="n">
        <v>95.8</v>
      </c>
      <c r="K210" s="7" t="n">
        <v>4</v>
      </c>
      <c r="L210" s="7" t="s">
        <v>1419</v>
      </c>
    </row>
    <row r="211" customFormat="false" ht="15" hidden="false" customHeight="false" outlineLevel="0" collapsed="false">
      <c r="A211" s="7" t="s">
        <v>1641</v>
      </c>
      <c r="B211" s="8" t="n">
        <v>45730</v>
      </c>
      <c r="C211" s="7" t="s">
        <v>1435</v>
      </c>
      <c r="D211" s="7" t="s">
        <v>99</v>
      </c>
      <c r="E211" s="7" t="s">
        <v>71</v>
      </c>
      <c r="F211" s="7" t="s">
        <v>37</v>
      </c>
      <c r="G211" s="7" t="s">
        <v>1418</v>
      </c>
      <c r="H211" s="7" t="s">
        <v>1004</v>
      </c>
      <c r="I211" s="7" t="s">
        <v>271</v>
      </c>
      <c r="J211" s="7" t="n">
        <v>69.4</v>
      </c>
      <c r="K211" s="7" t="n">
        <v>2</v>
      </c>
      <c r="L211" s="7" t="s">
        <v>1419</v>
      </c>
    </row>
    <row r="212" customFormat="false" ht="15" hidden="false" customHeight="false" outlineLevel="0" collapsed="false">
      <c r="A212" s="7" t="s">
        <v>1642</v>
      </c>
      <c r="B212" s="8" t="n">
        <v>45733</v>
      </c>
      <c r="C212" s="7" t="s">
        <v>1432</v>
      </c>
      <c r="D212" s="7" t="s">
        <v>115</v>
      </c>
      <c r="E212" s="7" t="s">
        <v>87</v>
      </c>
      <c r="F212" s="7" t="s">
        <v>37</v>
      </c>
      <c r="G212" s="7" t="s">
        <v>1441</v>
      </c>
      <c r="H212" s="7" t="s">
        <v>1436</v>
      </c>
      <c r="I212" s="7" t="s">
        <v>277</v>
      </c>
      <c r="J212" s="7" t="n">
        <v>93.7</v>
      </c>
      <c r="K212" s="7" t="n">
        <v>2</v>
      </c>
      <c r="L212" s="7" t="s">
        <v>1419</v>
      </c>
    </row>
    <row r="213" customFormat="false" ht="15" hidden="false" customHeight="false" outlineLevel="0" collapsed="false">
      <c r="A213" s="7" t="s">
        <v>1643</v>
      </c>
      <c r="B213" s="8" t="n">
        <v>45335</v>
      </c>
      <c r="C213" s="7" t="s">
        <v>1435</v>
      </c>
      <c r="D213" s="7" t="s">
        <v>109</v>
      </c>
      <c r="E213" s="7" t="s">
        <v>75</v>
      </c>
      <c r="F213" s="7" t="s">
        <v>37</v>
      </c>
      <c r="G213" s="7" t="s">
        <v>1454</v>
      </c>
      <c r="H213" s="7" t="s">
        <v>1004</v>
      </c>
      <c r="I213" s="7" t="s">
        <v>285</v>
      </c>
      <c r="J213" s="7" t="n">
        <v>80.4</v>
      </c>
      <c r="K213" s="7" t="n">
        <v>4</v>
      </c>
      <c r="L213" s="7" t="s">
        <v>1419</v>
      </c>
    </row>
    <row r="214" customFormat="false" ht="15" hidden="false" customHeight="false" outlineLevel="0" collapsed="false">
      <c r="A214" s="7" t="s">
        <v>1644</v>
      </c>
      <c r="B214" s="8" t="n">
        <v>45995</v>
      </c>
      <c r="C214" s="7" t="s">
        <v>1432</v>
      </c>
      <c r="D214" s="7" t="s">
        <v>104</v>
      </c>
      <c r="E214" s="7" t="s">
        <v>60</v>
      </c>
      <c r="F214" s="7" t="s">
        <v>37</v>
      </c>
      <c r="G214" s="7" t="s">
        <v>1426</v>
      </c>
      <c r="H214" s="7" t="s">
        <v>1026</v>
      </c>
      <c r="I214" s="7" t="s">
        <v>295</v>
      </c>
      <c r="J214" s="7" t="n">
        <v>7.8</v>
      </c>
      <c r="K214" s="7" t="n">
        <v>2</v>
      </c>
      <c r="L214" s="7" t="s">
        <v>1013</v>
      </c>
    </row>
    <row r="215" customFormat="false" ht="15" hidden="false" customHeight="false" outlineLevel="0" collapsed="false">
      <c r="A215" s="7" t="s">
        <v>1645</v>
      </c>
      <c r="B215" s="8" t="n">
        <v>45943</v>
      </c>
      <c r="C215" s="7" t="s">
        <v>1424</v>
      </c>
      <c r="D215" s="7" t="s">
        <v>113</v>
      </c>
      <c r="E215" s="7" t="s">
        <v>83</v>
      </c>
      <c r="F215" s="7" t="s">
        <v>37</v>
      </c>
      <c r="G215" s="7" t="s">
        <v>1441</v>
      </c>
      <c r="H215" s="7" t="s">
        <v>1026</v>
      </c>
      <c r="I215" s="7" t="s">
        <v>277</v>
      </c>
      <c r="J215" s="7" t="n">
        <v>35.1</v>
      </c>
      <c r="K215" s="7" t="n">
        <v>4</v>
      </c>
      <c r="L215" s="7" t="s">
        <v>1419</v>
      </c>
    </row>
    <row r="216" customFormat="false" ht="15" hidden="false" customHeight="false" outlineLevel="0" collapsed="false">
      <c r="A216" s="7" t="s">
        <v>1646</v>
      </c>
      <c r="B216" s="8" t="n">
        <v>45601</v>
      </c>
      <c r="C216" s="7" t="s">
        <v>1424</v>
      </c>
      <c r="D216" s="7" t="s">
        <v>104</v>
      </c>
      <c r="E216" s="7" t="s">
        <v>60</v>
      </c>
      <c r="F216" s="7" t="s">
        <v>37</v>
      </c>
      <c r="G216" s="7" t="s">
        <v>1422</v>
      </c>
      <c r="H216" s="7" t="s">
        <v>1436</v>
      </c>
      <c r="I216" s="7" t="s">
        <v>297</v>
      </c>
      <c r="J216" s="7" t="n">
        <v>49</v>
      </c>
      <c r="K216" s="7" t="n">
        <v>5</v>
      </c>
      <c r="L216" s="7" t="s">
        <v>1419</v>
      </c>
    </row>
    <row r="217" customFormat="false" ht="15" hidden="false" customHeight="false" outlineLevel="0" collapsed="false">
      <c r="A217" s="7" t="s">
        <v>1647</v>
      </c>
      <c r="B217" s="8" t="n">
        <v>45440</v>
      </c>
      <c r="C217" s="7" t="s">
        <v>1424</v>
      </c>
      <c r="D217" s="7" t="s">
        <v>115</v>
      </c>
      <c r="E217" s="7" t="s">
        <v>71</v>
      </c>
      <c r="F217" s="7" t="s">
        <v>37</v>
      </c>
      <c r="G217" s="7" t="s">
        <v>1418</v>
      </c>
      <c r="H217" s="7" t="s">
        <v>1009</v>
      </c>
      <c r="I217" s="7" t="s">
        <v>295</v>
      </c>
      <c r="J217" s="7" t="n">
        <v>61.8</v>
      </c>
      <c r="K217" s="7" t="n">
        <v>4</v>
      </c>
      <c r="L217" s="7" t="s">
        <v>1419</v>
      </c>
    </row>
    <row r="218" customFormat="false" ht="15" hidden="false" customHeight="false" outlineLevel="0" collapsed="false">
      <c r="A218" s="7" t="s">
        <v>1648</v>
      </c>
      <c r="B218" s="8" t="n">
        <v>45936</v>
      </c>
      <c r="C218" s="7" t="s">
        <v>1428</v>
      </c>
      <c r="D218" s="7" t="s">
        <v>109</v>
      </c>
      <c r="E218" s="7" t="s">
        <v>75</v>
      </c>
      <c r="F218" s="7" t="s">
        <v>37</v>
      </c>
      <c r="G218" s="7" t="s">
        <v>1422</v>
      </c>
      <c r="H218" s="7" t="s">
        <v>1009</v>
      </c>
      <c r="I218" s="7" t="s">
        <v>265</v>
      </c>
      <c r="J218" s="7" t="n">
        <v>31.5</v>
      </c>
      <c r="K218" s="7" t="n">
        <v>3</v>
      </c>
      <c r="L218" s="7" t="s">
        <v>1419</v>
      </c>
    </row>
    <row r="219" customFormat="false" ht="15" hidden="false" customHeight="false" outlineLevel="0" collapsed="false">
      <c r="A219" s="7" t="s">
        <v>1649</v>
      </c>
      <c r="B219" s="8" t="n">
        <v>45657</v>
      </c>
      <c r="C219" s="7" t="s">
        <v>1417</v>
      </c>
      <c r="D219" s="7" t="s">
        <v>104</v>
      </c>
      <c r="E219" s="7" t="s">
        <v>83</v>
      </c>
      <c r="F219" s="7" t="s">
        <v>37</v>
      </c>
      <c r="G219" s="7" t="s">
        <v>1422</v>
      </c>
      <c r="H219" s="7" t="s">
        <v>1009</v>
      </c>
      <c r="I219" s="7" t="s">
        <v>267</v>
      </c>
      <c r="J219" s="7" t="n">
        <v>53.2</v>
      </c>
      <c r="K219" s="7" t="n">
        <v>5</v>
      </c>
      <c r="L219" s="7" t="s">
        <v>1419</v>
      </c>
    </row>
    <row r="220" customFormat="false" ht="15" hidden="false" customHeight="false" outlineLevel="0" collapsed="false">
      <c r="A220" s="7" t="s">
        <v>1650</v>
      </c>
      <c r="B220" s="8" t="n">
        <v>45830</v>
      </c>
      <c r="C220" s="7" t="s">
        <v>1424</v>
      </c>
      <c r="D220" s="7" t="s">
        <v>95</v>
      </c>
      <c r="E220" s="7" t="s">
        <v>83</v>
      </c>
      <c r="F220" s="7" t="s">
        <v>37</v>
      </c>
      <c r="G220" s="7" t="s">
        <v>1454</v>
      </c>
      <c r="H220" s="7" t="s">
        <v>1004</v>
      </c>
      <c r="I220" s="7" t="s">
        <v>285</v>
      </c>
      <c r="J220" s="7" t="n">
        <v>87.1</v>
      </c>
      <c r="K220" s="7" t="n">
        <v>4</v>
      </c>
      <c r="L220" s="7" t="s">
        <v>1419</v>
      </c>
    </row>
    <row r="221" customFormat="false" ht="15" hidden="false" customHeight="false" outlineLevel="0" collapsed="false">
      <c r="A221" s="7" t="s">
        <v>1651</v>
      </c>
      <c r="B221" s="8" t="n">
        <v>45318</v>
      </c>
      <c r="C221" s="7" t="s">
        <v>1435</v>
      </c>
      <c r="D221" s="7" t="s">
        <v>102</v>
      </c>
      <c r="E221" s="7" t="s">
        <v>83</v>
      </c>
      <c r="F221" s="7" t="s">
        <v>37</v>
      </c>
      <c r="G221" s="7" t="s">
        <v>1454</v>
      </c>
      <c r="H221" s="7" t="s">
        <v>1026</v>
      </c>
      <c r="I221" s="7" t="s">
        <v>271</v>
      </c>
      <c r="J221" s="7" t="n">
        <v>46.4</v>
      </c>
      <c r="K221" s="7" t="n">
        <v>2</v>
      </c>
      <c r="L221" s="7" t="s">
        <v>1419</v>
      </c>
    </row>
    <row r="222" customFormat="false" ht="15" hidden="false" customHeight="false" outlineLevel="0" collapsed="false">
      <c r="A222" s="7" t="s">
        <v>1652</v>
      </c>
      <c r="B222" s="8" t="n">
        <v>45539</v>
      </c>
      <c r="C222" s="7" t="s">
        <v>1428</v>
      </c>
      <c r="D222" s="7" t="s">
        <v>99</v>
      </c>
      <c r="E222" s="7" t="s">
        <v>75</v>
      </c>
      <c r="F222" s="7" t="s">
        <v>37</v>
      </c>
      <c r="G222" s="7" t="s">
        <v>1426</v>
      </c>
      <c r="H222" s="7" t="s">
        <v>1009</v>
      </c>
      <c r="I222" s="7" t="s">
        <v>273</v>
      </c>
      <c r="J222" s="7" t="n">
        <v>43.7</v>
      </c>
      <c r="K222" s="7" t="n">
        <v>1</v>
      </c>
      <c r="L222" s="7" t="s">
        <v>1419</v>
      </c>
    </row>
    <row r="223" customFormat="false" ht="15" hidden="false" customHeight="false" outlineLevel="0" collapsed="false">
      <c r="A223" s="7" t="s">
        <v>1653</v>
      </c>
      <c r="B223" s="8" t="n">
        <v>45911</v>
      </c>
      <c r="C223" s="7" t="s">
        <v>1432</v>
      </c>
      <c r="D223" s="7" t="s">
        <v>102</v>
      </c>
      <c r="E223" s="7" t="s">
        <v>75</v>
      </c>
      <c r="F223" s="7" t="s">
        <v>37</v>
      </c>
      <c r="G223" s="7" t="s">
        <v>1429</v>
      </c>
      <c r="H223" s="7" t="s">
        <v>1004</v>
      </c>
      <c r="I223" s="7" t="s">
        <v>293</v>
      </c>
      <c r="J223" s="7" t="n">
        <v>69.6</v>
      </c>
      <c r="K223" s="7" t="n">
        <v>2</v>
      </c>
      <c r="L223" s="7" t="s">
        <v>1013</v>
      </c>
    </row>
    <row r="224" customFormat="false" ht="15" hidden="false" customHeight="false" outlineLevel="0" collapsed="false">
      <c r="A224" s="7" t="s">
        <v>1654</v>
      </c>
      <c r="B224" s="8" t="n">
        <v>45618</v>
      </c>
      <c r="C224" s="7" t="s">
        <v>1432</v>
      </c>
      <c r="D224" s="7" t="s">
        <v>99</v>
      </c>
      <c r="E224" s="7" t="s">
        <v>75</v>
      </c>
      <c r="F224" s="7" t="s">
        <v>37</v>
      </c>
      <c r="G224" s="7" t="s">
        <v>1422</v>
      </c>
      <c r="H224" s="7" t="s">
        <v>1004</v>
      </c>
      <c r="I224" s="7" t="s">
        <v>273</v>
      </c>
      <c r="J224" s="7" t="n">
        <v>38.9</v>
      </c>
      <c r="K224" s="7" t="n">
        <v>1</v>
      </c>
      <c r="L224" s="7" t="s">
        <v>1442</v>
      </c>
    </row>
    <row r="225" customFormat="false" ht="15" hidden="false" customHeight="false" outlineLevel="0" collapsed="false">
      <c r="A225" s="7" t="s">
        <v>1655</v>
      </c>
      <c r="B225" s="8" t="n">
        <v>45655</v>
      </c>
      <c r="C225" s="7" t="s">
        <v>1428</v>
      </c>
      <c r="D225" s="7" t="s">
        <v>115</v>
      </c>
      <c r="E225" s="7" t="s">
        <v>79</v>
      </c>
      <c r="F225" s="7" t="s">
        <v>37</v>
      </c>
      <c r="G225" s="7" t="s">
        <v>1454</v>
      </c>
      <c r="H225" s="7" t="s">
        <v>1004</v>
      </c>
      <c r="I225" s="7" t="s">
        <v>293</v>
      </c>
      <c r="J225" s="7" t="n">
        <v>95.1</v>
      </c>
      <c r="K225" s="7" t="n">
        <v>3</v>
      </c>
      <c r="L225" s="7" t="s">
        <v>1013</v>
      </c>
    </row>
    <row r="226" customFormat="false" ht="15" hidden="false" customHeight="false" outlineLevel="0" collapsed="false">
      <c r="A226" s="7" t="s">
        <v>1656</v>
      </c>
      <c r="B226" s="8" t="n">
        <v>45860</v>
      </c>
      <c r="C226" s="7" t="s">
        <v>1435</v>
      </c>
      <c r="D226" s="7" t="s">
        <v>109</v>
      </c>
      <c r="E226" s="7" t="s">
        <v>79</v>
      </c>
      <c r="F226" s="7" t="s">
        <v>37</v>
      </c>
      <c r="G226" s="7" t="s">
        <v>1426</v>
      </c>
      <c r="H226" s="7" t="s">
        <v>1004</v>
      </c>
      <c r="I226" s="7" t="s">
        <v>287</v>
      </c>
      <c r="J226" s="7" t="n">
        <v>86.6</v>
      </c>
      <c r="K226" s="7" t="n">
        <v>1</v>
      </c>
      <c r="L226" s="7" t="s">
        <v>1419</v>
      </c>
    </row>
    <row r="227" customFormat="false" ht="15" hidden="false" customHeight="false" outlineLevel="0" collapsed="false">
      <c r="A227" s="7" t="s">
        <v>1657</v>
      </c>
      <c r="B227" s="8" t="n">
        <v>45998</v>
      </c>
      <c r="C227" s="7" t="s">
        <v>1417</v>
      </c>
      <c r="D227" s="7" t="s">
        <v>115</v>
      </c>
      <c r="E227" s="7" t="s">
        <v>71</v>
      </c>
      <c r="F227" s="7" t="s">
        <v>37</v>
      </c>
      <c r="G227" s="7" t="s">
        <v>1426</v>
      </c>
      <c r="H227" s="7" t="s">
        <v>1009</v>
      </c>
      <c r="I227" s="7" t="s">
        <v>277</v>
      </c>
      <c r="J227" s="7" t="n">
        <v>11.5</v>
      </c>
      <c r="K227" s="7" t="n">
        <v>4</v>
      </c>
      <c r="L227" s="7" t="s">
        <v>1419</v>
      </c>
    </row>
    <row r="228" customFormat="false" ht="15" hidden="false" customHeight="false" outlineLevel="0" collapsed="false">
      <c r="A228" s="7" t="s">
        <v>1658</v>
      </c>
      <c r="B228" s="8" t="n">
        <v>45525</v>
      </c>
      <c r="C228" s="7" t="s">
        <v>1417</v>
      </c>
      <c r="D228" s="7" t="s">
        <v>104</v>
      </c>
      <c r="E228" s="7" t="s">
        <v>87</v>
      </c>
      <c r="F228" s="7" t="s">
        <v>37</v>
      </c>
      <c r="G228" s="7" t="s">
        <v>1422</v>
      </c>
      <c r="H228" s="7" t="s">
        <v>1004</v>
      </c>
      <c r="I228" s="7" t="s">
        <v>283</v>
      </c>
      <c r="J228" s="7" t="n">
        <v>91.8</v>
      </c>
      <c r="K228" s="7" t="n">
        <v>3</v>
      </c>
      <c r="L228" s="7" t="s">
        <v>1419</v>
      </c>
    </row>
    <row r="229" customFormat="false" ht="15" hidden="false" customHeight="false" outlineLevel="0" collapsed="false">
      <c r="A229" s="7" t="s">
        <v>1659</v>
      </c>
      <c r="B229" s="8" t="n">
        <v>45740</v>
      </c>
      <c r="C229" s="7" t="s">
        <v>1421</v>
      </c>
      <c r="D229" s="7" t="s">
        <v>115</v>
      </c>
      <c r="E229" s="7" t="s">
        <v>87</v>
      </c>
      <c r="F229" s="7" t="s">
        <v>37</v>
      </c>
      <c r="G229" s="7" t="s">
        <v>1429</v>
      </c>
      <c r="H229" s="7" t="s">
        <v>1026</v>
      </c>
      <c r="I229" s="7" t="s">
        <v>295</v>
      </c>
      <c r="J229" s="7" t="n">
        <v>19.2</v>
      </c>
      <c r="K229" s="7" t="n">
        <v>3</v>
      </c>
      <c r="L229" s="7" t="s">
        <v>1419</v>
      </c>
    </row>
    <row r="230" customFormat="false" ht="15" hidden="false" customHeight="false" outlineLevel="0" collapsed="false">
      <c r="A230" s="7" t="s">
        <v>1660</v>
      </c>
      <c r="B230" s="8" t="n">
        <v>45840</v>
      </c>
      <c r="C230" s="7" t="s">
        <v>1421</v>
      </c>
      <c r="D230" s="7" t="s">
        <v>113</v>
      </c>
      <c r="E230" s="7" t="s">
        <v>87</v>
      </c>
      <c r="F230" s="7" t="s">
        <v>37</v>
      </c>
      <c r="G230" s="7" t="s">
        <v>1433</v>
      </c>
      <c r="H230" s="7" t="s">
        <v>1026</v>
      </c>
      <c r="I230" s="7" t="s">
        <v>293</v>
      </c>
      <c r="J230" s="7" t="n">
        <v>24.5</v>
      </c>
      <c r="K230" s="7" t="n">
        <v>5</v>
      </c>
      <c r="L230" s="7" t="s">
        <v>1419</v>
      </c>
    </row>
    <row r="231" customFormat="false" ht="15" hidden="false" customHeight="false" outlineLevel="0" collapsed="false">
      <c r="A231" s="7" t="s">
        <v>1661</v>
      </c>
      <c r="B231" s="8" t="n">
        <v>45999</v>
      </c>
      <c r="C231" s="7" t="s">
        <v>1424</v>
      </c>
      <c r="D231" s="7" t="s">
        <v>109</v>
      </c>
      <c r="E231" s="7" t="s">
        <v>65</v>
      </c>
      <c r="F231" s="7" t="s">
        <v>37</v>
      </c>
      <c r="G231" s="7" t="s">
        <v>1454</v>
      </c>
      <c r="H231" s="7" t="s">
        <v>1026</v>
      </c>
      <c r="I231" s="7" t="s">
        <v>267</v>
      </c>
      <c r="J231" s="7" t="n">
        <v>11.7</v>
      </c>
      <c r="K231" s="7" t="n">
        <v>1</v>
      </c>
      <c r="L231" s="7" t="s">
        <v>1442</v>
      </c>
    </row>
    <row r="232" customFormat="false" ht="15" hidden="false" customHeight="false" outlineLevel="0" collapsed="false">
      <c r="A232" s="7" t="s">
        <v>1662</v>
      </c>
      <c r="B232" s="8" t="n">
        <v>45772</v>
      </c>
      <c r="C232" s="7" t="s">
        <v>1424</v>
      </c>
      <c r="D232" s="7" t="s">
        <v>113</v>
      </c>
      <c r="E232" s="7" t="s">
        <v>65</v>
      </c>
      <c r="F232" s="7" t="s">
        <v>37</v>
      </c>
      <c r="G232" s="7" t="s">
        <v>1418</v>
      </c>
      <c r="H232" s="7" t="s">
        <v>1004</v>
      </c>
      <c r="I232" s="7" t="s">
        <v>275</v>
      </c>
      <c r="J232" s="7" t="n">
        <v>51.7</v>
      </c>
      <c r="K232" s="7" t="n">
        <v>5</v>
      </c>
      <c r="L232" s="7" t="s">
        <v>1419</v>
      </c>
    </row>
    <row r="233" customFormat="false" ht="15" hidden="false" customHeight="false" outlineLevel="0" collapsed="false">
      <c r="A233" s="7" t="s">
        <v>1663</v>
      </c>
      <c r="B233" s="8" t="n">
        <v>45965</v>
      </c>
      <c r="C233" s="7" t="s">
        <v>1417</v>
      </c>
      <c r="D233" s="7" t="s">
        <v>106</v>
      </c>
      <c r="E233" s="7" t="s">
        <v>87</v>
      </c>
      <c r="F233" s="7" t="s">
        <v>37</v>
      </c>
      <c r="G233" s="7" t="s">
        <v>1454</v>
      </c>
      <c r="H233" s="7" t="s">
        <v>1009</v>
      </c>
      <c r="I233" s="7" t="s">
        <v>263</v>
      </c>
      <c r="J233" s="7" t="n">
        <v>22.5</v>
      </c>
      <c r="K233" s="7" t="n">
        <v>2</v>
      </c>
      <c r="L233" s="7" t="s">
        <v>1419</v>
      </c>
    </row>
    <row r="234" customFormat="false" ht="15" hidden="false" customHeight="false" outlineLevel="0" collapsed="false">
      <c r="A234" s="7" t="s">
        <v>1664</v>
      </c>
      <c r="B234" s="8" t="n">
        <v>45446</v>
      </c>
      <c r="C234" s="7" t="s">
        <v>1428</v>
      </c>
      <c r="D234" s="7" t="s">
        <v>99</v>
      </c>
      <c r="E234" s="7" t="s">
        <v>71</v>
      </c>
      <c r="F234" s="7" t="s">
        <v>37</v>
      </c>
      <c r="G234" s="7" t="s">
        <v>1454</v>
      </c>
      <c r="H234" s="7" t="s">
        <v>1026</v>
      </c>
      <c r="I234" s="7" t="s">
        <v>265</v>
      </c>
      <c r="J234" s="7" t="n">
        <v>7.8</v>
      </c>
      <c r="K234" s="7" t="n">
        <v>2</v>
      </c>
      <c r="L234" s="7" t="s">
        <v>1419</v>
      </c>
    </row>
    <row r="235" customFormat="false" ht="15" hidden="false" customHeight="false" outlineLevel="0" collapsed="false">
      <c r="A235" s="7" t="s">
        <v>1665</v>
      </c>
      <c r="B235" s="8" t="n">
        <v>45665</v>
      </c>
      <c r="C235" s="7" t="s">
        <v>1428</v>
      </c>
      <c r="D235" s="7" t="s">
        <v>99</v>
      </c>
      <c r="E235" s="7" t="s">
        <v>68</v>
      </c>
      <c r="F235" s="7" t="s">
        <v>37</v>
      </c>
      <c r="G235" s="7" t="s">
        <v>1418</v>
      </c>
      <c r="H235" s="7" t="s">
        <v>1009</v>
      </c>
      <c r="I235" s="7" t="s">
        <v>297</v>
      </c>
      <c r="J235" s="7" t="n">
        <v>30.6</v>
      </c>
      <c r="K235" s="7" t="n">
        <v>3</v>
      </c>
      <c r="L235" s="7" t="s">
        <v>1419</v>
      </c>
    </row>
    <row r="236" customFormat="false" ht="15" hidden="false" customHeight="false" outlineLevel="0" collapsed="false">
      <c r="A236" s="7" t="s">
        <v>1666</v>
      </c>
      <c r="B236" s="8" t="n">
        <v>45319</v>
      </c>
      <c r="C236" s="7" t="s">
        <v>1435</v>
      </c>
      <c r="D236" s="7" t="s">
        <v>106</v>
      </c>
      <c r="E236" s="7" t="s">
        <v>79</v>
      </c>
      <c r="F236" s="7" t="s">
        <v>37</v>
      </c>
      <c r="G236" s="7" t="s">
        <v>1429</v>
      </c>
      <c r="H236" s="7" t="s">
        <v>1026</v>
      </c>
      <c r="I236" s="7" t="s">
        <v>263</v>
      </c>
      <c r="J236" s="7" t="n">
        <v>14.9</v>
      </c>
      <c r="K236" s="7" t="n">
        <v>4</v>
      </c>
      <c r="L236" s="7" t="s">
        <v>1442</v>
      </c>
    </row>
    <row r="237" customFormat="false" ht="15" hidden="false" customHeight="false" outlineLevel="0" collapsed="false">
      <c r="A237" s="7" t="s">
        <v>1667</v>
      </c>
      <c r="B237" s="8" t="n">
        <v>45742</v>
      </c>
      <c r="C237" s="7" t="s">
        <v>1421</v>
      </c>
      <c r="D237" s="7" t="s">
        <v>99</v>
      </c>
      <c r="E237" s="7" t="s">
        <v>79</v>
      </c>
      <c r="F237" s="7" t="s">
        <v>37</v>
      </c>
      <c r="G237" s="7" t="s">
        <v>1454</v>
      </c>
      <c r="H237" s="7" t="s">
        <v>1009</v>
      </c>
      <c r="I237" s="7" t="s">
        <v>267</v>
      </c>
      <c r="J237" s="7" t="n">
        <v>13.9</v>
      </c>
      <c r="K237" s="7" t="n">
        <v>4</v>
      </c>
      <c r="L237" s="7" t="s">
        <v>1442</v>
      </c>
    </row>
    <row r="238" customFormat="false" ht="15" hidden="false" customHeight="false" outlineLevel="0" collapsed="false">
      <c r="A238" s="7" t="s">
        <v>1668</v>
      </c>
      <c r="B238" s="8" t="n">
        <v>45432</v>
      </c>
      <c r="C238" s="7" t="s">
        <v>1417</v>
      </c>
      <c r="D238" s="7" t="s">
        <v>99</v>
      </c>
      <c r="E238" s="7" t="s">
        <v>79</v>
      </c>
      <c r="F238" s="7" t="s">
        <v>37</v>
      </c>
      <c r="G238" s="7" t="s">
        <v>1418</v>
      </c>
      <c r="H238" s="7" t="s">
        <v>1026</v>
      </c>
      <c r="I238" s="7" t="s">
        <v>265</v>
      </c>
      <c r="J238" s="7" t="n">
        <v>49.4</v>
      </c>
      <c r="K238" s="7" t="n">
        <v>2</v>
      </c>
      <c r="L238" s="7" t="s">
        <v>1419</v>
      </c>
    </row>
    <row r="239" customFormat="false" ht="15" hidden="false" customHeight="false" outlineLevel="0" collapsed="false">
      <c r="A239" s="7" t="s">
        <v>1669</v>
      </c>
      <c r="B239" s="8" t="n">
        <v>45539</v>
      </c>
      <c r="C239" s="7" t="s">
        <v>1428</v>
      </c>
      <c r="D239" s="7" t="s">
        <v>106</v>
      </c>
      <c r="E239" s="7" t="s">
        <v>71</v>
      </c>
      <c r="F239" s="7" t="s">
        <v>37</v>
      </c>
      <c r="G239" s="7" t="s">
        <v>1454</v>
      </c>
      <c r="H239" s="7" t="s">
        <v>1009</v>
      </c>
      <c r="I239" s="7" t="s">
        <v>273</v>
      </c>
      <c r="J239" s="7" t="n">
        <v>30</v>
      </c>
      <c r="K239" s="7" t="n">
        <v>3</v>
      </c>
      <c r="L239" s="7" t="s">
        <v>1419</v>
      </c>
    </row>
    <row r="240" customFormat="false" ht="15" hidden="false" customHeight="false" outlineLevel="0" collapsed="false">
      <c r="A240" s="7" t="s">
        <v>1670</v>
      </c>
      <c r="B240" s="8" t="n">
        <v>45527</v>
      </c>
      <c r="C240" s="7" t="s">
        <v>1428</v>
      </c>
      <c r="D240" s="7" t="s">
        <v>113</v>
      </c>
      <c r="E240" s="7" t="s">
        <v>65</v>
      </c>
      <c r="F240" s="7" t="s">
        <v>37</v>
      </c>
      <c r="G240" s="7" t="s">
        <v>1433</v>
      </c>
      <c r="H240" s="7" t="s">
        <v>1004</v>
      </c>
      <c r="I240" s="7" t="s">
        <v>281</v>
      </c>
      <c r="J240" s="7" t="n">
        <v>72.9</v>
      </c>
      <c r="K240" s="7" t="n">
        <v>2</v>
      </c>
      <c r="L240" s="7" t="s">
        <v>1419</v>
      </c>
    </row>
    <row r="241" customFormat="false" ht="15" hidden="false" customHeight="false" outlineLevel="0" collapsed="false">
      <c r="A241" s="7" t="s">
        <v>1671</v>
      </c>
      <c r="B241" s="8" t="n">
        <v>45786</v>
      </c>
      <c r="C241" s="7" t="s">
        <v>1435</v>
      </c>
      <c r="D241" s="7" t="s">
        <v>95</v>
      </c>
      <c r="E241" s="7" t="s">
        <v>75</v>
      </c>
      <c r="F241" s="7" t="s">
        <v>37</v>
      </c>
      <c r="G241" s="7" t="s">
        <v>1429</v>
      </c>
      <c r="H241" s="7" t="s">
        <v>1004</v>
      </c>
      <c r="I241" s="7" t="s">
        <v>271</v>
      </c>
      <c r="J241" s="7" t="n">
        <v>57.4</v>
      </c>
      <c r="K241" s="7" t="n">
        <v>3</v>
      </c>
      <c r="L241" s="7" t="s">
        <v>1419</v>
      </c>
    </row>
    <row r="242" customFormat="false" ht="15" hidden="false" customHeight="false" outlineLevel="0" collapsed="false">
      <c r="A242" s="7" t="s">
        <v>1672</v>
      </c>
      <c r="B242" s="8" t="n">
        <v>45692</v>
      </c>
      <c r="C242" s="7" t="s">
        <v>1432</v>
      </c>
      <c r="D242" s="7" t="s">
        <v>106</v>
      </c>
      <c r="E242" s="7" t="s">
        <v>65</v>
      </c>
      <c r="F242" s="7" t="s">
        <v>37</v>
      </c>
      <c r="G242" s="7" t="s">
        <v>1441</v>
      </c>
      <c r="H242" s="7" t="s">
        <v>1004</v>
      </c>
      <c r="I242" s="7" t="s">
        <v>269</v>
      </c>
      <c r="J242" s="7" t="n">
        <v>70</v>
      </c>
      <c r="K242" s="7" t="n">
        <v>1</v>
      </c>
      <c r="L242" s="7" t="s">
        <v>1013</v>
      </c>
    </row>
    <row r="243" customFormat="false" ht="15" hidden="false" customHeight="false" outlineLevel="0" collapsed="false">
      <c r="A243" s="7" t="s">
        <v>1673</v>
      </c>
      <c r="B243" s="8" t="n">
        <v>45682</v>
      </c>
      <c r="C243" s="7" t="s">
        <v>1421</v>
      </c>
      <c r="D243" s="7" t="s">
        <v>104</v>
      </c>
      <c r="E243" s="7" t="s">
        <v>65</v>
      </c>
      <c r="F243" s="7" t="s">
        <v>37</v>
      </c>
      <c r="G243" s="7" t="s">
        <v>1441</v>
      </c>
      <c r="H243" s="7" t="s">
        <v>1009</v>
      </c>
      <c r="I243" s="7" t="s">
        <v>297</v>
      </c>
      <c r="J243" s="7" t="n">
        <v>80.7</v>
      </c>
      <c r="K243" s="7" t="n">
        <v>3</v>
      </c>
      <c r="L243" s="7" t="s">
        <v>1013</v>
      </c>
    </row>
    <row r="244" customFormat="false" ht="15" hidden="false" customHeight="false" outlineLevel="0" collapsed="false">
      <c r="A244" s="7" t="s">
        <v>1674</v>
      </c>
      <c r="B244" s="8" t="n">
        <v>45695</v>
      </c>
      <c r="C244" s="7" t="s">
        <v>1417</v>
      </c>
      <c r="D244" s="7" t="s">
        <v>113</v>
      </c>
      <c r="E244" s="7" t="s">
        <v>60</v>
      </c>
      <c r="F244" s="7" t="s">
        <v>37</v>
      </c>
      <c r="G244" s="7" t="s">
        <v>1422</v>
      </c>
      <c r="H244" s="7" t="s">
        <v>1436</v>
      </c>
      <c r="I244" s="7" t="s">
        <v>297</v>
      </c>
      <c r="J244" s="7" t="n">
        <v>82.8</v>
      </c>
      <c r="K244" s="7" t="n">
        <v>5</v>
      </c>
      <c r="L244" s="7" t="s">
        <v>1419</v>
      </c>
    </row>
    <row r="245" customFormat="false" ht="15" hidden="false" customHeight="false" outlineLevel="0" collapsed="false">
      <c r="A245" s="7" t="s">
        <v>1675</v>
      </c>
      <c r="B245" s="8" t="n">
        <v>45313</v>
      </c>
      <c r="C245" s="7" t="s">
        <v>1432</v>
      </c>
      <c r="D245" s="7" t="s">
        <v>95</v>
      </c>
      <c r="E245" s="7" t="s">
        <v>68</v>
      </c>
      <c r="F245" s="7" t="s">
        <v>37</v>
      </c>
      <c r="G245" s="7" t="s">
        <v>1433</v>
      </c>
      <c r="H245" s="7" t="s">
        <v>1436</v>
      </c>
      <c r="I245" s="7" t="s">
        <v>279</v>
      </c>
      <c r="J245" s="7" t="n">
        <v>12.4</v>
      </c>
      <c r="K245" s="7" t="n">
        <v>1</v>
      </c>
      <c r="L245" s="7" t="s">
        <v>1419</v>
      </c>
    </row>
    <row r="246" customFormat="false" ht="15" hidden="false" customHeight="false" outlineLevel="0" collapsed="false">
      <c r="A246" s="7" t="s">
        <v>1676</v>
      </c>
      <c r="B246" s="8" t="n">
        <v>45903</v>
      </c>
      <c r="C246" s="7" t="s">
        <v>1432</v>
      </c>
      <c r="D246" s="7" t="s">
        <v>106</v>
      </c>
      <c r="E246" s="7" t="s">
        <v>83</v>
      </c>
      <c r="F246" s="7" t="s">
        <v>37</v>
      </c>
      <c r="G246" s="7" t="s">
        <v>1441</v>
      </c>
      <c r="H246" s="7" t="s">
        <v>1004</v>
      </c>
      <c r="I246" s="7" t="s">
        <v>291</v>
      </c>
      <c r="J246" s="7" t="n">
        <v>90.3</v>
      </c>
      <c r="K246" s="7" t="n">
        <v>3</v>
      </c>
      <c r="L246" s="7" t="s">
        <v>1419</v>
      </c>
    </row>
    <row r="247" customFormat="false" ht="15" hidden="false" customHeight="false" outlineLevel="0" collapsed="false">
      <c r="A247" s="7" t="s">
        <v>1677</v>
      </c>
      <c r="B247" s="8" t="n">
        <v>46007</v>
      </c>
      <c r="C247" s="7" t="s">
        <v>1435</v>
      </c>
      <c r="D247" s="7" t="s">
        <v>106</v>
      </c>
      <c r="E247" s="7" t="s">
        <v>71</v>
      </c>
      <c r="F247" s="7" t="s">
        <v>37</v>
      </c>
      <c r="G247" s="7" t="s">
        <v>1433</v>
      </c>
      <c r="H247" s="7" t="s">
        <v>1004</v>
      </c>
      <c r="I247" s="7" t="s">
        <v>265</v>
      </c>
      <c r="J247" s="7" t="n">
        <v>88.6</v>
      </c>
      <c r="K247" s="7" t="n">
        <v>1</v>
      </c>
      <c r="L247" s="7" t="s">
        <v>1419</v>
      </c>
    </row>
    <row r="248" customFormat="false" ht="15" hidden="false" customHeight="false" outlineLevel="0" collapsed="false">
      <c r="A248" s="7" t="s">
        <v>1678</v>
      </c>
      <c r="B248" s="8" t="n">
        <v>45387</v>
      </c>
      <c r="C248" s="7" t="s">
        <v>1417</v>
      </c>
      <c r="D248" s="7" t="s">
        <v>109</v>
      </c>
      <c r="E248" s="7" t="s">
        <v>68</v>
      </c>
      <c r="F248" s="7" t="s">
        <v>37</v>
      </c>
      <c r="G248" s="7" t="s">
        <v>1441</v>
      </c>
      <c r="H248" s="7" t="s">
        <v>1009</v>
      </c>
      <c r="I248" s="7" t="s">
        <v>287</v>
      </c>
      <c r="J248" s="7" t="n">
        <v>80.8</v>
      </c>
      <c r="K248" s="7" t="n">
        <v>1</v>
      </c>
      <c r="L248" s="7" t="s">
        <v>1419</v>
      </c>
    </row>
    <row r="249" customFormat="false" ht="15" hidden="false" customHeight="false" outlineLevel="0" collapsed="false">
      <c r="A249" s="7" t="s">
        <v>1679</v>
      </c>
      <c r="B249" s="8" t="n">
        <v>45812</v>
      </c>
      <c r="C249" s="7" t="s">
        <v>1417</v>
      </c>
      <c r="D249" s="7" t="s">
        <v>99</v>
      </c>
      <c r="E249" s="7" t="s">
        <v>60</v>
      </c>
      <c r="F249" s="7" t="s">
        <v>37</v>
      </c>
      <c r="G249" s="7" t="s">
        <v>1433</v>
      </c>
      <c r="H249" s="7" t="s">
        <v>1009</v>
      </c>
      <c r="I249" s="7" t="s">
        <v>285</v>
      </c>
      <c r="J249" s="7" t="n">
        <v>19.3</v>
      </c>
      <c r="K249" s="7" t="n">
        <v>4</v>
      </c>
      <c r="L249" s="7" t="s">
        <v>1419</v>
      </c>
    </row>
    <row r="250" customFormat="false" ht="15" hidden="false" customHeight="false" outlineLevel="0" collapsed="false">
      <c r="A250" s="7" t="s">
        <v>1680</v>
      </c>
      <c r="B250" s="8" t="n">
        <v>45448</v>
      </c>
      <c r="C250" s="7" t="s">
        <v>1417</v>
      </c>
      <c r="D250" s="7" t="s">
        <v>106</v>
      </c>
      <c r="E250" s="7" t="s">
        <v>87</v>
      </c>
      <c r="F250" s="7" t="s">
        <v>37</v>
      </c>
      <c r="G250" s="7" t="s">
        <v>1433</v>
      </c>
      <c r="H250" s="7" t="s">
        <v>1026</v>
      </c>
      <c r="I250" s="7" t="s">
        <v>289</v>
      </c>
      <c r="J250" s="7" t="n">
        <v>67</v>
      </c>
      <c r="K250" s="7" t="n">
        <v>1</v>
      </c>
      <c r="L250" s="7" t="s">
        <v>1419</v>
      </c>
    </row>
    <row r="251" customFormat="false" ht="15" hidden="false" customHeight="false" outlineLevel="0" collapsed="false">
      <c r="A251" s="7" t="s">
        <v>1681</v>
      </c>
      <c r="B251" s="8" t="n">
        <v>45711</v>
      </c>
      <c r="C251" s="7" t="s">
        <v>1421</v>
      </c>
      <c r="D251" s="7" t="s">
        <v>109</v>
      </c>
      <c r="E251" s="7" t="s">
        <v>65</v>
      </c>
      <c r="F251" s="7" t="s">
        <v>37</v>
      </c>
      <c r="G251" s="7" t="s">
        <v>1422</v>
      </c>
      <c r="H251" s="7" t="s">
        <v>1004</v>
      </c>
      <c r="I251" s="7" t="s">
        <v>271</v>
      </c>
      <c r="J251" s="7" t="n">
        <v>53</v>
      </c>
      <c r="K251" s="7" t="n">
        <v>5</v>
      </c>
      <c r="L251" s="7" t="s">
        <v>1419</v>
      </c>
    </row>
    <row r="252" customFormat="false" ht="15" hidden="false" customHeight="false" outlineLevel="0" collapsed="false">
      <c r="A252" s="7" t="s">
        <v>1682</v>
      </c>
      <c r="B252" s="8" t="n">
        <v>45993</v>
      </c>
      <c r="C252" s="7" t="s">
        <v>1421</v>
      </c>
      <c r="D252" s="7" t="s">
        <v>113</v>
      </c>
      <c r="E252" s="7" t="s">
        <v>65</v>
      </c>
      <c r="F252" s="7" t="s">
        <v>37</v>
      </c>
      <c r="G252" s="7" t="s">
        <v>1422</v>
      </c>
      <c r="H252" s="7" t="s">
        <v>1004</v>
      </c>
      <c r="I252" s="7" t="s">
        <v>275</v>
      </c>
      <c r="J252" s="7" t="n">
        <v>19.5</v>
      </c>
      <c r="K252" s="7" t="n">
        <v>5</v>
      </c>
      <c r="L252" s="7" t="s">
        <v>1419</v>
      </c>
    </row>
    <row r="253" customFormat="false" ht="15" hidden="false" customHeight="false" outlineLevel="0" collapsed="false">
      <c r="A253" s="7" t="s">
        <v>1683</v>
      </c>
      <c r="B253" s="8" t="n">
        <v>45894</v>
      </c>
      <c r="C253" s="7" t="s">
        <v>1421</v>
      </c>
      <c r="D253" s="7" t="s">
        <v>115</v>
      </c>
      <c r="E253" s="7" t="s">
        <v>83</v>
      </c>
      <c r="F253" s="7" t="s">
        <v>37</v>
      </c>
      <c r="G253" s="7" t="s">
        <v>1418</v>
      </c>
      <c r="H253" s="7" t="s">
        <v>1026</v>
      </c>
      <c r="I253" s="7" t="s">
        <v>277</v>
      </c>
      <c r="J253" s="7" t="n">
        <v>77.9</v>
      </c>
      <c r="K253" s="7" t="n">
        <v>4</v>
      </c>
      <c r="L253" s="7" t="s">
        <v>1013</v>
      </c>
    </row>
    <row r="254" customFormat="false" ht="15" hidden="false" customHeight="false" outlineLevel="0" collapsed="false">
      <c r="A254" s="7" t="s">
        <v>1684</v>
      </c>
      <c r="B254" s="8" t="n">
        <v>45341</v>
      </c>
      <c r="C254" s="7" t="s">
        <v>1424</v>
      </c>
      <c r="D254" s="7" t="s">
        <v>113</v>
      </c>
      <c r="E254" s="7" t="s">
        <v>60</v>
      </c>
      <c r="F254" s="7" t="s">
        <v>37</v>
      </c>
      <c r="G254" s="7" t="s">
        <v>1429</v>
      </c>
      <c r="H254" s="7" t="s">
        <v>1004</v>
      </c>
      <c r="I254" s="7" t="s">
        <v>291</v>
      </c>
      <c r="J254" s="7" t="n">
        <v>68.6</v>
      </c>
      <c r="K254" s="7" t="n">
        <v>4</v>
      </c>
      <c r="L254" s="7" t="s">
        <v>1419</v>
      </c>
    </row>
    <row r="255" customFormat="false" ht="15" hidden="false" customHeight="false" outlineLevel="0" collapsed="false">
      <c r="A255" s="7" t="s">
        <v>1685</v>
      </c>
      <c r="B255" s="8" t="n">
        <v>45336</v>
      </c>
      <c r="C255" s="7" t="s">
        <v>1428</v>
      </c>
      <c r="D255" s="7" t="s">
        <v>113</v>
      </c>
      <c r="E255" s="7" t="s">
        <v>79</v>
      </c>
      <c r="F255" s="7" t="s">
        <v>37</v>
      </c>
      <c r="G255" s="7" t="s">
        <v>1422</v>
      </c>
      <c r="H255" s="7" t="s">
        <v>1026</v>
      </c>
      <c r="I255" s="7" t="s">
        <v>271</v>
      </c>
      <c r="J255" s="7" t="n">
        <v>7.8</v>
      </c>
      <c r="K255" s="7" t="n">
        <v>3</v>
      </c>
      <c r="L255" s="7" t="s">
        <v>1419</v>
      </c>
    </row>
    <row r="256" customFormat="false" ht="15" hidden="false" customHeight="false" outlineLevel="0" collapsed="false">
      <c r="A256" s="7" t="s">
        <v>1686</v>
      </c>
      <c r="B256" s="8" t="n">
        <v>45794</v>
      </c>
      <c r="C256" s="7" t="s">
        <v>1421</v>
      </c>
      <c r="D256" s="7" t="s">
        <v>109</v>
      </c>
      <c r="E256" s="7" t="s">
        <v>60</v>
      </c>
      <c r="F256" s="7" t="s">
        <v>37</v>
      </c>
      <c r="G256" s="7" t="s">
        <v>1454</v>
      </c>
      <c r="H256" s="7" t="s">
        <v>1009</v>
      </c>
      <c r="I256" s="7" t="s">
        <v>293</v>
      </c>
      <c r="J256" s="7" t="n">
        <v>12.9</v>
      </c>
      <c r="K256" s="7" t="n">
        <v>1</v>
      </c>
      <c r="L256" s="7" t="s">
        <v>1419</v>
      </c>
    </row>
    <row r="257" customFormat="false" ht="15" hidden="false" customHeight="false" outlineLevel="0" collapsed="false">
      <c r="A257" s="7" t="s">
        <v>1687</v>
      </c>
      <c r="B257" s="8" t="n">
        <v>45549</v>
      </c>
      <c r="C257" s="7" t="s">
        <v>1421</v>
      </c>
      <c r="D257" s="7" t="s">
        <v>106</v>
      </c>
      <c r="E257" s="7" t="s">
        <v>65</v>
      </c>
      <c r="F257" s="7" t="s">
        <v>37</v>
      </c>
      <c r="G257" s="7" t="s">
        <v>1429</v>
      </c>
      <c r="H257" s="7" t="s">
        <v>1009</v>
      </c>
      <c r="I257" s="7" t="s">
        <v>285</v>
      </c>
      <c r="J257" s="7" t="n">
        <v>40.4</v>
      </c>
      <c r="K257" s="7" t="n">
        <v>3</v>
      </c>
      <c r="L257" s="7" t="s">
        <v>1419</v>
      </c>
    </row>
    <row r="258" customFormat="false" ht="15" hidden="false" customHeight="false" outlineLevel="0" collapsed="false">
      <c r="A258" s="7" t="s">
        <v>1688</v>
      </c>
      <c r="B258" s="8" t="n">
        <v>45965</v>
      </c>
      <c r="C258" s="7" t="s">
        <v>1421</v>
      </c>
      <c r="D258" s="7" t="s">
        <v>115</v>
      </c>
      <c r="E258" s="7" t="s">
        <v>75</v>
      </c>
      <c r="F258" s="7" t="s">
        <v>37</v>
      </c>
      <c r="G258" s="7" t="s">
        <v>1422</v>
      </c>
      <c r="H258" s="7" t="s">
        <v>1009</v>
      </c>
      <c r="I258" s="7" t="s">
        <v>263</v>
      </c>
      <c r="J258" s="7" t="n">
        <v>35.6</v>
      </c>
      <c r="K258" s="7" t="n">
        <v>5</v>
      </c>
      <c r="L258" s="7" t="s">
        <v>1419</v>
      </c>
    </row>
    <row r="259" customFormat="false" ht="15" hidden="false" customHeight="false" outlineLevel="0" collapsed="false">
      <c r="A259" s="7" t="s">
        <v>1689</v>
      </c>
      <c r="B259" s="8" t="n">
        <v>45807</v>
      </c>
      <c r="C259" s="7" t="s">
        <v>1428</v>
      </c>
      <c r="D259" s="7" t="s">
        <v>113</v>
      </c>
      <c r="E259" s="7" t="s">
        <v>79</v>
      </c>
      <c r="F259" s="7" t="s">
        <v>37</v>
      </c>
      <c r="G259" s="7" t="s">
        <v>1441</v>
      </c>
      <c r="H259" s="7" t="s">
        <v>1026</v>
      </c>
      <c r="I259" s="7" t="s">
        <v>291</v>
      </c>
      <c r="J259" s="7" t="n">
        <v>40.2</v>
      </c>
      <c r="K259" s="7" t="n">
        <v>2</v>
      </c>
      <c r="L259" s="7" t="s">
        <v>1419</v>
      </c>
    </row>
    <row r="260" customFormat="false" ht="15" hidden="false" customHeight="false" outlineLevel="0" collapsed="false">
      <c r="A260" s="7" t="s">
        <v>1690</v>
      </c>
      <c r="B260" s="8" t="n">
        <v>45983</v>
      </c>
      <c r="C260" s="7" t="s">
        <v>1435</v>
      </c>
      <c r="D260" s="7" t="s">
        <v>102</v>
      </c>
      <c r="E260" s="7" t="s">
        <v>60</v>
      </c>
      <c r="F260" s="7" t="s">
        <v>37</v>
      </c>
      <c r="G260" s="7" t="s">
        <v>1422</v>
      </c>
      <c r="H260" s="7" t="s">
        <v>1026</v>
      </c>
      <c r="I260" s="7" t="s">
        <v>271</v>
      </c>
      <c r="J260" s="7" t="n">
        <v>77.5</v>
      </c>
      <c r="K260" s="7" t="n">
        <v>3</v>
      </c>
      <c r="L260" s="7" t="s">
        <v>1419</v>
      </c>
    </row>
    <row r="261" customFormat="false" ht="15" hidden="false" customHeight="false" outlineLevel="0" collapsed="false">
      <c r="A261" s="7" t="s">
        <v>1691</v>
      </c>
      <c r="B261" s="8" t="n">
        <v>45618</v>
      </c>
      <c r="C261" s="7" t="s">
        <v>1435</v>
      </c>
      <c r="D261" s="7" t="s">
        <v>99</v>
      </c>
      <c r="E261" s="7" t="s">
        <v>79</v>
      </c>
      <c r="F261" s="7" t="s">
        <v>37</v>
      </c>
      <c r="G261" s="7" t="s">
        <v>1426</v>
      </c>
      <c r="H261" s="7" t="s">
        <v>1004</v>
      </c>
      <c r="I261" s="7" t="s">
        <v>279</v>
      </c>
      <c r="J261" s="7" t="n">
        <v>77.4</v>
      </c>
      <c r="K261" s="7" t="n">
        <v>4</v>
      </c>
      <c r="L261" s="7" t="s">
        <v>1419</v>
      </c>
    </row>
    <row r="262" customFormat="false" ht="15" hidden="false" customHeight="false" outlineLevel="0" collapsed="false">
      <c r="A262" s="7" t="s">
        <v>1692</v>
      </c>
      <c r="B262" s="8" t="n">
        <v>45450</v>
      </c>
      <c r="C262" s="7" t="s">
        <v>1424</v>
      </c>
      <c r="D262" s="7" t="s">
        <v>102</v>
      </c>
      <c r="E262" s="7" t="s">
        <v>68</v>
      </c>
      <c r="F262" s="7" t="s">
        <v>37</v>
      </c>
      <c r="G262" s="7" t="s">
        <v>1422</v>
      </c>
      <c r="H262" s="7" t="s">
        <v>1009</v>
      </c>
      <c r="I262" s="7" t="s">
        <v>265</v>
      </c>
      <c r="J262" s="7" t="n">
        <v>77.2</v>
      </c>
      <c r="K262" s="7" t="n">
        <v>5</v>
      </c>
      <c r="L262" s="7" t="s">
        <v>1419</v>
      </c>
    </row>
    <row r="263" customFormat="false" ht="15" hidden="false" customHeight="false" outlineLevel="0" collapsed="false">
      <c r="A263" s="7" t="s">
        <v>1693</v>
      </c>
      <c r="B263" s="8" t="n">
        <v>45926</v>
      </c>
      <c r="C263" s="7" t="s">
        <v>1417</v>
      </c>
      <c r="D263" s="7" t="s">
        <v>99</v>
      </c>
      <c r="E263" s="7" t="s">
        <v>87</v>
      </c>
      <c r="F263" s="7" t="s">
        <v>37</v>
      </c>
      <c r="G263" s="7" t="s">
        <v>1426</v>
      </c>
      <c r="H263" s="7" t="s">
        <v>1436</v>
      </c>
      <c r="I263" s="7" t="s">
        <v>273</v>
      </c>
      <c r="J263" s="7" t="n">
        <v>53.4</v>
      </c>
      <c r="K263" s="7" t="n">
        <v>3</v>
      </c>
      <c r="L263" s="7" t="s">
        <v>1419</v>
      </c>
    </row>
    <row r="264" customFormat="false" ht="15" hidden="false" customHeight="false" outlineLevel="0" collapsed="false">
      <c r="A264" s="7" t="s">
        <v>1694</v>
      </c>
      <c r="B264" s="8" t="n">
        <v>45874</v>
      </c>
      <c r="C264" s="7" t="s">
        <v>1424</v>
      </c>
      <c r="D264" s="7" t="s">
        <v>109</v>
      </c>
      <c r="E264" s="7" t="s">
        <v>87</v>
      </c>
      <c r="F264" s="7" t="s">
        <v>37</v>
      </c>
      <c r="G264" s="7" t="s">
        <v>1418</v>
      </c>
      <c r="H264" s="7" t="s">
        <v>1026</v>
      </c>
      <c r="I264" s="7" t="s">
        <v>267</v>
      </c>
      <c r="J264" s="7" t="n">
        <v>92.6</v>
      </c>
      <c r="K264" s="7" t="n">
        <v>2</v>
      </c>
      <c r="L264" s="7" t="s">
        <v>1419</v>
      </c>
    </row>
    <row r="265" customFormat="false" ht="15" hidden="false" customHeight="false" outlineLevel="0" collapsed="false">
      <c r="A265" s="7" t="s">
        <v>1695</v>
      </c>
      <c r="B265" s="8" t="n">
        <v>45772</v>
      </c>
      <c r="C265" s="7" t="s">
        <v>1424</v>
      </c>
      <c r="D265" s="7" t="s">
        <v>106</v>
      </c>
      <c r="E265" s="7" t="s">
        <v>79</v>
      </c>
      <c r="F265" s="7" t="s">
        <v>37</v>
      </c>
      <c r="G265" s="7" t="s">
        <v>1454</v>
      </c>
      <c r="H265" s="7" t="s">
        <v>1004</v>
      </c>
      <c r="I265" s="7" t="s">
        <v>281</v>
      </c>
      <c r="J265" s="7" t="n">
        <v>10</v>
      </c>
      <c r="K265" s="7" t="n">
        <v>5</v>
      </c>
      <c r="L265" s="7" t="s">
        <v>1419</v>
      </c>
    </row>
    <row r="266" customFormat="false" ht="15" hidden="false" customHeight="false" outlineLevel="0" collapsed="false">
      <c r="A266" s="7" t="s">
        <v>1696</v>
      </c>
      <c r="B266" s="8" t="n">
        <v>45839</v>
      </c>
      <c r="C266" s="7" t="s">
        <v>1424</v>
      </c>
      <c r="D266" s="7" t="s">
        <v>113</v>
      </c>
      <c r="E266" s="7" t="s">
        <v>83</v>
      </c>
      <c r="F266" s="7" t="s">
        <v>37</v>
      </c>
      <c r="G266" s="7" t="s">
        <v>1433</v>
      </c>
      <c r="H266" s="7" t="s">
        <v>1004</v>
      </c>
      <c r="I266" s="7" t="s">
        <v>269</v>
      </c>
      <c r="J266" s="7" t="n">
        <v>68.7</v>
      </c>
      <c r="K266" s="7" t="n">
        <v>5</v>
      </c>
      <c r="L266" s="7" t="s">
        <v>1419</v>
      </c>
    </row>
    <row r="267" customFormat="false" ht="15" hidden="false" customHeight="false" outlineLevel="0" collapsed="false">
      <c r="A267" s="7" t="s">
        <v>1697</v>
      </c>
      <c r="B267" s="8" t="n">
        <v>45302</v>
      </c>
      <c r="C267" s="7" t="s">
        <v>1432</v>
      </c>
      <c r="D267" s="7" t="s">
        <v>104</v>
      </c>
      <c r="E267" s="7" t="s">
        <v>68</v>
      </c>
      <c r="F267" s="7" t="s">
        <v>37</v>
      </c>
      <c r="G267" s="7" t="s">
        <v>1418</v>
      </c>
      <c r="H267" s="7" t="s">
        <v>1009</v>
      </c>
      <c r="I267" s="7" t="s">
        <v>267</v>
      </c>
      <c r="J267" s="7" t="n">
        <v>22</v>
      </c>
      <c r="K267" s="7" t="n">
        <v>1</v>
      </c>
      <c r="L267" s="7" t="s">
        <v>1419</v>
      </c>
    </row>
    <row r="268" customFormat="false" ht="15" hidden="false" customHeight="false" outlineLevel="0" collapsed="false">
      <c r="A268" s="7" t="s">
        <v>1698</v>
      </c>
      <c r="B268" s="8" t="n">
        <v>45493</v>
      </c>
      <c r="C268" s="7" t="s">
        <v>1428</v>
      </c>
      <c r="D268" s="7" t="s">
        <v>102</v>
      </c>
      <c r="E268" s="7" t="s">
        <v>60</v>
      </c>
      <c r="F268" s="7" t="s">
        <v>37</v>
      </c>
      <c r="G268" s="7" t="s">
        <v>1454</v>
      </c>
      <c r="H268" s="7" t="s">
        <v>1009</v>
      </c>
      <c r="I268" s="7" t="s">
        <v>279</v>
      </c>
      <c r="J268" s="7" t="n">
        <v>45.1</v>
      </c>
      <c r="K268" s="7" t="n">
        <v>2</v>
      </c>
      <c r="L268" s="7" t="s">
        <v>1419</v>
      </c>
    </row>
    <row r="269" customFormat="false" ht="15" hidden="false" customHeight="false" outlineLevel="0" collapsed="false">
      <c r="A269" s="7" t="s">
        <v>1699</v>
      </c>
      <c r="B269" s="8" t="n">
        <v>45967</v>
      </c>
      <c r="C269" s="7" t="s">
        <v>1432</v>
      </c>
      <c r="D269" s="7" t="s">
        <v>109</v>
      </c>
      <c r="E269" s="7" t="s">
        <v>87</v>
      </c>
      <c r="F269" s="7" t="s">
        <v>37</v>
      </c>
      <c r="G269" s="7" t="s">
        <v>1454</v>
      </c>
      <c r="H269" s="7" t="s">
        <v>1026</v>
      </c>
      <c r="I269" s="7" t="s">
        <v>289</v>
      </c>
      <c r="J269" s="7" t="n">
        <v>25.6</v>
      </c>
      <c r="K269" s="7" t="n">
        <v>5</v>
      </c>
      <c r="L269" s="7" t="s">
        <v>1419</v>
      </c>
    </row>
    <row r="270" customFormat="false" ht="15" hidden="false" customHeight="false" outlineLevel="0" collapsed="false">
      <c r="A270" s="7" t="s">
        <v>1700</v>
      </c>
      <c r="B270" s="8" t="n">
        <v>45455</v>
      </c>
      <c r="C270" s="7" t="s">
        <v>1435</v>
      </c>
      <c r="D270" s="7" t="s">
        <v>95</v>
      </c>
      <c r="E270" s="7" t="s">
        <v>71</v>
      </c>
      <c r="F270" s="7" t="s">
        <v>37</v>
      </c>
      <c r="G270" s="7" t="s">
        <v>1418</v>
      </c>
      <c r="H270" s="7" t="s">
        <v>1004</v>
      </c>
      <c r="I270" s="7" t="s">
        <v>297</v>
      </c>
      <c r="J270" s="7" t="n">
        <v>3.9</v>
      </c>
      <c r="K270" s="7" t="n">
        <v>1</v>
      </c>
      <c r="L270" s="7" t="s">
        <v>1419</v>
      </c>
    </row>
    <row r="271" customFormat="false" ht="15" hidden="false" customHeight="false" outlineLevel="0" collapsed="false">
      <c r="A271" s="7" t="s">
        <v>1701</v>
      </c>
      <c r="B271" s="8" t="n">
        <v>45415</v>
      </c>
      <c r="C271" s="7" t="s">
        <v>1432</v>
      </c>
      <c r="D271" s="7" t="s">
        <v>104</v>
      </c>
      <c r="E271" s="7" t="s">
        <v>65</v>
      </c>
      <c r="F271" s="7" t="s">
        <v>37</v>
      </c>
      <c r="G271" s="7" t="s">
        <v>1418</v>
      </c>
      <c r="H271" s="7" t="s">
        <v>1004</v>
      </c>
      <c r="I271" s="7" t="s">
        <v>297</v>
      </c>
      <c r="J271" s="7" t="n">
        <v>19.1</v>
      </c>
      <c r="K271" s="7" t="n">
        <v>2</v>
      </c>
      <c r="L271" s="7" t="s">
        <v>1013</v>
      </c>
    </row>
    <row r="272" customFormat="false" ht="15" hidden="false" customHeight="false" outlineLevel="0" collapsed="false">
      <c r="A272" s="7" t="s">
        <v>1702</v>
      </c>
      <c r="B272" s="8" t="n">
        <v>45622</v>
      </c>
      <c r="C272" s="7" t="s">
        <v>1428</v>
      </c>
      <c r="D272" s="7" t="s">
        <v>109</v>
      </c>
      <c r="E272" s="7" t="s">
        <v>71</v>
      </c>
      <c r="F272" s="7" t="s">
        <v>37</v>
      </c>
      <c r="G272" s="7" t="s">
        <v>1429</v>
      </c>
      <c r="H272" s="7" t="s">
        <v>1026</v>
      </c>
      <c r="I272" s="7" t="s">
        <v>285</v>
      </c>
      <c r="J272" s="7" t="n">
        <v>37.7</v>
      </c>
      <c r="K272" s="7" t="n">
        <v>3</v>
      </c>
      <c r="L272" s="7" t="s">
        <v>1419</v>
      </c>
    </row>
    <row r="273" customFormat="false" ht="15" hidden="false" customHeight="false" outlineLevel="0" collapsed="false">
      <c r="A273" s="7" t="s">
        <v>1703</v>
      </c>
      <c r="B273" s="8" t="n">
        <v>46010</v>
      </c>
      <c r="C273" s="7" t="s">
        <v>1421</v>
      </c>
      <c r="D273" s="7" t="s">
        <v>106</v>
      </c>
      <c r="E273" s="7" t="s">
        <v>68</v>
      </c>
      <c r="F273" s="7" t="s">
        <v>37</v>
      </c>
      <c r="G273" s="7" t="s">
        <v>1441</v>
      </c>
      <c r="H273" s="7" t="s">
        <v>1009</v>
      </c>
      <c r="I273" s="7" t="s">
        <v>291</v>
      </c>
      <c r="J273" s="7" t="n">
        <v>49</v>
      </c>
      <c r="K273" s="7" t="n">
        <v>4</v>
      </c>
      <c r="L273" s="7" t="s">
        <v>1419</v>
      </c>
    </row>
    <row r="274" customFormat="false" ht="15" hidden="false" customHeight="false" outlineLevel="0" collapsed="false">
      <c r="A274" s="7" t="s">
        <v>1704</v>
      </c>
      <c r="B274" s="8" t="n">
        <v>45924</v>
      </c>
      <c r="C274" s="7" t="s">
        <v>1432</v>
      </c>
      <c r="D274" s="7" t="s">
        <v>115</v>
      </c>
      <c r="E274" s="7" t="s">
        <v>65</v>
      </c>
      <c r="F274" s="7" t="s">
        <v>37</v>
      </c>
      <c r="G274" s="7" t="s">
        <v>1426</v>
      </c>
      <c r="H274" s="7" t="s">
        <v>1004</v>
      </c>
      <c r="I274" s="7" t="s">
        <v>289</v>
      </c>
      <c r="J274" s="7" t="n">
        <v>26.2</v>
      </c>
      <c r="K274" s="7" t="n">
        <v>4</v>
      </c>
      <c r="L274" s="7" t="s">
        <v>1419</v>
      </c>
    </row>
    <row r="275" customFormat="false" ht="15" hidden="false" customHeight="false" outlineLevel="0" collapsed="false">
      <c r="A275" s="7" t="s">
        <v>1705</v>
      </c>
      <c r="B275" s="8" t="n">
        <v>45702</v>
      </c>
      <c r="C275" s="7" t="s">
        <v>1417</v>
      </c>
      <c r="D275" s="7" t="s">
        <v>99</v>
      </c>
      <c r="E275" s="7" t="s">
        <v>79</v>
      </c>
      <c r="F275" s="7" t="s">
        <v>37</v>
      </c>
      <c r="G275" s="7" t="s">
        <v>1418</v>
      </c>
      <c r="H275" s="7" t="s">
        <v>1009</v>
      </c>
      <c r="I275" s="7" t="s">
        <v>291</v>
      </c>
      <c r="J275" s="7" t="n">
        <v>47.2</v>
      </c>
      <c r="K275" s="7" t="n">
        <v>4</v>
      </c>
      <c r="L275" s="7" t="s">
        <v>1013</v>
      </c>
    </row>
    <row r="276" customFormat="false" ht="15" hidden="false" customHeight="false" outlineLevel="0" collapsed="false">
      <c r="A276" s="7" t="s">
        <v>1706</v>
      </c>
      <c r="B276" s="8" t="n">
        <v>45505</v>
      </c>
      <c r="C276" s="7" t="s">
        <v>1417</v>
      </c>
      <c r="D276" s="7" t="s">
        <v>113</v>
      </c>
      <c r="E276" s="7" t="s">
        <v>87</v>
      </c>
      <c r="F276" s="7" t="s">
        <v>37</v>
      </c>
      <c r="G276" s="7" t="s">
        <v>1426</v>
      </c>
      <c r="H276" s="7" t="s">
        <v>1026</v>
      </c>
      <c r="I276" s="7" t="s">
        <v>297</v>
      </c>
      <c r="J276" s="7" t="n">
        <v>48.7</v>
      </c>
      <c r="K276" s="7" t="n">
        <v>5</v>
      </c>
      <c r="L276" s="7" t="s">
        <v>1419</v>
      </c>
    </row>
    <row r="277" customFormat="false" ht="15" hidden="false" customHeight="false" outlineLevel="0" collapsed="false">
      <c r="A277" s="7" t="s">
        <v>1707</v>
      </c>
      <c r="B277" s="8" t="n">
        <v>45676</v>
      </c>
      <c r="C277" s="7" t="s">
        <v>1435</v>
      </c>
      <c r="D277" s="7" t="s">
        <v>115</v>
      </c>
      <c r="E277" s="7" t="s">
        <v>60</v>
      </c>
      <c r="F277" s="7" t="s">
        <v>37</v>
      </c>
      <c r="G277" s="7" t="s">
        <v>1429</v>
      </c>
      <c r="H277" s="7" t="s">
        <v>1026</v>
      </c>
      <c r="I277" s="7" t="s">
        <v>271</v>
      </c>
      <c r="J277" s="7" t="n">
        <v>10.5</v>
      </c>
      <c r="K277" s="7" t="n">
        <v>3</v>
      </c>
      <c r="L277" s="7" t="s">
        <v>1419</v>
      </c>
    </row>
    <row r="278" customFormat="false" ht="15" hidden="false" customHeight="false" outlineLevel="0" collapsed="false">
      <c r="A278" s="7" t="s">
        <v>1708</v>
      </c>
      <c r="B278" s="8" t="n">
        <v>46006</v>
      </c>
      <c r="C278" s="7" t="s">
        <v>1432</v>
      </c>
      <c r="D278" s="7" t="s">
        <v>115</v>
      </c>
      <c r="E278" s="7" t="s">
        <v>68</v>
      </c>
      <c r="F278" s="7" t="s">
        <v>37</v>
      </c>
      <c r="G278" s="7" t="s">
        <v>1441</v>
      </c>
      <c r="H278" s="7" t="s">
        <v>1004</v>
      </c>
      <c r="I278" s="7" t="s">
        <v>267</v>
      </c>
      <c r="J278" s="7" t="n">
        <v>1.7</v>
      </c>
      <c r="K278" s="7" t="n">
        <v>4</v>
      </c>
      <c r="L278" s="7" t="s">
        <v>1419</v>
      </c>
    </row>
    <row r="279" customFormat="false" ht="15" hidden="false" customHeight="false" outlineLevel="0" collapsed="false">
      <c r="A279" s="7" t="s">
        <v>1709</v>
      </c>
      <c r="B279" s="8" t="n">
        <v>45505</v>
      </c>
      <c r="C279" s="7" t="s">
        <v>1432</v>
      </c>
      <c r="D279" s="7" t="s">
        <v>95</v>
      </c>
      <c r="E279" s="7" t="s">
        <v>79</v>
      </c>
      <c r="F279" s="7" t="s">
        <v>37</v>
      </c>
      <c r="G279" s="7" t="s">
        <v>1433</v>
      </c>
      <c r="H279" s="7" t="s">
        <v>1004</v>
      </c>
      <c r="I279" s="7" t="s">
        <v>285</v>
      </c>
      <c r="J279" s="7" t="n">
        <v>10.2</v>
      </c>
      <c r="K279" s="7" t="n">
        <v>5</v>
      </c>
      <c r="L279" s="7" t="s">
        <v>1419</v>
      </c>
    </row>
    <row r="280" customFormat="false" ht="15" hidden="false" customHeight="false" outlineLevel="0" collapsed="false">
      <c r="A280" s="7" t="s">
        <v>1710</v>
      </c>
      <c r="B280" s="8" t="n">
        <v>45553</v>
      </c>
      <c r="C280" s="7" t="s">
        <v>1432</v>
      </c>
      <c r="D280" s="7" t="s">
        <v>99</v>
      </c>
      <c r="E280" s="7" t="s">
        <v>87</v>
      </c>
      <c r="F280" s="7" t="s">
        <v>37</v>
      </c>
      <c r="G280" s="7" t="s">
        <v>1441</v>
      </c>
      <c r="H280" s="7" t="s">
        <v>1026</v>
      </c>
      <c r="I280" s="7" t="s">
        <v>269</v>
      </c>
      <c r="J280" s="7" t="n">
        <v>46.3</v>
      </c>
      <c r="K280" s="7" t="n">
        <v>1</v>
      </c>
      <c r="L280" s="7" t="s">
        <v>1419</v>
      </c>
    </row>
    <row r="281" customFormat="false" ht="15" hidden="false" customHeight="false" outlineLevel="0" collapsed="false">
      <c r="A281" s="7" t="s">
        <v>1711</v>
      </c>
      <c r="B281" s="8" t="n">
        <v>45531</v>
      </c>
      <c r="C281" s="7" t="s">
        <v>1432</v>
      </c>
      <c r="D281" s="7" t="s">
        <v>113</v>
      </c>
      <c r="E281" s="7" t="s">
        <v>83</v>
      </c>
      <c r="F281" s="7" t="s">
        <v>37</v>
      </c>
      <c r="G281" s="7" t="s">
        <v>1433</v>
      </c>
      <c r="H281" s="7" t="s">
        <v>1004</v>
      </c>
      <c r="I281" s="7" t="s">
        <v>265</v>
      </c>
      <c r="J281" s="7" t="n">
        <v>79.5</v>
      </c>
      <c r="K281" s="7" t="n">
        <v>2</v>
      </c>
      <c r="L281" s="7" t="s">
        <v>1419</v>
      </c>
    </row>
    <row r="282" customFormat="false" ht="15" hidden="false" customHeight="false" outlineLevel="0" collapsed="false">
      <c r="A282" s="7" t="s">
        <v>1712</v>
      </c>
      <c r="B282" s="8" t="n">
        <v>45389</v>
      </c>
      <c r="C282" s="7" t="s">
        <v>1424</v>
      </c>
      <c r="D282" s="7" t="s">
        <v>109</v>
      </c>
      <c r="E282" s="7" t="s">
        <v>75</v>
      </c>
      <c r="F282" s="7" t="s">
        <v>37</v>
      </c>
      <c r="G282" s="7" t="s">
        <v>1429</v>
      </c>
      <c r="H282" s="7" t="s">
        <v>1004</v>
      </c>
      <c r="I282" s="7" t="s">
        <v>285</v>
      </c>
      <c r="J282" s="7" t="n">
        <v>65.3</v>
      </c>
      <c r="K282" s="7" t="n">
        <v>4</v>
      </c>
      <c r="L282" s="7" t="s">
        <v>1419</v>
      </c>
    </row>
    <row r="283" customFormat="false" ht="15" hidden="false" customHeight="false" outlineLevel="0" collapsed="false">
      <c r="A283" s="7" t="s">
        <v>1713</v>
      </c>
      <c r="B283" s="8" t="n">
        <v>45634</v>
      </c>
      <c r="C283" s="7" t="s">
        <v>1435</v>
      </c>
      <c r="D283" s="7" t="s">
        <v>115</v>
      </c>
      <c r="E283" s="7" t="s">
        <v>79</v>
      </c>
      <c r="F283" s="7" t="s">
        <v>37</v>
      </c>
      <c r="G283" s="7" t="s">
        <v>1422</v>
      </c>
      <c r="H283" s="7" t="s">
        <v>1004</v>
      </c>
      <c r="I283" s="7" t="s">
        <v>285</v>
      </c>
      <c r="J283" s="7" t="n">
        <v>50.4</v>
      </c>
      <c r="K283" s="7" t="n">
        <v>3</v>
      </c>
      <c r="L283" s="7" t="s">
        <v>1419</v>
      </c>
    </row>
    <row r="284" customFormat="false" ht="15" hidden="false" customHeight="false" outlineLevel="0" collapsed="false">
      <c r="A284" s="7" t="s">
        <v>1714</v>
      </c>
      <c r="B284" s="8" t="n">
        <v>45936</v>
      </c>
      <c r="C284" s="7" t="s">
        <v>1424</v>
      </c>
      <c r="D284" s="7" t="s">
        <v>115</v>
      </c>
      <c r="E284" s="7" t="s">
        <v>75</v>
      </c>
      <c r="F284" s="7" t="s">
        <v>37</v>
      </c>
      <c r="G284" s="7" t="s">
        <v>1418</v>
      </c>
      <c r="H284" s="7" t="s">
        <v>1004</v>
      </c>
      <c r="I284" s="7" t="s">
        <v>273</v>
      </c>
      <c r="J284" s="7" t="n">
        <v>54.6</v>
      </c>
      <c r="K284" s="7" t="n">
        <v>3</v>
      </c>
      <c r="L284" s="7" t="s">
        <v>1419</v>
      </c>
    </row>
    <row r="285" customFormat="false" ht="15" hidden="false" customHeight="false" outlineLevel="0" collapsed="false">
      <c r="A285" s="7" t="s">
        <v>1715</v>
      </c>
      <c r="B285" s="8" t="n">
        <v>45381</v>
      </c>
      <c r="C285" s="7" t="s">
        <v>1417</v>
      </c>
      <c r="D285" s="7" t="s">
        <v>104</v>
      </c>
      <c r="E285" s="7" t="s">
        <v>71</v>
      </c>
      <c r="F285" s="7" t="s">
        <v>37</v>
      </c>
      <c r="G285" s="7" t="s">
        <v>1454</v>
      </c>
      <c r="H285" s="7" t="s">
        <v>1004</v>
      </c>
      <c r="I285" s="7" t="s">
        <v>271</v>
      </c>
      <c r="J285" s="7" t="n">
        <v>13.9</v>
      </c>
      <c r="K285" s="7" t="n">
        <v>1</v>
      </c>
      <c r="L285" s="7" t="s">
        <v>1419</v>
      </c>
    </row>
    <row r="286" customFormat="false" ht="15" hidden="false" customHeight="false" outlineLevel="0" collapsed="false">
      <c r="A286" s="7" t="s">
        <v>1716</v>
      </c>
      <c r="B286" s="8" t="n">
        <v>45521</v>
      </c>
      <c r="C286" s="7" t="s">
        <v>1417</v>
      </c>
      <c r="D286" s="7" t="s">
        <v>109</v>
      </c>
      <c r="E286" s="7" t="s">
        <v>79</v>
      </c>
      <c r="F286" s="7" t="s">
        <v>37</v>
      </c>
      <c r="G286" s="7" t="s">
        <v>1454</v>
      </c>
      <c r="H286" s="7" t="s">
        <v>1026</v>
      </c>
      <c r="I286" s="7" t="s">
        <v>269</v>
      </c>
      <c r="J286" s="7" t="n">
        <v>80.7</v>
      </c>
      <c r="K286" s="7" t="n">
        <v>1</v>
      </c>
      <c r="L286" s="7" t="s">
        <v>1419</v>
      </c>
    </row>
    <row r="287" customFormat="false" ht="15" hidden="false" customHeight="false" outlineLevel="0" collapsed="false">
      <c r="A287" s="7" t="s">
        <v>1717</v>
      </c>
      <c r="B287" s="8" t="n">
        <v>45320</v>
      </c>
      <c r="C287" s="7" t="s">
        <v>1424</v>
      </c>
      <c r="D287" s="7" t="s">
        <v>113</v>
      </c>
      <c r="E287" s="7" t="s">
        <v>75</v>
      </c>
      <c r="F287" s="7" t="s">
        <v>37</v>
      </c>
      <c r="G287" s="7" t="s">
        <v>1429</v>
      </c>
      <c r="H287" s="7" t="s">
        <v>1004</v>
      </c>
      <c r="I287" s="7" t="s">
        <v>275</v>
      </c>
      <c r="J287" s="7" t="n">
        <v>79.8</v>
      </c>
      <c r="K287" s="7" t="n">
        <v>5</v>
      </c>
      <c r="L287" s="7" t="s">
        <v>1419</v>
      </c>
    </row>
    <row r="288" customFormat="false" ht="15" hidden="false" customHeight="false" outlineLevel="0" collapsed="false">
      <c r="A288" s="7" t="s">
        <v>1718</v>
      </c>
      <c r="B288" s="8" t="n">
        <v>45714</v>
      </c>
      <c r="C288" s="7" t="s">
        <v>1421</v>
      </c>
      <c r="D288" s="7" t="s">
        <v>95</v>
      </c>
      <c r="E288" s="7" t="s">
        <v>87</v>
      </c>
      <c r="F288" s="7" t="s">
        <v>37</v>
      </c>
      <c r="G288" s="7" t="s">
        <v>1441</v>
      </c>
      <c r="H288" s="7" t="s">
        <v>1436</v>
      </c>
      <c r="I288" s="7" t="s">
        <v>289</v>
      </c>
      <c r="J288" s="7" t="n">
        <v>58.6</v>
      </c>
      <c r="K288" s="7" t="n">
        <v>3</v>
      </c>
      <c r="L288" s="7" t="s">
        <v>1419</v>
      </c>
    </row>
    <row r="289" customFormat="false" ht="15" hidden="false" customHeight="false" outlineLevel="0" collapsed="false">
      <c r="A289" s="7" t="s">
        <v>1719</v>
      </c>
      <c r="B289" s="8" t="n">
        <v>45959</v>
      </c>
      <c r="C289" s="7" t="s">
        <v>1424</v>
      </c>
      <c r="D289" s="7" t="s">
        <v>113</v>
      </c>
      <c r="E289" s="7" t="s">
        <v>60</v>
      </c>
      <c r="F289" s="7" t="s">
        <v>37</v>
      </c>
      <c r="G289" s="7" t="s">
        <v>1429</v>
      </c>
      <c r="H289" s="7" t="s">
        <v>1009</v>
      </c>
      <c r="I289" s="7" t="s">
        <v>291</v>
      </c>
      <c r="J289" s="7" t="n">
        <v>80.3</v>
      </c>
      <c r="K289" s="7" t="n">
        <v>4</v>
      </c>
      <c r="L289" s="7" t="s">
        <v>1419</v>
      </c>
    </row>
    <row r="290" customFormat="false" ht="15" hidden="false" customHeight="false" outlineLevel="0" collapsed="false">
      <c r="A290" s="7" t="s">
        <v>1720</v>
      </c>
      <c r="B290" s="8" t="n">
        <v>45566</v>
      </c>
      <c r="C290" s="7" t="s">
        <v>1428</v>
      </c>
      <c r="D290" s="7" t="s">
        <v>95</v>
      </c>
      <c r="E290" s="7" t="s">
        <v>87</v>
      </c>
      <c r="F290" s="7" t="s">
        <v>37</v>
      </c>
      <c r="G290" s="7" t="s">
        <v>1418</v>
      </c>
      <c r="H290" s="7" t="s">
        <v>1009</v>
      </c>
      <c r="I290" s="7" t="s">
        <v>283</v>
      </c>
      <c r="J290" s="7" t="n">
        <v>67.6</v>
      </c>
      <c r="K290" s="7" t="n">
        <v>1</v>
      </c>
      <c r="L290" s="7" t="s">
        <v>1419</v>
      </c>
    </row>
    <row r="291" customFormat="false" ht="15" hidden="false" customHeight="false" outlineLevel="0" collapsed="false">
      <c r="A291" s="7" t="s">
        <v>1721</v>
      </c>
      <c r="B291" s="8" t="n">
        <v>45528</v>
      </c>
      <c r="C291" s="7" t="s">
        <v>1417</v>
      </c>
      <c r="D291" s="7" t="s">
        <v>106</v>
      </c>
      <c r="E291" s="7" t="s">
        <v>71</v>
      </c>
      <c r="F291" s="7" t="s">
        <v>37</v>
      </c>
      <c r="G291" s="7" t="s">
        <v>1441</v>
      </c>
      <c r="H291" s="7" t="s">
        <v>1009</v>
      </c>
      <c r="I291" s="7" t="s">
        <v>281</v>
      </c>
      <c r="J291" s="7" t="n">
        <v>71.5</v>
      </c>
      <c r="K291" s="7" t="n">
        <v>4</v>
      </c>
      <c r="L291" s="7" t="s">
        <v>1419</v>
      </c>
    </row>
    <row r="292" customFormat="false" ht="15" hidden="false" customHeight="false" outlineLevel="0" collapsed="false">
      <c r="A292" s="7" t="s">
        <v>1722</v>
      </c>
      <c r="B292" s="8" t="n">
        <v>45500</v>
      </c>
      <c r="C292" s="7" t="s">
        <v>1428</v>
      </c>
      <c r="D292" s="7" t="s">
        <v>106</v>
      </c>
      <c r="E292" s="7" t="s">
        <v>75</v>
      </c>
      <c r="F292" s="7" t="s">
        <v>37</v>
      </c>
      <c r="G292" s="7" t="s">
        <v>1433</v>
      </c>
      <c r="H292" s="7" t="s">
        <v>1004</v>
      </c>
      <c r="I292" s="7" t="s">
        <v>273</v>
      </c>
      <c r="J292" s="7" t="n">
        <v>76.5</v>
      </c>
      <c r="K292" s="7" t="n">
        <v>1</v>
      </c>
      <c r="L292" s="7" t="s">
        <v>1419</v>
      </c>
    </row>
    <row r="293" customFormat="false" ht="15" hidden="false" customHeight="false" outlineLevel="0" collapsed="false">
      <c r="A293" s="7" t="s">
        <v>1723</v>
      </c>
      <c r="B293" s="8" t="n">
        <v>45350</v>
      </c>
      <c r="C293" s="7" t="s">
        <v>1424</v>
      </c>
      <c r="D293" s="7" t="s">
        <v>113</v>
      </c>
      <c r="E293" s="7" t="s">
        <v>65</v>
      </c>
      <c r="F293" s="7" t="s">
        <v>37</v>
      </c>
      <c r="G293" s="7" t="s">
        <v>1418</v>
      </c>
      <c r="H293" s="7" t="s">
        <v>1009</v>
      </c>
      <c r="I293" s="7" t="s">
        <v>267</v>
      </c>
      <c r="J293" s="7" t="n">
        <v>34.1</v>
      </c>
      <c r="K293" s="7" t="n">
        <v>4</v>
      </c>
      <c r="L293" s="7" t="s">
        <v>1419</v>
      </c>
    </row>
    <row r="294" customFormat="false" ht="15" hidden="false" customHeight="false" outlineLevel="0" collapsed="false">
      <c r="A294" s="7" t="s">
        <v>1724</v>
      </c>
      <c r="B294" s="8" t="n">
        <v>45875</v>
      </c>
      <c r="C294" s="7" t="s">
        <v>1417</v>
      </c>
      <c r="D294" s="7" t="s">
        <v>99</v>
      </c>
      <c r="E294" s="7" t="s">
        <v>87</v>
      </c>
      <c r="F294" s="7" t="s">
        <v>37</v>
      </c>
      <c r="G294" s="7" t="s">
        <v>1433</v>
      </c>
      <c r="H294" s="7" t="s">
        <v>1009</v>
      </c>
      <c r="I294" s="7" t="s">
        <v>273</v>
      </c>
      <c r="J294" s="7" t="n">
        <v>39.2</v>
      </c>
      <c r="K294" s="7" t="n">
        <v>4</v>
      </c>
      <c r="L294" s="7" t="s">
        <v>1419</v>
      </c>
    </row>
    <row r="295" customFormat="false" ht="15" hidden="false" customHeight="false" outlineLevel="0" collapsed="false">
      <c r="A295" s="7" t="s">
        <v>1725</v>
      </c>
      <c r="B295" s="8" t="n">
        <v>45792</v>
      </c>
      <c r="C295" s="7" t="s">
        <v>1417</v>
      </c>
      <c r="D295" s="7" t="s">
        <v>113</v>
      </c>
      <c r="E295" s="7" t="s">
        <v>79</v>
      </c>
      <c r="F295" s="7" t="s">
        <v>37</v>
      </c>
      <c r="G295" s="7" t="s">
        <v>1422</v>
      </c>
      <c r="H295" s="7" t="s">
        <v>1009</v>
      </c>
      <c r="I295" s="7" t="s">
        <v>273</v>
      </c>
      <c r="J295" s="7" t="n">
        <v>16.4</v>
      </c>
      <c r="K295" s="7" t="n">
        <v>5</v>
      </c>
      <c r="L295" s="7" t="s">
        <v>1419</v>
      </c>
    </row>
    <row r="296" customFormat="false" ht="15" hidden="false" customHeight="false" outlineLevel="0" collapsed="false">
      <c r="A296" s="7" t="s">
        <v>1726</v>
      </c>
      <c r="B296" s="8" t="n">
        <v>45589</v>
      </c>
      <c r="C296" s="7" t="s">
        <v>1417</v>
      </c>
      <c r="D296" s="7" t="s">
        <v>99</v>
      </c>
      <c r="E296" s="7" t="s">
        <v>60</v>
      </c>
      <c r="F296" s="7" t="s">
        <v>37</v>
      </c>
      <c r="G296" s="7" t="s">
        <v>1433</v>
      </c>
      <c r="H296" s="7" t="s">
        <v>1009</v>
      </c>
      <c r="I296" s="7" t="s">
        <v>273</v>
      </c>
      <c r="J296" s="7" t="n">
        <v>82.6</v>
      </c>
      <c r="K296" s="7" t="n">
        <v>5</v>
      </c>
      <c r="L296" s="7" t="s">
        <v>1419</v>
      </c>
    </row>
    <row r="297" customFormat="false" ht="15" hidden="false" customHeight="false" outlineLevel="0" collapsed="false">
      <c r="A297" s="7" t="s">
        <v>1727</v>
      </c>
      <c r="B297" s="8" t="n">
        <v>45965</v>
      </c>
      <c r="C297" s="7" t="s">
        <v>1417</v>
      </c>
      <c r="D297" s="7" t="s">
        <v>104</v>
      </c>
      <c r="E297" s="7" t="s">
        <v>83</v>
      </c>
      <c r="F297" s="7" t="s">
        <v>37</v>
      </c>
      <c r="G297" s="7" t="s">
        <v>1418</v>
      </c>
      <c r="H297" s="7" t="s">
        <v>1436</v>
      </c>
      <c r="I297" s="7" t="s">
        <v>291</v>
      </c>
      <c r="J297" s="7" t="n">
        <v>11.6</v>
      </c>
      <c r="K297" s="7" t="n">
        <v>1</v>
      </c>
      <c r="L297" s="7" t="s">
        <v>1419</v>
      </c>
    </row>
    <row r="298" customFormat="false" ht="15" hidden="false" customHeight="false" outlineLevel="0" collapsed="false">
      <c r="A298" s="7" t="s">
        <v>1728</v>
      </c>
      <c r="B298" s="8" t="n">
        <v>45436</v>
      </c>
      <c r="C298" s="7" t="s">
        <v>1432</v>
      </c>
      <c r="D298" s="7" t="s">
        <v>109</v>
      </c>
      <c r="E298" s="7" t="s">
        <v>71</v>
      </c>
      <c r="F298" s="7" t="s">
        <v>37</v>
      </c>
      <c r="G298" s="7" t="s">
        <v>1422</v>
      </c>
      <c r="H298" s="7" t="s">
        <v>1009</v>
      </c>
      <c r="I298" s="7" t="s">
        <v>291</v>
      </c>
      <c r="J298" s="7" t="n">
        <v>23.5</v>
      </c>
      <c r="K298" s="7" t="n">
        <v>4</v>
      </c>
      <c r="L298" s="7" t="s">
        <v>1419</v>
      </c>
    </row>
    <row r="299" customFormat="false" ht="15" hidden="false" customHeight="false" outlineLevel="0" collapsed="false">
      <c r="A299" s="7" t="s">
        <v>1729</v>
      </c>
      <c r="B299" s="8" t="n">
        <v>45985</v>
      </c>
      <c r="C299" s="7" t="s">
        <v>1417</v>
      </c>
      <c r="D299" s="7" t="s">
        <v>99</v>
      </c>
      <c r="E299" s="7" t="s">
        <v>68</v>
      </c>
      <c r="F299" s="7" t="s">
        <v>37</v>
      </c>
      <c r="G299" s="7" t="s">
        <v>1422</v>
      </c>
      <c r="H299" s="7" t="s">
        <v>1009</v>
      </c>
      <c r="I299" s="7" t="s">
        <v>267</v>
      </c>
      <c r="J299" s="7" t="n">
        <v>13.9</v>
      </c>
      <c r="K299" s="7" t="n">
        <v>3</v>
      </c>
      <c r="L299" s="7" t="s">
        <v>1419</v>
      </c>
    </row>
    <row r="300" customFormat="false" ht="15" hidden="false" customHeight="false" outlineLevel="0" collapsed="false">
      <c r="A300" s="7" t="s">
        <v>1730</v>
      </c>
      <c r="B300" s="8" t="n">
        <v>45349</v>
      </c>
      <c r="C300" s="7" t="s">
        <v>1424</v>
      </c>
      <c r="D300" s="7" t="s">
        <v>104</v>
      </c>
      <c r="E300" s="7" t="s">
        <v>75</v>
      </c>
      <c r="F300" s="7" t="s">
        <v>37</v>
      </c>
      <c r="G300" s="7" t="s">
        <v>1454</v>
      </c>
      <c r="H300" s="7" t="s">
        <v>1009</v>
      </c>
      <c r="I300" s="7" t="s">
        <v>295</v>
      </c>
      <c r="J300" s="7" t="n">
        <v>11</v>
      </c>
      <c r="K300" s="7" t="n">
        <v>3</v>
      </c>
      <c r="L300" s="7" t="s">
        <v>1013</v>
      </c>
    </row>
    <row r="301" customFormat="false" ht="15" hidden="false" customHeight="false" outlineLevel="0" collapsed="false">
      <c r="A301" s="7" t="s">
        <v>1731</v>
      </c>
      <c r="B301" s="8" t="n">
        <v>45659</v>
      </c>
      <c r="C301" s="7" t="s">
        <v>1421</v>
      </c>
      <c r="D301" s="7" t="s">
        <v>106</v>
      </c>
      <c r="E301" s="7" t="s">
        <v>83</v>
      </c>
      <c r="F301" s="7" t="s">
        <v>37</v>
      </c>
      <c r="G301" s="7" t="s">
        <v>1454</v>
      </c>
      <c r="H301" s="7" t="s">
        <v>1009</v>
      </c>
      <c r="I301" s="7" t="s">
        <v>293</v>
      </c>
      <c r="J301" s="7" t="n">
        <v>17.1</v>
      </c>
      <c r="K301" s="7" t="n">
        <v>4</v>
      </c>
      <c r="L301" s="7" t="s">
        <v>1442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10"/>
    <col collapsed="false" customWidth="true" hidden="false" outlineLevel="0" max="4" min="4" style="0" width="9"/>
    <col collapsed="false" customWidth="true" hidden="false" outlineLevel="0" max="5" min="5" style="0" width="17"/>
    <col collapsed="false" customWidth="true" hidden="false" outlineLevel="0" max="6" min="6" style="0" width="10"/>
    <col collapsed="false" customWidth="true" hidden="false" outlineLevel="0" max="8" min="7" style="0" width="16"/>
    <col collapsed="false" customWidth="true" hidden="false" outlineLevel="0" max="9" min="9" style="0" width="13"/>
    <col collapsed="false" customWidth="true" hidden="false" outlineLevel="0" max="10" min="10" style="0" width="17"/>
    <col collapsed="false" customWidth="true" hidden="false" outlineLevel="0" max="11" min="11" style="0" width="10"/>
    <col collapsed="false" customWidth="true" hidden="false" outlineLevel="0" max="12" min="12" style="0" width="12"/>
  </cols>
  <sheetData>
    <row r="1" customFormat="false" ht="23.85" hidden="false" customHeight="false" outlineLevel="0" collapsed="false">
      <c r="A1" s="6" t="s">
        <v>1410</v>
      </c>
      <c r="B1" s="6" t="s">
        <v>444</v>
      </c>
      <c r="C1" s="6" t="s">
        <v>55</v>
      </c>
      <c r="D1" s="6" t="s">
        <v>21</v>
      </c>
      <c r="E1" s="6" t="s">
        <v>93</v>
      </c>
      <c r="F1" s="6" t="s">
        <v>1413</v>
      </c>
      <c r="G1" s="6" t="s">
        <v>1167</v>
      </c>
      <c r="H1" s="6" t="s">
        <v>1732</v>
      </c>
      <c r="I1" s="6" t="s">
        <v>1733</v>
      </c>
      <c r="J1" s="6" t="s">
        <v>1734</v>
      </c>
      <c r="K1" s="6" t="s">
        <v>1735</v>
      </c>
      <c r="L1" s="6" t="s">
        <v>999</v>
      </c>
    </row>
    <row r="2" customFormat="false" ht="15" hidden="false" customHeight="false" outlineLevel="0" collapsed="false">
      <c r="A2" s="7" t="s">
        <v>1736</v>
      </c>
      <c r="B2" s="8" t="n">
        <v>45574</v>
      </c>
      <c r="C2" s="7" t="s">
        <v>83</v>
      </c>
      <c r="D2" s="7" t="s">
        <v>40</v>
      </c>
      <c r="E2" s="7" t="s">
        <v>1737</v>
      </c>
      <c r="F2" s="7" t="s">
        <v>1009</v>
      </c>
      <c r="G2" s="7" t="s">
        <v>347</v>
      </c>
      <c r="H2" s="7" t="s">
        <v>312</v>
      </c>
      <c r="I2" s="7" t="n">
        <v>48</v>
      </c>
      <c r="J2" s="7" t="n">
        <v>22.5</v>
      </c>
      <c r="K2" s="7" t="str">
        <f aca="false">IF(J2&lt;=I2,"Yes","No")</f>
        <v>Yes</v>
      </c>
      <c r="L2" s="7" t="s">
        <v>1419</v>
      </c>
    </row>
    <row r="3" customFormat="false" ht="15" hidden="false" customHeight="false" outlineLevel="0" collapsed="false">
      <c r="A3" s="7" t="s">
        <v>1738</v>
      </c>
      <c r="B3" s="8" t="n">
        <v>45642</v>
      </c>
      <c r="C3" s="7" t="s">
        <v>71</v>
      </c>
      <c r="D3" s="7" t="s">
        <v>40</v>
      </c>
      <c r="E3" s="7" t="s">
        <v>1739</v>
      </c>
      <c r="F3" s="7" t="s">
        <v>1026</v>
      </c>
      <c r="G3" s="7" t="s">
        <v>323</v>
      </c>
      <c r="H3" s="7" t="s">
        <v>316</v>
      </c>
      <c r="I3" s="7" t="n">
        <v>8</v>
      </c>
      <c r="J3" s="7" t="n">
        <v>13.3</v>
      </c>
      <c r="K3" s="7" t="str">
        <f aca="false">IF(J3&lt;=I3,"Yes","No")</f>
        <v>No</v>
      </c>
      <c r="L3" s="7" t="s">
        <v>1419</v>
      </c>
    </row>
    <row r="4" customFormat="false" ht="15" hidden="false" customHeight="false" outlineLevel="0" collapsed="false">
      <c r="A4" s="7" t="s">
        <v>1740</v>
      </c>
      <c r="B4" s="8" t="n">
        <v>45313</v>
      </c>
      <c r="C4" s="7" t="s">
        <v>87</v>
      </c>
      <c r="D4" s="7" t="s">
        <v>40</v>
      </c>
      <c r="E4" s="7" t="s">
        <v>1741</v>
      </c>
      <c r="F4" s="7" t="s">
        <v>1026</v>
      </c>
      <c r="G4" s="7" t="s">
        <v>407</v>
      </c>
      <c r="H4" s="7" t="s">
        <v>312</v>
      </c>
      <c r="I4" s="7" t="n">
        <v>8</v>
      </c>
      <c r="J4" s="7" t="n">
        <v>5.4</v>
      </c>
      <c r="K4" s="7" t="str">
        <f aca="false">IF(J4&lt;=I4,"Yes","No")</f>
        <v>Yes</v>
      </c>
      <c r="L4" s="7" t="s">
        <v>1419</v>
      </c>
    </row>
    <row r="5" customFormat="false" ht="15" hidden="false" customHeight="false" outlineLevel="0" collapsed="false">
      <c r="A5" s="7" t="s">
        <v>1742</v>
      </c>
      <c r="B5" s="8" t="n">
        <v>45381</v>
      </c>
      <c r="C5" s="7" t="s">
        <v>83</v>
      </c>
      <c r="D5" s="7" t="s">
        <v>40</v>
      </c>
      <c r="E5" s="7" t="s">
        <v>1743</v>
      </c>
      <c r="F5" s="7" t="s">
        <v>1026</v>
      </c>
      <c r="G5" s="7" t="s">
        <v>295</v>
      </c>
      <c r="H5" s="7" t="s">
        <v>308</v>
      </c>
      <c r="I5" s="7" t="n">
        <v>8</v>
      </c>
      <c r="J5" s="7" t="n">
        <v>4.1</v>
      </c>
      <c r="K5" s="7" t="str">
        <f aca="false">IF(J5&lt;=I5,"Yes","No")</f>
        <v>Yes</v>
      </c>
      <c r="L5" s="7" t="s">
        <v>1442</v>
      </c>
    </row>
    <row r="6" customFormat="false" ht="15" hidden="false" customHeight="false" outlineLevel="0" collapsed="false">
      <c r="A6" s="7" t="s">
        <v>1744</v>
      </c>
      <c r="B6" s="8" t="n">
        <v>45745</v>
      </c>
      <c r="C6" s="7" t="s">
        <v>65</v>
      </c>
      <c r="D6" s="7" t="s">
        <v>40</v>
      </c>
      <c r="E6" s="7" t="s">
        <v>1741</v>
      </c>
      <c r="F6" s="7" t="s">
        <v>1004</v>
      </c>
      <c r="G6" s="7" t="s">
        <v>251</v>
      </c>
      <c r="H6" s="7" t="s">
        <v>306</v>
      </c>
      <c r="I6" s="7" t="n">
        <v>24</v>
      </c>
      <c r="J6" s="7" t="n">
        <v>23</v>
      </c>
      <c r="K6" s="7" t="str">
        <f aca="false">IF(J6&lt;=I6,"Yes","No")</f>
        <v>Yes</v>
      </c>
      <c r="L6" s="7" t="s">
        <v>1419</v>
      </c>
    </row>
    <row r="7" customFormat="false" ht="15" hidden="false" customHeight="false" outlineLevel="0" collapsed="false">
      <c r="A7" s="7" t="s">
        <v>1745</v>
      </c>
      <c r="B7" s="8" t="n">
        <v>45422</v>
      </c>
      <c r="C7" s="7" t="s">
        <v>87</v>
      </c>
      <c r="D7" s="7" t="s">
        <v>40</v>
      </c>
      <c r="E7" s="7" t="s">
        <v>1746</v>
      </c>
      <c r="F7" s="7" t="s">
        <v>1004</v>
      </c>
      <c r="G7" s="7" t="s">
        <v>404</v>
      </c>
      <c r="H7" s="7" t="s">
        <v>301</v>
      </c>
      <c r="I7" s="7" t="n">
        <v>24</v>
      </c>
      <c r="J7" s="7" t="n">
        <v>10</v>
      </c>
      <c r="K7" s="7" t="str">
        <f aca="false">IF(J7&lt;=I7,"Yes","No")</f>
        <v>Yes</v>
      </c>
      <c r="L7" s="7" t="s">
        <v>1419</v>
      </c>
    </row>
    <row r="8" customFormat="false" ht="15" hidden="false" customHeight="false" outlineLevel="0" collapsed="false">
      <c r="A8" s="7" t="s">
        <v>1747</v>
      </c>
      <c r="B8" s="8" t="n">
        <v>45601</v>
      </c>
      <c r="C8" s="7" t="s">
        <v>79</v>
      </c>
      <c r="D8" s="7" t="s">
        <v>40</v>
      </c>
      <c r="E8" s="7" t="s">
        <v>1743</v>
      </c>
      <c r="F8" s="7" t="s">
        <v>1004</v>
      </c>
      <c r="G8" s="7" t="s">
        <v>411</v>
      </c>
      <c r="H8" s="7" t="s">
        <v>321</v>
      </c>
      <c r="I8" s="7" t="n">
        <v>24</v>
      </c>
      <c r="J8" s="7" t="n">
        <v>17.4</v>
      </c>
      <c r="K8" s="7" t="str">
        <f aca="false">IF(J8&lt;=I8,"Yes","No")</f>
        <v>Yes</v>
      </c>
      <c r="L8" s="7" t="s">
        <v>1419</v>
      </c>
    </row>
    <row r="9" customFormat="false" ht="15" hidden="false" customHeight="false" outlineLevel="0" collapsed="false">
      <c r="A9" s="7" t="s">
        <v>1748</v>
      </c>
      <c r="B9" s="8" t="n">
        <v>45664</v>
      </c>
      <c r="C9" s="7" t="s">
        <v>68</v>
      </c>
      <c r="D9" s="7" t="s">
        <v>40</v>
      </c>
      <c r="E9" s="7" t="s">
        <v>1739</v>
      </c>
      <c r="F9" s="7" t="s">
        <v>1004</v>
      </c>
      <c r="G9" s="7" t="s">
        <v>301</v>
      </c>
      <c r="H9" s="7" t="s">
        <v>299</v>
      </c>
      <c r="I9" s="7" t="n">
        <v>24</v>
      </c>
      <c r="J9" s="7" t="n">
        <v>6.8</v>
      </c>
      <c r="K9" s="7" t="str">
        <f aca="false">IF(J9&lt;=I9,"Yes","No")</f>
        <v>Yes</v>
      </c>
      <c r="L9" s="7" t="s">
        <v>1419</v>
      </c>
    </row>
    <row r="10" customFormat="false" ht="15" hidden="false" customHeight="false" outlineLevel="0" collapsed="false">
      <c r="A10" s="7" t="s">
        <v>1749</v>
      </c>
      <c r="B10" s="8" t="n">
        <v>45733</v>
      </c>
      <c r="C10" s="7" t="s">
        <v>87</v>
      </c>
      <c r="D10" s="7" t="s">
        <v>40</v>
      </c>
      <c r="E10" s="7" t="s">
        <v>1737</v>
      </c>
      <c r="F10" s="7" t="s">
        <v>1026</v>
      </c>
      <c r="G10" s="7" t="s">
        <v>170</v>
      </c>
      <c r="H10" s="7" t="s">
        <v>306</v>
      </c>
      <c r="I10" s="7" t="n">
        <v>8</v>
      </c>
      <c r="J10" s="7" t="n">
        <v>2.8</v>
      </c>
      <c r="K10" s="7" t="str">
        <f aca="false">IF(J10&lt;=I10,"Yes","No")</f>
        <v>Yes</v>
      </c>
      <c r="L10" s="7" t="s">
        <v>1419</v>
      </c>
    </row>
    <row r="11" customFormat="false" ht="15" hidden="false" customHeight="false" outlineLevel="0" collapsed="false">
      <c r="A11" s="7" t="s">
        <v>1750</v>
      </c>
      <c r="B11" s="8" t="n">
        <v>45733</v>
      </c>
      <c r="C11" s="7" t="s">
        <v>83</v>
      </c>
      <c r="D11" s="7" t="s">
        <v>40</v>
      </c>
      <c r="E11" s="7" t="s">
        <v>1739</v>
      </c>
      <c r="F11" s="7" t="s">
        <v>1026</v>
      </c>
      <c r="G11" s="7" t="s">
        <v>341</v>
      </c>
      <c r="H11" s="7" t="s">
        <v>323</v>
      </c>
      <c r="I11" s="7" t="n">
        <v>8</v>
      </c>
      <c r="J11" s="7" t="n">
        <v>4.8</v>
      </c>
      <c r="K11" s="7" t="str">
        <f aca="false">IF(J11&lt;=I11,"Yes","No")</f>
        <v>Yes</v>
      </c>
      <c r="L11" s="7" t="s">
        <v>1419</v>
      </c>
    </row>
    <row r="12" customFormat="false" ht="15" hidden="false" customHeight="false" outlineLevel="0" collapsed="false">
      <c r="A12" s="7" t="s">
        <v>1751</v>
      </c>
      <c r="B12" s="8" t="n">
        <v>45700</v>
      </c>
      <c r="C12" s="7" t="s">
        <v>71</v>
      </c>
      <c r="D12" s="7" t="s">
        <v>40</v>
      </c>
      <c r="E12" s="7" t="s">
        <v>1743</v>
      </c>
      <c r="F12" s="7" t="s">
        <v>1004</v>
      </c>
      <c r="G12" s="7" t="s">
        <v>394</v>
      </c>
      <c r="H12" s="7" t="s">
        <v>299</v>
      </c>
      <c r="I12" s="7" t="n">
        <v>24</v>
      </c>
      <c r="J12" s="7" t="n">
        <v>19.1</v>
      </c>
      <c r="K12" s="7" t="str">
        <f aca="false">IF(J12&lt;=I12,"Yes","No")</f>
        <v>Yes</v>
      </c>
      <c r="L12" s="7" t="s">
        <v>1419</v>
      </c>
    </row>
    <row r="13" customFormat="false" ht="15" hidden="false" customHeight="false" outlineLevel="0" collapsed="false">
      <c r="A13" s="7" t="s">
        <v>1752</v>
      </c>
      <c r="B13" s="8" t="n">
        <v>45766</v>
      </c>
      <c r="C13" s="7" t="s">
        <v>71</v>
      </c>
      <c r="D13" s="7" t="s">
        <v>40</v>
      </c>
      <c r="E13" s="7" t="s">
        <v>1743</v>
      </c>
      <c r="F13" s="7" t="s">
        <v>1004</v>
      </c>
      <c r="G13" s="7" t="s">
        <v>416</v>
      </c>
      <c r="H13" s="7" t="s">
        <v>304</v>
      </c>
      <c r="I13" s="7" t="n">
        <v>24</v>
      </c>
      <c r="J13" s="7" t="n">
        <v>7.7</v>
      </c>
      <c r="K13" s="7" t="str">
        <f aca="false">IF(J13&lt;=I13,"Yes","No")</f>
        <v>Yes</v>
      </c>
      <c r="L13" s="7" t="s">
        <v>1419</v>
      </c>
    </row>
    <row r="14" customFormat="false" ht="15" hidden="false" customHeight="false" outlineLevel="0" collapsed="false">
      <c r="A14" s="7" t="s">
        <v>1753</v>
      </c>
      <c r="B14" s="8" t="n">
        <v>45960</v>
      </c>
      <c r="C14" s="7" t="s">
        <v>71</v>
      </c>
      <c r="D14" s="7" t="s">
        <v>40</v>
      </c>
      <c r="E14" s="7" t="s">
        <v>1737</v>
      </c>
      <c r="F14" s="7" t="s">
        <v>1009</v>
      </c>
      <c r="G14" s="7" t="s">
        <v>279</v>
      </c>
      <c r="H14" s="7" t="s">
        <v>314</v>
      </c>
      <c r="I14" s="7" t="n">
        <v>48</v>
      </c>
      <c r="J14" s="7" t="n">
        <v>11</v>
      </c>
      <c r="K14" s="7" t="str">
        <f aca="false">IF(J14&lt;=I14,"Yes","No")</f>
        <v>Yes</v>
      </c>
      <c r="L14" s="7" t="s">
        <v>1419</v>
      </c>
    </row>
    <row r="15" customFormat="false" ht="15" hidden="false" customHeight="false" outlineLevel="0" collapsed="false">
      <c r="A15" s="7" t="s">
        <v>1754</v>
      </c>
      <c r="B15" s="8" t="n">
        <v>45521</v>
      </c>
      <c r="C15" s="7" t="s">
        <v>71</v>
      </c>
      <c r="D15" s="7" t="s">
        <v>40</v>
      </c>
      <c r="E15" s="7" t="s">
        <v>1739</v>
      </c>
      <c r="F15" s="7" t="s">
        <v>1004</v>
      </c>
      <c r="G15" s="7" t="s">
        <v>409</v>
      </c>
      <c r="H15" s="7" t="s">
        <v>308</v>
      </c>
      <c r="I15" s="7" t="n">
        <v>24</v>
      </c>
      <c r="J15" s="7" t="n">
        <v>9.8</v>
      </c>
      <c r="K15" s="7" t="str">
        <f aca="false">IF(J15&lt;=I15,"Yes","No")</f>
        <v>Yes</v>
      </c>
      <c r="L15" s="7" t="s">
        <v>1419</v>
      </c>
    </row>
    <row r="16" customFormat="false" ht="15" hidden="false" customHeight="false" outlineLevel="0" collapsed="false">
      <c r="A16" s="7" t="s">
        <v>1755</v>
      </c>
      <c r="B16" s="8" t="n">
        <v>45457</v>
      </c>
      <c r="C16" s="7" t="s">
        <v>65</v>
      </c>
      <c r="D16" s="7" t="s">
        <v>40</v>
      </c>
      <c r="E16" s="7" t="s">
        <v>1737</v>
      </c>
      <c r="F16" s="7" t="s">
        <v>1009</v>
      </c>
      <c r="G16" s="7" t="s">
        <v>312</v>
      </c>
      <c r="H16" s="7" t="s">
        <v>321</v>
      </c>
      <c r="I16" s="7" t="n">
        <v>48</v>
      </c>
      <c r="J16" s="7" t="n">
        <v>52</v>
      </c>
      <c r="K16" s="7" t="str">
        <f aca="false">IF(J16&lt;=I16,"Yes","No")</f>
        <v>No</v>
      </c>
      <c r="L16" s="7" t="s">
        <v>1419</v>
      </c>
    </row>
    <row r="17" customFormat="false" ht="15" hidden="false" customHeight="false" outlineLevel="0" collapsed="false">
      <c r="A17" s="7" t="s">
        <v>1756</v>
      </c>
      <c r="B17" s="8" t="n">
        <v>45980</v>
      </c>
      <c r="C17" s="7" t="s">
        <v>68</v>
      </c>
      <c r="D17" s="7" t="s">
        <v>40</v>
      </c>
      <c r="E17" s="7" t="s">
        <v>1737</v>
      </c>
      <c r="F17" s="7" t="s">
        <v>1004</v>
      </c>
      <c r="G17" s="7" t="s">
        <v>251</v>
      </c>
      <c r="H17" s="7" t="s">
        <v>316</v>
      </c>
      <c r="I17" s="7" t="n">
        <v>24</v>
      </c>
      <c r="J17" s="7" t="n">
        <v>23.4</v>
      </c>
      <c r="K17" s="7" t="str">
        <f aca="false">IF(J17&lt;=I17,"Yes","No")</f>
        <v>Yes</v>
      </c>
      <c r="L17" s="7" t="s">
        <v>1419</v>
      </c>
    </row>
    <row r="18" customFormat="false" ht="15" hidden="false" customHeight="false" outlineLevel="0" collapsed="false">
      <c r="A18" s="7" t="s">
        <v>1757</v>
      </c>
      <c r="B18" s="8" t="n">
        <v>45938</v>
      </c>
      <c r="C18" s="7" t="s">
        <v>68</v>
      </c>
      <c r="D18" s="7" t="s">
        <v>40</v>
      </c>
      <c r="E18" s="7" t="s">
        <v>1746</v>
      </c>
      <c r="F18" s="7" t="s">
        <v>1436</v>
      </c>
      <c r="G18" s="7" t="s">
        <v>407</v>
      </c>
      <c r="H18" s="7" t="s">
        <v>308</v>
      </c>
      <c r="I18" s="7" t="n">
        <v>4</v>
      </c>
      <c r="J18" s="7" t="n">
        <v>5.3</v>
      </c>
      <c r="K18" s="7" t="str">
        <f aca="false">IF(J18&lt;=I18,"Yes","No")</f>
        <v>No</v>
      </c>
      <c r="L18" s="7" t="s">
        <v>1419</v>
      </c>
    </row>
    <row r="19" customFormat="false" ht="15" hidden="false" customHeight="false" outlineLevel="0" collapsed="false">
      <c r="A19" s="7" t="s">
        <v>1758</v>
      </c>
      <c r="B19" s="8" t="n">
        <v>45998</v>
      </c>
      <c r="C19" s="7" t="s">
        <v>83</v>
      </c>
      <c r="D19" s="7" t="s">
        <v>40</v>
      </c>
      <c r="E19" s="7" t="s">
        <v>1746</v>
      </c>
      <c r="F19" s="7" t="s">
        <v>1026</v>
      </c>
      <c r="G19" s="7" t="s">
        <v>411</v>
      </c>
      <c r="H19" s="7" t="s">
        <v>310</v>
      </c>
      <c r="I19" s="7" t="n">
        <v>8</v>
      </c>
      <c r="J19" s="7" t="n">
        <v>4.2</v>
      </c>
      <c r="K19" s="7" t="str">
        <f aca="false">IF(J19&lt;=I19,"Yes","No")</f>
        <v>Yes</v>
      </c>
      <c r="L19" s="7" t="s">
        <v>1419</v>
      </c>
    </row>
    <row r="20" customFormat="false" ht="15" hidden="false" customHeight="false" outlineLevel="0" collapsed="false">
      <c r="A20" s="7" t="s">
        <v>1759</v>
      </c>
      <c r="B20" s="8" t="n">
        <v>45610</v>
      </c>
      <c r="C20" s="7" t="s">
        <v>65</v>
      </c>
      <c r="D20" s="7" t="s">
        <v>40</v>
      </c>
      <c r="E20" s="7" t="s">
        <v>1737</v>
      </c>
      <c r="F20" s="7" t="s">
        <v>1436</v>
      </c>
      <c r="G20" s="7" t="s">
        <v>310</v>
      </c>
      <c r="H20" s="7" t="s">
        <v>327</v>
      </c>
      <c r="I20" s="7" t="n">
        <v>4</v>
      </c>
      <c r="J20" s="7" t="n">
        <v>3.6</v>
      </c>
      <c r="K20" s="7" t="str">
        <f aca="false">IF(J20&lt;=I20,"Yes","No")</f>
        <v>Yes</v>
      </c>
      <c r="L20" s="7" t="s">
        <v>1419</v>
      </c>
    </row>
    <row r="21" customFormat="false" ht="15" hidden="false" customHeight="false" outlineLevel="0" collapsed="false">
      <c r="A21" s="7" t="s">
        <v>1760</v>
      </c>
      <c r="B21" s="8" t="n">
        <v>45422</v>
      </c>
      <c r="C21" s="7" t="s">
        <v>71</v>
      </c>
      <c r="D21" s="7" t="s">
        <v>40</v>
      </c>
      <c r="E21" s="7" t="s">
        <v>1746</v>
      </c>
      <c r="F21" s="7" t="s">
        <v>1026</v>
      </c>
      <c r="G21" s="7" t="s">
        <v>140</v>
      </c>
      <c r="H21" s="7" t="s">
        <v>323</v>
      </c>
      <c r="I21" s="7" t="n">
        <v>8</v>
      </c>
      <c r="J21" s="7" t="n">
        <v>8.6</v>
      </c>
      <c r="K21" s="7" t="str">
        <f aca="false">IF(J21&lt;=I21,"Yes","No")</f>
        <v>No</v>
      </c>
      <c r="L21" s="7" t="s">
        <v>1419</v>
      </c>
    </row>
    <row r="22" customFormat="false" ht="15" hidden="false" customHeight="false" outlineLevel="0" collapsed="false">
      <c r="A22" s="7" t="s">
        <v>1761</v>
      </c>
      <c r="B22" s="8" t="n">
        <v>45711</v>
      </c>
      <c r="C22" s="7" t="s">
        <v>83</v>
      </c>
      <c r="D22" s="7" t="s">
        <v>40</v>
      </c>
      <c r="E22" s="7" t="s">
        <v>1739</v>
      </c>
      <c r="F22" s="7" t="s">
        <v>1004</v>
      </c>
      <c r="G22" s="7" t="s">
        <v>377</v>
      </c>
      <c r="H22" s="7" t="s">
        <v>310</v>
      </c>
      <c r="I22" s="7" t="n">
        <v>24</v>
      </c>
      <c r="J22" s="7" t="n">
        <v>22</v>
      </c>
      <c r="K22" s="7" t="str">
        <f aca="false">IF(J22&lt;=I22,"Yes","No")</f>
        <v>Yes</v>
      </c>
      <c r="L22" s="7" t="s">
        <v>1419</v>
      </c>
    </row>
    <row r="23" customFormat="false" ht="15" hidden="false" customHeight="false" outlineLevel="0" collapsed="false">
      <c r="A23" s="7" t="s">
        <v>1762</v>
      </c>
      <c r="B23" s="8" t="n">
        <v>45596</v>
      </c>
      <c r="C23" s="7" t="s">
        <v>83</v>
      </c>
      <c r="D23" s="7" t="s">
        <v>40</v>
      </c>
      <c r="E23" s="7" t="s">
        <v>1739</v>
      </c>
      <c r="F23" s="7" t="s">
        <v>1004</v>
      </c>
      <c r="G23" s="7" t="s">
        <v>247</v>
      </c>
      <c r="H23" s="7" t="s">
        <v>306</v>
      </c>
      <c r="I23" s="7" t="n">
        <v>24</v>
      </c>
      <c r="J23" s="7" t="n">
        <v>22.7</v>
      </c>
      <c r="K23" s="7" t="str">
        <f aca="false">IF(J23&lt;=I23,"Yes","No")</f>
        <v>Yes</v>
      </c>
      <c r="L23" s="7" t="s">
        <v>1419</v>
      </c>
    </row>
    <row r="24" customFormat="false" ht="15" hidden="false" customHeight="false" outlineLevel="0" collapsed="false">
      <c r="A24" s="7" t="s">
        <v>1763</v>
      </c>
      <c r="B24" s="8" t="n">
        <v>45988</v>
      </c>
      <c r="C24" s="7" t="s">
        <v>75</v>
      </c>
      <c r="D24" s="7" t="s">
        <v>40</v>
      </c>
      <c r="E24" s="7" t="s">
        <v>1743</v>
      </c>
      <c r="F24" s="7" t="s">
        <v>1436</v>
      </c>
      <c r="G24" s="7" t="s">
        <v>253</v>
      </c>
      <c r="H24" s="7" t="s">
        <v>310</v>
      </c>
      <c r="I24" s="7" t="n">
        <v>4</v>
      </c>
      <c r="J24" s="7" t="n">
        <v>4</v>
      </c>
      <c r="K24" s="7" t="str">
        <f aca="false">IF(J24&lt;=I24,"Yes","No")</f>
        <v>Yes</v>
      </c>
      <c r="L24" s="7" t="s">
        <v>1419</v>
      </c>
    </row>
    <row r="25" customFormat="false" ht="15" hidden="false" customHeight="false" outlineLevel="0" collapsed="false">
      <c r="A25" s="7" t="s">
        <v>1764</v>
      </c>
      <c r="B25" s="8" t="n">
        <v>45825</v>
      </c>
      <c r="C25" s="7" t="s">
        <v>79</v>
      </c>
      <c r="D25" s="7" t="s">
        <v>40</v>
      </c>
      <c r="E25" s="7" t="s">
        <v>1737</v>
      </c>
      <c r="F25" s="7" t="s">
        <v>1026</v>
      </c>
      <c r="G25" s="7" t="s">
        <v>247</v>
      </c>
      <c r="H25" s="7" t="s">
        <v>325</v>
      </c>
      <c r="I25" s="7" t="n">
        <v>8</v>
      </c>
      <c r="J25" s="7" t="n">
        <v>6.9</v>
      </c>
      <c r="K25" s="7" t="str">
        <f aca="false">IF(J25&lt;=I25,"Yes","No")</f>
        <v>Yes</v>
      </c>
      <c r="L25" s="7" t="s">
        <v>1419</v>
      </c>
    </row>
    <row r="26" customFormat="false" ht="15" hidden="false" customHeight="false" outlineLevel="0" collapsed="false">
      <c r="A26" s="7" t="s">
        <v>1765</v>
      </c>
      <c r="B26" s="8" t="n">
        <v>45433</v>
      </c>
      <c r="C26" s="7" t="s">
        <v>68</v>
      </c>
      <c r="D26" s="7" t="s">
        <v>40</v>
      </c>
      <c r="E26" s="7" t="s">
        <v>1737</v>
      </c>
      <c r="F26" s="7" t="s">
        <v>1026</v>
      </c>
      <c r="G26" s="7" t="s">
        <v>221</v>
      </c>
      <c r="H26" s="7" t="s">
        <v>323</v>
      </c>
      <c r="I26" s="7" t="n">
        <v>8</v>
      </c>
      <c r="J26" s="7" t="n">
        <v>7.4</v>
      </c>
      <c r="K26" s="7" t="str">
        <f aca="false">IF(J26&lt;=I26,"Yes","No")</f>
        <v>Yes</v>
      </c>
      <c r="L26" s="7" t="s">
        <v>1419</v>
      </c>
    </row>
    <row r="27" customFormat="false" ht="15" hidden="false" customHeight="false" outlineLevel="0" collapsed="false">
      <c r="A27" s="7" t="s">
        <v>1766</v>
      </c>
      <c r="B27" s="8" t="n">
        <v>45619</v>
      </c>
      <c r="C27" s="7" t="s">
        <v>87</v>
      </c>
      <c r="D27" s="7" t="s">
        <v>40</v>
      </c>
      <c r="E27" s="7" t="s">
        <v>1739</v>
      </c>
      <c r="F27" s="7" t="s">
        <v>1009</v>
      </c>
      <c r="G27" s="7" t="s">
        <v>154</v>
      </c>
      <c r="H27" s="7" t="s">
        <v>319</v>
      </c>
      <c r="I27" s="7" t="n">
        <v>48</v>
      </c>
      <c r="J27" s="7" t="n">
        <v>35.3</v>
      </c>
      <c r="K27" s="7" t="str">
        <f aca="false">IF(J27&lt;=I27,"Yes","No")</f>
        <v>Yes</v>
      </c>
      <c r="L27" s="7" t="s">
        <v>1013</v>
      </c>
    </row>
    <row r="28" customFormat="false" ht="15" hidden="false" customHeight="false" outlineLevel="0" collapsed="false">
      <c r="A28" s="7" t="s">
        <v>1767</v>
      </c>
      <c r="B28" s="8" t="n">
        <v>45694</v>
      </c>
      <c r="C28" s="7" t="s">
        <v>65</v>
      </c>
      <c r="D28" s="7" t="s">
        <v>40</v>
      </c>
      <c r="E28" s="7" t="s">
        <v>1743</v>
      </c>
      <c r="F28" s="7" t="s">
        <v>1004</v>
      </c>
      <c r="G28" s="7" t="s">
        <v>213</v>
      </c>
      <c r="H28" s="7" t="s">
        <v>299</v>
      </c>
      <c r="I28" s="7" t="n">
        <v>24</v>
      </c>
      <c r="J28" s="7" t="n">
        <v>23.1</v>
      </c>
      <c r="K28" s="7" t="str">
        <f aca="false">IF(J28&lt;=I28,"Yes","No")</f>
        <v>Yes</v>
      </c>
      <c r="L28" s="7" t="s">
        <v>1419</v>
      </c>
    </row>
    <row r="29" customFormat="false" ht="15" hidden="false" customHeight="false" outlineLevel="0" collapsed="false">
      <c r="A29" s="7" t="s">
        <v>1768</v>
      </c>
      <c r="B29" s="8" t="n">
        <v>45471</v>
      </c>
      <c r="C29" s="7" t="s">
        <v>87</v>
      </c>
      <c r="D29" s="7" t="s">
        <v>40</v>
      </c>
      <c r="E29" s="7" t="s">
        <v>1737</v>
      </c>
      <c r="F29" s="7" t="s">
        <v>1009</v>
      </c>
      <c r="G29" s="7" t="s">
        <v>407</v>
      </c>
      <c r="H29" s="7" t="s">
        <v>323</v>
      </c>
      <c r="I29" s="7" t="n">
        <v>48</v>
      </c>
      <c r="J29" s="7" t="n">
        <v>30.5</v>
      </c>
      <c r="K29" s="7" t="str">
        <f aca="false">IF(J29&lt;=I29,"Yes","No")</f>
        <v>Yes</v>
      </c>
      <c r="L29" s="7" t="s">
        <v>1419</v>
      </c>
    </row>
    <row r="30" customFormat="false" ht="15" hidden="false" customHeight="false" outlineLevel="0" collapsed="false">
      <c r="A30" s="7" t="s">
        <v>1769</v>
      </c>
      <c r="B30" s="8" t="n">
        <v>45699</v>
      </c>
      <c r="C30" s="7" t="s">
        <v>65</v>
      </c>
      <c r="D30" s="7" t="s">
        <v>40</v>
      </c>
      <c r="E30" s="7" t="s">
        <v>1737</v>
      </c>
      <c r="F30" s="7" t="s">
        <v>1009</v>
      </c>
      <c r="G30" s="7" t="s">
        <v>245</v>
      </c>
      <c r="H30" s="7" t="s">
        <v>316</v>
      </c>
      <c r="I30" s="7" t="n">
        <v>48</v>
      </c>
      <c r="J30" s="7" t="n">
        <v>37.2</v>
      </c>
      <c r="K30" s="7" t="str">
        <f aca="false">IF(J30&lt;=I30,"Yes","No")</f>
        <v>Yes</v>
      </c>
      <c r="L30" s="7" t="s">
        <v>1419</v>
      </c>
    </row>
    <row r="31" customFormat="false" ht="15" hidden="false" customHeight="false" outlineLevel="0" collapsed="false">
      <c r="A31" s="7" t="s">
        <v>1770</v>
      </c>
      <c r="B31" s="8" t="n">
        <v>45935</v>
      </c>
      <c r="C31" s="7" t="s">
        <v>83</v>
      </c>
      <c r="D31" s="7" t="s">
        <v>40</v>
      </c>
      <c r="E31" s="7" t="s">
        <v>1737</v>
      </c>
      <c r="F31" s="7" t="s">
        <v>1026</v>
      </c>
      <c r="G31" s="7" t="s">
        <v>293</v>
      </c>
      <c r="H31" s="7" t="s">
        <v>314</v>
      </c>
      <c r="I31" s="7" t="n">
        <v>8</v>
      </c>
      <c r="J31" s="7" t="n">
        <v>7.5</v>
      </c>
      <c r="K31" s="7" t="str">
        <f aca="false">IF(J31&lt;=I31,"Yes","No")</f>
        <v>Yes</v>
      </c>
      <c r="L31" s="7" t="s">
        <v>1419</v>
      </c>
    </row>
    <row r="32" customFormat="false" ht="15" hidden="false" customHeight="false" outlineLevel="0" collapsed="false">
      <c r="A32" s="7" t="s">
        <v>1771</v>
      </c>
      <c r="B32" s="8" t="n">
        <v>45308</v>
      </c>
      <c r="C32" s="7" t="s">
        <v>65</v>
      </c>
      <c r="D32" s="7" t="s">
        <v>40</v>
      </c>
      <c r="E32" s="7" t="s">
        <v>1737</v>
      </c>
      <c r="F32" s="7" t="s">
        <v>1004</v>
      </c>
      <c r="G32" s="7" t="s">
        <v>263</v>
      </c>
      <c r="H32" s="7" t="s">
        <v>308</v>
      </c>
      <c r="I32" s="7" t="n">
        <v>24</v>
      </c>
      <c r="J32" s="7" t="n">
        <v>29.4</v>
      </c>
      <c r="K32" s="7" t="str">
        <f aca="false">IF(J32&lt;=I32,"Yes","No")</f>
        <v>No</v>
      </c>
      <c r="L32" s="7" t="s">
        <v>1419</v>
      </c>
    </row>
    <row r="33" customFormat="false" ht="15" hidden="false" customHeight="false" outlineLevel="0" collapsed="false">
      <c r="A33" s="7" t="s">
        <v>1772</v>
      </c>
      <c r="B33" s="8" t="n">
        <v>45428</v>
      </c>
      <c r="C33" s="7" t="s">
        <v>75</v>
      </c>
      <c r="D33" s="7" t="s">
        <v>40</v>
      </c>
      <c r="E33" s="7" t="s">
        <v>1773</v>
      </c>
      <c r="F33" s="7" t="s">
        <v>1009</v>
      </c>
      <c r="G33" s="7" t="s">
        <v>413</v>
      </c>
      <c r="H33" s="7" t="s">
        <v>321</v>
      </c>
      <c r="I33" s="7" t="n">
        <v>48</v>
      </c>
      <c r="J33" s="7" t="n">
        <v>45.8</v>
      </c>
      <c r="K33" s="7" t="str">
        <f aca="false">IF(J33&lt;=I33,"Yes","No")</f>
        <v>Yes</v>
      </c>
      <c r="L33" s="7" t="s">
        <v>1419</v>
      </c>
    </row>
    <row r="34" customFormat="false" ht="15" hidden="false" customHeight="false" outlineLevel="0" collapsed="false">
      <c r="A34" s="7" t="s">
        <v>1774</v>
      </c>
      <c r="B34" s="8" t="n">
        <v>45525</v>
      </c>
      <c r="C34" s="7" t="s">
        <v>83</v>
      </c>
      <c r="D34" s="7" t="s">
        <v>40</v>
      </c>
      <c r="E34" s="7" t="s">
        <v>1746</v>
      </c>
      <c r="F34" s="7" t="s">
        <v>1004</v>
      </c>
      <c r="G34" s="7" t="s">
        <v>424</v>
      </c>
      <c r="H34" s="7" t="s">
        <v>312</v>
      </c>
      <c r="I34" s="7" t="n">
        <v>24</v>
      </c>
      <c r="J34" s="7" t="n">
        <v>42.3</v>
      </c>
      <c r="K34" s="7" t="str">
        <f aca="false">IF(J34&lt;=I34,"Yes","No")</f>
        <v>No</v>
      </c>
      <c r="L34" s="7" t="s">
        <v>1419</v>
      </c>
    </row>
    <row r="35" customFormat="false" ht="15" hidden="false" customHeight="false" outlineLevel="0" collapsed="false">
      <c r="A35" s="7" t="s">
        <v>1775</v>
      </c>
      <c r="B35" s="8" t="n">
        <v>45950</v>
      </c>
      <c r="C35" s="7" t="s">
        <v>65</v>
      </c>
      <c r="D35" s="7" t="s">
        <v>40</v>
      </c>
      <c r="E35" s="7" t="s">
        <v>1741</v>
      </c>
      <c r="F35" s="7" t="s">
        <v>1026</v>
      </c>
      <c r="G35" s="7" t="s">
        <v>195</v>
      </c>
      <c r="H35" s="7" t="s">
        <v>321</v>
      </c>
      <c r="I35" s="7" t="n">
        <v>8</v>
      </c>
      <c r="J35" s="7" t="n">
        <v>4.4</v>
      </c>
      <c r="K35" s="7" t="str">
        <f aca="false">IF(J35&lt;=I35,"Yes","No")</f>
        <v>Yes</v>
      </c>
      <c r="L35" s="7" t="s">
        <v>1419</v>
      </c>
    </row>
    <row r="36" customFormat="false" ht="15" hidden="false" customHeight="false" outlineLevel="0" collapsed="false">
      <c r="A36" s="7" t="s">
        <v>1776</v>
      </c>
      <c r="B36" s="8" t="n">
        <v>45435</v>
      </c>
      <c r="C36" s="7" t="s">
        <v>87</v>
      </c>
      <c r="D36" s="7" t="s">
        <v>40</v>
      </c>
      <c r="E36" s="7" t="s">
        <v>1741</v>
      </c>
      <c r="F36" s="7" t="s">
        <v>1436</v>
      </c>
      <c r="G36" s="7" t="s">
        <v>283</v>
      </c>
      <c r="H36" s="7" t="s">
        <v>317</v>
      </c>
      <c r="I36" s="7" t="n">
        <v>4</v>
      </c>
      <c r="J36" s="7" t="n">
        <v>1.1</v>
      </c>
      <c r="K36" s="7" t="str">
        <f aca="false">IF(J36&lt;=I36,"Yes","No")</f>
        <v>Yes</v>
      </c>
      <c r="L36" s="7" t="s">
        <v>1419</v>
      </c>
    </row>
    <row r="37" customFormat="false" ht="15" hidden="false" customHeight="false" outlineLevel="0" collapsed="false">
      <c r="A37" s="7" t="s">
        <v>1777</v>
      </c>
      <c r="B37" s="8" t="n">
        <v>45868</v>
      </c>
      <c r="C37" s="7" t="s">
        <v>83</v>
      </c>
      <c r="D37" s="7" t="s">
        <v>40</v>
      </c>
      <c r="E37" s="7" t="s">
        <v>1739</v>
      </c>
      <c r="F37" s="7" t="s">
        <v>1004</v>
      </c>
      <c r="G37" s="7" t="s">
        <v>355</v>
      </c>
      <c r="H37" s="7" t="s">
        <v>308</v>
      </c>
      <c r="I37" s="7" t="n">
        <v>24</v>
      </c>
      <c r="J37" s="7" t="n">
        <v>8.8</v>
      </c>
      <c r="K37" s="7" t="str">
        <f aca="false">IF(J37&lt;=I37,"Yes","No")</f>
        <v>Yes</v>
      </c>
      <c r="L37" s="7" t="s">
        <v>1419</v>
      </c>
    </row>
    <row r="38" customFormat="false" ht="15" hidden="false" customHeight="false" outlineLevel="0" collapsed="false">
      <c r="A38" s="7" t="s">
        <v>1778</v>
      </c>
      <c r="B38" s="8" t="n">
        <v>45405</v>
      </c>
      <c r="C38" s="7" t="s">
        <v>83</v>
      </c>
      <c r="D38" s="7" t="s">
        <v>40</v>
      </c>
      <c r="E38" s="7" t="s">
        <v>1741</v>
      </c>
      <c r="F38" s="7" t="s">
        <v>1004</v>
      </c>
      <c r="G38" s="7" t="s">
        <v>312</v>
      </c>
      <c r="H38" s="7" t="s">
        <v>319</v>
      </c>
      <c r="I38" s="7" t="n">
        <v>24</v>
      </c>
      <c r="J38" s="7" t="n">
        <v>14.7</v>
      </c>
      <c r="K38" s="7" t="str">
        <f aca="false">IF(J38&lt;=I38,"Yes","No")</f>
        <v>Yes</v>
      </c>
      <c r="L38" s="7" t="s">
        <v>1419</v>
      </c>
    </row>
    <row r="39" customFormat="false" ht="15" hidden="false" customHeight="false" outlineLevel="0" collapsed="false">
      <c r="A39" s="7" t="s">
        <v>1779</v>
      </c>
      <c r="B39" s="8" t="n">
        <v>45713</v>
      </c>
      <c r="C39" s="7" t="s">
        <v>71</v>
      </c>
      <c r="D39" s="7" t="s">
        <v>40</v>
      </c>
      <c r="E39" s="7" t="s">
        <v>1741</v>
      </c>
      <c r="F39" s="7" t="s">
        <v>1009</v>
      </c>
      <c r="G39" s="7" t="s">
        <v>438</v>
      </c>
      <c r="H39" s="7" t="s">
        <v>310</v>
      </c>
      <c r="I39" s="7" t="n">
        <v>48</v>
      </c>
      <c r="J39" s="7" t="n">
        <v>15.3</v>
      </c>
      <c r="K39" s="7" t="str">
        <f aca="false">IF(J39&lt;=I39,"Yes","No")</f>
        <v>Yes</v>
      </c>
      <c r="L39" s="7" t="s">
        <v>1419</v>
      </c>
    </row>
    <row r="40" customFormat="false" ht="15" hidden="false" customHeight="false" outlineLevel="0" collapsed="false">
      <c r="A40" s="7" t="s">
        <v>1780</v>
      </c>
      <c r="B40" s="8" t="n">
        <v>45462</v>
      </c>
      <c r="C40" s="7" t="s">
        <v>79</v>
      </c>
      <c r="D40" s="7" t="s">
        <v>40</v>
      </c>
      <c r="E40" s="7" t="s">
        <v>1737</v>
      </c>
      <c r="F40" s="7" t="s">
        <v>1004</v>
      </c>
      <c r="G40" s="7" t="s">
        <v>404</v>
      </c>
      <c r="H40" s="7" t="s">
        <v>312</v>
      </c>
      <c r="I40" s="7" t="n">
        <v>24</v>
      </c>
      <c r="J40" s="7" t="n">
        <v>26.6</v>
      </c>
      <c r="K40" s="7" t="str">
        <f aca="false">IF(J40&lt;=I40,"Yes","No")</f>
        <v>No</v>
      </c>
      <c r="L40" s="7" t="s">
        <v>1419</v>
      </c>
    </row>
    <row r="41" customFormat="false" ht="15" hidden="false" customHeight="false" outlineLevel="0" collapsed="false">
      <c r="A41" s="7" t="s">
        <v>1781</v>
      </c>
      <c r="B41" s="8" t="n">
        <v>45524</v>
      </c>
      <c r="C41" s="7" t="s">
        <v>83</v>
      </c>
      <c r="D41" s="7" t="s">
        <v>40</v>
      </c>
      <c r="E41" s="7" t="s">
        <v>1741</v>
      </c>
      <c r="F41" s="7" t="s">
        <v>1009</v>
      </c>
      <c r="G41" s="7" t="s">
        <v>237</v>
      </c>
      <c r="H41" s="7" t="s">
        <v>301</v>
      </c>
      <c r="I41" s="7" t="n">
        <v>48</v>
      </c>
      <c r="J41" s="7" t="n">
        <v>25.1</v>
      </c>
      <c r="K41" s="7" t="str">
        <f aca="false">IF(J41&lt;=I41,"Yes","No")</f>
        <v>Yes</v>
      </c>
      <c r="L41" s="7" t="s">
        <v>1419</v>
      </c>
    </row>
    <row r="42" customFormat="false" ht="15" hidden="false" customHeight="false" outlineLevel="0" collapsed="false">
      <c r="A42" s="7" t="s">
        <v>1782</v>
      </c>
      <c r="B42" s="8" t="n">
        <v>45647</v>
      </c>
      <c r="C42" s="7" t="s">
        <v>83</v>
      </c>
      <c r="D42" s="7" t="s">
        <v>40</v>
      </c>
      <c r="E42" s="7" t="s">
        <v>1741</v>
      </c>
      <c r="F42" s="7" t="s">
        <v>1004</v>
      </c>
      <c r="G42" s="7" t="s">
        <v>316</v>
      </c>
      <c r="H42" s="7" t="s">
        <v>316</v>
      </c>
      <c r="I42" s="7" t="n">
        <v>24</v>
      </c>
      <c r="J42" s="7" t="n">
        <v>8</v>
      </c>
      <c r="K42" s="7" t="str">
        <f aca="false">IF(J42&lt;=I42,"Yes","No")</f>
        <v>Yes</v>
      </c>
      <c r="L42" s="7" t="s">
        <v>1419</v>
      </c>
    </row>
    <row r="43" customFormat="false" ht="15" hidden="false" customHeight="false" outlineLevel="0" collapsed="false">
      <c r="A43" s="7" t="s">
        <v>1783</v>
      </c>
      <c r="B43" s="8" t="n">
        <v>45756</v>
      </c>
      <c r="C43" s="7" t="s">
        <v>87</v>
      </c>
      <c r="D43" s="7" t="s">
        <v>40</v>
      </c>
      <c r="E43" s="7" t="s">
        <v>1739</v>
      </c>
      <c r="F43" s="7" t="s">
        <v>1009</v>
      </c>
      <c r="G43" s="7" t="s">
        <v>359</v>
      </c>
      <c r="H43" s="7" t="s">
        <v>299</v>
      </c>
      <c r="I43" s="7" t="n">
        <v>48</v>
      </c>
      <c r="J43" s="7" t="n">
        <v>26.2</v>
      </c>
      <c r="K43" s="7" t="str">
        <f aca="false">IF(J43&lt;=I43,"Yes","No")</f>
        <v>Yes</v>
      </c>
      <c r="L43" s="7" t="s">
        <v>1419</v>
      </c>
    </row>
    <row r="44" customFormat="false" ht="15" hidden="false" customHeight="false" outlineLevel="0" collapsed="false">
      <c r="A44" s="7" t="s">
        <v>1784</v>
      </c>
      <c r="B44" s="8" t="n">
        <v>45385</v>
      </c>
      <c r="C44" s="7" t="s">
        <v>79</v>
      </c>
      <c r="D44" s="7" t="s">
        <v>40</v>
      </c>
      <c r="E44" s="7" t="s">
        <v>1773</v>
      </c>
      <c r="F44" s="7" t="s">
        <v>1004</v>
      </c>
      <c r="G44" s="7" t="s">
        <v>126</v>
      </c>
      <c r="H44" s="7" t="s">
        <v>304</v>
      </c>
      <c r="I44" s="7" t="n">
        <v>24</v>
      </c>
      <c r="J44" s="7" t="n">
        <v>36.2</v>
      </c>
      <c r="K44" s="7" t="str">
        <f aca="false">IF(J44&lt;=I44,"Yes","No")</f>
        <v>No</v>
      </c>
      <c r="L44" s="7" t="s">
        <v>1013</v>
      </c>
    </row>
    <row r="45" customFormat="false" ht="15" hidden="false" customHeight="false" outlineLevel="0" collapsed="false">
      <c r="A45" s="7" t="s">
        <v>1785</v>
      </c>
      <c r="B45" s="8" t="n">
        <v>45374</v>
      </c>
      <c r="C45" s="7" t="s">
        <v>71</v>
      </c>
      <c r="D45" s="7" t="s">
        <v>40</v>
      </c>
      <c r="E45" s="7" t="s">
        <v>1773</v>
      </c>
      <c r="F45" s="7" t="s">
        <v>1004</v>
      </c>
      <c r="G45" s="7" t="s">
        <v>170</v>
      </c>
      <c r="H45" s="7" t="s">
        <v>316</v>
      </c>
      <c r="I45" s="7" t="n">
        <v>24</v>
      </c>
      <c r="J45" s="7" t="n">
        <v>24.2</v>
      </c>
      <c r="K45" s="7" t="str">
        <f aca="false">IF(J45&lt;=I45,"Yes","No")</f>
        <v>No</v>
      </c>
      <c r="L45" s="7" t="s">
        <v>1013</v>
      </c>
    </row>
    <row r="46" customFormat="false" ht="15" hidden="false" customHeight="false" outlineLevel="0" collapsed="false">
      <c r="A46" s="7" t="s">
        <v>1786</v>
      </c>
      <c r="B46" s="8" t="n">
        <v>45719</v>
      </c>
      <c r="C46" s="7" t="s">
        <v>60</v>
      </c>
      <c r="D46" s="7" t="s">
        <v>40</v>
      </c>
      <c r="E46" s="7" t="s">
        <v>1746</v>
      </c>
      <c r="F46" s="7" t="s">
        <v>1436</v>
      </c>
      <c r="G46" s="7" t="s">
        <v>361</v>
      </c>
      <c r="H46" s="7" t="s">
        <v>319</v>
      </c>
      <c r="I46" s="7" t="n">
        <v>4</v>
      </c>
      <c r="J46" s="7" t="n">
        <v>0.8</v>
      </c>
      <c r="K46" s="7" t="str">
        <f aca="false">IF(J46&lt;=I46,"Yes","No")</f>
        <v>Yes</v>
      </c>
      <c r="L46" s="7" t="s">
        <v>1013</v>
      </c>
    </row>
    <row r="47" customFormat="false" ht="15" hidden="false" customHeight="false" outlineLevel="0" collapsed="false">
      <c r="A47" s="7" t="s">
        <v>1787</v>
      </c>
      <c r="B47" s="8" t="n">
        <v>45540</v>
      </c>
      <c r="C47" s="7" t="s">
        <v>71</v>
      </c>
      <c r="D47" s="7" t="s">
        <v>40</v>
      </c>
      <c r="E47" s="7" t="s">
        <v>1743</v>
      </c>
      <c r="F47" s="7" t="s">
        <v>1004</v>
      </c>
      <c r="G47" s="7" t="s">
        <v>418</v>
      </c>
      <c r="H47" s="7" t="s">
        <v>317</v>
      </c>
      <c r="I47" s="7" t="n">
        <v>24</v>
      </c>
      <c r="J47" s="7" t="n">
        <v>38.4</v>
      </c>
      <c r="K47" s="7" t="str">
        <f aca="false">IF(J47&lt;=I47,"Yes","No")</f>
        <v>No</v>
      </c>
      <c r="L47" s="7" t="s">
        <v>1013</v>
      </c>
    </row>
    <row r="48" customFormat="false" ht="15" hidden="false" customHeight="false" outlineLevel="0" collapsed="false">
      <c r="A48" s="7" t="s">
        <v>1788</v>
      </c>
      <c r="B48" s="8" t="n">
        <v>45699</v>
      </c>
      <c r="C48" s="7" t="s">
        <v>87</v>
      </c>
      <c r="D48" s="7" t="s">
        <v>40</v>
      </c>
      <c r="E48" s="7" t="s">
        <v>1739</v>
      </c>
      <c r="F48" s="7" t="s">
        <v>1009</v>
      </c>
      <c r="G48" s="7" t="s">
        <v>275</v>
      </c>
      <c r="H48" s="7" t="s">
        <v>314</v>
      </c>
      <c r="I48" s="7" t="n">
        <v>48</v>
      </c>
      <c r="J48" s="7" t="n">
        <v>35.5</v>
      </c>
      <c r="K48" s="7" t="str">
        <f aca="false">IF(J48&lt;=I48,"Yes","No")</f>
        <v>Yes</v>
      </c>
      <c r="L48" s="7" t="s">
        <v>1419</v>
      </c>
    </row>
    <row r="49" customFormat="false" ht="15" hidden="false" customHeight="false" outlineLevel="0" collapsed="false">
      <c r="A49" s="7" t="s">
        <v>1789</v>
      </c>
      <c r="B49" s="8" t="n">
        <v>45852</v>
      </c>
      <c r="C49" s="7" t="s">
        <v>75</v>
      </c>
      <c r="D49" s="7" t="s">
        <v>40</v>
      </c>
      <c r="E49" s="7" t="s">
        <v>1739</v>
      </c>
      <c r="F49" s="7" t="s">
        <v>1009</v>
      </c>
      <c r="G49" s="7" t="s">
        <v>195</v>
      </c>
      <c r="H49" s="7" t="s">
        <v>325</v>
      </c>
      <c r="I49" s="7" t="n">
        <v>48</v>
      </c>
      <c r="J49" s="7" t="n">
        <v>79.2</v>
      </c>
      <c r="K49" s="7" t="str">
        <f aca="false">IF(J49&lt;=I49,"Yes","No")</f>
        <v>No</v>
      </c>
      <c r="L49" s="7" t="s">
        <v>1442</v>
      </c>
    </row>
    <row r="50" customFormat="false" ht="15" hidden="false" customHeight="false" outlineLevel="0" collapsed="false">
      <c r="A50" s="7" t="s">
        <v>1790</v>
      </c>
      <c r="B50" s="8" t="n">
        <v>45300</v>
      </c>
      <c r="C50" s="7" t="s">
        <v>87</v>
      </c>
      <c r="D50" s="7" t="s">
        <v>40</v>
      </c>
      <c r="E50" s="7" t="s">
        <v>1741</v>
      </c>
      <c r="F50" s="7" t="s">
        <v>1004</v>
      </c>
      <c r="G50" s="7" t="s">
        <v>283</v>
      </c>
      <c r="H50" s="7" t="s">
        <v>316</v>
      </c>
      <c r="I50" s="7" t="n">
        <v>24</v>
      </c>
      <c r="J50" s="7" t="n">
        <v>18.2</v>
      </c>
      <c r="K50" s="7" t="str">
        <f aca="false">IF(J50&lt;=I50,"Yes","No")</f>
        <v>Yes</v>
      </c>
      <c r="L50" s="7" t="s">
        <v>1419</v>
      </c>
    </row>
    <row r="51" customFormat="false" ht="15" hidden="false" customHeight="false" outlineLevel="0" collapsed="false">
      <c r="A51" s="7" t="s">
        <v>1791</v>
      </c>
      <c r="B51" s="8" t="n">
        <v>45558</v>
      </c>
      <c r="C51" s="7" t="s">
        <v>71</v>
      </c>
      <c r="D51" s="7" t="s">
        <v>40</v>
      </c>
      <c r="E51" s="7" t="s">
        <v>1741</v>
      </c>
      <c r="F51" s="7" t="s">
        <v>1004</v>
      </c>
      <c r="G51" s="7" t="s">
        <v>245</v>
      </c>
      <c r="H51" s="7" t="s">
        <v>319</v>
      </c>
      <c r="I51" s="7" t="n">
        <v>24</v>
      </c>
      <c r="J51" s="7" t="n">
        <v>23.7</v>
      </c>
      <c r="K51" s="7" t="str">
        <f aca="false">IF(J51&lt;=I51,"Yes","No")</f>
        <v>Yes</v>
      </c>
      <c r="L51" s="7" t="s">
        <v>1419</v>
      </c>
    </row>
    <row r="52" customFormat="false" ht="15" hidden="false" customHeight="false" outlineLevel="0" collapsed="false">
      <c r="A52" s="7" t="s">
        <v>1792</v>
      </c>
      <c r="B52" s="8" t="n">
        <v>45311</v>
      </c>
      <c r="C52" s="7" t="s">
        <v>60</v>
      </c>
      <c r="D52" s="7" t="s">
        <v>40</v>
      </c>
      <c r="E52" s="7" t="s">
        <v>1737</v>
      </c>
      <c r="F52" s="7" t="s">
        <v>1004</v>
      </c>
      <c r="G52" s="7" t="s">
        <v>145</v>
      </c>
      <c r="H52" s="7" t="s">
        <v>310</v>
      </c>
      <c r="I52" s="7" t="n">
        <v>24</v>
      </c>
      <c r="J52" s="7" t="n">
        <v>6.1</v>
      </c>
      <c r="K52" s="7" t="str">
        <f aca="false">IF(J52&lt;=I52,"Yes","No")</f>
        <v>Yes</v>
      </c>
      <c r="L52" s="7" t="s">
        <v>1419</v>
      </c>
    </row>
    <row r="53" customFormat="false" ht="15" hidden="false" customHeight="false" outlineLevel="0" collapsed="false">
      <c r="A53" s="7" t="s">
        <v>1793</v>
      </c>
      <c r="B53" s="8" t="n">
        <v>45489</v>
      </c>
      <c r="C53" s="7" t="s">
        <v>87</v>
      </c>
      <c r="D53" s="7" t="s">
        <v>40</v>
      </c>
      <c r="E53" s="7" t="s">
        <v>1737</v>
      </c>
      <c r="F53" s="7" t="s">
        <v>1026</v>
      </c>
      <c r="G53" s="7" t="s">
        <v>371</v>
      </c>
      <c r="H53" s="7" t="s">
        <v>319</v>
      </c>
      <c r="I53" s="7" t="n">
        <v>8</v>
      </c>
      <c r="J53" s="7" t="n">
        <v>7.3</v>
      </c>
      <c r="K53" s="7" t="str">
        <f aca="false">IF(J53&lt;=I53,"Yes","No")</f>
        <v>Yes</v>
      </c>
      <c r="L53" s="7" t="s">
        <v>1419</v>
      </c>
    </row>
    <row r="54" customFormat="false" ht="15" hidden="false" customHeight="false" outlineLevel="0" collapsed="false">
      <c r="A54" s="7" t="s">
        <v>1794</v>
      </c>
      <c r="B54" s="8" t="n">
        <v>45518</v>
      </c>
      <c r="C54" s="7" t="s">
        <v>65</v>
      </c>
      <c r="D54" s="7" t="s">
        <v>40</v>
      </c>
      <c r="E54" s="7" t="s">
        <v>1737</v>
      </c>
      <c r="F54" s="7" t="s">
        <v>1026</v>
      </c>
      <c r="G54" s="7" t="s">
        <v>297</v>
      </c>
      <c r="H54" s="7" t="s">
        <v>325</v>
      </c>
      <c r="I54" s="7" t="n">
        <v>8</v>
      </c>
      <c r="J54" s="7" t="n">
        <v>8.3</v>
      </c>
      <c r="K54" s="7" t="str">
        <f aca="false">IF(J54&lt;=I54,"Yes","No")</f>
        <v>No</v>
      </c>
      <c r="L54" s="7" t="s">
        <v>1013</v>
      </c>
    </row>
    <row r="55" customFormat="false" ht="15" hidden="false" customHeight="false" outlineLevel="0" collapsed="false">
      <c r="A55" s="7" t="s">
        <v>1795</v>
      </c>
      <c r="B55" s="8" t="n">
        <v>45597</v>
      </c>
      <c r="C55" s="7" t="s">
        <v>83</v>
      </c>
      <c r="D55" s="7" t="s">
        <v>40</v>
      </c>
      <c r="E55" s="7" t="s">
        <v>1773</v>
      </c>
      <c r="F55" s="7" t="s">
        <v>1009</v>
      </c>
      <c r="G55" s="7" t="s">
        <v>394</v>
      </c>
      <c r="H55" s="7" t="s">
        <v>310</v>
      </c>
      <c r="I55" s="7" t="n">
        <v>48</v>
      </c>
      <c r="J55" s="7" t="n">
        <v>32.7</v>
      </c>
      <c r="K55" s="7" t="str">
        <f aca="false">IF(J55&lt;=I55,"Yes","No")</f>
        <v>Yes</v>
      </c>
      <c r="L55" s="7" t="s">
        <v>1419</v>
      </c>
    </row>
    <row r="56" customFormat="false" ht="15" hidden="false" customHeight="false" outlineLevel="0" collapsed="false">
      <c r="A56" s="7" t="s">
        <v>1796</v>
      </c>
      <c r="B56" s="8" t="n">
        <v>45546</v>
      </c>
      <c r="C56" s="7" t="s">
        <v>83</v>
      </c>
      <c r="D56" s="7" t="s">
        <v>40</v>
      </c>
      <c r="E56" s="7" t="s">
        <v>1737</v>
      </c>
      <c r="F56" s="7" t="s">
        <v>1436</v>
      </c>
      <c r="G56" s="7" t="s">
        <v>414</v>
      </c>
      <c r="H56" s="7" t="s">
        <v>323</v>
      </c>
      <c r="I56" s="7" t="n">
        <v>4</v>
      </c>
      <c r="J56" s="7" t="n">
        <v>2</v>
      </c>
      <c r="K56" s="7" t="str">
        <f aca="false">IF(J56&lt;=I56,"Yes","No")</f>
        <v>Yes</v>
      </c>
      <c r="L56" s="7" t="s">
        <v>1419</v>
      </c>
    </row>
    <row r="57" customFormat="false" ht="15" hidden="false" customHeight="false" outlineLevel="0" collapsed="false">
      <c r="A57" s="7" t="s">
        <v>1797</v>
      </c>
      <c r="B57" s="8" t="n">
        <v>45944</v>
      </c>
      <c r="C57" s="7" t="s">
        <v>71</v>
      </c>
      <c r="D57" s="7" t="s">
        <v>40</v>
      </c>
      <c r="E57" s="7" t="s">
        <v>1743</v>
      </c>
      <c r="F57" s="7" t="s">
        <v>1009</v>
      </c>
      <c r="G57" s="7" t="s">
        <v>349</v>
      </c>
      <c r="H57" s="7" t="s">
        <v>319</v>
      </c>
      <c r="I57" s="7" t="n">
        <v>48</v>
      </c>
      <c r="J57" s="7" t="n">
        <v>62</v>
      </c>
      <c r="K57" s="7" t="str">
        <f aca="false">IF(J57&lt;=I57,"Yes","No")</f>
        <v>No</v>
      </c>
      <c r="L57" s="7" t="s">
        <v>1419</v>
      </c>
    </row>
    <row r="58" customFormat="false" ht="15" hidden="false" customHeight="false" outlineLevel="0" collapsed="false">
      <c r="A58" s="7" t="s">
        <v>1798</v>
      </c>
      <c r="B58" s="8" t="n">
        <v>45781</v>
      </c>
      <c r="C58" s="7" t="s">
        <v>65</v>
      </c>
      <c r="D58" s="7" t="s">
        <v>40</v>
      </c>
      <c r="E58" s="7" t="s">
        <v>1741</v>
      </c>
      <c r="F58" s="7" t="s">
        <v>1009</v>
      </c>
      <c r="G58" s="7" t="s">
        <v>302</v>
      </c>
      <c r="H58" s="7" t="s">
        <v>316</v>
      </c>
      <c r="I58" s="7" t="n">
        <v>48</v>
      </c>
      <c r="J58" s="7" t="n">
        <v>37.2</v>
      </c>
      <c r="K58" s="7" t="str">
        <f aca="false">IF(J58&lt;=I58,"Yes","No")</f>
        <v>Yes</v>
      </c>
      <c r="L58" s="7" t="s">
        <v>1419</v>
      </c>
    </row>
    <row r="59" customFormat="false" ht="15" hidden="false" customHeight="false" outlineLevel="0" collapsed="false">
      <c r="A59" s="7" t="s">
        <v>1799</v>
      </c>
      <c r="B59" s="8" t="n">
        <v>45764</v>
      </c>
      <c r="C59" s="7" t="s">
        <v>83</v>
      </c>
      <c r="D59" s="7" t="s">
        <v>40</v>
      </c>
      <c r="E59" s="7" t="s">
        <v>1746</v>
      </c>
      <c r="F59" s="7" t="s">
        <v>1004</v>
      </c>
      <c r="G59" s="7" t="s">
        <v>395</v>
      </c>
      <c r="H59" s="7" t="s">
        <v>319</v>
      </c>
      <c r="I59" s="7" t="n">
        <v>24</v>
      </c>
      <c r="J59" s="7" t="n">
        <v>22.6</v>
      </c>
      <c r="K59" s="7" t="str">
        <f aca="false">IF(J59&lt;=I59,"Yes","No")</f>
        <v>Yes</v>
      </c>
      <c r="L59" s="7" t="s">
        <v>1419</v>
      </c>
    </row>
    <row r="60" customFormat="false" ht="15" hidden="false" customHeight="false" outlineLevel="0" collapsed="false">
      <c r="A60" s="7" t="s">
        <v>1800</v>
      </c>
      <c r="B60" s="8" t="n">
        <v>45968</v>
      </c>
      <c r="C60" s="7" t="s">
        <v>68</v>
      </c>
      <c r="D60" s="7" t="s">
        <v>40</v>
      </c>
      <c r="E60" s="7" t="s">
        <v>1746</v>
      </c>
      <c r="F60" s="7" t="s">
        <v>1009</v>
      </c>
      <c r="G60" s="7" t="s">
        <v>150</v>
      </c>
      <c r="H60" s="7" t="s">
        <v>301</v>
      </c>
      <c r="I60" s="7" t="n">
        <v>48</v>
      </c>
      <c r="J60" s="7" t="n">
        <v>30.6</v>
      </c>
      <c r="K60" s="7" t="str">
        <f aca="false">IF(J60&lt;=I60,"Yes","No")</f>
        <v>Yes</v>
      </c>
      <c r="L60" s="7" t="s">
        <v>1442</v>
      </c>
    </row>
    <row r="61" customFormat="false" ht="15" hidden="false" customHeight="false" outlineLevel="0" collapsed="false">
      <c r="A61" s="7" t="s">
        <v>1801</v>
      </c>
      <c r="B61" s="8" t="n">
        <v>45529</v>
      </c>
      <c r="C61" s="7" t="s">
        <v>87</v>
      </c>
      <c r="D61" s="7" t="s">
        <v>40</v>
      </c>
      <c r="E61" s="7" t="s">
        <v>1739</v>
      </c>
      <c r="F61" s="7" t="s">
        <v>1004</v>
      </c>
      <c r="G61" s="7" t="s">
        <v>353</v>
      </c>
      <c r="H61" s="7" t="s">
        <v>316</v>
      </c>
      <c r="I61" s="7" t="n">
        <v>24</v>
      </c>
      <c r="J61" s="7" t="n">
        <v>18</v>
      </c>
      <c r="K61" s="7" t="str">
        <f aca="false">IF(J61&lt;=I61,"Yes","No")</f>
        <v>Yes</v>
      </c>
      <c r="L61" s="7" t="s">
        <v>1419</v>
      </c>
    </row>
    <row r="62" customFormat="false" ht="15" hidden="false" customHeight="false" outlineLevel="0" collapsed="false">
      <c r="A62" s="7" t="s">
        <v>1802</v>
      </c>
      <c r="B62" s="8" t="n">
        <v>45411</v>
      </c>
      <c r="C62" s="7" t="s">
        <v>75</v>
      </c>
      <c r="D62" s="7" t="s">
        <v>40</v>
      </c>
      <c r="E62" s="7" t="s">
        <v>1737</v>
      </c>
      <c r="F62" s="7" t="s">
        <v>1026</v>
      </c>
      <c r="G62" s="7" t="s">
        <v>321</v>
      </c>
      <c r="H62" s="7" t="s">
        <v>312</v>
      </c>
      <c r="I62" s="7" t="n">
        <v>8</v>
      </c>
      <c r="J62" s="7" t="n">
        <v>3.3</v>
      </c>
      <c r="K62" s="7" t="str">
        <f aca="false">IF(J62&lt;=I62,"Yes","No")</f>
        <v>Yes</v>
      </c>
      <c r="L62" s="7" t="s">
        <v>1419</v>
      </c>
    </row>
    <row r="63" customFormat="false" ht="15" hidden="false" customHeight="false" outlineLevel="0" collapsed="false">
      <c r="A63" s="7" t="s">
        <v>1803</v>
      </c>
      <c r="B63" s="8" t="n">
        <v>45557</v>
      </c>
      <c r="C63" s="7" t="s">
        <v>83</v>
      </c>
      <c r="D63" s="7" t="s">
        <v>40</v>
      </c>
      <c r="E63" s="7" t="s">
        <v>1746</v>
      </c>
      <c r="F63" s="7" t="s">
        <v>1026</v>
      </c>
      <c r="G63" s="7" t="s">
        <v>289</v>
      </c>
      <c r="H63" s="7" t="s">
        <v>323</v>
      </c>
      <c r="I63" s="7" t="n">
        <v>8</v>
      </c>
      <c r="J63" s="7" t="n">
        <v>10</v>
      </c>
      <c r="K63" s="7" t="str">
        <f aca="false">IF(J63&lt;=I63,"Yes","No")</f>
        <v>No</v>
      </c>
      <c r="L63" s="7" t="s">
        <v>1419</v>
      </c>
    </row>
    <row r="64" customFormat="false" ht="15" hidden="false" customHeight="false" outlineLevel="0" collapsed="false">
      <c r="A64" s="7" t="s">
        <v>1804</v>
      </c>
      <c r="B64" s="8" t="n">
        <v>45987</v>
      </c>
      <c r="C64" s="7" t="s">
        <v>71</v>
      </c>
      <c r="D64" s="7" t="s">
        <v>40</v>
      </c>
      <c r="E64" s="7" t="s">
        <v>1743</v>
      </c>
      <c r="F64" s="7" t="s">
        <v>1004</v>
      </c>
      <c r="G64" s="7" t="s">
        <v>178</v>
      </c>
      <c r="H64" s="7" t="s">
        <v>312</v>
      </c>
      <c r="I64" s="7" t="n">
        <v>24</v>
      </c>
      <c r="J64" s="7" t="n">
        <v>19.4</v>
      </c>
      <c r="K64" s="7" t="str">
        <f aca="false">IF(J64&lt;=I64,"Yes","No")</f>
        <v>Yes</v>
      </c>
      <c r="L64" s="7" t="s">
        <v>1419</v>
      </c>
    </row>
    <row r="65" customFormat="false" ht="15" hidden="false" customHeight="false" outlineLevel="0" collapsed="false">
      <c r="A65" s="7" t="s">
        <v>1805</v>
      </c>
      <c r="B65" s="8" t="n">
        <v>45874</v>
      </c>
      <c r="C65" s="7" t="s">
        <v>68</v>
      </c>
      <c r="D65" s="7" t="s">
        <v>40</v>
      </c>
      <c r="E65" s="7" t="s">
        <v>1746</v>
      </c>
      <c r="F65" s="7" t="s">
        <v>1009</v>
      </c>
      <c r="G65" s="7" t="s">
        <v>310</v>
      </c>
      <c r="H65" s="7" t="s">
        <v>323</v>
      </c>
      <c r="I65" s="7" t="n">
        <v>48</v>
      </c>
      <c r="J65" s="7" t="n">
        <v>40.3</v>
      </c>
      <c r="K65" s="7" t="str">
        <f aca="false">IF(J65&lt;=I65,"Yes","No")</f>
        <v>Yes</v>
      </c>
      <c r="L65" s="7" t="s">
        <v>1419</v>
      </c>
    </row>
    <row r="66" customFormat="false" ht="15" hidden="false" customHeight="false" outlineLevel="0" collapsed="false">
      <c r="A66" s="7" t="s">
        <v>1806</v>
      </c>
      <c r="B66" s="8" t="n">
        <v>45357</v>
      </c>
      <c r="C66" s="7" t="s">
        <v>60</v>
      </c>
      <c r="D66" s="7" t="s">
        <v>40</v>
      </c>
      <c r="E66" s="7" t="s">
        <v>1773</v>
      </c>
      <c r="F66" s="7" t="s">
        <v>1009</v>
      </c>
      <c r="G66" s="7" t="s">
        <v>438</v>
      </c>
      <c r="H66" s="7" t="s">
        <v>301</v>
      </c>
      <c r="I66" s="7" t="n">
        <v>48</v>
      </c>
      <c r="J66" s="7" t="n">
        <v>47.6</v>
      </c>
      <c r="K66" s="7" t="str">
        <f aca="false">IF(J66&lt;=I66,"Yes","No")</f>
        <v>Yes</v>
      </c>
      <c r="L66" s="7" t="s">
        <v>1419</v>
      </c>
    </row>
    <row r="67" customFormat="false" ht="15" hidden="false" customHeight="false" outlineLevel="0" collapsed="false">
      <c r="A67" s="7" t="s">
        <v>1807</v>
      </c>
      <c r="B67" s="8" t="n">
        <v>45575</v>
      </c>
      <c r="C67" s="7" t="s">
        <v>60</v>
      </c>
      <c r="D67" s="7" t="s">
        <v>40</v>
      </c>
      <c r="E67" s="7" t="s">
        <v>1743</v>
      </c>
      <c r="F67" s="7" t="s">
        <v>1004</v>
      </c>
      <c r="G67" s="7" t="s">
        <v>308</v>
      </c>
      <c r="H67" s="7" t="s">
        <v>327</v>
      </c>
      <c r="I67" s="7" t="n">
        <v>24</v>
      </c>
      <c r="J67" s="7" t="n">
        <v>7.2</v>
      </c>
      <c r="K67" s="7" t="str">
        <f aca="false">IF(J67&lt;=I67,"Yes","No")</f>
        <v>Yes</v>
      </c>
      <c r="L67" s="7" t="s">
        <v>1419</v>
      </c>
    </row>
    <row r="68" customFormat="false" ht="15" hidden="false" customHeight="false" outlineLevel="0" collapsed="false">
      <c r="A68" s="7" t="s">
        <v>1808</v>
      </c>
      <c r="B68" s="8" t="n">
        <v>45599</v>
      </c>
      <c r="C68" s="7" t="s">
        <v>75</v>
      </c>
      <c r="D68" s="7" t="s">
        <v>40</v>
      </c>
      <c r="E68" s="7" t="s">
        <v>1743</v>
      </c>
      <c r="F68" s="7" t="s">
        <v>1004</v>
      </c>
      <c r="G68" s="7" t="s">
        <v>409</v>
      </c>
      <c r="H68" s="7" t="s">
        <v>302</v>
      </c>
      <c r="I68" s="7" t="n">
        <v>24</v>
      </c>
      <c r="J68" s="7" t="n">
        <v>7</v>
      </c>
      <c r="K68" s="7" t="str">
        <f aca="false">IF(J68&lt;=I68,"Yes","No")</f>
        <v>Yes</v>
      </c>
      <c r="L68" s="7" t="s">
        <v>1419</v>
      </c>
    </row>
    <row r="69" customFormat="false" ht="15" hidden="false" customHeight="false" outlineLevel="0" collapsed="false">
      <c r="A69" s="7" t="s">
        <v>1809</v>
      </c>
      <c r="B69" s="8" t="n">
        <v>45775</v>
      </c>
      <c r="C69" s="7" t="s">
        <v>71</v>
      </c>
      <c r="D69" s="7" t="s">
        <v>40</v>
      </c>
      <c r="E69" s="7" t="s">
        <v>1739</v>
      </c>
      <c r="F69" s="7" t="s">
        <v>1004</v>
      </c>
      <c r="G69" s="7" t="s">
        <v>253</v>
      </c>
      <c r="H69" s="7" t="s">
        <v>316</v>
      </c>
      <c r="I69" s="7" t="n">
        <v>24</v>
      </c>
      <c r="J69" s="7" t="n">
        <v>11.9</v>
      </c>
      <c r="K69" s="7" t="str">
        <f aca="false">IF(J69&lt;=I69,"Yes","No")</f>
        <v>Yes</v>
      </c>
      <c r="L69" s="7" t="s">
        <v>1419</v>
      </c>
    </row>
    <row r="70" customFormat="false" ht="15" hidden="false" customHeight="false" outlineLevel="0" collapsed="false">
      <c r="A70" s="7" t="s">
        <v>1810</v>
      </c>
      <c r="B70" s="8" t="n">
        <v>45914</v>
      </c>
      <c r="C70" s="7" t="s">
        <v>83</v>
      </c>
      <c r="D70" s="7" t="s">
        <v>40</v>
      </c>
      <c r="E70" s="7" t="s">
        <v>1737</v>
      </c>
      <c r="F70" s="7" t="s">
        <v>1004</v>
      </c>
      <c r="G70" s="7" t="s">
        <v>265</v>
      </c>
      <c r="H70" s="7" t="s">
        <v>327</v>
      </c>
      <c r="I70" s="7" t="n">
        <v>24</v>
      </c>
      <c r="J70" s="7" t="n">
        <v>15.4</v>
      </c>
      <c r="K70" s="7" t="str">
        <f aca="false">IF(J70&lt;=I70,"Yes","No")</f>
        <v>Yes</v>
      </c>
      <c r="L70" s="7" t="s">
        <v>1442</v>
      </c>
    </row>
    <row r="71" customFormat="false" ht="15" hidden="false" customHeight="false" outlineLevel="0" collapsed="false">
      <c r="A71" s="7" t="s">
        <v>1811</v>
      </c>
      <c r="B71" s="8" t="n">
        <v>45986</v>
      </c>
      <c r="C71" s="7" t="s">
        <v>71</v>
      </c>
      <c r="D71" s="7" t="s">
        <v>40</v>
      </c>
      <c r="E71" s="7" t="s">
        <v>1737</v>
      </c>
      <c r="F71" s="7" t="s">
        <v>1009</v>
      </c>
      <c r="G71" s="7" t="s">
        <v>221</v>
      </c>
      <c r="H71" s="7" t="s">
        <v>327</v>
      </c>
      <c r="I71" s="7" t="n">
        <v>48</v>
      </c>
      <c r="J71" s="7" t="n">
        <v>35.3</v>
      </c>
      <c r="K71" s="7" t="str">
        <f aca="false">IF(J71&lt;=I71,"Yes","No")</f>
        <v>Yes</v>
      </c>
      <c r="L71" s="7" t="s">
        <v>1419</v>
      </c>
    </row>
    <row r="72" customFormat="false" ht="15" hidden="false" customHeight="false" outlineLevel="0" collapsed="false">
      <c r="A72" s="7" t="s">
        <v>1812</v>
      </c>
      <c r="B72" s="8" t="n">
        <v>45791</v>
      </c>
      <c r="C72" s="7" t="s">
        <v>60</v>
      </c>
      <c r="D72" s="7" t="s">
        <v>40</v>
      </c>
      <c r="E72" s="7" t="s">
        <v>1741</v>
      </c>
      <c r="F72" s="7" t="s">
        <v>1009</v>
      </c>
      <c r="G72" s="7" t="s">
        <v>157</v>
      </c>
      <c r="H72" s="7" t="s">
        <v>306</v>
      </c>
      <c r="I72" s="7" t="n">
        <v>48</v>
      </c>
      <c r="J72" s="7" t="n">
        <v>60</v>
      </c>
      <c r="K72" s="7" t="str">
        <f aca="false">IF(J72&lt;=I72,"Yes","No")</f>
        <v>No</v>
      </c>
      <c r="L72" s="7" t="s">
        <v>1442</v>
      </c>
    </row>
    <row r="73" customFormat="false" ht="15" hidden="false" customHeight="false" outlineLevel="0" collapsed="false">
      <c r="A73" s="7" t="s">
        <v>1813</v>
      </c>
      <c r="B73" s="8" t="n">
        <v>45980</v>
      </c>
      <c r="C73" s="7" t="s">
        <v>87</v>
      </c>
      <c r="D73" s="7" t="s">
        <v>40</v>
      </c>
      <c r="E73" s="7" t="s">
        <v>1773</v>
      </c>
      <c r="F73" s="7" t="s">
        <v>1009</v>
      </c>
      <c r="G73" s="7" t="s">
        <v>201</v>
      </c>
      <c r="H73" s="7" t="s">
        <v>321</v>
      </c>
      <c r="I73" s="7" t="n">
        <v>48</v>
      </c>
      <c r="J73" s="7" t="n">
        <v>46</v>
      </c>
      <c r="K73" s="7" t="str">
        <f aca="false">IF(J73&lt;=I73,"Yes","No")</f>
        <v>Yes</v>
      </c>
      <c r="L73" s="7" t="s">
        <v>1419</v>
      </c>
    </row>
    <row r="74" customFormat="false" ht="15" hidden="false" customHeight="false" outlineLevel="0" collapsed="false">
      <c r="A74" s="7" t="s">
        <v>1814</v>
      </c>
      <c r="B74" s="8" t="n">
        <v>45605</v>
      </c>
      <c r="C74" s="7" t="s">
        <v>71</v>
      </c>
      <c r="D74" s="7" t="s">
        <v>40</v>
      </c>
      <c r="E74" s="7" t="s">
        <v>1773</v>
      </c>
      <c r="F74" s="7" t="s">
        <v>1004</v>
      </c>
      <c r="G74" s="7" t="s">
        <v>131</v>
      </c>
      <c r="H74" s="7" t="s">
        <v>321</v>
      </c>
      <c r="I74" s="7" t="n">
        <v>24</v>
      </c>
      <c r="J74" s="7" t="n">
        <v>19.7</v>
      </c>
      <c r="K74" s="7" t="str">
        <f aca="false">IF(J74&lt;=I74,"Yes","No")</f>
        <v>Yes</v>
      </c>
      <c r="L74" s="7" t="s">
        <v>1419</v>
      </c>
    </row>
    <row r="75" customFormat="false" ht="15" hidden="false" customHeight="false" outlineLevel="0" collapsed="false">
      <c r="A75" s="7" t="s">
        <v>1815</v>
      </c>
      <c r="B75" s="8" t="n">
        <v>45358</v>
      </c>
      <c r="C75" s="7" t="s">
        <v>83</v>
      </c>
      <c r="D75" s="7" t="s">
        <v>40</v>
      </c>
      <c r="E75" s="7" t="s">
        <v>1741</v>
      </c>
      <c r="F75" s="7" t="s">
        <v>1026</v>
      </c>
      <c r="G75" s="7" t="s">
        <v>180</v>
      </c>
      <c r="H75" s="7" t="s">
        <v>321</v>
      </c>
      <c r="I75" s="7" t="n">
        <v>8</v>
      </c>
      <c r="J75" s="7" t="n">
        <v>8.9</v>
      </c>
      <c r="K75" s="7" t="str">
        <f aca="false">IF(J75&lt;=I75,"Yes","No")</f>
        <v>No</v>
      </c>
      <c r="L75" s="7" t="s">
        <v>1419</v>
      </c>
    </row>
    <row r="76" customFormat="false" ht="15" hidden="false" customHeight="false" outlineLevel="0" collapsed="false">
      <c r="A76" s="7" t="s">
        <v>1816</v>
      </c>
      <c r="B76" s="8" t="n">
        <v>45686</v>
      </c>
      <c r="C76" s="7" t="s">
        <v>87</v>
      </c>
      <c r="D76" s="7" t="s">
        <v>40</v>
      </c>
      <c r="E76" s="7" t="s">
        <v>1739</v>
      </c>
      <c r="F76" s="7" t="s">
        <v>1009</v>
      </c>
      <c r="G76" s="7" t="s">
        <v>219</v>
      </c>
      <c r="H76" s="7" t="s">
        <v>321</v>
      </c>
      <c r="I76" s="7" t="n">
        <v>48</v>
      </c>
      <c r="J76" s="7" t="n">
        <v>38</v>
      </c>
      <c r="K76" s="7" t="str">
        <f aca="false">IF(J76&lt;=I76,"Yes","No")</f>
        <v>Yes</v>
      </c>
      <c r="L76" s="7" t="s">
        <v>1419</v>
      </c>
    </row>
    <row r="77" customFormat="false" ht="15" hidden="false" customHeight="false" outlineLevel="0" collapsed="false">
      <c r="A77" s="7" t="s">
        <v>1817</v>
      </c>
      <c r="B77" s="8" t="n">
        <v>45986</v>
      </c>
      <c r="C77" s="7" t="s">
        <v>60</v>
      </c>
      <c r="D77" s="7" t="s">
        <v>40</v>
      </c>
      <c r="E77" s="7" t="s">
        <v>1737</v>
      </c>
      <c r="F77" s="7" t="s">
        <v>1004</v>
      </c>
      <c r="G77" s="7" t="s">
        <v>422</v>
      </c>
      <c r="H77" s="7" t="s">
        <v>323</v>
      </c>
      <c r="I77" s="7" t="n">
        <v>24</v>
      </c>
      <c r="J77" s="7" t="n">
        <v>21.6</v>
      </c>
      <c r="K77" s="7" t="str">
        <f aca="false">IF(J77&lt;=I77,"Yes","No")</f>
        <v>Yes</v>
      </c>
      <c r="L77" s="7" t="s">
        <v>1419</v>
      </c>
    </row>
    <row r="78" customFormat="false" ht="15" hidden="false" customHeight="false" outlineLevel="0" collapsed="false">
      <c r="A78" s="7" t="s">
        <v>1818</v>
      </c>
      <c r="B78" s="8" t="n">
        <v>45629</v>
      </c>
      <c r="C78" s="7" t="s">
        <v>68</v>
      </c>
      <c r="D78" s="7" t="s">
        <v>40</v>
      </c>
      <c r="E78" s="7" t="s">
        <v>1739</v>
      </c>
      <c r="F78" s="7" t="s">
        <v>1026</v>
      </c>
      <c r="G78" s="7" t="s">
        <v>287</v>
      </c>
      <c r="H78" s="7" t="s">
        <v>314</v>
      </c>
      <c r="I78" s="7" t="n">
        <v>8</v>
      </c>
      <c r="J78" s="7" t="n">
        <v>0.2</v>
      </c>
      <c r="K78" s="7" t="str">
        <f aca="false">IF(J78&lt;=I78,"Yes","No")</f>
        <v>Yes</v>
      </c>
      <c r="L78" s="7" t="s">
        <v>1419</v>
      </c>
    </row>
    <row r="79" customFormat="false" ht="15" hidden="false" customHeight="false" outlineLevel="0" collapsed="false">
      <c r="A79" s="7" t="s">
        <v>1819</v>
      </c>
      <c r="B79" s="8" t="n">
        <v>45904</v>
      </c>
      <c r="C79" s="7" t="s">
        <v>71</v>
      </c>
      <c r="D79" s="7" t="s">
        <v>40</v>
      </c>
      <c r="E79" s="7" t="s">
        <v>1773</v>
      </c>
      <c r="F79" s="7" t="s">
        <v>1436</v>
      </c>
      <c r="G79" s="7" t="s">
        <v>192</v>
      </c>
      <c r="H79" s="7" t="s">
        <v>316</v>
      </c>
      <c r="I79" s="7" t="n">
        <v>4</v>
      </c>
      <c r="J79" s="7" t="n">
        <v>3.8</v>
      </c>
      <c r="K79" s="7" t="str">
        <f aca="false">IF(J79&lt;=I79,"Yes","No")</f>
        <v>Yes</v>
      </c>
      <c r="L79" s="7" t="s">
        <v>1419</v>
      </c>
    </row>
    <row r="80" customFormat="false" ht="15" hidden="false" customHeight="false" outlineLevel="0" collapsed="false">
      <c r="A80" s="7" t="s">
        <v>1820</v>
      </c>
      <c r="B80" s="8" t="n">
        <v>45784</v>
      </c>
      <c r="C80" s="7" t="s">
        <v>79</v>
      </c>
      <c r="D80" s="7" t="s">
        <v>40</v>
      </c>
      <c r="E80" s="7" t="s">
        <v>1743</v>
      </c>
      <c r="F80" s="7" t="s">
        <v>1004</v>
      </c>
      <c r="G80" s="7" t="s">
        <v>355</v>
      </c>
      <c r="H80" s="7" t="s">
        <v>327</v>
      </c>
      <c r="I80" s="7" t="n">
        <v>24</v>
      </c>
      <c r="J80" s="7" t="n">
        <v>7.9</v>
      </c>
      <c r="K80" s="7" t="str">
        <f aca="false">IF(J80&lt;=I80,"Yes","No")</f>
        <v>Yes</v>
      </c>
      <c r="L80" s="7" t="s">
        <v>1419</v>
      </c>
    </row>
    <row r="81" customFormat="false" ht="15" hidden="false" customHeight="false" outlineLevel="0" collapsed="false">
      <c r="A81" s="7" t="s">
        <v>1821</v>
      </c>
      <c r="B81" s="8" t="n">
        <v>45412</v>
      </c>
      <c r="C81" s="7" t="s">
        <v>75</v>
      </c>
      <c r="D81" s="7" t="s">
        <v>40</v>
      </c>
      <c r="E81" s="7" t="s">
        <v>1739</v>
      </c>
      <c r="F81" s="7" t="s">
        <v>1004</v>
      </c>
      <c r="G81" s="7" t="s">
        <v>219</v>
      </c>
      <c r="H81" s="7" t="s">
        <v>310</v>
      </c>
      <c r="I81" s="7" t="n">
        <v>24</v>
      </c>
      <c r="J81" s="7" t="n">
        <v>18.7</v>
      </c>
      <c r="K81" s="7" t="str">
        <f aca="false">IF(J81&lt;=I81,"Yes","No")</f>
        <v>Yes</v>
      </c>
      <c r="L81" s="7" t="s">
        <v>1419</v>
      </c>
    </row>
    <row r="82" customFormat="false" ht="15" hidden="false" customHeight="false" outlineLevel="0" collapsed="false">
      <c r="A82" s="7" t="s">
        <v>1822</v>
      </c>
      <c r="B82" s="8" t="n">
        <v>45476</v>
      </c>
      <c r="C82" s="7" t="s">
        <v>65</v>
      </c>
      <c r="D82" s="7" t="s">
        <v>40</v>
      </c>
      <c r="E82" s="7" t="s">
        <v>1773</v>
      </c>
      <c r="F82" s="7" t="s">
        <v>1436</v>
      </c>
      <c r="G82" s="7" t="s">
        <v>393</v>
      </c>
      <c r="H82" s="7" t="s">
        <v>317</v>
      </c>
      <c r="I82" s="7" t="n">
        <v>4</v>
      </c>
      <c r="J82" s="7" t="n">
        <v>0.6</v>
      </c>
      <c r="K82" s="7" t="str">
        <f aca="false">IF(J82&lt;=I82,"Yes","No")</f>
        <v>Yes</v>
      </c>
      <c r="L82" s="7" t="s">
        <v>1419</v>
      </c>
    </row>
    <row r="83" customFormat="false" ht="15" hidden="false" customHeight="false" outlineLevel="0" collapsed="false">
      <c r="A83" s="7" t="s">
        <v>1823</v>
      </c>
      <c r="B83" s="8" t="n">
        <v>45732</v>
      </c>
      <c r="C83" s="7" t="s">
        <v>68</v>
      </c>
      <c r="D83" s="7" t="s">
        <v>40</v>
      </c>
      <c r="E83" s="7" t="s">
        <v>1739</v>
      </c>
      <c r="F83" s="7" t="s">
        <v>1009</v>
      </c>
      <c r="G83" s="7" t="s">
        <v>310</v>
      </c>
      <c r="H83" s="7" t="s">
        <v>306</v>
      </c>
      <c r="I83" s="7" t="n">
        <v>48</v>
      </c>
      <c r="J83" s="7" t="n">
        <v>37.6</v>
      </c>
      <c r="K83" s="7" t="str">
        <f aca="false">IF(J83&lt;=I83,"Yes","No")</f>
        <v>Yes</v>
      </c>
      <c r="L83" s="7" t="s">
        <v>1419</v>
      </c>
    </row>
    <row r="84" customFormat="false" ht="15" hidden="false" customHeight="false" outlineLevel="0" collapsed="false">
      <c r="A84" s="7" t="s">
        <v>1824</v>
      </c>
      <c r="B84" s="8" t="n">
        <v>45940</v>
      </c>
      <c r="C84" s="7" t="s">
        <v>71</v>
      </c>
      <c r="D84" s="7" t="s">
        <v>40</v>
      </c>
      <c r="E84" s="7" t="s">
        <v>1737</v>
      </c>
      <c r="F84" s="7" t="s">
        <v>1009</v>
      </c>
      <c r="G84" s="7" t="s">
        <v>424</v>
      </c>
      <c r="H84" s="7" t="s">
        <v>302</v>
      </c>
      <c r="I84" s="7" t="n">
        <v>48</v>
      </c>
      <c r="J84" s="7" t="n">
        <v>68.8</v>
      </c>
      <c r="K84" s="7" t="str">
        <f aca="false">IF(J84&lt;=I84,"Yes","No")</f>
        <v>No</v>
      </c>
      <c r="L84" s="7" t="s">
        <v>1419</v>
      </c>
    </row>
    <row r="85" customFormat="false" ht="15" hidden="false" customHeight="false" outlineLevel="0" collapsed="false">
      <c r="A85" s="7" t="s">
        <v>1825</v>
      </c>
      <c r="B85" s="8" t="n">
        <v>45775</v>
      </c>
      <c r="C85" s="7" t="s">
        <v>65</v>
      </c>
      <c r="D85" s="7" t="s">
        <v>40</v>
      </c>
      <c r="E85" s="7" t="s">
        <v>1746</v>
      </c>
      <c r="F85" s="7" t="s">
        <v>1009</v>
      </c>
      <c r="G85" s="7" t="s">
        <v>377</v>
      </c>
      <c r="H85" s="7" t="s">
        <v>299</v>
      </c>
      <c r="I85" s="7" t="n">
        <v>48</v>
      </c>
      <c r="J85" s="7" t="n">
        <v>24.6</v>
      </c>
      <c r="K85" s="7" t="str">
        <f aca="false">IF(J85&lt;=I85,"Yes","No")</f>
        <v>Yes</v>
      </c>
      <c r="L85" s="7" t="s">
        <v>1419</v>
      </c>
    </row>
    <row r="86" customFormat="false" ht="15" hidden="false" customHeight="false" outlineLevel="0" collapsed="false">
      <c r="A86" s="7" t="s">
        <v>1826</v>
      </c>
      <c r="B86" s="8" t="n">
        <v>45681</v>
      </c>
      <c r="C86" s="7" t="s">
        <v>87</v>
      </c>
      <c r="D86" s="7" t="s">
        <v>40</v>
      </c>
      <c r="E86" s="7" t="s">
        <v>1739</v>
      </c>
      <c r="F86" s="7" t="s">
        <v>1004</v>
      </c>
      <c r="G86" s="7" t="s">
        <v>399</v>
      </c>
      <c r="H86" s="7" t="s">
        <v>319</v>
      </c>
      <c r="I86" s="7" t="n">
        <v>24</v>
      </c>
      <c r="J86" s="7" t="n">
        <v>19.7</v>
      </c>
      <c r="K86" s="7" t="str">
        <f aca="false">IF(J86&lt;=I86,"Yes","No")</f>
        <v>Yes</v>
      </c>
      <c r="L86" s="7" t="s">
        <v>1419</v>
      </c>
    </row>
    <row r="87" customFormat="false" ht="15" hidden="false" customHeight="false" outlineLevel="0" collapsed="false">
      <c r="A87" s="7" t="s">
        <v>1827</v>
      </c>
      <c r="B87" s="8" t="n">
        <v>45579</v>
      </c>
      <c r="C87" s="7" t="s">
        <v>68</v>
      </c>
      <c r="D87" s="7" t="s">
        <v>40</v>
      </c>
      <c r="E87" s="7" t="s">
        <v>1743</v>
      </c>
      <c r="F87" s="7" t="s">
        <v>1026</v>
      </c>
      <c r="G87" s="7" t="s">
        <v>251</v>
      </c>
      <c r="H87" s="7" t="s">
        <v>301</v>
      </c>
      <c r="I87" s="7" t="n">
        <v>8</v>
      </c>
      <c r="J87" s="7" t="n">
        <v>7.3</v>
      </c>
      <c r="K87" s="7" t="str">
        <f aca="false">IF(J87&lt;=I87,"Yes","No")</f>
        <v>Yes</v>
      </c>
      <c r="L87" s="7" t="s">
        <v>1419</v>
      </c>
    </row>
    <row r="88" customFormat="false" ht="15" hidden="false" customHeight="false" outlineLevel="0" collapsed="false">
      <c r="A88" s="7" t="s">
        <v>1828</v>
      </c>
      <c r="B88" s="8" t="n">
        <v>45746</v>
      </c>
      <c r="C88" s="7" t="s">
        <v>65</v>
      </c>
      <c r="D88" s="7" t="s">
        <v>40</v>
      </c>
      <c r="E88" s="7" t="s">
        <v>1741</v>
      </c>
      <c r="F88" s="7" t="s">
        <v>1436</v>
      </c>
      <c r="G88" s="7" t="s">
        <v>302</v>
      </c>
      <c r="H88" s="7" t="s">
        <v>317</v>
      </c>
      <c r="I88" s="7" t="n">
        <v>4</v>
      </c>
      <c r="J88" s="7" t="n">
        <v>3.3</v>
      </c>
      <c r="K88" s="7" t="str">
        <f aca="false">IF(J88&lt;=I88,"Yes","No")</f>
        <v>Yes</v>
      </c>
      <c r="L88" s="7" t="s">
        <v>1419</v>
      </c>
    </row>
    <row r="89" customFormat="false" ht="15" hidden="false" customHeight="false" outlineLevel="0" collapsed="false">
      <c r="A89" s="7" t="s">
        <v>1829</v>
      </c>
      <c r="B89" s="8" t="n">
        <v>45951</v>
      </c>
      <c r="C89" s="7" t="s">
        <v>79</v>
      </c>
      <c r="D89" s="7" t="s">
        <v>40</v>
      </c>
      <c r="E89" s="7" t="s">
        <v>1739</v>
      </c>
      <c r="F89" s="7" t="s">
        <v>1004</v>
      </c>
      <c r="G89" s="7" t="s">
        <v>229</v>
      </c>
      <c r="H89" s="7" t="s">
        <v>304</v>
      </c>
      <c r="I89" s="7" t="n">
        <v>24</v>
      </c>
      <c r="J89" s="7" t="n">
        <v>29.4</v>
      </c>
      <c r="K89" s="7" t="str">
        <f aca="false">IF(J89&lt;=I89,"Yes","No")</f>
        <v>No</v>
      </c>
      <c r="L89" s="7" t="s">
        <v>1419</v>
      </c>
    </row>
    <row r="90" customFormat="false" ht="15" hidden="false" customHeight="false" outlineLevel="0" collapsed="false">
      <c r="A90" s="7" t="s">
        <v>1830</v>
      </c>
      <c r="B90" s="8" t="n">
        <v>45879</v>
      </c>
      <c r="C90" s="7" t="s">
        <v>87</v>
      </c>
      <c r="D90" s="7" t="s">
        <v>40</v>
      </c>
      <c r="E90" s="7" t="s">
        <v>1773</v>
      </c>
      <c r="F90" s="7" t="s">
        <v>1004</v>
      </c>
      <c r="G90" s="7" t="s">
        <v>359</v>
      </c>
      <c r="H90" s="7" t="s">
        <v>316</v>
      </c>
      <c r="I90" s="7" t="n">
        <v>24</v>
      </c>
      <c r="J90" s="7" t="n">
        <v>29.6</v>
      </c>
      <c r="K90" s="7" t="str">
        <f aca="false">IF(J90&lt;=I90,"Yes","No")</f>
        <v>No</v>
      </c>
      <c r="L90" s="7" t="s">
        <v>1419</v>
      </c>
    </row>
    <row r="91" customFormat="false" ht="15" hidden="false" customHeight="false" outlineLevel="0" collapsed="false">
      <c r="A91" s="7" t="s">
        <v>1831</v>
      </c>
      <c r="B91" s="8" t="n">
        <v>45382</v>
      </c>
      <c r="C91" s="7" t="s">
        <v>75</v>
      </c>
      <c r="D91" s="7" t="s">
        <v>40</v>
      </c>
      <c r="E91" s="7" t="s">
        <v>1773</v>
      </c>
      <c r="F91" s="7" t="s">
        <v>1004</v>
      </c>
      <c r="G91" s="7" t="s">
        <v>337</v>
      </c>
      <c r="H91" s="7" t="s">
        <v>321</v>
      </c>
      <c r="I91" s="7" t="n">
        <v>24</v>
      </c>
      <c r="J91" s="7" t="n">
        <v>31.2</v>
      </c>
      <c r="K91" s="7" t="str">
        <f aca="false">IF(J91&lt;=I91,"Yes","No")</f>
        <v>No</v>
      </c>
      <c r="L91" s="7" t="s">
        <v>1419</v>
      </c>
    </row>
    <row r="92" customFormat="false" ht="15" hidden="false" customHeight="false" outlineLevel="0" collapsed="false">
      <c r="A92" s="7" t="s">
        <v>1832</v>
      </c>
      <c r="B92" s="8" t="n">
        <v>45908</v>
      </c>
      <c r="C92" s="7" t="s">
        <v>60</v>
      </c>
      <c r="D92" s="7" t="s">
        <v>40</v>
      </c>
      <c r="E92" s="7" t="s">
        <v>1773</v>
      </c>
      <c r="F92" s="7" t="s">
        <v>1009</v>
      </c>
      <c r="G92" s="7" t="s">
        <v>277</v>
      </c>
      <c r="H92" s="7" t="s">
        <v>301</v>
      </c>
      <c r="I92" s="7" t="n">
        <v>48</v>
      </c>
      <c r="J92" s="7" t="n">
        <v>53.2</v>
      </c>
      <c r="K92" s="7" t="str">
        <f aca="false">IF(J92&lt;=I92,"Yes","No")</f>
        <v>No</v>
      </c>
      <c r="L92" s="7" t="s">
        <v>1419</v>
      </c>
    </row>
    <row r="93" customFormat="false" ht="15" hidden="false" customHeight="false" outlineLevel="0" collapsed="false">
      <c r="A93" s="7" t="s">
        <v>1833</v>
      </c>
      <c r="B93" s="8" t="n">
        <v>45414</v>
      </c>
      <c r="C93" s="7" t="s">
        <v>87</v>
      </c>
      <c r="D93" s="7" t="s">
        <v>40</v>
      </c>
      <c r="E93" s="7" t="s">
        <v>1746</v>
      </c>
      <c r="F93" s="7" t="s">
        <v>1009</v>
      </c>
      <c r="G93" s="7" t="s">
        <v>295</v>
      </c>
      <c r="H93" s="7" t="s">
        <v>321</v>
      </c>
      <c r="I93" s="7" t="n">
        <v>48</v>
      </c>
      <c r="J93" s="7" t="n">
        <v>29.5</v>
      </c>
      <c r="K93" s="7" t="str">
        <f aca="false">IF(J93&lt;=I93,"Yes","No")</f>
        <v>Yes</v>
      </c>
      <c r="L93" s="7" t="s">
        <v>1419</v>
      </c>
    </row>
    <row r="94" customFormat="false" ht="15" hidden="false" customHeight="false" outlineLevel="0" collapsed="false">
      <c r="A94" s="7" t="s">
        <v>1834</v>
      </c>
      <c r="B94" s="8" t="n">
        <v>45509</v>
      </c>
      <c r="C94" s="7" t="s">
        <v>87</v>
      </c>
      <c r="D94" s="7" t="s">
        <v>40</v>
      </c>
      <c r="E94" s="7" t="s">
        <v>1739</v>
      </c>
      <c r="F94" s="7" t="s">
        <v>1009</v>
      </c>
      <c r="G94" s="7" t="s">
        <v>192</v>
      </c>
      <c r="H94" s="7" t="s">
        <v>302</v>
      </c>
      <c r="I94" s="7" t="n">
        <v>48</v>
      </c>
      <c r="J94" s="7" t="n">
        <v>23.3</v>
      </c>
      <c r="K94" s="7" t="str">
        <f aca="false">IF(J94&lt;=I94,"Yes","No")</f>
        <v>Yes</v>
      </c>
      <c r="L94" s="7" t="s">
        <v>1419</v>
      </c>
    </row>
    <row r="95" customFormat="false" ht="15" hidden="false" customHeight="false" outlineLevel="0" collapsed="false">
      <c r="A95" s="7" t="s">
        <v>1835</v>
      </c>
      <c r="B95" s="8" t="n">
        <v>45500</v>
      </c>
      <c r="C95" s="7" t="s">
        <v>87</v>
      </c>
      <c r="D95" s="7" t="s">
        <v>40</v>
      </c>
      <c r="E95" s="7" t="s">
        <v>1773</v>
      </c>
      <c r="F95" s="7" t="s">
        <v>1026</v>
      </c>
      <c r="G95" s="7" t="s">
        <v>243</v>
      </c>
      <c r="H95" s="7" t="s">
        <v>327</v>
      </c>
      <c r="I95" s="7" t="n">
        <v>8</v>
      </c>
      <c r="J95" s="7" t="n">
        <v>10.3</v>
      </c>
      <c r="K95" s="7" t="str">
        <f aca="false">IF(J95&lt;=I95,"Yes","No")</f>
        <v>No</v>
      </c>
      <c r="L95" s="7" t="s">
        <v>1013</v>
      </c>
    </row>
    <row r="96" customFormat="false" ht="15" hidden="false" customHeight="false" outlineLevel="0" collapsed="false">
      <c r="A96" s="7" t="s">
        <v>1836</v>
      </c>
      <c r="B96" s="8" t="n">
        <v>45708</v>
      </c>
      <c r="C96" s="7" t="s">
        <v>83</v>
      </c>
      <c r="D96" s="7" t="s">
        <v>40</v>
      </c>
      <c r="E96" s="7" t="s">
        <v>1773</v>
      </c>
      <c r="F96" s="7" t="s">
        <v>1004</v>
      </c>
      <c r="G96" s="7" t="s">
        <v>243</v>
      </c>
      <c r="H96" s="7" t="s">
        <v>325</v>
      </c>
      <c r="I96" s="7" t="n">
        <v>24</v>
      </c>
      <c r="J96" s="7" t="n">
        <v>22.8</v>
      </c>
      <c r="K96" s="7" t="str">
        <f aca="false">IF(J96&lt;=I96,"Yes","No")</f>
        <v>Yes</v>
      </c>
      <c r="L96" s="7" t="s">
        <v>1419</v>
      </c>
    </row>
    <row r="97" customFormat="false" ht="15" hidden="false" customHeight="false" outlineLevel="0" collapsed="false">
      <c r="A97" s="7" t="s">
        <v>1837</v>
      </c>
      <c r="B97" s="8" t="n">
        <v>45402</v>
      </c>
      <c r="C97" s="7" t="s">
        <v>83</v>
      </c>
      <c r="D97" s="7" t="s">
        <v>40</v>
      </c>
      <c r="E97" s="7" t="s">
        <v>1773</v>
      </c>
      <c r="F97" s="7" t="s">
        <v>1004</v>
      </c>
      <c r="G97" s="7" t="s">
        <v>337</v>
      </c>
      <c r="H97" s="7" t="s">
        <v>321</v>
      </c>
      <c r="I97" s="7" t="n">
        <v>24</v>
      </c>
      <c r="J97" s="7" t="n">
        <v>33.5</v>
      </c>
      <c r="K97" s="7" t="str">
        <f aca="false">IF(J97&lt;=I97,"Yes","No")</f>
        <v>No</v>
      </c>
      <c r="L97" s="7" t="s">
        <v>1419</v>
      </c>
    </row>
    <row r="98" customFormat="false" ht="15" hidden="false" customHeight="false" outlineLevel="0" collapsed="false">
      <c r="A98" s="7" t="s">
        <v>1838</v>
      </c>
      <c r="B98" s="8" t="n">
        <v>45944</v>
      </c>
      <c r="C98" s="7" t="s">
        <v>79</v>
      </c>
      <c r="D98" s="7" t="s">
        <v>40</v>
      </c>
      <c r="E98" s="7" t="s">
        <v>1743</v>
      </c>
      <c r="F98" s="7" t="s">
        <v>1026</v>
      </c>
      <c r="G98" s="7" t="s">
        <v>247</v>
      </c>
      <c r="H98" s="7" t="s">
        <v>312</v>
      </c>
      <c r="I98" s="7" t="n">
        <v>8</v>
      </c>
      <c r="J98" s="7" t="n">
        <v>4.8</v>
      </c>
      <c r="K98" s="7" t="str">
        <f aca="false">IF(J98&lt;=I98,"Yes","No")</f>
        <v>Yes</v>
      </c>
      <c r="L98" s="7" t="s">
        <v>1419</v>
      </c>
    </row>
    <row r="99" customFormat="false" ht="15" hidden="false" customHeight="false" outlineLevel="0" collapsed="false">
      <c r="A99" s="7" t="s">
        <v>1839</v>
      </c>
      <c r="B99" s="8" t="n">
        <v>45781</v>
      </c>
      <c r="C99" s="7" t="s">
        <v>87</v>
      </c>
      <c r="D99" s="7" t="s">
        <v>40</v>
      </c>
      <c r="E99" s="7" t="s">
        <v>1746</v>
      </c>
      <c r="F99" s="7" t="s">
        <v>1009</v>
      </c>
      <c r="G99" s="7" t="s">
        <v>432</v>
      </c>
      <c r="H99" s="7" t="s">
        <v>319</v>
      </c>
      <c r="I99" s="7" t="n">
        <v>48</v>
      </c>
      <c r="J99" s="7" t="n">
        <v>19.4</v>
      </c>
      <c r="K99" s="7" t="str">
        <f aca="false">IF(J99&lt;=I99,"Yes","No")</f>
        <v>Yes</v>
      </c>
      <c r="L99" s="7" t="s">
        <v>1419</v>
      </c>
    </row>
    <row r="100" customFormat="false" ht="15" hidden="false" customHeight="false" outlineLevel="0" collapsed="false">
      <c r="A100" s="7" t="s">
        <v>1840</v>
      </c>
      <c r="B100" s="8" t="n">
        <v>45377</v>
      </c>
      <c r="C100" s="7" t="s">
        <v>83</v>
      </c>
      <c r="D100" s="7" t="s">
        <v>40</v>
      </c>
      <c r="E100" s="7" t="s">
        <v>1739</v>
      </c>
      <c r="F100" s="7" t="s">
        <v>1004</v>
      </c>
      <c r="G100" s="7" t="s">
        <v>176</v>
      </c>
      <c r="H100" s="7" t="s">
        <v>325</v>
      </c>
      <c r="I100" s="7" t="n">
        <v>24</v>
      </c>
      <c r="J100" s="7" t="n">
        <v>22.4</v>
      </c>
      <c r="K100" s="7" t="str">
        <f aca="false">IF(J100&lt;=I100,"Yes","No")</f>
        <v>Yes</v>
      </c>
      <c r="L100" s="7" t="s">
        <v>1419</v>
      </c>
    </row>
    <row r="101" customFormat="false" ht="15" hidden="false" customHeight="false" outlineLevel="0" collapsed="false">
      <c r="A101" s="7" t="s">
        <v>1841</v>
      </c>
      <c r="B101" s="8" t="n">
        <v>45431</v>
      </c>
      <c r="C101" s="7" t="s">
        <v>83</v>
      </c>
      <c r="D101" s="7" t="s">
        <v>40</v>
      </c>
      <c r="E101" s="7" t="s">
        <v>1743</v>
      </c>
      <c r="F101" s="7" t="s">
        <v>1004</v>
      </c>
      <c r="G101" s="7" t="s">
        <v>404</v>
      </c>
      <c r="H101" s="7" t="s">
        <v>317</v>
      </c>
      <c r="I101" s="7" t="n">
        <v>24</v>
      </c>
      <c r="J101" s="7" t="n">
        <v>32.2</v>
      </c>
      <c r="K101" s="7" t="str">
        <f aca="false">IF(J101&lt;=I101,"Yes","No")</f>
        <v>No</v>
      </c>
      <c r="L101" s="7" t="s">
        <v>1419</v>
      </c>
    </row>
    <row r="102" customFormat="false" ht="15" hidden="false" customHeight="false" outlineLevel="0" collapsed="false">
      <c r="A102" s="7" t="s">
        <v>1842</v>
      </c>
      <c r="B102" s="8" t="n">
        <v>46006</v>
      </c>
      <c r="C102" s="7" t="s">
        <v>87</v>
      </c>
      <c r="D102" s="7" t="s">
        <v>40</v>
      </c>
      <c r="E102" s="7" t="s">
        <v>1741</v>
      </c>
      <c r="F102" s="7" t="s">
        <v>1004</v>
      </c>
      <c r="G102" s="7" t="s">
        <v>414</v>
      </c>
      <c r="H102" s="7" t="s">
        <v>325</v>
      </c>
      <c r="I102" s="7" t="n">
        <v>24</v>
      </c>
      <c r="J102" s="7" t="n">
        <v>27.3</v>
      </c>
      <c r="K102" s="7" t="str">
        <f aca="false">IF(J102&lt;=I102,"Yes","No")</f>
        <v>No</v>
      </c>
      <c r="L102" s="7" t="s">
        <v>1419</v>
      </c>
    </row>
    <row r="103" customFormat="false" ht="15" hidden="false" customHeight="false" outlineLevel="0" collapsed="false">
      <c r="A103" s="7" t="s">
        <v>1843</v>
      </c>
      <c r="B103" s="8" t="n">
        <v>45446</v>
      </c>
      <c r="C103" s="7" t="s">
        <v>87</v>
      </c>
      <c r="D103" s="7" t="s">
        <v>40</v>
      </c>
      <c r="E103" s="7" t="s">
        <v>1743</v>
      </c>
      <c r="F103" s="7" t="s">
        <v>1026</v>
      </c>
      <c r="G103" s="7" t="s">
        <v>347</v>
      </c>
      <c r="H103" s="7" t="s">
        <v>310</v>
      </c>
      <c r="I103" s="7" t="n">
        <v>8</v>
      </c>
      <c r="J103" s="7" t="n">
        <v>8.8</v>
      </c>
      <c r="K103" s="7" t="str">
        <f aca="false">IF(J103&lt;=I103,"Yes","No")</f>
        <v>No</v>
      </c>
      <c r="L103" s="7" t="s">
        <v>1419</v>
      </c>
    </row>
    <row r="104" customFormat="false" ht="15" hidden="false" customHeight="false" outlineLevel="0" collapsed="false">
      <c r="A104" s="7" t="s">
        <v>1844</v>
      </c>
      <c r="B104" s="8" t="n">
        <v>46010</v>
      </c>
      <c r="C104" s="7" t="s">
        <v>83</v>
      </c>
      <c r="D104" s="7" t="s">
        <v>40</v>
      </c>
      <c r="E104" s="7" t="s">
        <v>1739</v>
      </c>
      <c r="F104" s="7" t="s">
        <v>1004</v>
      </c>
      <c r="G104" s="7" t="s">
        <v>308</v>
      </c>
      <c r="H104" s="7" t="s">
        <v>312</v>
      </c>
      <c r="I104" s="7" t="n">
        <v>24</v>
      </c>
      <c r="J104" s="7" t="n">
        <v>19.9</v>
      </c>
      <c r="K104" s="7" t="str">
        <f aca="false">IF(J104&lt;=I104,"Yes","No")</f>
        <v>Yes</v>
      </c>
      <c r="L104" s="7" t="s">
        <v>1013</v>
      </c>
    </row>
    <row r="105" customFormat="false" ht="15" hidden="false" customHeight="false" outlineLevel="0" collapsed="false">
      <c r="A105" s="7" t="s">
        <v>1845</v>
      </c>
      <c r="B105" s="8" t="n">
        <v>45548</v>
      </c>
      <c r="C105" s="7" t="s">
        <v>83</v>
      </c>
      <c r="D105" s="7" t="s">
        <v>40</v>
      </c>
      <c r="E105" s="7" t="s">
        <v>1743</v>
      </c>
      <c r="F105" s="7" t="s">
        <v>1009</v>
      </c>
      <c r="G105" s="7" t="s">
        <v>402</v>
      </c>
      <c r="H105" s="7" t="s">
        <v>316</v>
      </c>
      <c r="I105" s="7" t="n">
        <v>48</v>
      </c>
      <c r="J105" s="7" t="n">
        <v>72.4</v>
      </c>
      <c r="K105" s="7" t="str">
        <f aca="false">IF(J105&lt;=I105,"Yes","No")</f>
        <v>No</v>
      </c>
      <c r="L105" s="7" t="s">
        <v>1442</v>
      </c>
    </row>
    <row r="106" customFormat="false" ht="15" hidden="false" customHeight="false" outlineLevel="0" collapsed="false">
      <c r="A106" s="7" t="s">
        <v>1846</v>
      </c>
      <c r="B106" s="8" t="n">
        <v>45686</v>
      </c>
      <c r="C106" s="7" t="s">
        <v>75</v>
      </c>
      <c r="D106" s="7" t="s">
        <v>40</v>
      </c>
      <c r="E106" s="7" t="s">
        <v>1739</v>
      </c>
      <c r="F106" s="7" t="s">
        <v>1009</v>
      </c>
      <c r="G106" s="7" t="s">
        <v>180</v>
      </c>
      <c r="H106" s="7" t="s">
        <v>304</v>
      </c>
      <c r="I106" s="7" t="n">
        <v>48</v>
      </c>
      <c r="J106" s="7" t="n">
        <v>46.5</v>
      </c>
      <c r="K106" s="7" t="str">
        <f aca="false">IF(J106&lt;=I106,"Yes","No")</f>
        <v>Yes</v>
      </c>
      <c r="L106" s="7" t="s">
        <v>1419</v>
      </c>
    </row>
    <row r="107" customFormat="false" ht="15" hidden="false" customHeight="false" outlineLevel="0" collapsed="false">
      <c r="A107" s="7" t="s">
        <v>1847</v>
      </c>
      <c r="B107" s="8" t="n">
        <v>45567</v>
      </c>
      <c r="C107" s="7" t="s">
        <v>65</v>
      </c>
      <c r="D107" s="7" t="s">
        <v>40</v>
      </c>
      <c r="E107" s="7" t="s">
        <v>1746</v>
      </c>
      <c r="F107" s="7" t="s">
        <v>1026</v>
      </c>
      <c r="G107" s="7" t="s">
        <v>393</v>
      </c>
      <c r="H107" s="7" t="s">
        <v>310</v>
      </c>
      <c r="I107" s="7" t="n">
        <v>8</v>
      </c>
      <c r="J107" s="7" t="n">
        <v>2.6</v>
      </c>
      <c r="K107" s="7" t="str">
        <f aca="false">IF(J107&lt;=I107,"Yes","No")</f>
        <v>Yes</v>
      </c>
      <c r="L107" s="7" t="s">
        <v>1419</v>
      </c>
    </row>
    <row r="108" customFormat="false" ht="15" hidden="false" customHeight="false" outlineLevel="0" collapsed="false">
      <c r="A108" s="7" t="s">
        <v>1848</v>
      </c>
      <c r="B108" s="8" t="n">
        <v>45877</v>
      </c>
      <c r="C108" s="7" t="s">
        <v>68</v>
      </c>
      <c r="D108" s="7" t="s">
        <v>40</v>
      </c>
      <c r="E108" s="7" t="s">
        <v>1773</v>
      </c>
      <c r="F108" s="7" t="s">
        <v>1009</v>
      </c>
      <c r="G108" s="7" t="s">
        <v>180</v>
      </c>
      <c r="H108" s="7" t="s">
        <v>325</v>
      </c>
      <c r="I108" s="7" t="n">
        <v>48</v>
      </c>
      <c r="J108" s="7" t="n">
        <v>6.1</v>
      </c>
      <c r="K108" s="7" t="str">
        <f aca="false">IF(J108&lt;=I108,"Yes","No")</f>
        <v>Yes</v>
      </c>
      <c r="L108" s="7" t="s">
        <v>1419</v>
      </c>
    </row>
    <row r="109" customFormat="false" ht="15" hidden="false" customHeight="false" outlineLevel="0" collapsed="false">
      <c r="A109" s="7" t="s">
        <v>1849</v>
      </c>
      <c r="B109" s="8" t="n">
        <v>45635</v>
      </c>
      <c r="C109" s="7" t="s">
        <v>71</v>
      </c>
      <c r="D109" s="7" t="s">
        <v>40</v>
      </c>
      <c r="E109" s="7" t="s">
        <v>1739</v>
      </c>
      <c r="F109" s="7" t="s">
        <v>1026</v>
      </c>
      <c r="G109" s="7" t="s">
        <v>327</v>
      </c>
      <c r="H109" s="7" t="s">
        <v>301</v>
      </c>
      <c r="I109" s="7" t="n">
        <v>8</v>
      </c>
      <c r="J109" s="7" t="n">
        <v>5.7</v>
      </c>
      <c r="K109" s="7" t="str">
        <f aca="false">IF(J109&lt;=I109,"Yes","No")</f>
        <v>Yes</v>
      </c>
      <c r="L109" s="7" t="s">
        <v>1419</v>
      </c>
    </row>
    <row r="110" customFormat="false" ht="15" hidden="false" customHeight="false" outlineLevel="0" collapsed="false">
      <c r="A110" s="7" t="s">
        <v>1850</v>
      </c>
      <c r="B110" s="8" t="n">
        <v>45950</v>
      </c>
      <c r="C110" s="7" t="s">
        <v>68</v>
      </c>
      <c r="D110" s="7" t="s">
        <v>40</v>
      </c>
      <c r="E110" s="7" t="s">
        <v>1741</v>
      </c>
      <c r="F110" s="7" t="s">
        <v>1436</v>
      </c>
      <c r="G110" s="7" t="s">
        <v>359</v>
      </c>
      <c r="H110" s="7" t="s">
        <v>317</v>
      </c>
      <c r="I110" s="7" t="n">
        <v>4</v>
      </c>
      <c r="J110" s="7" t="n">
        <v>2.5</v>
      </c>
      <c r="K110" s="7" t="str">
        <f aca="false">IF(J110&lt;=I110,"Yes","No")</f>
        <v>Yes</v>
      </c>
      <c r="L110" s="7" t="s">
        <v>1419</v>
      </c>
    </row>
    <row r="111" customFormat="false" ht="15" hidden="false" customHeight="false" outlineLevel="0" collapsed="false">
      <c r="A111" s="7" t="s">
        <v>1851</v>
      </c>
      <c r="B111" s="8" t="n">
        <v>45304</v>
      </c>
      <c r="C111" s="7" t="s">
        <v>68</v>
      </c>
      <c r="D111" s="7" t="s">
        <v>40</v>
      </c>
      <c r="E111" s="7" t="s">
        <v>1741</v>
      </c>
      <c r="F111" s="7" t="s">
        <v>1026</v>
      </c>
      <c r="G111" s="7" t="s">
        <v>165</v>
      </c>
      <c r="H111" s="7" t="s">
        <v>302</v>
      </c>
      <c r="I111" s="7" t="n">
        <v>8</v>
      </c>
      <c r="J111" s="7" t="n">
        <v>5.2</v>
      </c>
      <c r="K111" s="7" t="str">
        <f aca="false">IF(J111&lt;=I111,"Yes","No")</f>
        <v>Yes</v>
      </c>
      <c r="L111" s="7" t="s">
        <v>1442</v>
      </c>
    </row>
    <row r="112" customFormat="false" ht="15" hidden="false" customHeight="false" outlineLevel="0" collapsed="false">
      <c r="A112" s="7" t="s">
        <v>1852</v>
      </c>
      <c r="B112" s="8" t="n">
        <v>45607</v>
      </c>
      <c r="C112" s="7" t="s">
        <v>60</v>
      </c>
      <c r="D112" s="7" t="s">
        <v>40</v>
      </c>
      <c r="E112" s="7" t="s">
        <v>1737</v>
      </c>
      <c r="F112" s="7" t="s">
        <v>1009</v>
      </c>
      <c r="G112" s="7" t="s">
        <v>385</v>
      </c>
      <c r="H112" s="7" t="s">
        <v>325</v>
      </c>
      <c r="I112" s="7" t="n">
        <v>48</v>
      </c>
      <c r="J112" s="7" t="n">
        <v>8.4</v>
      </c>
      <c r="K112" s="7" t="str">
        <f aca="false">IF(J112&lt;=I112,"Yes","No")</f>
        <v>Yes</v>
      </c>
      <c r="L112" s="7" t="s">
        <v>1419</v>
      </c>
    </row>
    <row r="113" customFormat="false" ht="15" hidden="false" customHeight="false" outlineLevel="0" collapsed="false">
      <c r="A113" s="7" t="s">
        <v>1853</v>
      </c>
      <c r="B113" s="8" t="n">
        <v>45696</v>
      </c>
      <c r="C113" s="7" t="s">
        <v>60</v>
      </c>
      <c r="D113" s="7" t="s">
        <v>40</v>
      </c>
      <c r="E113" s="7" t="s">
        <v>1737</v>
      </c>
      <c r="F113" s="7" t="s">
        <v>1004</v>
      </c>
      <c r="G113" s="7" t="s">
        <v>399</v>
      </c>
      <c r="H113" s="7" t="s">
        <v>321</v>
      </c>
      <c r="I113" s="7" t="n">
        <v>24</v>
      </c>
      <c r="J113" s="7" t="n">
        <v>0.2</v>
      </c>
      <c r="K113" s="7" t="str">
        <f aca="false">IF(J113&lt;=I113,"Yes","No")</f>
        <v>Yes</v>
      </c>
      <c r="L113" s="7" t="s">
        <v>1419</v>
      </c>
    </row>
    <row r="114" customFormat="false" ht="15" hidden="false" customHeight="false" outlineLevel="0" collapsed="false">
      <c r="A114" s="7" t="s">
        <v>1854</v>
      </c>
      <c r="B114" s="8" t="n">
        <v>45573</v>
      </c>
      <c r="C114" s="7" t="s">
        <v>75</v>
      </c>
      <c r="D114" s="7" t="s">
        <v>40</v>
      </c>
      <c r="E114" s="7" t="s">
        <v>1737</v>
      </c>
      <c r="F114" s="7" t="s">
        <v>1009</v>
      </c>
      <c r="G114" s="7" t="s">
        <v>363</v>
      </c>
      <c r="H114" s="7" t="s">
        <v>325</v>
      </c>
      <c r="I114" s="7" t="n">
        <v>48</v>
      </c>
      <c r="J114" s="7" t="n">
        <v>17.1</v>
      </c>
      <c r="K114" s="7" t="str">
        <f aca="false">IF(J114&lt;=I114,"Yes","No")</f>
        <v>Yes</v>
      </c>
      <c r="L114" s="7" t="s">
        <v>1419</v>
      </c>
    </row>
    <row r="115" customFormat="false" ht="15" hidden="false" customHeight="false" outlineLevel="0" collapsed="false">
      <c r="A115" s="7" t="s">
        <v>1855</v>
      </c>
      <c r="B115" s="8" t="n">
        <v>45379</v>
      </c>
      <c r="C115" s="7" t="s">
        <v>79</v>
      </c>
      <c r="D115" s="7" t="s">
        <v>40</v>
      </c>
      <c r="E115" s="7" t="s">
        <v>1773</v>
      </c>
      <c r="F115" s="7" t="s">
        <v>1004</v>
      </c>
      <c r="G115" s="7" t="s">
        <v>205</v>
      </c>
      <c r="H115" s="7" t="s">
        <v>301</v>
      </c>
      <c r="I115" s="7" t="n">
        <v>24</v>
      </c>
      <c r="J115" s="7" t="n">
        <v>28.6</v>
      </c>
      <c r="K115" s="7" t="str">
        <f aca="false">IF(J115&lt;=I115,"Yes","No")</f>
        <v>No</v>
      </c>
      <c r="L115" s="7" t="s">
        <v>1419</v>
      </c>
    </row>
    <row r="116" customFormat="false" ht="15" hidden="false" customHeight="false" outlineLevel="0" collapsed="false">
      <c r="A116" s="7" t="s">
        <v>1856</v>
      </c>
      <c r="B116" s="8" t="n">
        <v>45936</v>
      </c>
      <c r="C116" s="7" t="s">
        <v>75</v>
      </c>
      <c r="D116" s="7" t="s">
        <v>40</v>
      </c>
      <c r="E116" s="7" t="s">
        <v>1746</v>
      </c>
      <c r="F116" s="7" t="s">
        <v>1009</v>
      </c>
      <c r="G116" s="7" t="s">
        <v>259</v>
      </c>
      <c r="H116" s="7" t="s">
        <v>302</v>
      </c>
      <c r="I116" s="7" t="n">
        <v>48</v>
      </c>
      <c r="J116" s="7" t="n">
        <v>54.6</v>
      </c>
      <c r="K116" s="7" t="str">
        <f aca="false">IF(J116&lt;=I116,"Yes","No")</f>
        <v>No</v>
      </c>
      <c r="L116" s="7" t="s">
        <v>1419</v>
      </c>
    </row>
    <row r="117" customFormat="false" ht="15" hidden="false" customHeight="false" outlineLevel="0" collapsed="false">
      <c r="A117" s="7" t="s">
        <v>1857</v>
      </c>
      <c r="B117" s="8" t="n">
        <v>45575</v>
      </c>
      <c r="C117" s="7" t="s">
        <v>79</v>
      </c>
      <c r="D117" s="7" t="s">
        <v>40</v>
      </c>
      <c r="E117" s="7" t="s">
        <v>1739</v>
      </c>
      <c r="F117" s="7" t="s">
        <v>1009</v>
      </c>
      <c r="G117" s="7" t="s">
        <v>349</v>
      </c>
      <c r="H117" s="7" t="s">
        <v>304</v>
      </c>
      <c r="I117" s="7" t="n">
        <v>48</v>
      </c>
      <c r="J117" s="7" t="n">
        <v>19.4</v>
      </c>
      <c r="K117" s="7" t="str">
        <f aca="false">IF(J117&lt;=I117,"Yes","No")</f>
        <v>Yes</v>
      </c>
      <c r="L117" s="7" t="s">
        <v>1013</v>
      </c>
    </row>
    <row r="118" customFormat="false" ht="15" hidden="false" customHeight="false" outlineLevel="0" collapsed="false">
      <c r="A118" s="7" t="s">
        <v>1858</v>
      </c>
      <c r="B118" s="8" t="n">
        <v>45317</v>
      </c>
      <c r="C118" s="7" t="s">
        <v>71</v>
      </c>
      <c r="D118" s="7" t="s">
        <v>40</v>
      </c>
      <c r="E118" s="7" t="s">
        <v>1743</v>
      </c>
      <c r="F118" s="7" t="s">
        <v>1004</v>
      </c>
      <c r="G118" s="7" t="s">
        <v>231</v>
      </c>
      <c r="H118" s="7" t="s">
        <v>325</v>
      </c>
      <c r="I118" s="7" t="n">
        <v>24</v>
      </c>
      <c r="J118" s="7" t="n">
        <v>40.9</v>
      </c>
      <c r="K118" s="7" t="str">
        <f aca="false">IF(J118&lt;=I118,"Yes","No")</f>
        <v>No</v>
      </c>
      <c r="L118" s="7" t="s">
        <v>1419</v>
      </c>
    </row>
    <row r="119" customFormat="false" ht="15" hidden="false" customHeight="false" outlineLevel="0" collapsed="false">
      <c r="A119" s="7" t="s">
        <v>1859</v>
      </c>
      <c r="B119" s="8" t="n">
        <v>45410</v>
      </c>
      <c r="C119" s="7" t="s">
        <v>65</v>
      </c>
      <c r="D119" s="7" t="s">
        <v>40</v>
      </c>
      <c r="E119" s="7" t="s">
        <v>1743</v>
      </c>
      <c r="F119" s="7" t="s">
        <v>1026</v>
      </c>
      <c r="G119" s="7" t="s">
        <v>353</v>
      </c>
      <c r="H119" s="7" t="s">
        <v>319</v>
      </c>
      <c r="I119" s="7" t="n">
        <v>8</v>
      </c>
      <c r="J119" s="7" t="n">
        <v>6.6</v>
      </c>
      <c r="K119" s="7" t="str">
        <f aca="false">IF(J119&lt;=I119,"Yes","No")</f>
        <v>Yes</v>
      </c>
      <c r="L119" s="7" t="s">
        <v>1419</v>
      </c>
    </row>
    <row r="120" customFormat="false" ht="15" hidden="false" customHeight="false" outlineLevel="0" collapsed="false">
      <c r="A120" s="7" t="s">
        <v>1860</v>
      </c>
      <c r="B120" s="8" t="n">
        <v>45791</v>
      </c>
      <c r="C120" s="7" t="s">
        <v>60</v>
      </c>
      <c r="D120" s="7" t="s">
        <v>40</v>
      </c>
      <c r="E120" s="7" t="s">
        <v>1741</v>
      </c>
      <c r="F120" s="7" t="s">
        <v>1026</v>
      </c>
      <c r="G120" s="7" t="s">
        <v>299</v>
      </c>
      <c r="H120" s="7" t="s">
        <v>306</v>
      </c>
      <c r="I120" s="7" t="n">
        <v>8</v>
      </c>
      <c r="J120" s="7" t="n">
        <v>4.3</v>
      </c>
      <c r="K120" s="7" t="str">
        <f aca="false">IF(J120&lt;=I120,"Yes","No")</f>
        <v>Yes</v>
      </c>
      <c r="L120" s="7" t="s">
        <v>1419</v>
      </c>
    </row>
    <row r="121" customFormat="false" ht="15" hidden="false" customHeight="false" outlineLevel="0" collapsed="false">
      <c r="A121" s="7" t="s">
        <v>1861</v>
      </c>
      <c r="B121" s="8" t="n">
        <v>45757</v>
      </c>
      <c r="C121" s="7" t="s">
        <v>71</v>
      </c>
      <c r="D121" s="7" t="s">
        <v>40</v>
      </c>
      <c r="E121" s="7" t="s">
        <v>1743</v>
      </c>
      <c r="F121" s="7" t="s">
        <v>1026</v>
      </c>
      <c r="G121" s="7" t="s">
        <v>186</v>
      </c>
      <c r="H121" s="7" t="s">
        <v>302</v>
      </c>
      <c r="I121" s="7" t="n">
        <v>8</v>
      </c>
      <c r="J121" s="7" t="n">
        <v>5</v>
      </c>
      <c r="K121" s="7" t="str">
        <f aca="false">IF(J121&lt;=I121,"Yes","No")</f>
        <v>Yes</v>
      </c>
      <c r="L121" s="7" t="s">
        <v>1013</v>
      </c>
    </row>
    <row r="122" customFormat="false" ht="15" hidden="false" customHeight="false" outlineLevel="0" collapsed="false">
      <c r="A122" s="7" t="s">
        <v>1862</v>
      </c>
      <c r="B122" s="8" t="n">
        <v>45380</v>
      </c>
      <c r="C122" s="7" t="s">
        <v>83</v>
      </c>
      <c r="D122" s="7" t="s">
        <v>40</v>
      </c>
      <c r="E122" s="7" t="s">
        <v>1773</v>
      </c>
      <c r="F122" s="7" t="s">
        <v>1009</v>
      </c>
      <c r="G122" s="7" t="s">
        <v>429</v>
      </c>
      <c r="H122" s="7" t="s">
        <v>310</v>
      </c>
      <c r="I122" s="7" t="n">
        <v>48</v>
      </c>
      <c r="J122" s="7" t="n">
        <v>19.6</v>
      </c>
      <c r="K122" s="7" t="str">
        <f aca="false">IF(J122&lt;=I122,"Yes","No")</f>
        <v>Yes</v>
      </c>
      <c r="L122" s="7" t="s">
        <v>1419</v>
      </c>
    </row>
    <row r="123" customFormat="false" ht="15" hidden="false" customHeight="false" outlineLevel="0" collapsed="false">
      <c r="A123" s="7" t="s">
        <v>1863</v>
      </c>
      <c r="B123" s="8" t="n">
        <v>45708</v>
      </c>
      <c r="C123" s="7" t="s">
        <v>68</v>
      </c>
      <c r="D123" s="7" t="s">
        <v>40</v>
      </c>
      <c r="E123" s="7" t="s">
        <v>1746</v>
      </c>
      <c r="F123" s="7" t="s">
        <v>1436</v>
      </c>
      <c r="G123" s="7" t="s">
        <v>297</v>
      </c>
      <c r="H123" s="7" t="s">
        <v>306</v>
      </c>
      <c r="I123" s="7" t="n">
        <v>4</v>
      </c>
      <c r="J123" s="7" t="n">
        <v>5.6</v>
      </c>
      <c r="K123" s="7" t="str">
        <f aca="false">IF(J123&lt;=I123,"Yes","No")</f>
        <v>No</v>
      </c>
      <c r="L123" s="7" t="s">
        <v>1419</v>
      </c>
    </row>
    <row r="124" customFormat="false" ht="15" hidden="false" customHeight="false" outlineLevel="0" collapsed="false">
      <c r="A124" s="7" t="s">
        <v>1864</v>
      </c>
      <c r="B124" s="8" t="n">
        <v>45521</v>
      </c>
      <c r="C124" s="7" t="s">
        <v>60</v>
      </c>
      <c r="D124" s="7" t="s">
        <v>40</v>
      </c>
      <c r="E124" s="7" t="s">
        <v>1746</v>
      </c>
      <c r="F124" s="7" t="s">
        <v>1026</v>
      </c>
      <c r="G124" s="7" t="s">
        <v>188</v>
      </c>
      <c r="H124" s="7" t="s">
        <v>304</v>
      </c>
      <c r="I124" s="7" t="n">
        <v>8</v>
      </c>
      <c r="J124" s="7" t="n">
        <v>6.2</v>
      </c>
      <c r="K124" s="7" t="str">
        <f aca="false">IF(J124&lt;=I124,"Yes","No")</f>
        <v>Yes</v>
      </c>
      <c r="L124" s="7" t="s">
        <v>1442</v>
      </c>
    </row>
    <row r="125" customFormat="false" ht="15" hidden="false" customHeight="false" outlineLevel="0" collapsed="false">
      <c r="A125" s="7" t="s">
        <v>1865</v>
      </c>
      <c r="B125" s="8" t="n">
        <v>45898</v>
      </c>
      <c r="C125" s="7" t="s">
        <v>75</v>
      </c>
      <c r="D125" s="7" t="s">
        <v>40</v>
      </c>
      <c r="E125" s="7" t="s">
        <v>1743</v>
      </c>
      <c r="F125" s="7" t="s">
        <v>1009</v>
      </c>
      <c r="G125" s="7" t="s">
        <v>325</v>
      </c>
      <c r="H125" s="7" t="s">
        <v>304</v>
      </c>
      <c r="I125" s="7" t="n">
        <v>48</v>
      </c>
      <c r="J125" s="7" t="n">
        <v>49.8</v>
      </c>
      <c r="K125" s="7" t="str">
        <f aca="false">IF(J125&lt;=I125,"Yes","No")</f>
        <v>No</v>
      </c>
      <c r="L125" s="7" t="s">
        <v>1419</v>
      </c>
    </row>
    <row r="126" customFormat="false" ht="15" hidden="false" customHeight="false" outlineLevel="0" collapsed="false">
      <c r="A126" s="7" t="s">
        <v>1866</v>
      </c>
      <c r="B126" s="8" t="n">
        <v>45887</v>
      </c>
      <c r="C126" s="7" t="s">
        <v>83</v>
      </c>
      <c r="D126" s="7" t="s">
        <v>40</v>
      </c>
      <c r="E126" s="7" t="s">
        <v>1773</v>
      </c>
      <c r="F126" s="7" t="s">
        <v>1436</v>
      </c>
      <c r="G126" s="7" t="s">
        <v>253</v>
      </c>
      <c r="H126" s="7" t="s">
        <v>314</v>
      </c>
      <c r="I126" s="7" t="n">
        <v>4</v>
      </c>
      <c r="J126" s="7" t="n">
        <v>4.3</v>
      </c>
      <c r="K126" s="7" t="str">
        <f aca="false">IF(J126&lt;=I126,"Yes","No")</f>
        <v>No</v>
      </c>
      <c r="L126" s="7" t="s">
        <v>1419</v>
      </c>
    </row>
    <row r="127" customFormat="false" ht="15" hidden="false" customHeight="false" outlineLevel="0" collapsed="false">
      <c r="A127" s="7" t="s">
        <v>1867</v>
      </c>
      <c r="B127" s="8" t="n">
        <v>45628</v>
      </c>
      <c r="C127" s="7" t="s">
        <v>68</v>
      </c>
      <c r="D127" s="7" t="s">
        <v>40</v>
      </c>
      <c r="E127" s="7" t="s">
        <v>1743</v>
      </c>
      <c r="F127" s="7" t="s">
        <v>1026</v>
      </c>
      <c r="G127" s="7" t="s">
        <v>251</v>
      </c>
      <c r="H127" s="7" t="s">
        <v>314</v>
      </c>
      <c r="I127" s="7" t="n">
        <v>8</v>
      </c>
      <c r="J127" s="7" t="n">
        <v>10</v>
      </c>
      <c r="K127" s="7" t="str">
        <f aca="false">IF(J127&lt;=I127,"Yes","No")</f>
        <v>No</v>
      </c>
      <c r="L127" s="7" t="s">
        <v>1419</v>
      </c>
    </row>
    <row r="128" customFormat="false" ht="15" hidden="false" customHeight="false" outlineLevel="0" collapsed="false">
      <c r="A128" s="7" t="s">
        <v>1868</v>
      </c>
      <c r="B128" s="8" t="n">
        <v>45354</v>
      </c>
      <c r="C128" s="7" t="s">
        <v>68</v>
      </c>
      <c r="D128" s="7" t="s">
        <v>40</v>
      </c>
      <c r="E128" s="7" t="s">
        <v>1739</v>
      </c>
      <c r="F128" s="7" t="s">
        <v>1009</v>
      </c>
      <c r="G128" s="7" t="s">
        <v>215</v>
      </c>
      <c r="H128" s="7" t="s">
        <v>317</v>
      </c>
      <c r="I128" s="7" t="n">
        <v>48</v>
      </c>
      <c r="J128" s="7" t="n">
        <v>68.9</v>
      </c>
      <c r="K128" s="7" t="str">
        <f aca="false">IF(J128&lt;=I128,"Yes","No")</f>
        <v>No</v>
      </c>
      <c r="L128" s="7" t="s">
        <v>1419</v>
      </c>
    </row>
    <row r="129" customFormat="false" ht="15" hidden="false" customHeight="false" outlineLevel="0" collapsed="false">
      <c r="A129" s="7" t="s">
        <v>1869</v>
      </c>
      <c r="B129" s="8" t="n">
        <v>45707</v>
      </c>
      <c r="C129" s="7" t="s">
        <v>71</v>
      </c>
      <c r="D129" s="7" t="s">
        <v>40</v>
      </c>
      <c r="E129" s="7" t="s">
        <v>1737</v>
      </c>
      <c r="F129" s="7" t="s">
        <v>1009</v>
      </c>
      <c r="G129" s="7" t="s">
        <v>345</v>
      </c>
      <c r="H129" s="7" t="s">
        <v>312</v>
      </c>
      <c r="I129" s="7" t="n">
        <v>48</v>
      </c>
      <c r="J129" s="7" t="n">
        <v>20.2</v>
      </c>
      <c r="K129" s="7" t="str">
        <f aca="false">IF(J129&lt;=I129,"Yes","No")</f>
        <v>Yes</v>
      </c>
      <c r="L129" s="7" t="s">
        <v>1419</v>
      </c>
    </row>
    <row r="130" customFormat="false" ht="15" hidden="false" customHeight="false" outlineLevel="0" collapsed="false">
      <c r="A130" s="7" t="s">
        <v>1870</v>
      </c>
      <c r="B130" s="8" t="n">
        <v>45892</v>
      </c>
      <c r="C130" s="7" t="s">
        <v>71</v>
      </c>
      <c r="D130" s="7" t="s">
        <v>40</v>
      </c>
      <c r="E130" s="7" t="s">
        <v>1737</v>
      </c>
      <c r="F130" s="7" t="s">
        <v>1004</v>
      </c>
      <c r="G130" s="7" t="s">
        <v>323</v>
      </c>
      <c r="H130" s="7" t="s">
        <v>319</v>
      </c>
      <c r="I130" s="7" t="n">
        <v>24</v>
      </c>
      <c r="J130" s="7" t="n">
        <v>21.8</v>
      </c>
      <c r="K130" s="7" t="str">
        <f aca="false">IF(J130&lt;=I130,"Yes","No")</f>
        <v>Yes</v>
      </c>
      <c r="L130" s="7" t="s">
        <v>1419</v>
      </c>
    </row>
    <row r="131" customFormat="false" ht="15" hidden="false" customHeight="false" outlineLevel="0" collapsed="false">
      <c r="A131" s="7" t="s">
        <v>1871</v>
      </c>
      <c r="B131" s="8" t="n">
        <v>45508</v>
      </c>
      <c r="C131" s="7" t="s">
        <v>75</v>
      </c>
      <c r="D131" s="7" t="s">
        <v>40</v>
      </c>
      <c r="E131" s="7" t="s">
        <v>1739</v>
      </c>
      <c r="F131" s="7" t="s">
        <v>1004</v>
      </c>
      <c r="G131" s="7" t="s">
        <v>134</v>
      </c>
      <c r="H131" s="7" t="s">
        <v>304</v>
      </c>
      <c r="I131" s="7" t="n">
        <v>24</v>
      </c>
      <c r="J131" s="7" t="n">
        <v>30.7</v>
      </c>
      <c r="K131" s="7" t="str">
        <f aca="false">IF(J131&lt;=I131,"Yes","No")</f>
        <v>No</v>
      </c>
      <c r="L131" s="7" t="s">
        <v>1419</v>
      </c>
    </row>
    <row r="132" customFormat="false" ht="15" hidden="false" customHeight="false" outlineLevel="0" collapsed="false">
      <c r="A132" s="7" t="s">
        <v>1872</v>
      </c>
      <c r="B132" s="8" t="n">
        <v>45440</v>
      </c>
      <c r="C132" s="7" t="s">
        <v>71</v>
      </c>
      <c r="D132" s="7" t="s">
        <v>40</v>
      </c>
      <c r="E132" s="7" t="s">
        <v>1741</v>
      </c>
      <c r="F132" s="7" t="s">
        <v>1009</v>
      </c>
      <c r="G132" s="7" t="s">
        <v>385</v>
      </c>
      <c r="H132" s="7" t="s">
        <v>308</v>
      </c>
      <c r="I132" s="7" t="n">
        <v>48</v>
      </c>
      <c r="J132" s="7" t="n">
        <v>56.3</v>
      </c>
      <c r="K132" s="7" t="str">
        <f aca="false">IF(J132&lt;=I132,"Yes","No")</f>
        <v>No</v>
      </c>
      <c r="L132" s="7" t="s">
        <v>1013</v>
      </c>
    </row>
    <row r="133" customFormat="false" ht="15" hidden="false" customHeight="false" outlineLevel="0" collapsed="false">
      <c r="A133" s="7" t="s">
        <v>1873</v>
      </c>
      <c r="B133" s="8" t="n">
        <v>45982</v>
      </c>
      <c r="C133" s="7" t="s">
        <v>65</v>
      </c>
      <c r="D133" s="7" t="s">
        <v>40</v>
      </c>
      <c r="E133" s="7" t="s">
        <v>1746</v>
      </c>
      <c r="F133" s="7" t="s">
        <v>1009</v>
      </c>
      <c r="G133" s="7" t="s">
        <v>201</v>
      </c>
      <c r="H133" s="7" t="s">
        <v>308</v>
      </c>
      <c r="I133" s="7" t="n">
        <v>48</v>
      </c>
      <c r="J133" s="7" t="n">
        <v>34.5</v>
      </c>
      <c r="K133" s="7" t="str">
        <f aca="false">IF(J133&lt;=I133,"Yes","No")</f>
        <v>Yes</v>
      </c>
      <c r="L133" s="7" t="s">
        <v>1419</v>
      </c>
    </row>
    <row r="134" customFormat="false" ht="15" hidden="false" customHeight="false" outlineLevel="0" collapsed="false">
      <c r="A134" s="7" t="s">
        <v>1874</v>
      </c>
      <c r="B134" s="8" t="n">
        <v>45833</v>
      </c>
      <c r="C134" s="7" t="s">
        <v>87</v>
      </c>
      <c r="D134" s="7" t="s">
        <v>40</v>
      </c>
      <c r="E134" s="7" t="s">
        <v>1741</v>
      </c>
      <c r="F134" s="7" t="s">
        <v>1004</v>
      </c>
      <c r="G134" s="7" t="s">
        <v>373</v>
      </c>
      <c r="H134" s="7" t="s">
        <v>306</v>
      </c>
      <c r="I134" s="7" t="n">
        <v>24</v>
      </c>
      <c r="J134" s="7" t="n">
        <v>22.6</v>
      </c>
      <c r="K134" s="7" t="str">
        <f aca="false">IF(J134&lt;=I134,"Yes","No")</f>
        <v>Yes</v>
      </c>
      <c r="L134" s="7" t="s">
        <v>1013</v>
      </c>
    </row>
    <row r="135" customFormat="false" ht="15" hidden="false" customHeight="false" outlineLevel="0" collapsed="false">
      <c r="A135" s="7" t="s">
        <v>1875</v>
      </c>
      <c r="B135" s="8" t="n">
        <v>45393</v>
      </c>
      <c r="C135" s="7" t="s">
        <v>87</v>
      </c>
      <c r="D135" s="7" t="s">
        <v>40</v>
      </c>
      <c r="E135" s="7" t="s">
        <v>1743</v>
      </c>
      <c r="F135" s="7" t="s">
        <v>1026</v>
      </c>
      <c r="G135" s="7" t="s">
        <v>265</v>
      </c>
      <c r="H135" s="7" t="s">
        <v>319</v>
      </c>
      <c r="I135" s="7" t="n">
        <v>8</v>
      </c>
      <c r="J135" s="7" t="n">
        <v>9.8</v>
      </c>
      <c r="K135" s="7" t="str">
        <f aca="false">IF(J135&lt;=I135,"Yes","No")</f>
        <v>No</v>
      </c>
      <c r="L135" s="7" t="s">
        <v>1419</v>
      </c>
    </row>
    <row r="136" customFormat="false" ht="15" hidden="false" customHeight="false" outlineLevel="0" collapsed="false">
      <c r="A136" s="7" t="s">
        <v>1876</v>
      </c>
      <c r="B136" s="8" t="n">
        <v>45908</v>
      </c>
      <c r="C136" s="7" t="s">
        <v>87</v>
      </c>
      <c r="D136" s="7" t="s">
        <v>40</v>
      </c>
      <c r="E136" s="7" t="s">
        <v>1773</v>
      </c>
      <c r="F136" s="7" t="s">
        <v>1009</v>
      </c>
      <c r="G136" s="7" t="s">
        <v>345</v>
      </c>
      <c r="H136" s="7" t="s">
        <v>327</v>
      </c>
      <c r="I136" s="7" t="n">
        <v>48</v>
      </c>
      <c r="J136" s="7" t="n">
        <v>39.9</v>
      </c>
      <c r="K136" s="7" t="str">
        <f aca="false">IF(J136&lt;=I136,"Yes","No")</f>
        <v>Yes</v>
      </c>
      <c r="L136" s="7" t="s">
        <v>1419</v>
      </c>
    </row>
    <row r="137" customFormat="false" ht="15" hidden="false" customHeight="false" outlineLevel="0" collapsed="false">
      <c r="A137" s="7" t="s">
        <v>1877</v>
      </c>
      <c r="B137" s="8" t="n">
        <v>45530</v>
      </c>
      <c r="C137" s="7" t="s">
        <v>83</v>
      </c>
      <c r="D137" s="7" t="s">
        <v>40</v>
      </c>
      <c r="E137" s="7" t="s">
        <v>1773</v>
      </c>
      <c r="F137" s="7" t="s">
        <v>1026</v>
      </c>
      <c r="G137" s="7" t="s">
        <v>349</v>
      </c>
      <c r="H137" s="7" t="s">
        <v>314</v>
      </c>
      <c r="I137" s="7" t="n">
        <v>8</v>
      </c>
      <c r="J137" s="7" t="n">
        <v>9.6</v>
      </c>
      <c r="K137" s="7" t="str">
        <f aca="false">IF(J137&lt;=I137,"Yes","No")</f>
        <v>No</v>
      </c>
      <c r="L137" s="7" t="s">
        <v>1442</v>
      </c>
    </row>
    <row r="138" customFormat="false" ht="15" hidden="false" customHeight="false" outlineLevel="0" collapsed="false">
      <c r="A138" s="7" t="s">
        <v>1878</v>
      </c>
      <c r="B138" s="8" t="n">
        <v>45302</v>
      </c>
      <c r="C138" s="7" t="s">
        <v>68</v>
      </c>
      <c r="D138" s="7" t="s">
        <v>40</v>
      </c>
      <c r="E138" s="7" t="s">
        <v>1739</v>
      </c>
      <c r="F138" s="7" t="s">
        <v>1009</v>
      </c>
      <c r="G138" s="7" t="s">
        <v>275</v>
      </c>
      <c r="H138" s="7" t="s">
        <v>327</v>
      </c>
      <c r="I138" s="7" t="n">
        <v>48</v>
      </c>
      <c r="J138" s="7" t="n">
        <v>73.6</v>
      </c>
      <c r="K138" s="7" t="str">
        <f aca="false">IF(J138&lt;=I138,"Yes","No")</f>
        <v>No</v>
      </c>
      <c r="L138" s="7" t="s">
        <v>1419</v>
      </c>
    </row>
    <row r="139" customFormat="false" ht="15" hidden="false" customHeight="false" outlineLevel="0" collapsed="false">
      <c r="A139" s="7" t="s">
        <v>1879</v>
      </c>
      <c r="B139" s="8" t="n">
        <v>45460</v>
      </c>
      <c r="C139" s="7" t="s">
        <v>65</v>
      </c>
      <c r="D139" s="7" t="s">
        <v>40</v>
      </c>
      <c r="E139" s="7" t="s">
        <v>1773</v>
      </c>
      <c r="F139" s="7" t="s">
        <v>1004</v>
      </c>
      <c r="G139" s="7" t="s">
        <v>312</v>
      </c>
      <c r="H139" s="7" t="s">
        <v>325</v>
      </c>
      <c r="I139" s="7" t="n">
        <v>24</v>
      </c>
      <c r="J139" s="7" t="n">
        <v>27.1</v>
      </c>
      <c r="K139" s="7" t="str">
        <f aca="false">IF(J139&lt;=I139,"Yes","No")</f>
        <v>No</v>
      </c>
      <c r="L139" s="7" t="s">
        <v>1419</v>
      </c>
    </row>
    <row r="140" customFormat="false" ht="15" hidden="false" customHeight="false" outlineLevel="0" collapsed="false">
      <c r="A140" s="7" t="s">
        <v>1880</v>
      </c>
      <c r="B140" s="8" t="n">
        <v>45393</v>
      </c>
      <c r="C140" s="7" t="s">
        <v>79</v>
      </c>
      <c r="D140" s="7" t="s">
        <v>40</v>
      </c>
      <c r="E140" s="7" t="s">
        <v>1741</v>
      </c>
      <c r="F140" s="7" t="s">
        <v>1004</v>
      </c>
      <c r="G140" s="7" t="s">
        <v>178</v>
      </c>
      <c r="H140" s="7" t="s">
        <v>299</v>
      </c>
      <c r="I140" s="7" t="n">
        <v>24</v>
      </c>
      <c r="J140" s="7" t="n">
        <v>0.8</v>
      </c>
      <c r="K140" s="7" t="str">
        <f aca="false">IF(J140&lt;=I140,"Yes","No")</f>
        <v>Yes</v>
      </c>
      <c r="L140" s="7" t="s">
        <v>1419</v>
      </c>
    </row>
    <row r="141" customFormat="false" ht="15" hidden="false" customHeight="false" outlineLevel="0" collapsed="false">
      <c r="A141" s="7" t="s">
        <v>1881</v>
      </c>
      <c r="B141" s="8" t="n">
        <v>45432</v>
      </c>
      <c r="C141" s="7" t="s">
        <v>87</v>
      </c>
      <c r="D141" s="7" t="s">
        <v>40</v>
      </c>
      <c r="E141" s="7" t="s">
        <v>1746</v>
      </c>
      <c r="F141" s="7" t="s">
        <v>1009</v>
      </c>
      <c r="G141" s="7" t="s">
        <v>134</v>
      </c>
      <c r="H141" s="7" t="s">
        <v>316</v>
      </c>
      <c r="I141" s="7" t="n">
        <v>48</v>
      </c>
      <c r="J141" s="7" t="n">
        <v>38.1</v>
      </c>
      <c r="K141" s="7" t="str">
        <f aca="false">IF(J141&lt;=I141,"Yes","No")</f>
        <v>Yes</v>
      </c>
      <c r="L141" s="7" t="s">
        <v>1419</v>
      </c>
    </row>
    <row r="142" customFormat="false" ht="15" hidden="false" customHeight="false" outlineLevel="0" collapsed="false">
      <c r="A142" s="7" t="s">
        <v>1882</v>
      </c>
      <c r="B142" s="8" t="n">
        <v>45455</v>
      </c>
      <c r="C142" s="7" t="s">
        <v>75</v>
      </c>
      <c r="D142" s="7" t="s">
        <v>40</v>
      </c>
      <c r="E142" s="7" t="s">
        <v>1773</v>
      </c>
      <c r="F142" s="7" t="s">
        <v>1009</v>
      </c>
      <c r="G142" s="7" t="s">
        <v>233</v>
      </c>
      <c r="H142" s="7" t="s">
        <v>306</v>
      </c>
      <c r="I142" s="7" t="n">
        <v>48</v>
      </c>
      <c r="J142" s="7" t="n">
        <v>40.7</v>
      </c>
      <c r="K142" s="7" t="str">
        <f aca="false">IF(J142&lt;=I142,"Yes","No")</f>
        <v>Yes</v>
      </c>
      <c r="L142" s="7" t="s">
        <v>1013</v>
      </c>
    </row>
    <row r="143" customFormat="false" ht="15" hidden="false" customHeight="false" outlineLevel="0" collapsed="false">
      <c r="A143" s="7" t="s">
        <v>1883</v>
      </c>
      <c r="B143" s="8" t="n">
        <v>45523</v>
      </c>
      <c r="C143" s="7" t="s">
        <v>65</v>
      </c>
      <c r="D143" s="7" t="s">
        <v>40</v>
      </c>
      <c r="E143" s="7" t="s">
        <v>1739</v>
      </c>
      <c r="F143" s="7" t="s">
        <v>1009</v>
      </c>
      <c r="G143" s="7" t="s">
        <v>310</v>
      </c>
      <c r="H143" s="7" t="s">
        <v>302</v>
      </c>
      <c r="I143" s="7" t="n">
        <v>48</v>
      </c>
      <c r="J143" s="7" t="n">
        <v>49.6</v>
      </c>
      <c r="K143" s="7" t="str">
        <f aca="false">IF(J143&lt;=I143,"Yes","No")</f>
        <v>No</v>
      </c>
      <c r="L143" s="7" t="s">
        <v>1419</v>
      </c>
    </row>
    <row r="144" customFormat="false" ht="15" hidden="false" customHeight="false" outlineLevel="0" collapsed="false">
      <c r="A144" s="7" t="s">
        <v>1884</v>
      </c>
      <c r="B144" s="8" t="n">
        <v>45935</v>
      </c>
      <c r="C144" s="7" t="s">
        <v>87</v>
      </c>
      <c r="D144" s="7" t="s">
        <v>40</v>
      </c>
      <c r="E144" s="7" t="s">
        <v>1739</v>
      </c>
      <c r="F144" s="7" t="s">
        <v>1009</v>
      </c>
      <c r="G144" s="7" t="s">
        <v>377</v>
      </c>
      <c r="H144" s="7" t="s">
        <v>317</v>
      </c>
      <c r="I144" s="7" t="n">
        <v>48</v>
      </c>
      <c r="J144" s="7" t="n">
        <v>44</v>
      </c>
      <c r="K144" s="7" t="str">
        <f aca="false">IF(J144&lt;=I144,"Yes","No")</f>
        <v>Yes</v>
      </c>
      <c r="L144" s="7" t="s">
        <v>1442</v>
      </c>
    </row>
    <row r="145" customFormat="false" ht="15" hidden="false" customHeight="false" outlineLevel="0" collapsed="false">
      <c r="A145" s="7" t="s">
        <v>1885</v>
      </c>
      <c r="B145" s="8" t="n">
        <v>45553</v>
      </c>
      <c r="C145" s="7" t="s">
        <v>83</v>
      </c>
      <c r="D145" s="7" t="s">
        <v>40</v>
      </c>
      <c r="E145" s="7" t="s">
        <v>1737</v>
      </c>
      <c r="F145" s="7" t="s">
        <v>1004</v>
      </c>
      <c r="G145" s="7" t="s">
        <v>231</v>
      </c>
      <c r="H145" s="7" t="s">
        <v>304</v>
      </c>
      <c r="I145" s="7" t="n">
        <v>24</v>
      </c>
      <c r="J145" s="7" t="n">
        <v>21</v>
      </c>
      <c r="K145" s="7" t="str">
        <f aca="false">IF(J145&lt;=I145,"Yes","No")</f>
        <v>Yes</v>
      </c>
      <c r="L145" s="7" t="s">
        <v>1419</v>
      </c>
    </row>
    <row r="146" customFormat="false" ht="15" hidden="false" customHeight="false" outlineLevel="0" collapsed="false">
      <c r="A146" s="7" t="s">
        <v>1886</v>
      </c>
      <c r="B146" s="8" t="n">
        <v>45996</v>
      </c>
      <c r="C146" s="7" t="s">
        <v>71</v>
      </c>
      <c r="D146" s="7" t="s">
        <v>40</v>
      </c>
      <c r="E146" s="7" t="s">
        <v>1739</v>
      </c>
      <c r="F146" s="7" t="s">
        <v>1026</v>
      </c>
      <c r="G146" s="7" t="s">
        <v>422</v>
      </c>
      <c r="H146" s="7" t="s">
        <v>317</v>
      </c>
      <c r="I146" s="7" t="n">
        <v>8</v>
      </c>
      <c r="J146" s="7" t="n">
        <v>6.5</v>
      </c>
      <c r="K146" s="7" t="str">
        <f aca="false">IF(J146&lt;=I146,"Yes","No")</f>
        <v>Yes</v>
      </c>
      <c r="L146" s="7" t="s">
        <v>1419</v>
      </c>
    </row>
    <row r="147" customFormat="false" ht="15" hidden="false" customHeight="false" outlineLevel="0" collapsed="false">
      <c r="A147" s="7" t="s">
        <v>1887</v>
      </c>
      <c r="B147" s="8" t="n">
        <v>45824</v>
      </c>
      <c r="C147" s="7" t="s">
        <v>75</v>
      </c>
      <c r="D147" s="7" t="s">
        <v>40</v>
      </c>
      <c r="E147" s="7" t="s">
        <v>1743</v>
      </c>
      <c r="F147" s="7" t="s">
        <v>1026</v>
      </c>
      <c r="G147" s="7" t="s">
        <v>199</v>
      </c>
      <c r="H147" s="7" t="s">
        <v>308</v>
      </c>
      <c r="I147" s="7" t="n">
        <v>8</v>
      </c>
      <c r="J147" s="7" t="n">
        <v>6.4</v>
      </c>
      <c r="K147" s="7" t="str">
        <f aca="false">IF(J147&lt;=I147,"Yes","No")</f>
        <v>Yes</v>
      </c>
      <c r="L147" s="7" t="s">
        <v>1419</v>
      </c>
    </row>
    <row r="148" customFormat="false" ht="15" hidden="false" customHeight="false" outlineLevel="0" collapsed="false">
      <c r="A148" s="7" t="s">
        <v>1888</v>
      </c>
      <c r="B148" s="8" t="n">
        <v>45314</v>
      </c>
      <c r="C148" s="7" t="s">
        <v>60</v>
      </c>
      <c r="D148" s="7" t="s">
        <v>40</v>
      </c>
      <c r="E148" s="7" t="s">
        <v>1739</v>
      </c>
      <c r="F148" s="7" t="s">
        <v>1004</v>
      </c>
      <c r="G148" s="7" t="s">
        <v>150</v>
      </c>
      <c r="H148" s="7" t="s">
        <v>304</v>
      </c>
      <c r="I148" s="7" t="n">
        <v>24</v>
      </c>
      <c r="J148" s="7" t="n">
        <v>21.2</v>
      </c>
      <c r="K148" s="7" t="str">
        <f aca="false">IF(J148&lt;=I148,"Yes","No")</f>
        <v>Yes</v>
      </c>
      <c r="L148" s="7" t="s">
        <v>1419</v>
      </c>
    </row>
    <row r="149" customFormat="false" ht="15" hidden="false" customHeight="false" outlineLevel="0" collapsed="false">
      <c r="A149" s="7" t="s">
        <v>1889</v>
      </c>
      <c r="B149" s="8" t="n">
        <v>45659</v>
      </c>
      <c r="C149" s="7" t="s">
        <v>71</v>
      </c>
      <c r="D149" s="7" t="s">
        <v>40</v>
      </c>
      <c r="E149" s="7" t="s">
        <v>1743</v>
      </c>
      <c r="F149" s="7" t="s">
        <v>1009</v>
      </c>
      <c r="G149" s="7" t="s">
        <v>323</v>
      </c>
      <c r="H149" s="7" t="s">
        <v>314</v>
      </c>
      <c r="I149" s="7" t="n">
        <v>48</v>
      </c>
      <c r="J149" s="7" t="n">
        <v>39.5</v>
      </c>
      <c r="K149" s="7" t="str">
        <f aca="false">IF(J149&lt;=I149,"Yes","No")</f>
        <v>Yes</v>
      </c>
      <c r="L149" s="7" t="s">
        <v>1419</v>
      </c>
    </row>
    <row r="150" customFormat="false" ht="15" hidden="false" customHeight="false" outlineLevel="0" collapsed="false">
      <c r="A150" s="7" t="s">
        <v>1890</v>
      </c>
      <c r="B150" s="8" t="n">
        <v>45494</v>
      </c>
      <c r="C150" s="7" t="s">
        <v>71</v>
      </c>
      <c r="D150" s="7" t="s">
        <v>40</v>
      </c>
      <c r="E150" s="7" t="s">
        <v>1743</v>
      </c>
      <c r="F150" s="7" t="s">
        <v>1026</v>
      </c>
      <c r="G150" s="7" t="s">
        <v>263</v>
      </c>
      <c r="H150" s="7" t="s">
        <v>304</v>
      </c>
      <c r="I150" s="7" t="n">
        <v>8</v>
      </c>
      <c r="J150" s="7" t="n">
        <v>4.6</v>
      </c>
      <c r="K150" s="7" t="str">
        <f aca="false">IF(J150&lt;=I150,"Yes","No")</f>
        <v>Yes</v>
      </c>
      <c r="L150" s="7" t="s">
        <v>1419</v>
      </c>
    </row>
    <row r="151" customFormat="false" ht="15" hidden="false" customHeight="false" outlineLevel="0" collapsed="false">
      <c r="A151" s="7" t="s">
        <v>1891</v>
      </c>
      <c r="B151" s="8" t="n">
        <v>45426</v>
      </c>
      <c r="C151" s="7" t="s">
        <v>60</v>
      </c>
      <c r="D151" s="7" t="s">
        <v>40</v>
      </c>
      <c r="E151" s="7" t="s">
        <v>1741</v>
      </c>
      <c r="F151" s="7" t="s">
        <v>1004</v>
      </c>
      <c r="G151" s="7" t="s">
        <v>325</v>
      </c>
      <c r="H151" s="7" t="s">
        <v>325</v>
      </c>
      <c r="I151" s="7" t="n">
        <v>24</v>
      </c>
      <c r="J151" s="7" t="n">
        <v>22.5</v>
      </c>
      <c r="K151" s="7" t="str">
        <f aca="false">IF(J151&lt;=I151,"Yes","No")</f>
        <v>Yes</v>
      </c>
      <c r="L151" s="7" t="s">
        <v>1419</v>
      </c>
    </row>
    <row r="152" customFormat="false" ht="15" hidden="false" customHeight="false" outlineLevel="0" collapsed="false">
      <c r="A152" s="7" t="s">
        <v>1892</v>
      </c>
      <c r="B152" s="8" t="n">
        <v>45523</v>
      </c>
      <c r="C152" s="7" t="s">
        <v>75</v>
      </c>
      <c r="D152" s="7" t="s">
        <v>40</v>
      </c>
      <c r="E152" s="7" t="s">
        <v>1743</v>
      </c>
      <c r="F152" s="7" t="s">
        <v>1009</v>
      </c>
      <c r="G152" s="7" t="s">
        <v>247</v>
      </c>
      <c r="H152" s="7" t="s">
        <v>306</v>
      </c>
      <c r="I152" s="7" t="n">
        <v>48</v>
      </c>
      <c r="J152" s="7" t="n">
        <v>17.4</v>
      </c>
      <c r="K152" s="7" t="str">
        <f aca="false">IF(J152&lt;=I152,"Yes","No")</f>
        <v>Yes</v>
      </c>
      <c r="L152" s="7" t="s">
        <v>1419</v>
      </c>
    </row>
    <row r="153" customFormat="false" ht="15" hidden="false" customHeight="false" outlineLevel="0" collapsed="false">
      <c r="A153" s="7" t="s">
        <v>1893</v>
      </c>
      <c r="B153" s="8" t="n">
        <v>45898</v>
      </c>
      <c r="C153" s="7" t="s">
        <v>68</v>
      </c>
      <c r="D153" s="7" t="s">
        <v>40</v>
      </c>
      <c r="E153" s="7" t="s">
        <v>1773</v>
      </c>
      <c r="F153" s="7" t="s">
        <v>1026</v>
      </c>
      <c r="G153" s="7" t="s">
        <v>359</v>
      </c>
      <c r="H153" s="7" t="s">
        <v>310</v>
      </c>
      <c r="I153" s="7" t="n">
        <v>8</v>
      </c>
      <c r="J153" s="7" t="n">
        <v>4.8</v>
      </c>
      <c r="K153" s="7" t="str">
        <f aca="false">IF(J153&lt;=I153,"Yes","No")</f>
        <v>Yes</v>
      </c>
      <c r="L153" s="7" t="s">
        <v>1013</v>
      </c>
    </row>
    <row r="154" customFormat="false" ht="15" hidden="false" customHeight="false" outlineLevel="0" collapsed="false">
      <c r="A154" s="7" t="s">
        <v>1894</v>
      </c>
      <c r="B154" s="8" t="n">
        <v>45581</v>
      </c>
      <c r="C154" s="7" t="s">
        <v>83</v>
      </c>
      <c r="D154" s="7" t="s">
        <v>40</v>
      </c>
      <c r="E154" s="7" t="s">
        <v>1741</v>
      </c>
      <c r="F154" s="7" t="s">
        <v>1004</v>
      </c>
      <c r="G154" s="7" t="s">
        <v>259</v>
      </c>
      <c r="H154" s="7" t="s">
        <v>308</v>
      </c>
      <c r="I154" s="7" t="n">
        <v>24</v>
      </c>
      <c r="J154" s="7" t="n">
        <v>27.3</v>
      </c>
      <c r="K154" s="7" t="str">
        <f aca="false">IF(J154&lt;=I154,"Yes","No")</f>
        <v>No</v>
      </c>
      <c r="L154" s="7" t="s">
        <v>1442</v>
      </c>
    </row>
    <row r="155" customFormat="false" ht="15" hidden="false" customHeight="false" outlineLevel="0" collapsed="false">
      <c r="A155" s="7" t="s">
        <v>1895</v>
      </c>
      <c r="B155" s="8" t="n">
        <v>45571</v>
      </c>
      <c r="C155" s="7" t="s">
        <v>79</v>
      </c>
      <c r="D155" s="7" t="s">
        <v>40</v>
      </c>
      <c r="E155" s="7" t="s">
        <v>1746</v>
      </c>
      <c r="F155" s="7" t="s">
        <v>1026</v>
      </c>
      <c r="G155" s="7" t="s">
        <v>409</v>
      </c>
      <c r="H155" s="7" t="s">
        <v>310</v>
      </c>
      <c r="I155" s="7" t="n">
        <v>8</v>
      </c>
      <c r="J155" s="7" t="n">
        <v>2.6</v>
      </c>
      <c r="K155" s="7" t="str">
        <f aca="false">IF(J155&lt;=I155,"Yes","No")</f>
        <v>Yes</v>
      </c>
      <c r="L155" s="7" t="s">
        <v>1419</v>
      </c>
    </row>
    <row r="156" customFormat="false" ht="15" hidden="false" customHeight="false" outlineLevel="0" collapsed="false">
      <c r="A156" s="7" t="s">
        <v>1896</v>
      </c>
      <c r="B156" s="8" t="n">
        <v>45605</v>
      </c>
      <c r="C156" s="7" t="s">
        <v>79</v>
      </c>
      <c r="D156" s="7" t="s">
        <v>40</v>
      </c>
      <c r="E156" s="7" t="s">
        <v>1746</v>
      </c>
      <c r="F156" s="7" t="s">
        <v>1004</v>
      </c>
      <c r="G156" s="7" t="s">
        <v>165</v>
      </c>
      <c r="H156" s="7" t="s">
        <v>312</v>
      </c>
      <c r="I156" s="7" t="n">
        <v>24</v>
      </c>
      <c r="J156" s="7" t="n">
        <v>14.5</v>
      </c>
      <c r="K156" s="7" t="str">
        <f aca="false">IF(J156&lt;=I156,"Yes","No")</f>
        <v>Yes</v>
      </c>
      <c r="L156" s="7" t="s">
        <v>1419</v>
      </c>
    </row>
    <row r="157" customFormat="false" ht="15" hidden="false" customHeight="false" outlineLevel="0" collapsed="false">
      <c r="A157" s="7" t="s">
        <v>1897</v>
      </c>
      <c r="B157" s="8" t="n">
        <v>45664</v>
      </c>
      <c r="C157" s="7" t="s">
        <v>79</v>
      </c>
      <c r="D157" s="7" t="s">
        <v>40</v>
      </c>
      <c r="E157" s="7" t="s">
        <v>1739</v>
      </c>
      <c r="F157" s="7" t="s">
        <v>1009</v>
      </c>
      <c r="G157" s="7" t="s">
        <v>422</v>
      </c>
      <c r="H157" s="7" t="s">
        <v>314</v>
      </c>
      <c r="I157" s="7" t="n">
        <v>48</v>
      </c>
      <c r="J157" s="7" t="n">
        <v>0.2</v>
      </c>
      <c r="K157" s="7" t="str">
        <f aca="false">IF(J157&lt;=I157,"Yes","No")</f>
        <v>Yes</v>
      </c>
      <c r="L157" s="7" t="s">
        <v>1419</v>
      </c>
    </row>
    <row r="158" customFormat="false" ht="15" hidden="false" customHeight="false" outlineLevel="0" collapsed="false">
      <c r="A158" s="7" t="s">
        <v>1898</v>
      </c>
      <c r="B158" s="8" t="n">
        <v>45691</v>
      </c>
      <c r="C158" s="7" t="s">
        <v>71</v>
      </c>
      <c r="D158" s="7" t="s">
        <v>40</v>
      </c>
      <c r="E158" s="7" t="s">
        <v>1773</v>
      </c>
      <c r="F158" s="7" t="s">
        <v>1436</v>
      </c>
      <c r="G158" s="7" t="s">
        <v>302</v>
      </c>
      <c r="H158" s="7" t="s">
        <v>299</v>
      </c>
      <c r="I158" s="7" t="n">
        <v>4</v>
      </c>
      <c r="J158" s="7" t="n">
        <v>3.4</v>
      </c>
      <c r="K158" s="7" t="str">
        <f aca="false">IF(J158&lt;=I158,"Yes","No")</f>
        <v>Yes</v>
      </c>
      <c r="L158" s="7" t="s">
        <v>1419</v>
      </c>
    </row>
    <row r="159" customFormat="false" ht="15" hidden="false" customHeight="false" outlineLevel="0" collapsed="false">
      <c r="A159" s="7" t="s">
        <v>1899</v>
      </c>
      <c r="B159" s="8" t="n">
        <v>46013</v>
      </c>
      <c r="C159" s="7" t="s">
        <v>60</v>
      </c>
      <c r="D159" s="7" t="s">
        <v>40</v>
      </c>
      <c r="E159" s="7" t="s">
        <v>1741</v>
      </c>
      <c r="F159" s="7" t="s">
        <v>1026</v>
      </c>
      <c r="G159" s="7" t="s">
        <v>327</v>
      </c>
      <c r="H159" s="7" t="s">
        <v>310</v>
      </c>
      <c r="I159" s="7" t="n">
        <v>8</v>
      </c>
      <c r="J159" s="7" t="n">
        <v>10.5</v>
      </c>
      <c r="K159" s="7" t="str">
        <f aca="false">IF(J159&lt;=I159,"Yes","No")</f>
        <v>No</v>
      </c>
      <c r="L159" s="7" t="s">
        <v>1419</v>
      </c>
    </row>
    <row r="160" customFormat="false" ht="15" hidden="false" customHeight="false" outlineLevel="0" collapsed="false">
      <c r="A160" s="7" t="s">
        <v>1900</v>
      </c>
      <c r="B160" s="8" t="n">
        <v>45931</v>
      </c>
      <c r="C160" s="7" t="s">
        <v>79</v>
      </c>
      <c r="D160" s="7" t="s">
        <v>40</v>
      </c>
      <c r="E160" s="7" t="s">
        <v>1737</v>
      </c>
      <c r="F160" s="7" t="s">
        <v>1009</v>
      </c>
      <c r="G160" s="7" t="s">
        <v>345</v>
      </c>
      <c r="H160" s="7" t="s">
        <v>301</v>
      </c>
      <c r="I160" s="7" t="n">
        <v>48</v>
      </c>
      <c r="J160" s="7" t="n">
        <v>48.7</v>
      </c>
      <c r="K160" s="7" t="str">
        <f aca="false">IF(J160&lt;=I160,"Yes","No")</f>
        <v>No</v>
      </c>
      <c r="L160" s="7" t="s">
        <v>1442</v>
      </c>
    </row>
    <row r="161" customFormat="false" ht="15" hidden="false" customHeight="false" outlineLevel="0" collapsed="false">
      <c r="A161" s="7" t="s">
        <v>1901</v>
      </c>
      <c r="B161" s="8" t="n">
        <v>45436</v>
      </c>
      <c r="C161" s="7" t="s">
        <v>75</v>
      </c>
      <c r="D161" s="7" t="s">
        <v>40</v>
      </c>
      <c r="E161" s="7" t="s">
        <v>1737</v>
      </c>
      <c r="F161" s="7" t="s">
        <v>1436</v>
      </c>
      <c r="G161" s="7" t="s">
        <v>277</v>
      </c>
      <c r="H161" s="7" t="s">
        <v>319</v>
      </c>
      <c r="I161" s="7" t="n">
        <v>4</v>
      </c>
      <c r="J161" s="7" t="n">
        <v>2.2</v>
      </c>
      <c r="K161" s="7" t="str">
        <f aca="false">IF(J161&lt;=I161,"Yes","No")</f>
        <v>Yes</v>
      </c>
      <c r="L161" s="7" t="s">
        <v>1419</v>
      </c>
    </row>
    <row r="162" customFormat="false" ht="15" hidden="false" customHeight="false" outlineLevel="0" collapsed="false">
      <c r="A162" s="7" t="s">
        <v>1902</v>
      </c>
      <c r="B162" s="8" t="n">
        <v>45997</v>
      </c>
      <c r="C162" s="7" t="s">
        <v>87</v>
      </c>
      <c r="D162" s="7" t="s">
        <v>40</v>
      </c>
      <c r="E162" s="7" t="s">
        <v>1741</v>
      </c>
      <c r="F162" s="7" t="s">
        <v>1004</v>
      </c>
      <c r="G162" s="7" t="s">
        <v>401</v>
      </c>
      <c r="H162" s="7" t="s">
        <v>308</v>
      </c>
      <c r="I162" s="7" t="n">
        <v>24</v>
      </c>
      <c r="J162" s="7" t="n">
        <v>19</v>
      </c>
      <c r="K162" s="7" t="str">
        <f aca="false">IF(J162&lt;=I162,"Yes","No")</f>
        <v>Yes</v>
      </c>
      <c r="L162" s="7" t="s">
        <v>1419</v>
      </c>
    </row>
    <row r="163" customFormat="false" ht="15" hidden="false" customHeight="false" outlineLevel="0" collapsed="false">
      <c r="A163" s="7" t="s">
        <v>1903</v>
      </c>
      <c r="B163" s="8" t="n">
        <v>45333</v>
      </c>
      <c r="C163" s="7" t="s">
        <v>75</v>
      </c>
      <c r="D163" s="7" t="s">
        <v>40</v>
      </c>
      <c r="E163" s="7" t="s">
        <v>1741</v>
      </c>
      <c r="F163" s="7" t="s">
        <v>1436</v>
      </c>
      <c r="G163" s="7" t="s">
        <v>308</v>
      </c>
      <c r="H163" s="7" t="s">
        <v>316</v>
      </c>
      <c r="I163" s="7" t="n">
        <v>4</v>
      </c>
      <c r="J163" s="7" t="n">
        <v>4.4</v>
      </c>
      <c r="K163" s="7" t="str">
        <f aca="false">IF(J163&lt;=I163,"Yes","No")</f>
        <v>No</v>
      </c>
      <c r="L163" s="7" t="s">
        <v>1419</v>
      </c>
    </row>
    <row r="164" customFormat="false" ht="15" hidden="false" customHeight="false" outlineLevel="0" collapsed="false">
      <c r="A164" s="7" t="s">
        <v>1904</v>
      </c>
      <c r="B164" s="8" t="n">
        <v>45701</v>
      </c>
      <c r="C164" s="7" t="s">
        <v>83</v>
      </c>
      <c r="D164" s="7" t="s">
        <v>40</v>
      </c>
      <c r="E164" s="7" t="s">
        <v>1737</v>
      </c>
      <c r="F164" s="7" t="s">
        <v>1004</v>
      </c>
      <c r="G164" s="7" t="s">
        <v>186</v>
      </c>
      <c r="H164" s="7" t="s">
        <v>301</v>
      </c>
      <c r="I164" s="7" t="n">
        <v>24</v>
      </c>
      <c r="J164" s="7" t="n">
        <v>41.4</v>
      </c>
      <c r="K164" s="7" t="str">
        <f aca="false">IF(J164&lt;=I164,"Yes","No")</f>
        <v>No</v>
      </c>
      <c r="L164" s="7" t="s">
        <v>1419</v>
      </c>
    </row>
    <row r="165" customFormat="false" ht="15" hidden="false" customHeight="false" outlineLevel="0" collapsed="false">
      <c r="A165" s="7" t="s">
        <v>1905</v>
      </c>
      <c r="B165" s="8" t="n">
        <v>45625</v>
      </c>
      <c r="C165" s="7" t="s">
        <v>60</v>
      </c>
      <c r="D165" s="7" t="s">
        <v>40</v>
      </c>
      <c r="E165" s="7" t="s">
        <v>1746</v>
      </c>
      <c r="F165" s="7" t="s">
        <v>1026</v>
      </c>
      <c r="G165" s="7" t="s">
        <v>341</v>
      </c>
      <c r="H165" s="7" t="s">
        <v>327</v>
      </c>
      <c r="I165" s="7" t="n">
        <v>8</v>
      </c>
      <c r="J165" s="7" t="n">
        <v>8.8</v>
      </c>
      <c r="K165" s="7" t="str">
        <f aca="false">IF(J165&lt;=I165,"Yes","No")</f>
        <v>No</v>
      </c>
      <c r="L165" s="7" t="s">
        <v>1419</v>
      </c>
    </row>
    <row r="166" customFormat="false" ht="15" hidden="false" customHeight="false" outlineLevel="0" collapsed="false">
      <c r="A166" s="7" t="s">
        <v>1906</v>
      </c>
      <c r="B166" s="8" t="n">
        <v>45494</v>
      </c>
      <c r="C166" s="7" t="s">
        <v>65</v>
      </c>
      <c r="D166" s="7" t="s">
        <v>40</v>
      </c>
      <c r="E166" s="7" t="s">
        <v>1737</v>
      </c>
      <c r="F166" s="7" t="s">
        <v>1004</v>
      </c>
      <c r="G166" s="7" t="s">
        <v>205</v>
      </c>
      <c r="H166" s="7" t="s">
        <v>325</v>
      </c>
      <c r="I166" s="7" t="n">
        <v>24</v>
      </c>
      <c r="J166" s="7" t="n">
        <v>46.5</v>
      </c>
      <c r="K166" s="7" t="str">
        <f aca="false">IF(J166&lt;=I166,"Yes","No")</f>
        <v>No</v>
      </c>
      <c r="L166" s="7" t="s">
        <v>1419</v>
      </c>
    </row>
    <row r="167" customFormat="false" ht="15" hidden="false" customHeight="false" outlineLevel="0" collapsed="false">
      <c r="A167" s="7" t="s">
        <v>1907</v>
      </c>
      <c r="B167" s="8" t="n">
        <v>45450</v>
      </c>
      <c r="C167" s="7" t="s">
        <v>79</v>
      </c>
      <c r="D167" s="7" t="s">
        <v>40</v>
      </c>
      <c r="E167" s="7" t="s">
        <v>1743</v>
      </c>
      <c r="F167" s="7" t="s">
        <v>1026</v>
      </c>
      <c r="G167" s="7" t="s">
        <v>304</v>
      </c>
      <c r="H167" s="7" t="s">
        <v>302</v>
      </c>
      <c r="I167" s="7" t="n">
        <v>8</v>
      </c>
      <c r="J167" s="7" t="n">
        <v>9.8</v>
      </c>
      <c r="K167" s="7" t="str">
        <f aca="false">IF(J167&lt;=I167,"Yes","No")</f>
        <v>No</v>
      </c>
      <c r="L167" s="7" t="s">
        <v>1419</v>
      </c>
    </row>
    <row r="168" customFormat="false" ht="15" hidden="false" customHeight="false" outlineLevel="0" collapsed="false">
      <c r="A168" s="7" t="s">
        <v>1908</v>
      </c>
      <c r="B168" s="8" t="n">
        <v>45906</v>
      </c>
      <c r="C168" s="7" t="s">
        <v>75</v>
      </c>
      <c r="D168" s="7" t="s">
        <v>40</v>
      </c>
      <c r="E168" s="7" t="s">
        <v>1746</v>
      </c>
      <c r="F168" s="7" t="s">
        <v>1026</v>
      </c>
      <c r="G168" s="7" t="s">
        <v>279</v>
      </c>
      <c r="H168" s="7" t="s">
        <v>323</v>
      </c>
      <c r="I168" s="7" t="n">
        <v>8</v>
      </c>
      <c r="J168" s="7" t="n">
        <v>5.2</v>
      </c>
      <c r="K168" s="7" t="str">
        <f aca="false">IF(J168&lt;=I168,"Yes","No")</f>
        <v>Yes</v>
      </c>
      <c r="L168" s="7" t="s">
        <v>1013</v>
      </c>
    </row>
    <row r="169" customFormat="false" ht="15" hidden="false" customHeight="false" outlineLevel="0" collapsed="false">
      <c r="A169" s="7" t="s">
        <v>1909</v>
      </c>
      <c r="B169" s="8" t="n">
        <v>45967</v>
      </c>
      <c r="C169" s="7" t="s">
        <v>71</v>
      </c>
      <c r="D169" s="7" t="s">
        <v>40</v>
      </c>
      <c r="E169" s="7" t="s">
        <v>1741</v>
      </c>
      <c r="F169" s="7" t="s">
        <v>1026</v>
      </c>
      <c r="G169" s="7" t="s">
        <v>424</v>
      </c>
      <c r="H169" s="7" t="s">
        <v>302</v>
      </c>
      <c r="I169" s="7" t="n">
        <v>8</v>
      </c>
      <c r="J169" s="7" t="n">
        <v>5.5</v>
      </c>
      <c r="K169" s="7" t="str">
        <f aca="false">IF(J169&lt;=I169,"Yes","No")</f>
        <v>Yes</v>
      </c>
      <c r="L169" s="7" t="s">
        <v>1419</v>
      </c>
    </row>
    <row r="170" customFormat="false" ht="15" hidden="false" customHeight="false" outlineLevel="0" collapsed="false">
      <c r="A170" s="7" t="s">
        <v>1910</v>
      </c>
      <c r="B170" s="8" t="n">
        <v>45771</v>
      </c>
      <c r="C170" s="7" t="s">
        <v>60</v>
      </c>
      <c r="D170" s="7" t="s">
        <v>40</v>
      </c>
      <c r="E170" s="7" t="s">
        <v>1773</v>
      </c>
      <c r="F170" s="7" t="s">
        <v>1004</v>
      </c>
      <c r="G170" s="7" t="s">
        <v>431</v>
      </c>
      <c r="H170" s="7" t="s">
        <v>314</v>
      </c>
      <c r="I170" s="7" t="n">
        <v>24</v>
      </c>
      <c r="J170" s="7" t="n">
        <v>15.2</v>
      </c>
      <c r="K170" s="7" t="str">
        <f aca="false">IF(J170&lt;=I170,"Yes","No")</f>
        <v>Yes</v>
      </c>
      <c r="L170" s="7" t="s">
        <v>1419</v>
      </c>
    </row>
    <row r="171" customFormat="false" ht="15" hidden="false" customHeight="false" outlineLevel="0" collapsed="false">
      <c r="A171" s="7" t="s">
        <v>1911</v>
      </c>
      <c r="B171" s="8" t="n">
        <v>45587</v>
      </c>
      <c r="C171" s="7" t="s">
        <v>60</v>
      </c>
      <c r="D171" s="7" t="s">
        <v>40</v>
      </c>
      <c r="E171" s="7" t="s">
        <v>1737</v>
      </c>
      <c r="F171" s="7" t="s">
        <v>1004</v>
      </c>
      <c r="G171" s="7" t="s">
        <v>422</v>
      </c>
      <c r="H171" s="7" t="s">
        <v>321</v>
      </c>
      <c r="I171" s="7" t="n">
        <v>24</v>
      </c>
      <c r="J171" s="7" t="n">
        <v>11.5</v>
      </c>
      <c r="K171" s="7" t="str">
        <f aca="false">IF(J171&lt;=I171,"Yes","No")</f>
        <v>Yes</v>
      </c>
      <c r="L171" s="7" t="s">
        <v>1419</v>
      </c>
    </row>
    <row r="172" customFormat="false" ht="15" hidden="false" customHeight="false" outlineLevel="0" collapsed="false">
      <c r="A172" s="7" t="s">
        <v>1912</v>
      </c>
      <c r="B172" s="8" t="n">
        <v>45387</v>
      </c>
      <c r="C172" s="7" t="s">
        <v>65</v>
      </c>
      <c r="D172" s="7" t="s">
        <v>40</v>
      </c>
      <c r="E172" s="7" t="s">
        <v>1746</v>
      </c>
      <c r="F172" s="7" t="s">
        <v>1026</v>
      </c>
      <c r="G172" s="7" t="s">
        <v>172</v>
      </c>
      <c r="H172" s="7" t="s">
        <v>316</v>
      </c>
      <c r="I172" s="7" t="n">
        <v>8</v>
      </c>
      <c r="J172" s="7" t="n">
        <v>8.7</v>
      </c>
      <c r="K172" s="7" t="str">
        <f aca="false">IF(J172&lt;=I172,"Yes","No")</f>
        <v>No</v>
      </c>
      <c r="L172" s="7" t="s">
        <v>1419</v>
      </c>
    </row>
    <row r="173" customFormat="false" ht="15" hidden="false" customHeight="false" outlineLevel="0" collapsed="false">
      <c r="A173" s="7" t="s">
        <v>1913</v>
      </c>
      <c r="B173" s="8" t="n">
        <v>45454</v>
      </c>
      <c r="C173" s="7" t="s">
        <v>71</v>
      </c>
      <c r="D173" s="7" t="s">
        <v>40</v>
      </c>
      <c r="E173" s="7" t="s">
        <v>1741</v>
      </c>
      <c r="F173" s="7" t="s">
        <v>1009</v>
      </c>
      <c r="G173" s="7" t="s">
        <v>192</v>
      </c>
      <c r="H173" s="7" t="s">
        <v>321</v>
      </c>
      <c r="I173" s="7" t="n">
        <v>48</v>
      </c>
      <c r="J173" s="7" t="n">
        <v>16.4</v>
      </c>
      <c r="K173" s="7" t="str">
        <f aca="false">IF(J173&lt;=I173,"Yes","No")</f>
        <v>Yes</v>
      </c>
      <c r="L173" s="7" t="s">
        <v>1419</v>
      </c>
    </row>
    <row r="174" customFormat="false" ht="15" hidden="false" customHeight="false" outlineLevel="0" collapsed="false">
      <c r="A174" s="7" t="s">
        <v>1914</v>
      </c>
      <c r="B174" s="8" t="n">
        <v>45852</v>
      </c>
      <c r="C174" s="7" t="s">
        <v>75</v>
      </c>
      <c r="D174" s="7" t="s">
        <v>40</v>
      </c>
      <c r="E174" s="7" t="s">
        <v>1739</v>
      </c>
      <c r="F174" s="7" t="s">
        <v>1026</v>
      </c>
      <c r="G174" s="7" t="s">
        <v>277</v>
      </c>
      <c r="H174" s="7" t="s">
        <v>310</v>
      </c>
      <c r="I174" s="7" t="n">
        <v>8</v>
      </c>
      <c r="J174" s="7" t="n">
        <v>6.8</v>
      </c>
      <c r="K174" s="7" t="str">
        <f aca="false">IF(J174&lt;=I174,"Yes","No")</f>
        <v>Yes</v>
      </c>
      <c r="L174" s="7" t="s">
        <v>1419</v>
      </c>
    </row>
    <row r="175" customFormat="false" ht="15" hidden="false" customHeight="false" outlineLevel="0" collapsed="false">
      <c r="A175" s="7" t="s">
        <v>1915</v>
      </c>
      <c r="B175" s="8" t="n">
        <v>45543</v>
      </c>
      <c r="C175" s="7" t="s">
        <v>71</v>
      </c>
      <c r="D175" s="7" t="s">
        <v>40</v>
      </c>
      <c r="E175" s="7" t="s">
        <v>1773</v>
      </c>
      <c r="F175" s="7" t="s">
        <v>1009</v>
      </c>
      <c r="G175" s="7" t="s">
        <v>145</v>
      </c>
      <c r="H175" s="7" t="s">
        <v>319</v>
      </c>
      <c r="I175" s="7" t="n">
        <v>48</v>
      </c>
      <c r="J175" s="7" t="n">
        <v>36.8</v>
      </c>
      <c r="K175" s="7" t="str">
        <f aca="false">IF(J175&lt;=I175,"Yes","No")</f>
        <v>Yes</v>
      </c>
      <c r="L175" s="7" t="s">
        <v>1013</v>
      </c>
    </row>
    <row r="176" customFormat="false" ht="15" hidden="false" customHeight="false" outlineLevel="0" collapsed="false">
      <c r="A176" s="7" t="s">
        <v>1916</v>
      </c>
      <c r="B176" s="8" t="n">
        <v>45903</v>
      </c>
      <c r="C176" s="7" t="s">
        <v>60</v>
      </c>
      <c r="D176" s="7" t="s">
        <v>40</v>
      </c>
      <c r="E176" s="7" t="s">
        <v>1746</v>
      </c>
      <c r="F176" s="7" t="s">
        <v>1009</v>
      </c>
      <c r="G176" s="7" t="s">
        <v>239</v>
      </c>
      <c r="H176" s="7" t="s">
        <v>319</v>
      </c>
      <c r="I176" s="7" t="n">
        <v>48</v>
      </c>
      <c r="J176" s="7" t="n">
        <v>38.9</v>
      </c>
      <c r="K176" s="7" t="str">
        <f aca="false">IF(J176&lt;=I176,"Yes","No")</f>
        <v>Yes</v>
      </c>
      <c r="L176" s="7" t="s">
        <v>1419</v>
      </c>
    </row>
    <row r="177" customFormat="false" ht="15" hidden="false" customHeight="false" outlineLevel="0" collapsed="false">
      <c r="A177" s="7" t="s">
        <v>1917</v>
      </c>
      <c r="B177" s="8" t="n">
        <v>45362</v>
      </c>
      <c r="C177" s="7" t="s">
        <v>60</v>
      </c>
      <c r="D177" s="7" t="s">
        <v>40</v>
      </c>
      <c r="E177" s="7" t="s">
        <v>1737</v>
      </c>
      <c r="F177" s="7" t="s">
        <v>1004</v>
      </c>
      <c r="G177" s="7" t="s">
        <v>259</v>
      </c>
      <c r="H177" s="7" t="s">
        <v>301</v>
      </c>
      <c r="I177" s="7" t="n">
        <v>24</v>
      </c>
      <c r="J177" s="7" t="n">
        <v>15.3</v>
      </c>
      <c r="K177" s="7" t="str">
        <f aca="false">IF(J177&lt;=I177,"Yes","No")</f>
        <v>Yes</v>
      </c>
      <c r="L177" s="7" t="s">
        <v>1419</v>
      </c>
    </row>
    <row r="178" customFormat="false" ht="15" hidden="false" customHeight="false" outlineLevel="0" collapsed="false">
      <c r="A178" s="7" t="s">
        <v>1918</v>
      </c>
      <c r="B178" s="8" t="n">
        <v>45886</v>
      </c>
      <c r="C178" s="7" t="s">
        <v>79</v>
      </c>
      <c r="D178" s="7" t="s">
        <v>40</v>
      </c>
      <c r="E178" s="7" t="s">
        <v>1739</v>
      </c>
      <c r="F178" s="7" t="s">
        <v>1009</v>
      </c>
      <c r="G178" s="7" t="s">
        <v>301</v>
      </c>
      <c r="H178" s="7" t="s">
        <v>325</v>
      </c>
      <c r="I178" s="7" t="n">
        <v>48</v>
      </c>
      <c r="J178" s="7" t="n">
        <v>37.6</v>
      </c>
      <c r="K178" s="7" t="str">
        <f aca="false">IF(J178&lt;=I178,"Yes","No")</f>
        <v>Yes</v>
      </c>
      <c r="L178" s="7" t="s">
        <v>1419</v>
      </c>
    </row>
    <row r="179" customFormat="false" ht="15" hidden="false" customHeight="false" outlineLevel="0" collapsed="false">
      <c r="A179" s="7" t="s">
        <v>1919</v>
      </c>
      <c r="B179" s="8" t="n">
        <v>45430</v>
      </c>
      <c r="C179" s="7" t="s">
        <v>79</v>
      </c>
      <c r="D179" s="7" t="s">
        <v>40</v>
      </c>
      <c r="E179" s="7" t="s">
        <v>1746</v>
      </c>
      <c r="F179" s="7" t="s">
        <v>1436</v>
      </c>
      <c r="G179" s="7" t="s">
        <v>389</v>
      </c>
      <c r="H179" s="7" t="s">
        <v>314</v>
      </c>
      <c r="I179" s="7" t="n">
        <v>4</v>
      </c>
      <c r="J179" s="7" t="n">
        <v>4</v>
      </c>
      <c r="K179" s="7" t="str">
        <f aca="false">IF(J179&lt;=I179,"Yes","No")</f>
        <v>Yes</v>
      </c>
      <c r="L179" s="7" t="s">
        <v>1419</v>
      </c>
    </row>
    <row r="180" customFormat="false" ht="15" hidden="false" customHeight="false" outlineLevel="0" collapsed="false">
      <c r="A180" s="7" t="s">
        <v>1920</v>
      </c>
      <c r="B180" s="8" t="n">
        <v>45764</v>
      </c>
      <c r="C180" s="7" t="s">
        <v>87</v>
      </c>
      <c r="D180" s="7" t="s">
        <v>40</v>
      </c>
      <c r="E180" s="7" t="s">
        <v>1741</v>
      </c>
      <c r="F180" s="7" t="s">
        <v>1026</v>
      </c>
      <c r="G180" s="7" t="s">
        <v>440</v>
      </c>
      <c r="H180" s="7" t="s">
        <v>312</v>
      </c>
      <c r="I180" s="7" t="n">
        <v>8</v>
      </c>
      <c r="J180" s="7" t="n">
        <v>8.7</v>
      </c>
      <c r="K180" s="7" t="str">
        <f aca="false">IF(J180&lt;=I180,"Yes","No")</f>
        <v>No</v>
      </c>
      <c r="L180" s="7" t="s">
        <v>1419</v>
      </c>
    </row>
    <row r="181" customFormat="false" ht="15" hidden="false" customHeight="false" outlineLevel="0" collapsed="false">
      <c r="A181" s="7" t="s">
        <v>1921</v>
      </c>
      <c r="B181" s="8" t="n">
        <v>45451</v>
      </c>
      <c r="C181" s="7" t="s">
        <v>65</v>
      </c>
      <c r="D181" s="7" t="s">
        <v>40</v>
      </c>
      <c r="E181" s="7" t="s">
        <v>1773</v>
      </c>
      <c r="F181" s="7" t="s">
        <v>1436</v>
      </c>
      <c r="G181" s="7" t="s">
        <v>411</v>
      </c>
      <c r="H181" s="7" t="s">
        <v>316</v>
      </c>
      <c r="I181" s="7" t="n">
        <v>4</v>
      </c>
      <c r="J181" s="7" t="n">
        <v>2.3</v>
      </c>
      <c r="K181" s="7" t="str">
        <f aca="false">IF(J181&lt;=I181,"Yes","No")</f>
        <v>Yes</v>
      </c>
      <c r="L181" s="7" t="s">
        <v>1419</v>
      </c>
    </row>
    <row r="182" customFormat="false" ht="15" hidden="false" customHeight="false" outlineLevel="0" collapsed="false">
      <c r="A182" s="7" t="s">
        <v>1922</v>
      </c>
      <c r="B182" s="8" t="n">
        <v>45747</v>
      </c>
      <c r="C182" s="7" t="s">
        <v>68</v>
      </c>
      <c r="D182" s="7" t="s">
        <v>40</v>
      </c>
      <c r="E182" s="7" t="s">
        <v>1737</v>
      </c>
      <c r="F182" s="7" t="s">
        <v>1026</v>
      </c>
      <c r="G182" s="7" t="s">
        <v>197</v>
      </c>
      <c r="H182" s="7" t="s">
        <v>323</v>
      </c>
      <c r="I182" s="7" t="n">
        <v>8</v>
      </c>
      <c r="J182" s="7" t="n">
        <v>4.6</v>
      </c>
      <c r="K182" s="7" t="str">
        <f aca="false">IF(J182&lt;=I182,"Yes","No")</f>
        <v>Yes</v>
      </c>
      <c r="L182" s="7" t="s">
        <v>1442</v>
      </c>
    </row>
    <row r="183" customFormat="false" ht="15" hidden="false" customHeight="false" outlineLevel="0" collapsed="false">
      <c r="A183" s="7" t="s">
        <v>1923</v>
      </c>
      <c r="B183" s="8" t="n">
        <v>45307</v>
      </c>
      <c r="C183" s="7" t="s">
        <v>83</v>
      </c>
      <c r="D183" s="7" t="s">
        <v>40</v>
      </c>
      <c r="E183" s="7" t="s">
        <v>1741</v>
      </c>
      <c r="F183" s="7" t="s">
        <v>1026</v>
      </c>
      <c r="G183" s="7" t="s">
        <v>349</v>
      </c>
      <c r="H183" s="7" t="s">
        <v>310</v>
      </c>
      <c r="I183" s="7" t="n">
        <v>8</v>
      </c>
      <c r="J183" s="7" t="n">
        <v>6.1</v>
      </c>
      <c r="K183" s="7" t="str">
        <f aca="false">IF(J183&lt;=I183,"Yes","No")</f>
        <v>Yes</v>
      </c>
      <c r="L183" s="7" t="s">
        <v>1419</v>
      </c>
    </row>
    <row r="184" customFormat="false" ht="15" hidden="false" customHeight="false" outlineLevel="0" collapsed="false">
      <c r="A184" s="7" t="s">
        <v>1924</v>
      </c>
      <c r="B184" s="8" t="n">
        <v>45332</v>
      </c>
      <c r="C184" s="7" t="s">
        <v>75</v>
      </c>
      <c r="D184" s="7" t="s">
        <v>40</v>
      </c>
      <c r="E184" s="7" t="s">
        <v>1737</v>
      </c>
      <c r="F184" s="7" t="s">
        <v>1026</v>
      </c>
      <c r="G184" s="7" t="s">
        <v>312</v>
      </c>
      <c r="H184" s="7" t="s">
        <v>312</v>
      </c>
      <c r="I184" s="7" t="n">
        <v>8</v>
      </c>
      <c r="J184" s="7" t="n">
        <v>4.5</v>
      </c>
      <c r="K184" s="7" t="str">
        <f aca="false">IF(J184&lt;=I184,"Yes","No")</f>
        <v>Yes</v>
      </c>
      <c r="L184" s="7" t="s">
        <v>1419</v>
      </c>
    </row>
    <row r="185" customFormat="false" ht="15" hidden="false" customHeight="false" outlineLevel="0" collapsed="false">
      <c r="A185" s="7" t="s">
        <v>1925</v>
      </c>
      <c r="B185" s="8" t="n">
        <v>45468</v>
      </c>
      <c r="C185" s="7" t="s">
        <v>65</v>
      </c>
      <c r="D185" s="7" t="s">
        <v>40</v>
      </c>
      <c r="E185" s="7" t="s">
        <v>1773</v>
      </c>
      <c r="F185" s="7" t="s">
        <v>1009</v>
      </c>
      <c r="G185" s="7" t="s">
        <v>223</v>
      </c>
      <c r="H185" s="7" t="s">
        <v>312</v>
      </c>
      <c r="I185" s="7" t="n">
        <v>48</v>
      </c>
      <c r="J185" s="7" t="n">
        <v>26.8</v>
      </c>
      <c r="K185" s="7" t="str">
        <f aca="false">IF(J185&lt;=I185,"Yes","No")</f>
        <v>Yes</v>
      </c>
      <c r="L185" s="7" t="s">
        <v>1419</v>
      </c>
    </row>
    <row r="186" customFormat="false" ht="15" hidden="false" customHeight="false" outlineLevel="0" collapsed="false">
      <c r="A186" s="7" t="s">
        <v>1926</v>
      </c>
      <c r="B186" s="8" t="n">
        <v>45622</v>
      </c>
      <c r="C186" s="7" t="s">
        <v>68</v>
      </c>
      <c r="D186" s="7" t="s">
        <v>40</v>
      </c>
      <c r="E186" s="7" t="s">
        <v>1743</v>
      </c>
      <c r="F186" s="7" t="s">
        <v>1009</v>
      </c>
      <c r="G186" s="7" t="s">
        <v>140</v>
      </c>
      <c r="H186" s="7" t="s">
        <v>314</v>
      </c>
      <c r="I186" s="7" t="n">
        <v>48</v>
      </c>
      <c r="J186" s="7" t="n">
        <v>38</v>
      </c>
      <c r="K186" s="7" t="str">
        <f aca="false">IF(J186&lt;=I186,"Yes","No")</f>
        <v>Yes</v>
      </c>
      <c r="L186" s="7" t="s">
        <v>1419</v>
      </c>
    </row>
    <row r="187" customFormat="false" ht="15" hidden="false" customHeight="false" outlineLevel="0" collapsed="false">
      <c r="A187" s="7" t="s">
        <v>1927</v>
      </c>
      <c r="B187" s="8" t="n">
        <v>45970</v>
      </c>
      <c r="C187" s="7" t="s">
        <v>71</v>
      </c>
      <c r="D187" s="7" t="s">
        <v>40</v>
      </c>
      <c r="E187" s="7" t="s">
        <v>1746</v>
      </c>
      <c r="F187" s="7" t="s">
        <v>1009</v>
      </c>
      <c r="G187" s="7" t="s">
        <v>261</v>
      </c>
      <c r="H187" s="7" t="s">
        <v>304</v>
      </c>
      <c r="I187" s="7" t="n">
        <v>48</v>
      </c>
      <c r="J187" s="7" t="n">
        <v>57.8</v>
      </c>
      <c r="K187" s="7" t="str">
        <f aca="false">IF(J187&lt;=I187,"Yes","No")</f>
        <v>No</v>
      </c>
      <c r="L187" s="7" t="s">
        <v>1419</v>
      </c>
    </row>
    <row r="188" customFormat="false" ht="15" hidden="false" customHeight="false" outlineLevel="0" collapsed="false">
      <c r="A188" s="7" t="s">
        <v>1928</v>
      </c>
      <c r="B188" s="8" t="n">
        <v>45386</v>
      </c>
      <c r="C188" s="7" t="s">
        <v>60</v>
      </c>
      <c r="D188" s="7" t="s">
        <v>40</v>
      </c>
      <c r="E188" s="7" t="s">
        <v>1741</v>
      </c>
      <c r="F188" s="7" t="s">
        <v>1009</v>
      </c>
      <c r="G188" s="7" t="s">
        <v>227</v>
      </c>
      <c r="H188" s="7" t="s">
        <v>301</v>
      </c>
      <c r="I188" s="7" t="n">
        <v>48</v>
      </c>
      <c r="J188" s="7" t="n">
        <v>28</v>
      </c>
      <c r="K188" s="7" t="str">
        <f aca="false">IF(J188&lt;=I188,"Yes","No")</f>
        <v>Yes</v>
      </c>
      <c r="L188" s="7" t="s">
        <v>1419</v>
      </c>
    </row>
    <row r="189" customFormat="false" ht="15" hidden="false" customHeight="false" outlineLevel="0" collapsed="false">
      <c r="A189" s="7" t="s">
        <v>1929</v>
      </c>
      <c r="B189" s="8" t="n">
        <v>45496</v>
      </c>
      <c r="C189" s="7" t="s">
        <v>75</v>
      </c>
      <c r="D189" s="7" t="s">
        <v>40</v>
      </c>
      <c r="E189" s="7" t="s">
        <v>1739</v>
      </c>
      <c r="F189" s="7" t="s">
        <v>1009</v>
      </c>
      <c r="G189" s="7" t="s">
        <v>401</v>
      </c>
      <c r="H189" s="7" t="s">
        <v>314</v>
      </c>
      <c r="I189" s="7" t="n">
        <v>48</v>
      </c>
      <c r="J189" s="7" t="n">
        <v>50.6</v>
      </c>
      <c r="K189" s="7" t="str">
        <f aca="false">IF(J189&lt;=I189,"Yes","No")</f>
        <v>No</v>
      </c>
      <c r="L189" s="7" t="s">
        <v>1419</v>
      </c>
    </row>
    <row r="190" customFormat="false" ht="15" hidden="false" customHeight="false" outlineLevel="0" collapsed="false">
      <c r="A190" s="7" t="s">
        <v>1930</v>
      </c>
      <c r="B190" s="8" t="n">
        <v>45847</v>
      </c>
      <c r="C190" s="7" t="s">
        <v>71</v>
      </c>
      <c r="D190" s="7" t="s">
        <v>40</v>
      </c>
      <c r="E190" s="7" t="s">
        <v>1743</v>
      </c>
      <c r="F190" s="7" t="s">
        <v>1009</v>
      </c>
      <c r="G190" s="7" t="s">
        <v>393</v>
      </c>
      <c r="H190" s="7" t="s">
        <v>321</v>
      </c>
      <c r="I190" s="7" t="n">
        <v>48</v>
      </c>
      <c r="J190" s="7" t="n">
        <v>76.6</v>
      </c>
      <c r="K190" s="7" t="str">
        <f aca="false">IF(J190&lt;=I190,"Yes","No")</f>
        <v>No</v>
      </c>
      <c r="L190" s="7" t="s">
        <v>1013</v>
      </c>
    </row>
    <row r="191" customFormat="false" ht="15" hidden="false" customHeight="false" outlineLevel="0" collapsed="false">
      <c r="A191" s="7" t="s">
        <v>1931</v>
      </c>
      <c r="B191" s="8" t="n">
        <v>45812</v>
      </c>
      <c r="C191" s="7" t="s">
        <v>60</v>
      </c>
      <c r="D191" s="7" t="s">
        <v>40</v>
      </c>
      <c r="E191" s="7" t="s">
        <v>1773</v>
      </c>
      <c r="F191" s="7" t="s">
        <v>1026</v>
      </c>
      <c r="G191" s="7" t="s">
        <v>413</v>
      </c>
      <c r="H191" s="7" t="s">
        <v>304</v>
      </c>
      <c r="I191" s="7" t="n">
        <v>8</v>
      </c>
      <c r="J191" s="7" t="n">
        <v>3.2</v>
      </c>
      <c r="K191" s="7" t="str">
        <f aca="false">IF(J191&lt;=I191,"Yes","No")</f>
        <v>Yes</v>
      </c>
      <c r="L191" s="7" t="s">
        <v>1419</v>
      </c>
    </row>
    <row r="192" customFormat="false" ht="15" hidden="false" customHeight="false" outlineLevel="0" collapsed="false">
      <c r="A192" s="7" t="s">
        <v>1932</v>
      </c>
      <c r="B192" s="8" t="n">
        <v>45838</v>
      </c>
      <c r="C192" s="7" t="s">
        <v>87</v>
      </c>
      <c r="D192" s="7" t="s">
        <v>40</v>
      </c>
      <c r="E192" s="7" t="s">
        <v>1743</v>
      </c>
      <c r="F192" s="7" t="s">
        <v>1009</v>
      </c>
      <c r="G192" s="7" t="s">
        <v>325</v>
      </c>
      <c r="H192" s="7" t="s">
        <v>321</v>
      </c>
      <c r="I192" s="7" t="n">
        <v>48</v>
      </c>
      <c r="J192" s="7" t="n">
        <v>37.1</v>
      </c>
      <c r="K192" s="7" t="str">
        <f aca="false">IF(J192&lt;=I192,"Yes","No")</f>
        <v>Yes</v>
      </c>
      <c r="L192" s="7" t="s">
        <v>1419</v>
      </c>
    </row>
    <row r="193" customFormat="false" ht="15" hidden="false" customHeight="false" outlineLevel="0" collapsed="false">
      <c r="A193" s="7" t="s">
        <v>1933</v>
      </c>
      <c r="B193" s="8" t="n">
        <v>45300</v>
      </c>
      <c r="C193" s="7" t="s">
        <v>60</v>
      </c>
      <c r="D193" s="7" t="s">
        <v>40</v>
      </c>
      <c r="E193" s="7" t="s">
        <v>1737</v>
      </c>
      <c r="F193" s="7" t="s">
        <v>1004</v>
      </c>
      <c r="G193" s="7" t="s">
        <v>148</v>
      </c>
      <c r="H193" s="7" t="s">
        <v>321</v>
      </c>
      <c r="I193" s="7" t="n">
        <v>24</v>
      </c>
      <c r="J193" s="7" t="n">
        <v>19.4</v>
      </c>
      <c r="K193" s="7" t="str">
        <f aca="false">IF(J193&lt;=I193,"Yes","No")</f>
        <v>Yes</v>
      </c>
      <c r="L193" s="7" t="s">
        <v>1419</v>
      </c>
    </row>
    <row r="194" customFormat="false" ht="15" hidden="false" customHeight="false" outlineLevel="0" collapsed="false">
      <c r="A194" s="7" t="s">
        <v>1934</v>
      </c>
      <c r="B194" s="8" t="n">
        <v>45671</v>
      </c>
      <c r="C194" s="7" t="s">
        <v>65</v>
      </c>
      <c r="D194" s="7" t="s">
        <v>40</v>
      </c>
      <c r="E194" s="7" t="s">
        <v>1737</v>
      </c>
      <c r="F194" s="7" t="s">
        <v>1009</v>
      </c>
      <c r="G194" s="7" t="s">
        <v>355</v>
      </c>
      <c r="H194" s="7" t="s">
        <v>321</v>
      </c>
      <c r="I194" s="7" t="n">
        <v>48</v>
      </c>
      <c r="J194" s="7" t="n">
        <v>36</v>
      </c>
      <c r="K194" s="7" t="str">
        <f aca="false">IF(J194&lt;=I194,"Yes","No")</f>
        <v>Yes</v>
      </c>
      <c r="L194" s="7" t="s">
        <v>1419</v>
      </c>
    </row>
    <row r="195" customFormat="false" ht="15" hidden="false" customHeight="false" outlineLevel="0" collapsed="false">
      <c r="A195" s="7" t="s">
        <v>1935</v>
      </c>
      <c r="B195" s="8" t="n">
        <v>45862</v>
      </c>
      <c r="C195" s="7" t="s">
        <v>65</v>
      </c>
      <c r="D195" s="7" t="s">
        <v>40</v>
      </c>
      <c r="E195" s="7" t="s">
        <v>1773</v>
      </c>
      <c r="F195" s="7" t="s">
        <v>1004</v>
      </c>
      <c r="G195" s="7" t="s">
        <v>259</v>
      </c>
      <c r="H195" s="7" t="s">
        <v>301</v>
      </c>
      <c r="I195" s="7" t="n">
        <v>24</v>
      </c>
      <c r="J195" s="7" t="n">
        <v>14.2</v>
      </c>
      <c r="K195" s="7" t="str">
        <f aca="false">IF(J195&lt;=I195,"Yes","No")</f>
        <v>Yes</v>
      </c>
      <c r="L195" s="7" t="s">
        <v>1419</v>
      </c>
    </row>
    <row r="196" customFormat="false" ht="15" hidden="false" customHeight="false" outlineLevel="0" collapsed="false">
      <c r="A196" s="7" t="s">
        <v>1936</v>
      </c>
      <c r="B196" s="8" t="n">
        <v>45581</v>
      </c>
      <c r="C196" s="7" t="s">
        <v>79</v>
      </c>
      <c r="D196" s="7" t="s">
        <v>40</v>
      </c>
      <c r="E196" s="7" t="s">
        <v>1746</v>
      </c>
      <c r="F196" s="7" t="s">
        <v>1004</v>
      </c>
      <c r="G196" s="7" t="s">
        <v>343</v>
      </c>
      <c r="H196" s="7" t="s">
        <v>310</v>
      </c>
      <c r="I196" s="7" t="n">
        <v>24</v>
      </c>
      <c r="J196" s="7" t="n">
        <v>23.7</v>
      </c>
      <c r="K196" s="7" t="str">
        <f aca="false">IF(J196&lt;=I196,"Yes","No")</f>
        <v>Yes</v>
      </c>
      <c r="L196" s="7" t="s">
        <v>1419</v>
      </c>
    </row>
    <row r="197" customFormat="false" ht="15" hidden="false" customHeight="false" outlineLevel="0" collapsed="false">
      <c r="A197" s="7" t="s">
        <v>1937</v>
      </c>
      <c r="B197" s="8" t="n">
        <v>45702</v>
      </c>
      <c r="C197" s="7" t="s">
        <v>83</v>
      </c>
      <c r="D197" s="7" t="s">
        <v>40</v>
      </c>
      <c r="E197" s="7" t="s">
        <v>1743</v>
      </c>
      <c r="F197" s="7" t="s">
        <v>1436</v>
      </c>
      <c r="G197" s="7" t="s">
        <v>308</v>
      </c>
      <c r="H197" s="7" t="s">
        <v>317</v>
      </c>
      <c r="I197" s="7" t="n">
        <v>4</v>
      </c>
      <c r="J197" s="7" t="n">
        <v>4.1</v>
      </c>
      <c r="K197" s="7" t="str">
        <f aca="false">IF(J197&lt;=I197,"Yes","No")</f>
        <v>No</v>
      </c>
      <c r="L197" s="7" t="s">
        <v>1419</v>
      </c>
    </row>
    <row r="198" customFormat="false" ht="15" hidden="false" customHeight="false" outlineLevel="0" collapsed="false">
      <c r="A198" s="7" t="s">
        <v>1938</v>
      </c>
      <c r="B198" s="8" t="n">
        <v>45337</v>
      </c>
      <c r="C198" s="7" t="s">
        <v>87</v>
      </c>
      <c r="D198" s="7" t="s">
        <v>40</v>
      </c>
      <c r="E198" s="7" t="s">
        <v>1773</v>
      </c>
      <c r="F198" s="7" t="s">
        <v>1436</v>
      </c>
      <c r="G198" s="7" t="s">
        <v>375</v>
      </c>
      <c r="H198" s="7" t="s">
        <v>327</v>
      </c>
      <c r="I198" s="7" t="n">
        <v>4</v>
      </c>
      <c r="J198" s="7" t="n">
        <v>0.2</v>
      </c>
      <c r="K198" s="7" t="str">
        <f aca="false">IF(J198&lt;=I198,"Yes","No")</f>
        <v>Yes</v>
      </c>
      <c r="L198" s="7" t="s">
        <v>1419</v>
      </c>
    </row>
    <row r="199" customFormat="false" ht="15" hidden="false" customHeight="false" outlineLevel="0" collapsed="false">
      <c r="A199" s="7" t="s">
        <v>1939</v>
      </c>
      <c r="B199" s="8" t="n">
        <v>45653</v>
      </c>
      <c r="C199" s="7" t="s">
        <v>79</v>
      </c>
      <c r="D199" s="7" t="s">
        <v>40</v>
      </c>
      <c r="E199" s="7" t="s">
        <v>1739</v>
      </c>
      <c r="F199" s="7" t="s">
        <v>1009</v>
      </c>
      <c r="G199" s="7" t="s">
        <v>402</v>
      </c>
      <c r="H199" s="7" t="s">
        <v>314</v>
      </c>
      <c r="I199" s="7" t="n">
        <v>48</v>
      </c>
      <c r="J199" s="7" t="n">
        <v>4.4</v>
      </c>
      <c r="K199" s="7" t="str">
        <f aca="false">IF(J199&lt;=I199,"Yes","No")</f>
        <v>Yes</v>
      </c>
      <c r="L199" s="7" t="s">
        <v>1419</v>
      </c>
    </row>
    <row r="200" customFormat="false" ht="15" hidden="false" customHeight="false" outlineLevel="0" collapsed="false">
      <c r="A200" s="7" t="s">
        <v>1940</v>
      </c>
      <c r="B200" s="8" t="n">
        <v>45432</v>
      </c>
      <c r="C200" s="7" t="s">
        <v>68</v>
      </c>
      <c r="D200" s="7" t="s">
        <v>40</v>
      </c>
      <c r="E200" s="7" t="s">
        <v>1741</v>
      </c>
      <c r="F200" s="7" t="s">
        <v>1026</v>
      </c>
      <c r="G200" s="7" t="s">
        <v>163</v>
      </c>
      <c r="H200" s="7" t="s">
        <v>302</v>
      </c>
      <c r="I200" s="7" t="n">
        <v>8</v>
      </c>
      <c r="J200" s="7" t="n">
        <v>0.9</v>
      </c>
      <c r="K200" s="7" t="str">
        <f aca="false">IF(J200&lt;=I200,"Yes","No")</f>
        <v>Yes</v>
      </c>
      <c r="L200" s="7" t="s">
        <v>1013</v>
      </c>
    </row>
    <row r="201" customFormat="false" ht="15" hidden="false" customHeight="false" outlineLevel="0" collapsed="false">
      <c r="A201" s="7" t="s">
        <v>1941</v>
      </c>
      <c r="B201" s="8" t="n">
        <v>45655</v>
      </c>
      <c r="C201" s="7" t="s">
        <v>75</v>
      </c>
      <c r="D201" s="7" t="s">
        <v>40</v>
      </c>
      <c r="E201" s="7" t="s">
        <v>1743</v>
      </c>
      <c r="F201" s="7" t="s">
        <v>1004</v>
      </c>
      <c r="G201" s="7" t="s">
        <v>373</v>
      </c>
      <c r="H201" s="7" t="s">
        <v>302</v>
      </c>
      <c r="I201" s="7" t="n">
        <v>24</v>
      </c>
      <c r="J201" s="7" t="n">
        <v>20.4</v>
      </c>
      <c r="K201" s="7" t="str">
        <f aca="false">IF(J201&lt;=I201,"Yes","No")</f>
        <v>Yes</v>
      </c>
      <c r="L201" s="7" t="s">
        <v>1419</v>
      </c>
    </row>
    <row r="202" customFormat="false" ht="15" hidden="false" customHeight="false" outlineLevel="0" collapsed="false">
      <c r="A202" s="7" t="s">
        <v>1942</v>
      </c>
      <c r="B202" s="8" t="n">
        <v>45308</v>
      </c>
      <c r="C202" s="7" t="s">
        <v>60</v>
      </c>
      <c r="D202" s="7" t="s">
        <v>40</v>
      </c>
      <c r="E202" s="7" t="s">
        <v>1741</v>
      </c>
      <c r="F202" s="7" t="s">
        <v>1004</v>
      </c>
      <c r="G202" s="7" t="s">
        <v>363</v>
      </c>
      <c r="H202" s="7" t="s">
        <v>299</v>
      </c>
      <c r="I202" s="7" t="n">
        <v>24</v>
      </c>
      <c r="J202" s="7" t="n">
        <v>28.7</v>
      </c>
      <c r="K202" s="7" t="str">
        <f aca="false">IF(J202&lt;=I202,"Yes","No")</f>
        <v>No</v>
      </c>
      <c r="L202" s="7" t="s">
        <v>1442</v>
      </c>
    </row>
    <row r="203" customFormat="false" ht="15" hidden="false" customHeight="false" outlineLevel="0" collapsed="false">
      <c r="A203" s="7" t="s">
        <v>1943</v>
      </c>
      <c r="B203" s="8" t="n">
        <v>45617</v>
      </c>
      <c r="C203" s="7" t="s">
        <v>60</v>
      </c>
      <c r="D203" s="7" t="s">
        <v>40</v>
      </c>
      <c r="E203" s="7" t="s">
        <v>1739</v>
      </c>
      <c r="F203" s="7" t="s">
        <v>1026</v>
      </c>
      <c r="G203" s="7" t="s">
        <v>331</v>
      </c>
      <c r="H203" s="7" t="s">
        <v>301</v>
      </c>
      <c r="I203" s="7" t="n">
        <v>8</v>
      </c>
      <c r="J203" s="7" t="n">
        <v>0.2</v>
      </c>
      <c r="K203" s="7" t="str">
        <f aca="false">IF(J203&lt;=I203,"Yes","No")</f>
        <v>Yes</v>
      </c>
      <c r="L203" s="7" t="s">
        <v>1419</v>
      </c>
    </row>
    <row r="204" customFormat="false" ht="15" hidden="false" customHeight="false" outlineLevel="0" collapsed="false">
      <c r="A204" s="7" t="s">
        <v>1944</v>
      </c>
      <c r="B204" s="8" t="n">
        <v>45799</v>
      </c>
      <c r="C204" s="7" t="s">
        <v>75</v>
      </c>
      <c r="D204" s="7" t="s">
        <v>40</v>
      </c>
      <c r="E204" s="7" t="s">
        <v>1737</v>
      </c>
      <c r="F204" s="7" t="s">
        <v>1009</v>
      </c>
      <c r="G204" s="7" t="s">
        <v>317</v>
      </c>
      <c r="H204" s="7" t="s">
        <v>312</v>
      </c>
      <c r="I204" s="7" t="n">
        <v>48</v>
      </c>
      <c r="J204" s="7" t="n">
        <v>38.6</v>
      </c>
      <c r="K204" s="7" t="str">
        <f aca="false">IF(J204&lt;=I204,"Yes","No")</f>
        <v>Yes</v>
      </c>
      <c r="L204" s="7" t="s">
        <v>1419</v>
      </c>
    </row>
    <row r="205" customFormat="false" ht="15" hidden="false" customHeight="false" outlineLevel="0" collapsed="false">
      <c r="A205" s="7" t="s">
        <v>1945</v>
      </c>
      <c r="B205" s="8" t="n">
        <v>45466</v>
      </c>
      <c r="C205" s="7" t="s">
        <v>71</v>
      </c>
      <c r="D205" s="7" t="s">
        <v>40</v>
      </c>
      <c r="E205" s="7" t="s">
        <v>1737</v>
      </c>
      <c r="F205" s="7" t="s">
        <v>1004</v>
      </c>
      <c r="G205" s="7" t="s">
        <v>241</v>
      </c>
      <c r="H205" s="7" t="s">
        <v>312</v>
      </c>
      <c r="I205" s="7" t="n">
        <v>24</v>
      </c>
      <c r="J205" s="7" t="n">
        <v>39.3</v>
      </c>
      <c r="K205" s="7" t="str">
        <f aca="false">IF(J205&lt;=I205,"Yes","No")</f>
        <v>No</v>
      </c>
      <c r="L205" s="7" t="s">
        <v>1419</v>
      </c>
    </row>
    <row r="206" customFormat="false" ht="15" hidden="false" customHeight="false" outlineLevel="0" collapsed="false">
      <c r="A206" s="7" t="s">
        <v>1946</v>
      </c>
      <c r="B206" s="8" t="n">
        <v>45690</v>
      </c>
      <c r="C206" s="7" t="s">
        <v>71</v>
      </c>
      <c r="D206" s="7" t="s">
        <v>40</v>
      </c>
      <c r="E206" s="7" t="s">
        <v>1743</v>
      </c>
      <c r="F206" s="7" t="s">
        <v>1026</v>
      </c>
      <c r="G206" s="7" t="s">
        <v>257</v>
      </c>
      <c r="H206" s="7" t="s">
        <v>327</v>
      </c>
      <c r="I206" s="7" t="n">
        <v>8</v>
      </c>
      <c r="J206" s="7" t="n">
        <v>6.1</v>
      </c>
      <c r="K206" s="7" t="str">
        <f aca="false">IF(J206&lt;=I206,"Yes","No")</f>
        <v>Yes</v>
      </c>
      <c r="L206" s="7" t="s">
        <v>1419</v>
      </c>
    </row>
    <row r="207" customFormat="false" ht="15" hidden="false" customHeight="false" outlineLevel="0" collapsed="false">
      <c r="A207" s="7" t="s">
        <v>1947</v>
      </c>
      <c r="B207" s="8" t="n">
        <v>45333</v>
      </c>
      <c r="C207" s="7" t="s">
        <v>65</v>
      </c>
      <c r="D207" s="7" t="s">
        <v>40</v>
      </c>
      <c r="E207" s="7" t="s">
        <v>1743</v>
      </c>
      <c r="F207" s="7" t="s">
        <v>1009</v>
      </c>
      <c r="G207" s="7" t="s">
        <v>265</v>
      </c>
      <c r="H207" s="7" t="s">
        <v>301</v>
      </c>
      <c r="I207" s="7" t="n">
        <v>48</v>
      </c>
      <c r="J207" s="7" t="n">
        <v>58.3</v>
      </c>
      <c r="K207" s="7" t="str">
        <f aca="false">IF(J207&lt;=I207,"Yes","No")</f>
        <v>No</v>
      </c>
      <c r="L207" s="7" t="s">
        <v>1419</v>
      </c>
    </row>
    <row r="208" customFormat="false" ht="15" hidden="false" customHeight="false" outlineLevel="0" collapsed="false">
      <c r="A208" s="7" t="s">
        <v>1948</v>
      </c>
      <c r="B208" s="8" t="n">
        <v>45502</v>
      </c>
      <c r="C208" s="7" t="s">
        <v>75</v>
      </c>
      <c r="D208" s="7" t="s">
        <v>40</v>
      </c>
      <c r="E208" s="7" t="s">
        <v>1743</v>
      </c>
      <c r="F208" s="7" t="s">
        <v>1004</v>
      </c>
      <c r="G208" s="7" t="s">
        <v>428</v>
      </c>
      <c r="H208" s="7" t="s">
        <v>317</v>
      </c>
      <c r="I208" s="7" t="n">
        <v>24</v>
      </c>
      <c r="J208" s="7" t="n">
        <v>10.4</v>
      </c>
      <c r="K208" s="7" t="str">
        <f aca="false">IF(J208&lt;=I208,"Yes","No")</f>
        <v>Yes</v>
      </c>
      <c r="L208" s="7" t="s">
        <v>1419</v>
      </c>
    </row>
    <row r="209" customFormat="false" ht="15" hidden="false" customHeight="false" outlineLevel="0" collapsed="false">
      <c r="A209" s="7" t="s">
        <v>1949</v>
      </c>
      <c r="B209" s="8" t="n">
        <v>45784</v>
      </c>
      <c r="C209" s="7" t="s">
        <v>83</v>
      </c>
      <c r="D209" s="7" t="s">
        <v>40</v>
      </c>
      <c r="E209" s="7" t="s">
        <v>1739</v>
      </c>
      <c r="F209" s="7" t="s">
        <v>1004</v>
      </c>
      <c r="G209" s="7" t="s">
        <v>438</v>
      </c>
      <c r="H209" s="7" t="s">
        <v>308</v>
      </c>
      <c r="I209" s="7" t="n">
        <v>24</v>
      </c>
      <c r="J209" s="7" t="n">
        <v>17.8</v>
      </c>
      <c r="K209" s="7" t="str">
        <f aca="false">IF(J209&lt;=I209,"Yes","No")</f>
        <v>Yes</v>
      </c>
      <c r="L209" s="7" t="s">
        <v>1419</v>
      </c>
    </row>
    <row r="210" customFormat="false" ht="15" hidden="false" customHeight="false" outlineLevel="0" collapsed="false">
      <c r="A210" s="7" t="s">
        <v>1950</v>
      </c>
      <c r="B210" s="8" t="n">
        <v>45793</v>
      </c>
      <c r="C210" s="7" t="s">
        <v>87</v>
      </c>
      <c r="D210" s="7" t="s">
        <v>40</v>
      </c>
      <c r="E210" s="7" t="s">
        <v>1773</v>
      </c>
      <c r="F210" s="7" t="s">
        <v>1026</v>
      </c>
      <c r="G210" s="7" t="s">
        <v>273</v>
      </c>
      <c r="H210" s="7" t="s">
        <v>325</v>
      </c>
      <c r="I210" s="7" t="n">
        <v>8</v>
      </c>
      <c r="J210" s="7" t="n">
        <v>5.3</v>
      </c>
      <c r="K210" s="7" t="str">
        <f aca="false">IF(J210&lt;=I210,"Yes","No")</f>
        <v>Yes</v>
      </c>
      <c r="L210" s="7" t="s">
        <v>1419</v>
      </c>
    </row>
    <row r="211" customFormat="false" ht="15" hidden="false" customHeight="false" outlineLevel="0" collapsed="false">
      <c r="A211" s="7" t="s">
        <v>1951</v>
      </c>
      <c r="B211" s="8" t="n">
        <v>45638</v>
      </c>
      <c r="C211" s="7" t="s">
        <v>75</v>
      </c>
      <c r="D211" s="7" t="s">
        <v>40</v>
      </c>
      <c r="E211" s="7" t="s">
        <v>1739</v>
      </c>
      <c r="F211" s="7" t="s">
        <v>1009</v>
      </c>
      <c r="G211" s="7" t="s">
        <v>227</v>
      </c>
      <c r="H211" s="7" t="s">
        <v>314</v>
      </c>
      <c r="I211" s="7" t="n">
        <v>48</v>
      </c>
      <c r="J211" s="7" t="n">
        <v>52.1</v>
      </c>
      <c r="K211" s="7" t="str">
        <f aca="false">IF(J211&lt;=I211,"Yes","No")</f>
        <v>No</v>
      </c>
      <c r="L211" s="7" t="s">
        <v>1419</v>
      </c>
    </row>
    <row r="212" customFormat="false" ht="15" hidden="false" customHeight="false" outlineLevel="0" collapsed="false">
      <c r="A212" s="7" t="s">
        <v>1952</v>
      </c>
      <c r="B212" s="8" t="n">
        <v>45350</v>
      </c>
      <c r="C212" s="7" t="s">
        <v>87</v>
      </c>
      <c r="D212" s="7" t="s">
        <v>40</v>
      </c>
      <c r="E212" s="7" t="s">
        <v>1737</v>
      </c>
      <c r="F212" s="7" t="s">
        <v>1009</v>
      </c>
      <c r="G212" s="7" t="s">
        <v>221</v>
      </c>
      <c r="H212" s="7" t="s">
        <v>312</v>
      </c>
      <c r="I212" s="7" t="n">
        <v>48</v>
      </c>
      <c r="J212" s="7" t="n">
        <v>71.8</v>
      </c>
      <c r="K212" s="7" t="str">
        <f aca="false">IF(J212&lt;=I212,"Yes","No")</f>
        <v>No</v>
      </c>
      <c r="L212" s="7" t="s">
        <v>1442</v>
      </c>
    </row>
    <row r="213" customFormat="false" ht="15" hidden="false" customHeight="false" outlineLevel="0" collapsed="false">
      <c r="A213" s="7" t="s">
        <v>1953</v>
      </c>
      <c r="B213" s="8" t="n">
        <v>45549</v>
      </c>
      <c r="C213" s="7" t="s">
        <v>65</v>
      </c>
      <c r="D213" s="7" t="s">
        <v>40</v>
      </c>
      <c r="E213" s="7" t="s">
        <v>1743</v>
      </c>
      <c r="F213" s="7" t="s">
        <v>1026</v>
      </c>
      <c r="G213" s="7" t="s">
        <v>277</v>
      </c>
      <c r="H213" s="7" t="s">
        <v>312</v>
      </c>
      <c r="I213" s="7" t="n">
        <v>8</v>
      </c>
      <c r="J213" s="7" t="n">
        <v>7.6</v>
      </c>
      <c r="K213" s="7" t="str">
        <f aca="false">IF(J213&lt;=I213,"Yes","No")</f>
        <v>Yes</v>
      </c>
      <c r="L213" s="7" t="s">
        <v>1419</v>
      </c>
    </row>
    <row r="214" customFormat="false" ht="15" hidden="false" customHeight="false" outlineLevel="0" collapsed="false">
      <c r="A214" s="7" t="s">
        <v>1954</v>
      </c>
      <c r="B214" s="8" t="n">
        <v>45658</v>
      </c>
      <c r="C214" s="7" t="s">
        <v>71</v>
      </c>
      <c r="D214" s="7" t="s">
        <v>40</v>
      </c>
      <c r="E214" s="7" t="s">
        <v>1741</v>
      </c>
      <c r="F214" s="7" t="s">
        <v>1004</v>
      </c>
      <c r="G214" s="7" t="s">
        <v>205</v>
      </c>
      <c r="H214" s="7" t="s">
        <v>312</v>
      </c>
      <c r="I214" s="7" t="n">
        <v>24</v>
      </c>
      <c r="J214" s="7" t="n">
        <v>14.7</v>
      </c>
      <c r="K214" s="7" t="str">
        <f aca="false">IF(J214&lt;=I214,"Yes","No")</f>
        <v>Yes</v>
      </c>
      <c r="L214" s="7" t="s">
        <v>1419</v>
      </c>
    </row>
    <row r="215" customFormat="false" ht="15" hidden="false" customHeight="false" outlineLevel="0" collapsed="false">
      <c r="A215" s="7" t="s">
        <v>1955</v>
      </c>
      <c r="B215" s="8" t="n">
        <v>45878</v>
      </c>
      <c r="C215" s="7" t="s">
        <v>71</v>
      </c>
      <c r="D215" s="7" t="s">
        <v>40</v>
      </c>
      <c r="E215" s="7" t="s">
        <v>1773</v>
      </c>
      <c r="F215" s="7" t="s">
        <v>1436</v>
      </c>
      <c r="G215" s="7" t="s">
        <v>314</v>
      </c>
      <c r="H215" s="7" t="s">
        <v>327</v>
      </c>
      <c r="I215" s="7" t="n">
        <v>4</v>
      </c>
      <c r="J215" s="7" t="n">
        <v>1.8</v>
      </c>
      <c r="K215" s="7" t="str">
        <f aca="false">IF(J215&lt;=I215,"Yes","No")</f>
        <v>Yes</v>
      </c>
      <c r="L215" s="7" t="s">
        <v>1419</v>
      </c>
    </row>
    <row r="216" customFormat="false" ht="15" hidden="false" customHeight="false" outlineLevel="0" collapsed="false">
      <c r="A216" s="7" t="s">
        <v>1956</v>
      </c>
      <c r="B216" s="8" t="n">
        <v>45469</v>
      </c>
      <c r="C216" s="7" t="s">
        <v>87</v>
      </c>
      <c r="D216" s="7" t="s">
        <v>40</v>
      </c>
      <c r="E216" s="7" t="s">
        <v>1741</v>
      </c>
      <c r="F216" s="7" t="s">
        <v>1004</v>
      </c>
      <c r="G216" s="7" t="s">
        <v>253</v>
      </c>
      <c r="H216" s="7" t="s">
        <v>308</v>
      </c>
      <c r="I216" s="7" t="n">
        <v>24</v>
      </c>
      <c r="J216" s="7" t="n">
        <v>4.5</v>
      </c>
      <c r="K216" s="7" t="str">
        <f aca="false">IF(J216&lt;=I216,"Yes","No")</f>
        <v>Yes</v>
      </c>
      <c r="L216" s="7" t="s">
        <v>1419</v>
      </c>
    </row>
    <row r="217" customFormat="false" ht="15" hidden="false" customHeight="false" outlineLevel="0" collapsed="false">
      <c r="A217" s="7" t="s">
        <v>1957</v>
      </c>
      <c r="B217" s="8" t="n">
        <v>45784</v>
      </c>
      <c r="C217" s="7" t="s">
        <v>71</v>
      </c>
      <c r="D217" s="7" t="s">
        <v>40</v>
      </c>
      <c r="E217" s="7" t="s">
        <v>1741</v>
      </c>
      <c r="F217" s="7" t="s">
        <v>1004</v>
      </c>
      <c r="G217" s="7" t="s">
        <v>323</v>
      </c>
      <c r="H217" s="7" t="s">
        <v>316</v>
      </c>
      <c r="I217" s="7" t="n">
        <v>24</v>
      </c>
      <c r="J217" s="7" t="n">
        <v>6.5</v>
      </c>
      <c r="K217" s="7" t="str">
        <f aca="false">IF(J217&lt;=I217,"Yes","No")</f>
        <v>Yes</v>
      </c>
      <c r="L217" s="7" t="s">
        <v>1419</v>
      </c>
    </row>
    <row r="218" customFormat="false" ht="15" hidden="false" customHeight="false" outlineLevel="0" collapsed="false">
      <c r="A218" s="7" t="s">
        <v>1958</v>
      </c>
      <c r="B218" s="8" t="n">
        <v>45974</v>
      </c>
      <c r="C218" s="7" t="s">
        <v>87</v>
      </c>
      <c r="D218" s="7" t="s">
        <v>40</v>
      </c>
      <c r="E218" s="7" t="s">
        <v>1743</v>
      </c>
      <c r="F218" s="7" t="s">
        <v>1004</v>
      </c>
      <c r="G218" s="7" t="s">
        <v>441</v>
      </c>
      <c r="H218" s="7" t="s">
        <v>321</v>
      </c>
      <c r="I218" s="7" t="n">
        <v>24</v>
      </c>
      <c r="J218" s="7" t="n">
        <v>28.4</v>
      </c>
      <c r="K218" s="7" t="str">
        <f aca="false">IF(J218&lt;=I218,"Yes","No")</f>
        <v>No</v>
      </c>
      <c r="L218" s="7" t="s">
        <v>1419</v>
      </c>
    </row>
    <row r="219" customFormat="false" ht="15" hidden="false" customHeight="false" outlineLevel="0" collapsed="false">
      <c r="A219" s="7" t="s">
        <v>1959</v>
      </c>
      <c r="B219" s="8" t="n">
        <v>45837</v>
      </c>
      <c r="C219" s="7" t="s">
        <v>71</v>
      </c>
      <c r="D219" s="7" t="s">
        <v>40</v>
      </c>
      <c r="E219" s="7" t="s">
        <v>1743</v>
      </c>
      <c r="F219" s="7" t="s">
        <v>1004</v>
      </c>
      <c r="G219" s="7" t="s">
        <v>265</v>
      </c>
      <c r="H219" s="7" t="s">
        <v>310</v>
      </c>
      <c r="I219" s="7" t="n">
        <v>24</v>
      </c>
      <c r="J219" s="7" t="n">
        <v>18.4</v>
      </c>
      <c r="K219" s="7" t="str">
        <f aca="false">IF(J219&lt;=I219,"Yes","No")</f>
        <v>Yes</v>
      </c>
      <c r="L219" s="7" t="s">
        <v>1419</v>
      </c>
    </row>
    <row r="220" customFormat="false" ht="15" hidden="false" customHeight="false" outlineLevel="0" collapsed="false">
      <c r="A220" s="7" t="s">
        <v>1960</v>
      </c>
      <c r="B220" s="8" t="n">
        <v>45979</v>
      </c>
      <c r="C220" s="7" t="s">
        <v>60</v>
      </c>
      <c r="D220" s="7" t="s">
        <v>40</v>
      </c>
      <c r="E220" s="7" t="s">
        <v>1739</v>
      </c>
      <c r="F220" s="7" t="s">
        <v>1009</v>
      </c>
      <c r="G220" s="7" t="s">
        <v>207</v>
      </c>
      <c r="H220" s="7" t="s">
        <v>314</v>
      </c>
      <c r="I220" s="7" t="n">
        <v>48</v>
      </c>
      <c r="J220" s="7" t="n">
        <v>41.2</v>
      </c>
      <c r="K220" s="7" t="str">
        <f aca="false">IF(J220&lt;=I220,"Yes","No")</f>
        <v>Yes</v>
      </c>
      <c r="L220" s="7" t="s">
        <v>1419</v>
      </c>
    </row>
    <row r="221" customFormat="false" ht="15" hidden="false" customHeight="false" outlineLevel="0" collapsed="false">
      <c r="A221" s="7" t="s">
        <v>1961</v>
      </c>
      <c r="B221" s="8" t="n">
        <v>45851</v>
      </c>
      <c r="C221" s="7" t="s">
        <v>65</v>
      </c>
      <c r="D221" s="7" t="s">
        <v>40</v>
      </c>
      <c r="E221" s="7" t="s">
        <v>1743</v>
      </c>
      <c r="F221" s="7" t="s">
        <v>1004</v>
      </c>
      <c r="G221" s="7" t="s">
        <v>310</v>
      </c>
      <c r="H221" s="7" t="s">
        <v>316</v>
      </c>
      <c r="I221" s="7" t="n">
        <v>24</v>
      </c>
      <c r="J221" s="7" t="n">
        <v>10.5</v>
      </c>
      <c r="K221" s="7" t="str">
        <f aca="false">IF(J221&lt;=I221,"Yes","No")</f>
        <v>Yes</v>
      </c>
      <c r="L221" s="7" t="s">
        <v>1419</v>
      </c>
    </row>
    <row r="222" customFormat="false" ht="15" hidden="false" customHeight="false" outlineLevel="0" collapsed="false">
      <c r="A222" s="7" t="s">
        <v>1962</v>
      </c>
      <c r="B222" s="8" t="n">
        <v>45943</v>
      </c>
      <c r="C222" s="7" t="s">
        <v>83</v>
      </c>
      <c r="D222" s="7" t="s">
        <v>40</v>
      </c>
      <c r="E222" s="7" t="s">
        <v>1773</v>
      </c>
      <c r="F222" s="7" t="s">
        <v>1004</v>
      </c>
      <c r="G222" s="7" t="s">
        <v>251</v>
      </c>
      <c r="H222" s="7" t="s">
        <v>316</v>
      </c>
      <c r="I222" s="7" t="n">
        <v>24</v>
      </c>
      <c r="J222" s="7" t="n">
        <v>16.6</v>
      </c>
      <c r="K222" s="7" t="str">
        <f aca="false">IF(J222&lt;=I222,"Yes","No")</f>
        <v>Yes</v>
      </c>
      <c r="L222" s="7" t="s">
        <v>1013</v>
      </c>
    </row>
    <row r="223" customFormat="false" ht="15" hidden="false" customHeight="false" outlineLevel="0" collapsed="false">
      <c r="A223" s="7" t="s">
        <v>1963</v>
      </c>
      <c r="B223" s="8" t="n">
        <v>45843</v>
      </c>
      <c r="C223" s="7" t="s">
        <v>75</v>
      </c>
      <c r="D223" s="7" t="s">
        <v>40</v>
      </c>
      <c r="E223" s="7" t="s">
        <v>1739</v>
      </c>
      <c r="F223" s="7" t="s">
        <v>1009</v>
      </c>
      <c r="G223" s="7" t="s">
        <v>231</v>
      </c>
      <c r="H223" s="7" t="s">
        <v>299</v>
      </c>
      <c r="I223" s="7" t="n">
        <v>48</v>
      </c>
      <c r="J223" s="7" t="n">
        <v>66.5</v>
      </c>
      <c r="K223" s="7" t="str">
        <f aca="false">IF(J223&lt;=I223,"Yes","No")</f>
        <v>No</v>
      </c>
      <c r="L223" s="7" t="s">
        <v>1419</v>
      </c>
    </row>
    <row r="224" customFormat="false" ht="15" hidden="false" customHeight="false" outlineLevel="0" collapsed="false">
      <c r="A224" s="7" t="s">
        <v>1964</v>
      </c>
      <c r="B224" s="8" t="n">
        <v>45991</v>
      </c>
      <c r="C224" s="7" t="s">
        <v>87</v>
      </c>
      <c r="D224" s="7" t="s">
        <v>40</v>
      </c>
      <c r="E224" s="7" t="s">
        <v>1741</v>
      </c>
      <c r="F224" s="7" t="s">
        <v>1004</v>
      </c>
      <c r="G224" s="7" t="s">
        <v>325</v>
      </c>
      <c r="H224" s="7" t="s">
        <v>306</v>
      </c>
      <c r="I224" s="7" t="n">
        <v>24</v>
      </c>
      <c r="J224" s="7" t="n">
        <v>21.6</v>
      </c>
      <c r="K224" s="7" t="str">
        <f aca="false">IF(J224&lt;=I224,"Yes","No")</f>
        <v>Yes</v>
      </c>
      <c r="L224" s="7" t="s">
        <v>1419</v>
      </c>
    </row>
    <row r="225" customFormat="false" ht="15" hidden="false" customHeight="false" outlineLevel="0" collapsed="false">
      <c r="A225" s="7" t="s">
        <v>1965</v>
      </c>
      <c r="B225" s="8" t="n">
        <v>45465</v>
      </c>
      <c r="C225" s="7" t="s">
        <v>75</v>
      </c>
      <c r="D225" s="7" t="s">
        <v>40</v>
      </c>
      <c r="E225" s="7" t="s">
        <v>1773</v>
      </c>
      <c r="F225" s="7" t="s">
        <v>1026</v>
      </c>
      <c r="G225" s="7" t="s">
        <v>431</v>
      </c>
      <c r="H225" s="7" t="s">
        <v>321</v>
      </c>
      <c r="I225" s="7" t="n">
        <v>8</v>
      </c>
      <c r="J225" s="7" t="n">
        <v>6.1</v>
      </c>
      <c r="K225" s="7" t="str">
        <f aca="false">IF(J225&lt;=I225,"Yes","No")</f>
        <v>Yes</v>
      </c>
      <c r="L225" s="7" t="s">
        <v>1419</v>
      </c>
    </row>
    <row r="226" customFormat="false" ht="15" hidden="false" customHeight="false" outlineLevel="0" collapsed="false">
      <c r="A226" s="7" t="s">
        <v>1966</v>
      </c>
      <c r="B226" s="8" t="n">
        <v>45569</v>
      </c>
      <c r="C226" s="7" t="s">
        <v>79</v>
      </c>
      <c r="D226" s="7" t="s">
        <v>40</v>
      </c>
      <c r="E226" s="7" t="s">
        <v>1746</v>
      </c>
      <c r="F226" s="7" t="s">
        <v>1009</v>
      </c>
      <c r="G226" s="7" t="s">
        <v>285</v>
      </c>
      <c r="H226" s="7" t="s">
        <v>312</v>
      </c>
      <c r="I226" s="7" t="n">
        <v>48</v>
      </c>
      <c r="J226" s="7" t="n">
        <v>43.2</v>
      </c>
      <c r="K226" s="7" t="str">
        <f aca="false">IF(J226&lt;=I226,"Yes","No")</f>
        <v>Yes</v>
      </c>
      <c r="L226" s="7" t="s">
        <v>1419</v>
      </c>
    </row>
    <row r="227" customFormat="false" ht="15" hidden="false" customHeight="false" outlineLevel="0" collapsed="false">
      <c r="A227" s="7" t="s">
        <v>1967</v>
      </c>
      <c r="B227" s="8" t="n">
        <v>45473</v>
      </c>
      <c r="C227" s="7" t="s">
        <v>83</v>
      </c>
      <c r="D227" s="7" t="s">
        <v>40</v>
      </c>
      <c r="E227" s="7" t="s">
        <v>1741</v>
      </c>
      <c r="F227" s="7" t="s">
        <v>1026</v>
      </c>
      <c r="G227" s="7" t="s">
        <v>277</v>
      </c>
      <c r="H227" s="7" t="s">
        <v>316</v>
      </c>
      <c r="I227" s="7" t="n">
        <v>8</v>
      </c>
      <c r="J227" s="7" t="n">
        <v>6.6</v>
      </c>
      <c r="K227" s="7" t="str">
        <f aca="false">IF(J227&lt;=I227,"Yes","No")</f>
        <v>Yes</v>
      </c>
      <c r="L227" s="7" t="s">
        <v>1013</v>
      </c>
    </row>
    <row r="228" customFormat="false" ht="15" hidden="false" customHeight="false" outlineLevel="0" collapsed="false">
      <c r="A228" s="7" t="s">
        <v>1968</v>
      </c>
      <c r="B228" s="8" t="n">
        <v>45687</v>
      </c>
      <c r="C228" s="7" t="s">
        <v>87</v>
      </c>
      <c r="D228" s="7" t="s">
        <v>40</v>
      </c>
      <c r="E228" s="7" t="s">
        <v>1773</v>
      </c>
      <c r="F228" s="7" t="s">
        <v>1004</v>
      </c>
      <c r="G228" s="7" t="s">
        <v>404</v>
      </c>
      <c r="H228" s="7" t="s">
        <v>308</v>
      </c>
      <c r="I228" s="7" t="n">
        <v>24</v>
      </c>
      <c r="J228" s="7" t="n">
        <v>23.9</v>
      </c>
      <c r="K228" s="7" t="str">
        <f aca="false">IF(J228&lt;=I228,"Yes","No")</f>
        <v>Yes</v>
      </c>
      <c r="L228" s="7" t="s">
        <v>1419</v>
      </c>
    </row>
    <row r="229" customFormat="false" ht="15" hidden="false" customHeight="false" outlineLevel="0" collapsed="false">
      <c r="A229" s="7" t="s">
        <v>1969</v>
      </c>
      <c r="B229" s="8" t="n">
        <v>45934</v>
      </c>
      <c r="C229" s="7" t="s">
        <v>71</v>
      </c>
      <c r="D229" s="7" t="s">
        <v>40</v>
      </c>
      <c r="E229" s="7" t="s">
        <v>1746</v>
      </c>
      <c r="F229" s="7" t="s">
        <v>1004</v>
      </c>
      <c r="G229" s="7" t="s">
        <v>245</v>
      </c>
      <c r="H229" s="7" t="s">
        <v>316</v>
      </c>
      <c r="I229" s="7" t="n">
        <v>24</v>
      </c>
      <c r="J229" s="7" t="n">
        <v>0.2</v>
      </c>
      <c r="K229" s="7" t="str">
        <f aca="false">IF(J229&lt;=I229,"Yes","No")</f>
        <v>Yes</v>
      </c>
      <c r="L229" s="7" t="s">
        <v>1419</v>
      </c>
    </row>
    <row r="230" customFormat="false" ht="15" hidden="false" customHeight="false" outlineLevel="0" collapsed="false">
      <c r="A230" s="7" t="s">
        <v>1970</v>
      </c>
      <c r="B230" s="8" t="n">
        <v>45589</v>
      </c>
      <c r="C230" s="7" t="s">
        <v>68</v>
      </c>
      <c r="D230" s="7" t="s">
        <v>40</v>
      </c>
      <c r="E230" s="7" t="s">
        <v>1746</v>
      </c>
      <c r="F230" s="7" t="s">
        <v>1026</v>
      </c>
      <c r="G230" s="7" t="s">
        <v>314</v>
      </c>
      <c r="H230" s="7" t="s">
        <v>310</v>
      </c>
      <c r="I230" s="7" t="n">
        <v>8</v>
      </c>
      <c r="J230" s="7" t="n">
        <v>6.9</v>
      </c>
      <c r="K230" s="7" t="str">
        <f aca="false">IF(J230&lt;=I230,"Yes","No")</f>
        <v>Yes</v>
      </c>
      <c r="L230" s="7" t="s">
        <v>1419</v>
      </c>
    </row>
    <row r="231" customFormat="false" ht="15" hidden="false" customHeight="false" outlineLevel="0" collapsed="false">
      <c r="A231" s="7" t="s">
        <v>1971</v>
      </c>
      <c r="B231" s="8" t="n">
        <v>45376</v>
      </c>
      <c r="C231" s="7" t="s">
        <v>79</v>
      </c>
      <c r="D231" s="7" t="s">
        <v>40</v>
      </c>
      <c r="E231" s="7" t="s">
        <v>1739</v>
      </c>
      <c r="F231" s="7" t="s">
        <v>1009</v>
      </c>
      <c r="G231" s="7" t="s">
        <v>361</v>
      </c>
      <c r="H231" s="7" t="s">
        <v>327</v>
      </c>
      <c r="I231" s="7" t="n">
        <v>48</v>
      </c>
      <c r="J231" s="7" t="n">
        <v>32.1</v>
      </c>
      <c r="K231" s="7" t="str">
        <f aca="false">IF(J231&lt;=I231,"Yes","No")</f>
        <v>Yes</v>
      </c>
      <c r="L231" s="7" t="s">
        <v>1419</v>
      </c>
    </row>
    <row r="232" customFormat="false" ht="15" hidden="false" customHeight="false" outlineLevel="0" collapsed="false">
      <c r="A232" s="7" t="s">
        <v>1972</v>
      </c>
      <c r="B232" s="8" t="n">
        <v>45454</v>
      </c>
      <c r="C232" s="7" t="s">
        <v>75</v>
      </c>
      <c r="D232" s="7" t="s">
        <v>40</v>
      </c>
      <c r="E232" s="7" t="s">
        <v>1746</v>
      </c>
      <c r="F232" s="7" t="s">
        <v>1009</v>
      </c>
      <c r="G232" s="7" t="s">
        <v>148</v>
      </c>
      <c r="H232" s="7" t="s">
        <v>304</v>
      </c>
      <c r="I232" s="7" t="n">
        <v>48</v>
      </c>
      <c r="J232" s="7" t="n">
        <v>49.9</v>
      </c>
      <c r="K232" s="7" t="str">
        <f aca="false">IF(J232&lt;=I232,"Yes","No")</f>
        <v>No</v>
      </c>
      <c r="L232" s="7" t="s">
        <v>1442</v>
      </c>
    </row>
    <row r="233" customFormat="false" ht="15" hidden="false" customHeight="false" outlineLevel="0" collapsed="false">
      <c r="A233" s="7" t="s">
        <v>1973</v>
      </c>
      <c r="B233" s="8" t="n">
        <v>45446</v>
      </c>
      <c r="C233" s="7" t="s">
        <v>71</v>
      </c>
      <c r="D233" s="7" t="s">
        <v>40</v>
      </c>
      <c r="E233" s="7" t="s">
        <v>1746</v>
      </c>
      <c r="F233" s="7" t="s">
        <v>1004</v>
      </c>
      <c r="G233" s="7" t="s">
        <v>261</v>
      </c>
      <c r="H233" s="7" t="s">
        <v>301</v>
      </c>
      <c r="I233" s="7" t="n">
        <v>24</v>
      </c>
      <c r="J233" s="7" t="n">
        <v>16.6</v>
      </c>
      <c r="K233" s="7" t="str">
        <f aca="false">IF(J233&lt;=I233,"Yes","No")</f>
        <v>Yes</v>
      </c>
      <c r="L233" s="7" t="s">
        <v>1419</v>
      </c>
    </row>
    <row r="234" customFormat="false" ht="15" hidden="false" customHeight="false" outlineLevel="0" collapsed="false">
      <c r="A234" s="7" t="s">
        <v>1974</v>
      </c>
      <c r="B234" s="8" t="n">
        <v>45479</v>
      </c>
      <c r="C234" s="7" t="s">
        <v>71</v>
      </c>
      <c r="D234" s="7" t="s">
        <v>40</v>
      </c>
      <c r="E234" s="7" t="s">
        <v>1746</v>
      </c>
      <c r="F234" s="7" t="s">
        <v>1026</v>
      </c>
      <c r="G234" s="7" t="s">
        <v>209</v>
      </c>
      <c r="H234" s="7" t="s">
        <v>327</v>
      </c>
      <c r="I234" s="7" t="n">
        <v>8</v>
      </c>
      <c r="J234" s="7" t="n">
        <v>8.3</v>
      </c>
      <c r="K234" s="7" t="str">
        <f aca="false">IF(J234&lt;=I234,"Yes","No")</f>
        <v>No</v>
      </c>
      <c r="L234" s="7" t="s">
        <v>1419</v>
      </c>
    </row>
    <row r="235" customFormat="false" ht="15" hidden="false" customHeight="false" outlineLevel="0" collapsed="false">
      <c r="A235" s="7" t="s">
        <v>1975</v>
      </c>
      <c r="B235" s="8" t="n">
        <v>45466</v>
      </c>
      <c r="C235" s="7" t="s">
        <v>83</v>
      </c>
      <c r="D235" s="7" t="s">
        <v>40</v>
      </c>
      <c r="E235" s="7" t="s">
        <v>1741</v>
      </c>
      <c r="F235" s="7" t="s">
        <v>1009</v>
      </c>
      <c r="G235" s="7" t="s">
        <v>182</v>
      </c>
      <c r="H235" s="7" t="s">
        <v>308</v>
      </c>
      <c r="I235" s="7" t="n">
        <v>48</v>
      </c>
      <c r="J235" s="7" t="n">
        <v>43.6</v>
      </c>
      <c r="K235" s="7" t="str">
        <f aca="false">IF(J235&lt;=I235,"Yes","No")</f>
        <v>Yes</v>
      </c>
      <c r="L235" s="7" t="s">
        <v>1419</v>
      </c>
    </row>
    <row r="236" customFormat="false" ht="15" hidden="false" customHeight="false" outlineLevel="0" collapsed="false">
      <c r="A236" s="7" t="s">
        <v>1976</v>
      </c>
      <c r="B236" s="8" t="n">
        <v>45818</v>
      </c>
      <c r="C236" s="7" t="s">
        <v>60</v>
      </c>
      <c r="D236" s="7" t="s">
        <v>40</v>
      </c>
      <c r="E236" s="7" t="s">
        <v>1739</v>
      </c>
      <c r="F236" s="7" t="s">
        <v>1004</v>
      </c>
      <c r="G236" s="7" t="s">
        <v>172</v>
      </c>
      <c r="H236" s="7" t="s">
        <v>325</v>
      </c>
      <c r="I236" s="7" t="n">
        <v>24</v>
      </c>
      <c r="J236" s="7" t="n">
        <v>13.7</v>
      </c>
      <c r="K236" s="7" t="str">
        <f aca="false">IF(J236&lt;=I236,"Yes","No")</f>
        <v>Yes</v>
      </c>
      <c r="L236" s="7" t="s">
        <v>1419</v>
      </c>
    </row>
    <row r="237" customFormat="false" ht="15" hidden="false" customHeight="false" outlineLevel="0" collapsed="false">
      <c r="A237" s="7" t="s">
        <v>1977</v>
      </c>
      <c r="B237" s="8" t="n">
        <v>45928</v>
      </c>
      <c r="C237" s="7" t="s">
        <v>71</v>
      </c>
      <c r="D237" s="7" t="s">
        <v>40</v>
      </c>
      <c r="E237" s="7" t="s">
        <v>1773</v>
      </c>
      <c r="F237" s="7" t="s">
        <v>1004</v>
      </c>
      <c r="G237" s="7" t="s">
        <v>180</v>
      </c>
      <c r="H237" s="7" t="s">
        <v>304</v>
      </c>
      <c r="I237" s="7" t="n">
        <v>24</v>
      </c>
      <c r="J237" s="7" t="n">
        <v>17.3</v>
      </c>
      <c r="K237" s="7" t="str">
        <f aca="false">IF(J237&lt;=I237,"Yes","No")</f>
        <v>Yes</v>
      </c>
      <c r="L237" s="7" t="s">
        <v>1419</v>
      </c>
    </row>
    <row r="238" customFormat="false" ht="15" hidden="false" customHeight="false" outlineLevel="0" collapsed="false">
      <c r="A238" s="7" t="s">
        <v>1978</v>
      </c>
      <c r="B238" s="8" t="n">
        <v>45475</v>
      </c>
      <c r="C238" s="7" t="s">
        <v>79</v>
      </c>
      <c r="D238" s="7" t="s">
        <v>40</v>
      </c>
      <c r="E238" s="7" t="s">
        <v>1741</v>
      </c>
      <c r="F238" s="7" t="s">
        <v>1009</v>
      </c>
      <c r="G238" s="7" t="s">
        <v>235</v>
      </c>
      <c r="H238" s="7" t="s">
        <v>304</v>
      </c>
      <c r="I238" s="7" t="n">
        <v>48</v>
      </c>
      <c r="J238" s="7" t="n">
        <v>25.4</v>
      </c>
      <c r="K238" s="7" t="str">
        <f aca="false">IF(J238&lt;=I238,"Yes","No")</f>
        <v>Yes</v>
      </c>
      <c r="L238" s="7" t="s">
        <v>1419</v>
      </c>
    </row>
    <row r="239" customFormat="false" ht="15" hidden="false" customHeight="false" outlineLevel="0" collapsed="false">
      <c r="A239" s="7" t="s">
        <v>1979</v>
      </c>
      <c r="B239" s="8" t="n">
        <v>45901</v>
      </c>
      <c r="C239" s="7" t="s">
        <v>83</v>
      </c>
      <c r="D239" s="7" t="s">
        <v>40</v>
      </c>
      <c r="E239" s="7" t="s">
        <v>1737</v>
      </c>
      <c r="F239" s="7" t="s">
        <v>1009</v>
      </c>
      <c r="G239" s="7" t="s">
        <v>219</v>
      </c>
      <c r="H239" s="7" t="s">
        <v>304</v>
      </c>
      <c r="I239" s="7" t="n">
        <v>48</v>
      </c>
      <c r="J239" s="7" t="n">
        <v>38.3</v>
      </c>
      <c r="K239" s="7" t="str">
        <f aca="false">IF(J239&lt;=I239,"Yes","No")</f>
        <v>Yes</v>
      </c>
      <c r="L239" s="7" t="s">
        <v>1419</v>
      </c>
    </row>
    <row r="240" customFormat="false" ht="15" hidden="false" customHeight="false" outlineLevel="0" collapsed="false">
      <c r="A240" s="7" t="s">
        <v>1980</v>
      </c>
      <c r="B240" s="8" t="n">
        <v>45758</v>
      </c>
      <c r="C240" s="7" t="s">
        <v>71</v>
      </c>
      <c r="D240" s="7" t="s">
        <v>40</v>
      </c>
      <c r="E240" s="7" t="s">
        <v>1773</v>
      </c>
      <c r="F240" s="7" t="s">
        <v>1026</v>
      </c>
      <c r="G240" s="7" t="s">
        <v>304</v>
      </c>
      <c r="H240" s="7" t="s">
        <v>310</v>
      </c>
      <c r="I240" s="7" t="n">
        <v>8</v>
      </c>
      <c r="J240" s="7" t="n">
        <v>9.5</v>
      </c>
      <c r="K240" s="7" t="str">
        <f aca="false">IF(J240&lt;=I240,"Yes","No")</f>
        <v>No</v>
      </c>
      <c r="L240" s="7" t="s">
        <v>1419</v>
      </c>
    </row>
    <row r="241" customFormat="false" ht="15" hidden="false" customHeight="false" outlineLevel="0" collapsed="false">
      <c r="A241" s="7" t="s">
        <v>1981</v>
      </c>
      <c r="B241" s="8" t="n">
        <v>45429</v>
      </c>
      <c r="C241" s="7" t="s">
        <v>65</v>
      </c>
      <c r="D241" s="7" t="s">
        <v>40</v>
      </c>
      <c r="E241" s="7" t="s">
        <v>1746</v>
      </c>
      <c r="F241" s="7" t="s">
        <v>1026</v>
      </c>
      <c r="G241" s="7" t="s">
        <v>192</v>
      </c>
      <c r="H241" s="7" t="s">
        <v>304</v>
      </c>
      <c r="I241" s="7" t="n">
        <v>8</v>
      </c>
      <c r="J241" s="7" t="n">
        <v>12.8</v>
      </c>
      <c r="K241" s="7" t="str">
        <f aca="false">IF(J241&lt;=I241,"Yes","No")</f>
        <v>No</v>
      </c>
      <c r="L241" s="7" t="s">
        <v>1419</v>
      </c>
    </row>
    <row r="242" customFormat="false" ht="15" hidden="false" customHeight="false" outlineLevel="0" collapsed="false">
      <c r="A242" s="7" t="s">
        <v>1982</v>
      </c>
      <c r="B242" s="8" t="n">
        <v>45610</v>
      </c>
      <c r="C242" s="7" t="s">
        <v>87</v>
      </c>
      <c r="D242" s="7" t="s">
        <v>40</v>
      </c>
      <c r="E242" s="7" t="s">
        <v>1773</v>
      </c>
      <c r="F242" s="7" t="s">
        <v>1009</v>
      </c>
      <c r="G242" s="7" t="s">
        <v>351</v>
      </c>
      <c r="H242" s="7" t="s">
        <v>306</v>
      </c>
      <c r="I242" s="7" t="n">
        <v>48</v>
      </c>
      <c r="J242" s="7" t="n">
        <v>21</v>
      </c>
      <c r="K242" s="7" t="str">
        <f aca="false">IF(J242&lt;=I242,"Yes","No")</f>
        <v>Yes</v>
      </c>
      <c r="L242" s="7" t="s">
        <v>1419</v>
      </c>
    </row>
    <row r="243" customFormat="false" ht="15" hidden="false" customHeight="false" outlineLevel="0" collapsed="false">
      <c r="A243" s="7" t="s">
        <v>1983</v>
      </c>
      <c r="B243" s="8" t="n">
        <v>45543</v>
      </c>
      <c r="C243" s="7" t="s">
        <v>60</v>
      </c>
      <c r="D243" s="7" t="s">
        <v>40</v>
      </c>
      <c r="E243" s="7" t="s">
        <v>1743</v>
      </c>
      <c r="F243" s="7" t="s">
        <v>1009</v>
      </c>
      <c r="G243" s="7" t="s">
        <v>283</v>
      </c>
      <c r="H243" s="7" t="s">
        <v>302</v>
      </c>
      <c r="I243" s="7" t="n">
        <v>48</v>
      </c>
      <c r="J243" s="7" t="n">
        <v>29</v>
      </c>
      <c r="K243" s="7" t="str">
        <f aca="false">IF(J243&lt;=I243,"Yes","No")</f>
        <v>Yes</v>
      </c>
      <c r="L243" s="7" t="s">
        <v>1419</v>
      </c>
    </row>
    <row r="244" customFormat="false" ht="15" hidden="false" customHeight="false" outlineLevel="0" collapsed="false">
      <c r="A244" s="7" t="s">
        <v>1984</v>
      </c>
      <c r="B244" s="8" t="n">
        <v>45712</v>
      </c>
      <c r="C244" s="7" t="s">
        <v>71</v>
      </c>
      <c r="D244" s="7" t="s">
        <v>40</v>
      </c>
      <c r="E244" s="7" t="s">
        <v>1773</v>
      </c>
      <c r="F244" s="7" t="s">
        <v>1009</v>
      </c>
      <c r="G244" s="7" t="s">
        <v>426</v>
      </c>
      <c r="H244" s="7" t="s">
        <v>321</v>
      </c>
      <c r="I244" s="7" t="n">
        <v>48</v>
      </c>
      <c r="J244" s="7" t="n">
        <v>29.3</v>
      </c>
      <c r="K244" s="7" t="str">
        <f aca="false">IF(J244&lt;=I244,"Yes","No")</f>
        <v>Yes</v>
      </c>
      <c r="L244" s="7" t="s">
        <v>1419</v>
      </c>
    </row>
    <row r="245" customFormat="false" ht="15" hidden="false" customHeight="false" outlineLevel="0" collapsed="false">
      <c r="A245" s="7" t="s">
        <v>1985</v>
      </c>
      <c r="B245" s="8" t="n">
        <v>45690</v>
      </c>
      <c r="C245" s="7" t="s">
        <v>83</v>
      </c>
      <c r="D245" s="7" t="s">
        <v>40</v>
      </c>
      <c r="E245" s="7" t="s">
        <v>1741</v>
      </c>
      <c r="F245" s="7" t="s">
        <v>1026</v>
      </c>
      <c r="G245" s="7" t="s">
        <v>339</v>
      </c>
      <c r="H245" s="7" t="s">
        <v>316</v>
      </c>
      <c r="I245" s="7" t="n">
        <v>8</v>
      </c>
      <c r="J245" s="7" t="n">
        <v>7.8</v>
      </c>
      <c r="K245" s="7" t="str">
        <f aca="false">IF(J245&lt;=I245,"Yes","No")</f>
        <v>Yes</v>
      </c>
      <c r="L245" s="7" t="s">
        <v>1013</v>
      </c>
    </row>
    <row r="246" customFormat="false" ht="15" hidden="false" customHeight="false" outlineLevel="0" collapsed="false">
      <c r="A246" s="7" t="s">
        <v>1986</v>
      </c>
      <c r="B246" s="8" t="n">
        <v>45634</v>
      </c>
      <c r="C246" s="7" t="s">
        <v>68</v>
      </c>
      <c r="D246" s="7" t="s">
        <v>40</v>
      </c>
      <c r="E246" s="7" t="s">
        <v>1743</v>
      </c>
      <c r="F246" s="7" t="s">
        <v>1004</v>
      </c>
      <c r="G246" s="7" t="s">
        <v>137</v>
      </c>
      <c r="H246" s="7" t="s">
        <v>325</v>
      </c>
      <c r="I246" s="7" t="n">
        <v>24</v>
      </c>
      <c r="J246" s="7" t="n">
        <v>6.7</v>
      </c>
      <c r="K246" s="7" t="str">
        <f aca="false">IF(J246&lt;=I246,"Yes","No")</f>
        <v>Yes</v>
      </c>
      <c r="L246" s="7" t="s">
        <v>1419</v>
      </c>
    </row>
    <row r="247" customFormat="false" ht="15" hidden="false" customHeight="false" outlineLevel="0" collapsed="false">
      <c r="A247" s="7" t="s">
        <v>1987</v>
      </c>
      <c r="B247" s="8" t="n">
        <v>45459</v>
      </c>
      <c r="C247" s="7" t="s">
        <v>87</v>
      </c>
      <c r="D247" s="7" t="s">
        <v>40</v>
      </c>
      <c r="E247" s="7" t="s">
        <v>1773</v>
      </c>
      <c r="F247" s="7" t="s">
        <v>1004</v>
      </c>
      <c r="G247" s="7" t="s">
        <v>161</v>
      </c>
      <c r="H247" s="7" t="s">
        <v>317</v>
      </c>
      <c r="I247" s="7" t="n">
        <v>24</v>
      </c>
      <c r="J247" s="7" t="n">
        <v>5.2</v>
      </c>
      <c r="K247" s="7" t="str">
        <f aca="false">IF(J247&lt;=I247,"Yes","No")</f>
        <v>Yes</v>
      </c>
      <c r="L247" s="7" t="s">
        <v>1419</v>
      </c>
    </row>
    <row r="248" customFormat="false" ht="15" hidden="false" customHeight="false" outlineLevel="0" collapsed="false">
      <c r="A248" s="7" t="s">
        <v>1988</v>
      </c>
      <c r="B248" s="8" t="n">
        <v>45387</v>
      </c>
      <c r="C248" s="7" t="s">
        <v>68</v>
      </c>
      <c r="D248" s="7" t="s">
        <v>40</v>
      </c>
      <c r="E248" s="7" t="s">
        <v>1737</v>
      </c>
      <c r="F248" s="7" t="s">
        <v>1009</v>
      </c>
      <c r="G248" s="7" t="s">
        <v>273</v>
      </c>
      <c r="H248" s="7" t="s">
        <v>302</v>
      </c>
      <c r="I248" s="7" t="n">
        <v>48</v>
      </c>
      <c r="J248" s="7" t="n">
        <v>60.8</v>
      </c>
      <c r="K248" s="7" t="str">
        <f aca="false">IF(J248&lt;=I248,"Yes","No")</f>
        <v>No</v>
      </c>
      <c r="L248" s="7" t="s">
        <v>1419</v>
      </c>
    </row>
    <row r="249" customFormat="false" ht="15" hidden="false" customHeight="false" outlineLevel="0" collapsed="false">
      <c r="A249" s="7" t="s">
        <v>1989</v>
      </c>
      <c r="B249" s="8" t="n">
        <v>45680</v>
      </c>
      <c r="C249" s="7" t="s">
        <v>71</v>
      </c>
      <c r="D249" s="7" t="s">
        <v>40</v>
      </c>
      <c r="E249" s="7" t="s">
        <v>1773</v>
      </c>
      <c r="F249" s="7" t="s">
        <v>1436</v>
      </c>
      <c r="G249" s="7" t="s">
        <v>440</v>
      </c>
      <c r="H249" s="7" t="s">
        <v>325</v>
      </c>
      <c r="I249" s="7" t="n">
        <v>4</v>
      </c>
      <c r="J249" s="7" t="n">
        <v>3.4</v>
      </c>
      <c r="K249" s="7" t="str">
        <f aca="false">IF(J249&lt;=I249,"Yes","No")</f>
        <v>Yes</v>
      </c>
      <c r="L249" s="7" t="s">
        <v>1419</v>
      </c>
    </row>
    <row r="250" customFormat="false" ht="15" hidden="false" customHeight="false" outlineLevel="0" collapsed="false">
      <c r="A250" s="7" t="s">
        <v>1990</v>
      </c>
      <c r="B250" s="8" t="n">
        <v>45773</v>
      </c>
      <c r="C250" s="7" t="s">
        <v>60</v>
      </c>
      <c r="D250" s="7" t="s">
        <v>40</v>
      </c>
      <c r="E250" s="7" t="s">
        <v>1737</v>
      </c>
      <c r="F250" s="7" t="s">
        <v>1004</v>
      </c>
      <c r="G250" s="7" t="s">
        <v>404</v>
      </c>
      <c r="H250" s="7" t="s">
        <v>308</v>
      </c>
      <c r="I250" s="7" t="n">
        <v>24</v>
      </c>
      <c r="J250" s="7" t="n">
        <v>21.4</v>
      </c>
      <c r="K250" s="7" t="str">
        <f aca="false">IF(J250&lt;=I250,"Yes","No")</f>
        <v>Yes</v>
      </c>
      <c r="L250" s="7" t="s">
        <v>1419</v>
      </c>
    </row>
    <row r="251" customFormat="false" ht="15" hidden="false" customHeight="false" outlineLevel="0" collapsed="false">
      <c r="A251" s="7" t="s">
        <v>1991</v>
      </c>
      <c r="B251" s="8" t="n">
        <v>45382</v>
      </c>
      <c r="C251" s="7" t="s">
        <v>71</v>
      </c>
      <c r="D251" s="7" t="s">
        <v>40</v>
      </c>
      <c r="E251" s="7" t="s">
        <v>1743</v>
      </c>
      <c r="F251" s="7" t="s">
        <v>1004</v>
      </c>
      <c r="G251" s="7" t="s">
        <v>195</v>
      </c>
      <c r="H251" s="7" t="s">
        <v>316</v>
      </c>
      <c r="I251" s="7" t="n">
        <v>24</v>
      </c>
      <c r="J251" s="7" t="n">
        <v>17.2</v>
      </c>
      <c r="K251" s="7" t="str">
        <f aca="false">IF(J251&lt;=I251,"Yes","No")</f>
        <v>Yes</v>
      </c>
      <c r="L251" s="7" t="s">
        <v>1419</v>
      </c>
    </row>
    <row r="252" customFormat="false" ht="15" hidden="false" customHeight="false" outlineLevel="0" collapsed="false">
      <c r="A252" s="7" t="s">
        <v>1992</v>
      </c>
      <c r="B252" s="8" t="n">
        <v>45720</v>
      </c>
      <c r="C252" s="7" t="s">
        <v>71</v>
      </c>
      <c r="D252" s="7" t="s">
        <v>40</v>
      </c>
      <c r="E252" s="7" t="s">
        <v>1741</v>
      </c>
      <c r="F252" s="7" t="s">
        <v>1026</v>
      </c>
      <c r="G252" s="7" t="s">
        <v>331</v>
      </c>
      <c r="H252" s="7" t="s">
        <v>316</v>
      </c>
      <c r="I252" s="7" t="n">
        <v>8</v>
      </c>
      <c r="J252" s="7" t="n">
        <v>1.1</v>
      </c>
      <c r="K252" s="7" t="str">
        <f aca="false">IF(J252&lt;=I252,"Yes","No")</f>
        <v>Yes</v>
      </c>
      <c r="L252" s="7" t="s">
        <v>1419</v>
      </c>
    </row>
    <row r="253" customFormat="false" ht="15" hidden="false" customHeight="false" outlineLevel="0" collapsed="false">
      <c r="A253" s="7" t="s">
        <v>1993</v>
      </c>
      <c r="B253" s="8" t="n">
        <v>45495</v>
      </c>
      <c r="C253" s="7" t="s">
        <v>87</v>
      </c>
      <c r="D253" s="7" t="s">
        <v>40</v>
      </c>
      <c r="E253" s="7" t="s">
        <v>1746</v>
      </c>
      <c r="F253" s="7" t="s">
        <v>1026</v>
      </c>
      <c r="G253" s="7" t="s">
        <v>261</v>
      </c>
      <c r="H253" s="7" t="s">
        <v>317</v>
      </c>
      <c r="I253" s="7" t="n">
        <v>8</v>
      </c>
      <c r="J253" s="7" t="n">
        <v>5.8</v>
      </c>
      <c r="K253" s="7" t="str">
        <f aca="false">IF(J253&lt;=I253,"Yes","No")</f>
        <v>Yes</v>
      </c>
      <c r="L253" s="7" t="s">
        <v>1442</v>
      </c>
    </row>
    <row r="254" customFormat="false" ht="15" hidden="false" customHeight="false" outlineLevel="0" collapsed="false">
      <c r="A254" s="7" t="s">
        <v>1994</v>
      </c>
      <c r="B254" s="8" t="n">
        <v>45742</v>
      </c>
      <c r="C254" s="7" t="s">
        <v>71</v>
      </c>
      <c r="D254" s="7" t="s">
        <v>40</v>
      </c>
      <c r="E254" s="7" t="s">
        <v>1773</v>
      </c>
      <c r="F254" s="7" t="s">
        <v>1004</v>
      </c>
      <c r="G254" s="7" t="s">
        <v>424</v>
      </c>
      <c r="H254" s="7" t="s">
        <v>327</v>
      </c>
      <c r="I254" s="7" t="n">
        <v>24</v>
      </c>
      <c r="J254" s="7" t="n">
        <v>25.9</v>
      </c>
      <c r="K254" s="7" t="str">
        <f aca="false">IF(J254&lt;=I254,"Yes","No")</f>
        <v>No</v>
      </c>
      <c r="L254" s="7" t="s">
        <v>1013</v>
      </c>
    </row>
    <row r="255" customFormat="false" ht="15" hidden="false" customHeight="false" outlineLevel="0" collapsed="false">
      <c r="A255" s="7" t="s">
        <v>1995</v>
      </c>
      <c r="B255" s="8" t="n">
        <v>45608</v>
      </c>
      <c r="C255" s="7" t="s">
        <v>87</v>
      </c>
      <c r="D255" s="7" t="s">
        <v>40</v>
      </c>
      <c r="E255" s="7" t="s">
        <v>1737</v>
      </c>
      <c r="F255" s="7" t="s">
        <v>1026</v>
      </c>
      <c r="G255" s="7" t="s">
        <v>287</v>
      </c>
      <c r="H255" s="7" t="s">
        <v>321</v>
      </c>
      <c r="I255" s="7" t="n">
        <v>8</v>
      </c>
      <c r="J255" s="7" t="n">
        <v>4.7</v>
      </c>
      <c r="K255" s="7" t="str">
        <f aca="false">IF(J255&lt;=I255,"Yes","No")</f>
        <v>Yes</v>
      </c>
      <c r="L255" s="7" t="s">
        <v>1419</v>
      </c>
    </row>
    <row r="256" customFormat="false" ht="15" hidden="false" customHeight="false" outlineLevel="0" collapsed="false">
      <c r="A256" s="7" t="s">
        <v>1996</v>
      </c>
      <c r="B256" s="8" t="n">
        <v>45873</v>
      </c>
      <c r="C256" s="7" t="s">
        <v>71</v>
      </c>
      <c r="D256" s="7" t="s">
        <v>40</v>
      </c>
      <c r="E256" s="7" t="s">
        <v>1773</v>
      </c>
      <c r="F256" s="7" t="s">
        <v>1436</v>
      </c>
      <c r="G256" s="7" t="s">
        <v>140</v>
      </c>
      <c r="H256" s="7" t="s">
        <v>319</v>
      </c>
      <c r="I256" s="7" t="n">
        <v>4</v>
      </c>
      <c r="J256" s="7" t="n">
        <v>2.4</v>
      </c>
      <c r="K256" s="7" t="str">
        <f aca="false">IF(J256&lt;=I256,"Yes","No")</f>
        <v>Yes</v>
      </c>
      <c r="L256" s="7" t="s">
        <v>1442</v>
      </c>
    </row>
    <row r="257" customFormat="false" ht="15" hidden="false" customHeight="false" outlineLevel="0" collapsed="false">
      <c r="A257" s="7" t="s">
        <v>1997</v>
      </c>
      <c r="B257" s="8" t="n">
        <v>45396</v>
      </c>
      <c r="C257" s="7" t="s">
        <v>68</v>
      </c>
      <c r="D257" s="7" t="s">
        <v>40</v>
      </c>
      <c r="E257" s="7" t="s">
        <v>1741</v>
      </c>
      <c r="F257" s="7" t="s">
        <v>1026</v>
      </c>
      <c r="G257" s="7" t="s">
        <v>267</v>
      </c>
      <c r="H257" s="7" t="s">
        <v>323</v>
      </c>
      <c r="I257" s="7" t="n">
        <v>8</v>
      </c>
      <c r="J257" s="7" t="n">
        <v>6.8</v>
      </c>
      <c r="K257" s="7" t="str">
        <f aca="false">IF(J257&lt;=I257,"Yes","No")</f>
        <v>Yes</v>
      </c>
      <c r="L257" s="7" t="s">
        <v>1419</v>
      </c>
    </row>
    <row r="258" customFormat="false" ht="15" hidden="false" customHeight="false" outlineLevel="0" collapsed="false">
      <c r="A258" s="7" t="s">
        <v>1998</v>
      </c>
      <c r="B258" s="8" t="n">
        <v>45552</v>
      </c>
      <c r="C258" s="7" t="s">
        <v>68</v>
      </c>
      <c r="D258" s="7" t="s">
        <v>40</v>
      </c>
      <c r="E258" s="7" t="s">
        <v>1743</v>
      </c>
      <c r="F258" s="7" t="s">
        <v>1004</v>
      </c>
      <c r="G258" s="7" t="s">
        <v>150</v>
      </c>
      <c r="H258" s="7" t="s">
        <v>302</v>
      </c>
      <c r="I258" s="7" t="n">
        <v>24</v>
      </c>
      <c r="J258" s="7" t="n">
        <v>22.6</v>
      </c>
      <c r="K258" s="7" t="str">
        <f aca="false">IF(J258&lt;=I258,"Yes","No")</f>
        <v>Yes</v>
      </c>
      <c r="L258" s="7" t="s">
        <v>1419</v>
      </c>
    </row>
    <row r="259" customFormat="false" ht="15" hidden="false" customHeight="false" outlineLevel="0" collapsed="false">
      <c r="A259" s="7" t="s">
        <v>1999</v>
      </c>
      <c r="B259" s="8" t="n">
        <v>45601</v>
      </c>
      <c r="C259" s="7" t="s">
        <v>65</v>
      </c>
      <c r="D259" s="7" t="s">
        <v>40</v>
      </c>
      <c r="E259" s="7" t="s">
        <v>1737</v>
      </c>
      <c r="F259" s="7" t="s">
        <v>1436</v>
      </c>
      <c r="G259" s="7" t="s">
        <v>295</v>
      </c>
      <c r="H259" s="7" t="s">
        <v>314</v>
      </c>
      <c r="I259" s="7" t="n">
        <v>4</v>
      </c>
      <c r="J259" s="7" t="n">
        <v>5</v>
      </c>
      <c r="K259" s="7" t="str">
        <f aca="false">IF(J259&lt;=I259,"Yes","No")</f>
        <v>No</v>
      </c>
      <c r="L259" s="7" t="s">
        <v>1419</v>
      </c>
    </row>
    <row r="260" customFormat="false" ht="15" hidden="false" customHeight="false" outlineLevel="0" collapsed="false">
      <c r="A260" s="7" t="s">
        <v>2000</v>
      </c>
      <c r="B260" s="8" t="n">
        <v>45423</v>
      </c>
      <c r="C260" s="7" t="s">
        <v>79</v>
      </c>
      <c r="D260" s="7" t="s">
        <v>40</v>
      </c>
      <c r="E260" s="7" t="s">
        <v>1743</v>
      </c>
      <c r="F260" s="7" t="s">
        <v>1004</v>
      </c>
      <c r="G260" s="7" t="s">
        <v>366</v>
      </c>
      <c r="H260" s="7" t="s">
        <v>312</v>
      </c>
      <c r="I260" s="7" t="n">
        <v>24</v>
      </c>
      <c r="J260" s="7" t="n">
        <v>32.6</v>
      </c>
      <c r="K260" s="7" t="str">
        <f aca="false">IF(J260&lt;=I260,"Yes","No")</f>
        <v>No</v>
      </c>
      <c r="L260" s="7" t="s">
        <v>1419</v>
      </c>
    </row>
    <row r="261" customFormat="false" ht="15" hidden="false" customHeight="false" outlineLevel="0" collapsed="false">
      <c r="A261" s="7" t="s">
        <v>2001</v>
      </c>
      <c r="B261" s="8" t="n">
        <v>45749</v>
      </c>
      <c r="C261" s="7" t="s">
        <v>83</v>
      </c>
      <c r="D261" s="7" t="s">
        <v>40</v>
      </c>
      <c r="E261" s="7" t="s">
        <v>1739</v>
      </c>
      <c r="F261" s="7" t="s">
        <v>1026</v>
      </c>
      <c r="G261" s="7" t="s">
        <v>150</v>
      </c>
      <c r="H261" s="7" t="s">
        <v>325</v>
      </c>
      <c r="I261" s="7" t="n">
        <v>8</v>
      </c>
      <c r="J261" s="7" t="n">
        <v>4.8</v>
      </c>
      <c r="K261" s="7" t="str">
        <f aca="false">IF(J261&lt;=I261,"Yes","No")</f>
        <v>Yes</v>
      </c>
      <c r="L261" s="7" t="s">
        <v>1419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9"/>
    <col collapsed="false" customWidth="true" hidden="false" outlineLevel="0" max="4" min="4" style="0" width="10"/>
    <col collapsed="false" customWidth="true" hidden="false" outlineLevel="0" max="5" min="5" style="0" width="18"/>
    <col collapsed="false" customWidth="true" hidden="false" outlineLevel="0" max="6" min="6" style="0" width="10"/>
    <col collapsed="false" customWidth="true" hidden="false" outlineLevel="0" max="7" min="7" style="0" width="24"/>
    <col collapsed="false" customWidth="true" hidden="false" outlineLevel="0" max="8" min="8" style="0" width="14"/>
    <col collapsed="false" customWidth="true" hidden="false" outlineLevel="0" max="9" min="9" style="0" width="15"/>
    <col collapsed="false" customWidth="true" hidden="false" outlineLevel="0" max="11" min="10" style="0" width="14"/>
    <col collapsed="false" customWidth="true" hidden="false" outlineLevel="0" max="12" min="12" style="0" width="16"/>
  </cols>
  <sheetData>
    <row r="1" customFormat="false" ht="23.85" hidden="false" customHeight="false" outlineLevel="0" collapsed="false">
      <c r="A1" s="6" t="s">
        <v>2002</v>
      </c>
      <c r="B1" s="6" t="s">
        <v>444</v>
      </c>
      <c r="C1" s="6" t="s">
        <v>21</v>
      </c>
      <c r="D1" s="6" t="s">
        <v>55</v>
      </c>
      <c r="E1" s="6" t="s">
        <v>2003</v>
      </c>
      <c r="F1" s="6" t="s">
        <v>91</v>
      </c>
      <c r="G1" s="6" t="s">
        <v>2004</v>
      </c>
      <c r="H1" s="6" t="s">
        <v>2005</v>
      </c>
      <c r="I1" s="6" t="s">
        <v>2006</v>
      </c>
      <c r="J1" s="6" t="s">
        <v>2007</v>
      </c>
      <c r="K1" s="6" t="s">
        <v>2008</v>
      </c>
      <c r="L1" s="6" t="s">
        <v>2009</v>
      </c>
    </row>
    <row r="2" customFormat="false" ht="15" hidden="false" customHeight="false" outlineLevel="0" collapsed="false">
      <c r="A2" s="7" t="s">
        <v>2010</v>
      </c>
      <c r="B2" s="8" t="n">
        <v>45864</v>
      </c>
      <c r="C2" s="7" t="s">
        <v>49</v>
      </c>
      <c r="D2" s="7" t="s">
        <v>83</v>
      </c>
      <c r="E2" s="7" t="s">
        <v>2011</v>
      </c>
      <c r="F2" s="7" t="s">
        <v>104</v>
      </c>
      <c r="G2" s="7" t="s">
        <v>2012</v>
      </c>
      <c r="H2" s="11" t="n">
        <v>230888062</v>
      </c>
      <c r="I2" s="11" t="n">
        <v>192264846</v>
      </c>
      <c r="J2" s="11" t="n">
        <f aca="false">I2-H2</f>
        <v>-38623216</v>
      </c>
      <c r="K2" s="9" t="n">
        <f aca="false">ROUND(J2/H2,4)</f>
        <v>-0.1673</v>
      </c>
      <c r="L2" s="7" t="s">
        <v>339</v>
      </c>
    </row>
    <row r="3" customFormat="false" ht="15" hidden="false" customHeight="false" outlineLevel="0" collapsed="false">
      <c r="A3" s="7" t="s">
        <v>2013</v>
      </c>
      <c r="B3" s="8" t="n">
        <v>45614</v>
      </c>
      <c r="C3" s="7" t="s">
        <v>46</v>
      </c>
      <c r="D3" s="7" t="s">
        <v>75</v>
      </c>
      <c r="E3" s="7" t="s">
        <v>2014</v>
      </c>
      <c r="F3" s="7" t="s">
        <v>106</v>
      </c>
      <c r="G3" s="7" t="s">
        <v>2015</v>
      </c>
      <c r="H3" s="11" t="n">
        <v>139866284</v>
      </c>
      <c r="I3" s="11" t="n">
        <v>160764054</v>
      </c>
      <c r="J3" s="11" t="n">
        <f aca="false">I3-H3</f>
        <v>20897770</v>
      </c>
      <c r="K3" s="9" t="n">
        <f aca="false">ROUND(J3/H3,4)</f>
        <v>0.1494</v>
      </c>
      <c r="L3" s="7" t="s">
        <v>329</v>
      </c>
    </row>
    <row r="4" customFormat="false" ht="15" hidden="false" customHeight="false" outlineLevel="0" collapsed="false">
      <c r="A4" s="7" t="s">
        <v>2016</v>
      </c>
      <c r="B4" s="8" t="n">
        <v>45747</v>
      </c>
      <c r="C4" s="7" t="s">
        <v>34</v>
      </c>
      <c r="D4" s="7" t="s">
        <v>75</v>
      </c>
      <c r="E4" s="7" t="s">
        <v>2011</v>
      </c>
      <c r="F4" s="7" t="s">
        <v>104</v>
      </c>
      <c r="G4" s="7" t="s">
        <v>2017</v>
      </c>
      <c r="H4" s="11" t="n">
        <v>139725352</v>
      </c>
      <c r="I4" s="11" t="n">
        <v>139886481</v>
      </c>
      <c r="J4" s="11" t="n">
        <f aca="false">I4-H4</f>
        <v>161129</v>
      </c>
      <c r="K4" s="9" t="n">
        <f aca="false">ROUND(J4/H4,4)</f>
        <v>0.0012</v>
      </c>
      <c r="L4" s="7" t="s">
        <v>361</v>
      </c>
    </row>
    <row r="5" customFormat="false" ht="15" hidden="false" customHeight="false" outlineLevel="0" collapsed="false">
      <c r="A5" s="7" t="s">
        <v>2018</v>
      </c>
      <c r="B5" s="8" t="n">
        <v>45564</v>
      </c>
      <c r="C5" s="7" t="s">
        <v>34</v>
      </c>
      <c r="D5" s="7" t="s">
        <v>68</v>
      </c>
      <c r="E5" s="7" t="s">
        <v>2019</v>
      </c>
      <c r="F5" s="7"/>
      <c r="G5" s="7" t="s">
        <v>2020</v>
      </c>
      <c r="H5" s="11" t="n">
        <v>21250639</v>
      </c>
      <c r="I5" s="11" t="n">
        <v>20219523</v>
      </c>
      <c r="J5" s="11" t="n">
        <f aca="false">I5-H5</f>
        <v>-1031116</v>
      </c>
      <c r="K5" s="9" t="n">
        <f aca="false">ROUND(J5/H5,4)</f>
        <v>-0.0485</v>
      </c>
      <c r="L5" s="7" t="s">
        <v>353</v>
      </c>
    </row>
    <row r="6" customFormat="false" ht="15" hidden="false" customHeight="false" outlineLevel="0" collapsed="false">
      <c r="A6" s="7" t="s">
        <v>2021</v>
      </c>
      <c r="B6" s="8" t="n">
        <v>45844</v>
      </c>
      <c r="C6" s="7" t="s">
        <v>25</v>
      </c>
      <c r="D6" s="7" t="s">
        <v>83</v>
      </c>
      <c r="E6" s="7" t="s">
        <v>2014</v>
      </c>
      <c r="F6" s="7" t="s">
        <v>104</v>
      </c>
      <c r="G6" s="7" t="s">
        <v>2022</v>
      </c>
      <c r="H6" s="11" t="n">
        <v>38521261</v>
      </c>
      <c r="I6" s="11" t="n">
        <v>34447592</v>
      </c>
      <c r="J6" s="11" t="n">
        <f aca="false">I6-H6</f>
        <v>-4073669</v>
      </c>
      <c r="K6" s="9" t="n">
        <f aca="false">ROUND(J6/H6,4)</f>
        <v>-0.1058</v>
      </c>
      <c r="L6" s="7" t="s">
        <v>361</v>
      </c>
    </row>
    <row r="7" customFormat="false" ht="15" hidden="false" customHeight="false" outlineLevel="0" collapsed="false">
      <c r="A7" s="7" t="s">
        <v>2023</v>
      </c>
      <c r="B7" s="8" t="n">
        <v>45504</v>
      </c>
      <c r="C7" s="7" t="s">
        <v>37</v>
      </c>
      <c r="D7" s="7" t="s">
        <v>87</v>
      </c>
      <c r="E7" s="7" t="s">
        <v>2024</v>
      </c>
      <c r="F7" s="7" t="s">
        <v>109</v>
      </c>
      <c r="G7" s="7" t="s">
        <v>2025</v>
      </c>
      <c r="H7" s="11" t="n">
        <v>247633979</v>
      </c>
      <c r="I7" s="11" t="n">
        <v>189560357</v>
      </c>
      <c r="J7" s="11" t="n">
        <f aca="false">I7-H7</f>
        <v>-58073622</v>
      </c>
      <c r="K7" s="9" t="n">
        <f aca="false">ROUND(J7/H7,4)</f>
        <v>-0.2345</v>
      </c>
      <c r="L7" s="7" t="s">
        <v>361</v>
      </c>
    </row>
    <row r="8" customFormat="false" ht="15" hidden="false" customHeight="false" outlineLevel="0" collapsed="false">
      <c r="A8" s="7" t="s">
        <v>2026</v>
      </c>
      <c r="B8" s="8" t="n">
        <v>45973</v>
      </c>
      <c r="C8" s="7" t="s">
        <v>31</v>
      </c>
      <c r="D8" s="7" t="s">
        <v>65</v>
      </c>
      <c r="E8" s="7" t="s">
        <v>2011</v>
      </c>
      <c r="F8" s="7" t="s">
        <v>115</v>
      </c>
      <c r="G8" s="7" t="s">
        <v>2027</v>
      </c>
      <c r="H8" s="11" t="n">
        <v>167381800</v>
      </c>
      <c r="I8" s="11" t="n">
        <v>198967871</v>
      </c>
      <c r="J8" s="11" t="n">
        <f aca="false">I8-H8</f>
        <v>31586071</v>
      </c>
      <c r="K8" s="9" t="n">
        <f aca="false">ROUND(J8/H8,4)</f>
        <v>0.1887</v>
      </c>
      <c r="L8" s="7" t="s">
        <v>333</v>
      </c>
    </row>
    <row r="9" customFormat="false" ht="15" hidden="false" customHeight="false" outlineLevel="0" collapsed="false">
      <c r="A9" s="7" t="s">
        <v>2028</v>
      </c>
      <c r="B9" s="8" t="n">
        <v>45902</v>
      </c>
      <c r="C9" s="7" t="s">
        <v>52</v>
      </c>
      <c r="D9" s="7" t="s">
        <v>87</v>
      </c>
      <c r="E9" s="7" t="s">
        <v>2024</v>
      </c>
      <c r="F9" s="7" t="s">
        <v>109</v>
      </c>
      <c r="G9" s="7" t="s">
        <v>2029</v>
      </c>
      <c r="H9" s="11" t="n">
        <v>151510972</v>
      </c>
      <c r="I9" s="11" t="n">
        <v>142895698</v>
      </c>
      <c r="J9" s="11" t="n">
        <f aca="false">I9-H9</f>
        <v>-8615274</v>
      </c>
      <c r="K9" s="9" t="n">
        <f aca="false">ROUND(J9/H9,4)</f>
        <v>-0.0569</v>
      </c>
      <c r="L9" s="7" t="s">
        <v>361</v>
      </c>
    </row>
    <row r="10" customFormat="false" ht="15" hidden="false" customHeight="false" outlineLevel="0" collapsed="false">
      <c r="A10" s="7" t="s">
        <v>2030</v>
      </c>
      <c r="B10" s="8" t="n">
        <v>45632</v>
      </c>
      <c r="C10" s="7" t="s">
        <v>31</v>
      </c>
      <c r="D10" s="7" t="s">
        <v>83</v>
      </c>
      <c r="E10" s="7" t="s">
        <v>2019</v>
      </c>
      <c r="F10" s="7"/>
      <c r="G10" s="7" t="s">
        <v>2031</v>
      </c>
      <c r="H10" s="11" t="n">
        <v>143990408</v>
      </c>
      <c r="I10" s="11" t="n">
        <v>134767677</v>
      </c>
      <c r="J10" s="11" t="n">
        <f aca="false">I10-H10</f>
        <v>-9222731</v>
      </c>
      <c r="K10" s="9" t="n">
        <f aca="false">ROUND(J10/H10,4)</f>
        <v>-0.0641</v>
      </c>
      <c r="L10" s="7" t="s">
        <v>361</v>
      </c>
    </row>
    <row r="11" customFormat="false" ht="15" hidden="false" customHeight="false" outlineLevel="0" collapsed="false">
      <c r="A11" s="7" t="s">
        <v>2032</v>
      </c>
      <c r="B11" s="8" t="n">
        <v>45916</v>
      </c>
      <c r="C11" s="7" t="s">
        <v>49</v>
      </c>
      <c r="D11" s="7" t="s">
        <v>75</v>
      </c>
      <c r="E11" s="7" t="s">
        <v>2014</v>
      </c>
      <c r="F11" s="7" t="s">
        <v>95</v>
      </c>
      <c r="G11" s="7" t="s">
        <v>2033</v>
      </c>
      <c r="H11" s="11" t="n">
        <v>217574187</v>
      </c>
      <c r="I11" s="11" t="n">
        <v>228289769</v>
      </c>
      <c r="J11" s="11" t="n">
        <f aca="false">I11-H11</f>
        <v>10715582</v>
      </c>
      <c r="K11" s="9" t="n">
        <f aca="false">ROUND(J11/H11,4)</f>
        <v>0.0493</v>
      </c>
      <c r="L11" s="7" t="s">
        <v>341</v>
      </c>
    </row>
    <row r="12" customFormat="false" ht="15" hidden="false" customHeight="false" outlineLevel="0" collapsed="false">
      <c r="A12" s="7" t="s">
        <v>2034</v>
      </c>
      <c r="B12" s="8" t="n">
        <v>45861</v>
      </c>
      <c r="C12" s="7" t="s">
        <v>40</v>
      </c>
      <c r="D12" s="7" t="s">
        <v>87</v>
      </c>
      <c r="E12" s="7" t="s">
        <v>2024</v>
      </c>
      <c r="F12" s="7" t="s">
        <v>106</v>
      </c>
      <c r="G12" s="7" t="s">
        <v>2035</v>
      </c>
      <c r="H12" s="11" t="n">
        <v>32065686</v>
      </c>
      <c r="I12" s="11" t="n">
        <v>34202143</v>
      </c>
      <c r="J12" s="11" t="n">
        <f aca="false">I12-H12</f>
        <v>2136457</v>
      </c>
      <c r="K12" s="9" t="n">
        <f aca="false">ROUND(J12/H12,4)</f>
        <v>0.0666</v>
      </c>
      <c r="L12" s="7" t="s">
        <v>355</v>
      </c>
    </row>
    <row r="13" customFormat="false" ht="15" hidden="false" customHeight="false" outlineLevel="0" collapsed="false">
      <c r="A13" s="7" t="s">
        <v>2036</v>
      </c>
      <c r="B13" s="8" t="n">
        <v>45727</v>
      </c>
      <c r="C13" s="7" t="s">
        <v>46</v>
      </c>
      <c r="D13" s="7" t="s">
        <v>65</v>
      </c>
      <c r="E13" s="7" t="s">
        <v>2024</v>
      </c>
      <c r="F13" s="7" t="s">
        <v>102</v>
      </c>
      <c r="G13" s="7" t="s">
        <v>2037</v>
      </c>
      <c r="H13" s="11" t="n">
        <v>192732334</v>
      </c>
      <c r="I13" s="11" t="n">
        <v>175595972</v>
      </c>
      <c r="J13" s="11" t="n">
        <f aca="false">I13-H13</f>
        <v>-17136362</v>
      </c>
      <c r="K13" s="9" t="n">
        <f aca="false">ROUND(J13/H13,4)</f>
        <v>-0.0889</v>
      </c>
      <c r="L13" s="7" t="s">
        <v>353</v>
      </c>
    </row>
    <row r="14" customFormat="false" ht="15" hidden="false" customHeight="false" outlineLevel="0" collapsed="false">
      <c r="A14" s="7" t="s">
        <v>2038</v>
      </c>
      <c r="B14" s="8" t="n">
        <v>45416</v>
      </c>
      <c r="C14" s="7" t="s">
        <v>37</v>
      </c>
      <c r="D14" s="7" t="s">
        <v>79</v>
      </c>
      <c r="E14" s="7" t="s">
        <v>2011</v>
      </c>
      <c r="F14" s="7" t="s">
        <v>113</v>
      </c>
      <c r="G14" s="7" t="s">
        <v>2039</v>
      </c>
      <c r="H14" s="11" t="n">
        <v>16586662</v>
      </c>
      <c r="I14" s="11" t="n">
        <v>17149192</v>
      </c>
      <c r="J14" s="11" t="n">
        <f aca="false">I14-H14</f>
        <v>562530</v>
      </c>
      <c r="K14" s="9" t="n">
        <f aca="false">ROUND(J14/H14,4)</f>
        <v>0.0339</v>
      </c>
      <c r="L14" s="7" t="s">
        <v>345</v>
      </c>
    </row>
    <row r="15" customFormat="false" ht="15" hidden="false" customHeight="false" outlineLevel="0" collapsed="false">
      <c r="A15" s="7" t="s">
        <v>2040</v>
      </c>
      <c r="B15" s="8" t="n">
        <v>45583</v>
      </c>
      <c r="C15" s="7" t="s">
        <v>46</v>
      </c>
      <c r="D15" s="7" t="s">
        <v>60</v>
      </c>
      <c r="E15" s="7" t="s">
        <v>2041</v>
      </c>
      <c r="F15" s="7"/>
      <c r="G15" s="7" t="s">
        <v>2042</v>
      </c>
      <c r="H15" s="11" t="n">
        <v>122724020</v>
      </c>
      <c r="I15" s="11" t="n">
        <v>127912692</v>
      </c>
      <c r="J15" s="11" t="n">
        <f aca="false">I15-H15</f>
        <v>5188672</v>
      </c>
      <c r="K15" s="9" t="n">
        <f aca="false">ROUND(J15/H15,4)</f>
        <v>0.0423</v>
      </c>
      <c r="L15" s="7" t="s">
        <v>343</v>
      </c>
    </row>
    <row r="16" customFormat="false" ht="15" hidden="false" customHeight="false" outlineLevel="0" collapsed="false">
      <c r="A16" s="7" t="s">
        <v>2043</v>
      </c>
      <c r="B16" s="8" t="n">
        <v>46016</v>
      </c>
      <c r="C16" s="7" t="s">
        <v>31</v>
      </c>
      <c r="D16" s="7" t="s">
        <v>71</v>
      </c>
      <c r="E16" s="7" t="s">
        <v>2024</v>
      </c>
      <c r="F16" s="7" t="s">
        <v>106</v>
      </c>
      <c r="G16" s="7" t="s">
        <v>2044</v>
      </c>
      <c r="H16" s="11" t="n">
        <v>198060093</v>
      </c>
      <c r="I16" s="11" t="n">
        <v>158117280</v>
      </c>
      <c r="J16" s="11" t="n">
        <f aca="false">I16-H16</f>
        <v>-39942813</v>
      </c>
      <c r="K16" s="9" t="n">
        <f aca="false">ROUND(J16/H16,4)</f>
        <v>-0.2017</v>
      </c>
      <c r="L16" s="7" t="s">
        <v>355</v>
      </c>
    </row>
    <row r="17" customFormat="false" ht="15" hidden="false" customHeight="false" outlineLevel="0" collapsed="false">
      <c r="A17" s="7" t="s">
        <v>2045</v>
      </c>
      <c r="B17" s="8" t="n">
        <v>45522</v>
      </c>
      <c r="C17" s="7" t="s">
        <v>37</v>
      </c>
      <c r="D17" s="7" t="s">
        <v>87</v>
      </c>
      <c r="E17" s="7" t="s">
        <v>2041</v>
      </c>
      <c r="F17" s="7"/>
      <c r="G17" s="7" t="s">
        <v>2046</v>
      </c>
      <c r="H17" s="11" t="n">
        <v>82310349</v>
      </c>
      <c r="I17" s="11" t="n">
        <v>68834170</v>
      </c>
      <c r="J17" s="11" t="n">
        <f aca="false">I17-H17</f>
        <v>-13476179</v>
      </c>
      <c r="K17" s="9" t="n">
        <f aca="false">ROUND(J17/H17,4)</f>
        <v>-0.1637</v>
      </c>
      <c r="L17" s="7" t="s">
        <v>351</v>
      </c>
    </row>
    <row r="18" customFormat="false" ht="15" hidden="false" customHeight="false" outlineLevel="0" collapsed="false">
      <c r="A18" s="7" t="s">
        <v>2047</v>
      </c>
      <c r="B18" s="8" t="n">
        <v>45606</v>
      </c>
      <c r="C18" s="7" t="s">
        <v>25</v>
      </c>
      <c r="D18" s="7" t="s">
        <v>65</v>
      </c>
      <c r="E18" s="7" t="s">
        <v>2014</v>
      </c>
      <c r="F18" s="7" t="s">
        <v>106</v>
      </c>
      <c r="G18" s="7" t="s">
        <v>2015</v>
      </c>
      <c r="H18" s="11" t="n">
        <v>30353227</v>
      </c>
      <c r="I18" s="11" t="n">
        <v>24292096</v>
      </c>
      <c r="J18" s="11" t="n">
        <f aca="false">I18-H18</f>
        <v>-6061131</v>
      </c>
      <c r="K18" s="9" t="n">
        <f aca="false">ROUND(J18/H18,4)</f>
        <v>-0.1997</v>
      </c>
      <c r="L18" s="7" t="s">
        <v>359</v>
      </c>
    </row>
    <row r="19" customFormat="false" ht="15" hidden="false" customHeight="false" outlineLevel="0" collapsed="false">
      <c r="A19" s="7" t="s">
        <v>2048</v>
      </c>
      <c r="B19" s="8" t="n">
        <v>45429</v>
      </c>
      <c r="C19" s="7" t="s">
        <v>40</v>
      </c>
      <c r="D19" s="7" t="s">
        <v>79</v>
      </c>
      <c r="E19" s="7" t="s">
        <v>2014</v>
      </c>
      <c r="F19" s="7" t="s">
        <v>115</v>
      </c>
      <c r="G19" s="7" t="s">
        <v>2049</v>
      </c>
      <c r="H19" s="11" t="n">
        <v>20668888</v>
      </c>
      <c r="I19" s="11" t="n">
        <v>23126429</v>
      </c>
      <c r="J19" s="11" t="n">
        <f aca="false">I19-H19</f>
        <v>2457541</v>
      </c>
      <c r="K19" s="9" t="n">
        <f aca="false">ROUND(J19/H19,4)</f>
        <v>0.1189</v>
      </c>
      <c r="L19" s="7" t="s">
        <v>345</v>
      </c>
    </row>
    <row r="20" customFormat="false" ht="15" hidden="false" customHeight="false" outlineLevel="0" collapsed="false">
      <c r="A20" s="7" t="s">
        <v>2050</v>
      </c>
      <c r="B20" s="8" t="n">
        <v>45562</v>
      </c>
      <c r="C20" s="7" t="s">
        <v>25</v>
      </c>
      <c r="D20" s="7" t="s">
        <v>71</v>
      </c>
      <c r="E20" s="7" t="s">
        <v>2014</v>
      </c>
      <c r="F20" s="7" t="s">
        <v>95</v>
      </c>
      <c r="G20" s="7" t="s">
        <v>2051</v>
      </c>
      <c r="H20" s="11" t="n">
        <v>131719332</v>
      </c>
      <c r="I20" s="11" t="n">
        <v>155189058</v>
      </c>
      <c r="J20" s="11" t="n">
        <f aca="false">I20-H20</f>
        <v>23469726</v>
      </c>
      <c r="K20" s="9" t="n">
        <f aca="false">ROUND(J20/H20,4)</f>
        <v>0.1782</v>
      </c>
      <c r="L20" s="7" t="s">
        <v>343</v>
      </c>
    </row>
    <row r="21" customFormat="false" ht="15" hidden="false" customHeight="false" outlineLevel="0" collapsed="false">
      <c r="A21" s="7" t="s">
        <v>2052</v>
      </c>
      <c r="B21" s="8" t="n">
        <v>45872</v>
      </c>
      <c r="C21" s="7" t="s">
        <v>37</v>
      </c>
      <c r="D21" s="7" t="s">
        <v>83</v>
      </c>
      <c r="E21" s="7" t="s">
        <v>2014</v>
      </c>
      <c r="F21" s="7" t="s">
        <v>113</v>
      </c>
      <c r="G21" s="7" t="s">
        <v>2053</v>
      </c>
      <c r="H21" s="11" t="n">
        <v>190167393</v>
      </c>
      <c r="I21" s="11" t="n">
        <v>195711038</v>
      </c>
      <c r="J21" s="11" t="n">
        <f aca="false">I21-H21</f>
        <v>5543645</v>
      </c>
      <c r="K21" s="9" t="n">
        <f aca="false">ROUND(J21/H21,4)</f>
        <v>0.0292</v>
      </c>
      <c r="L21" s="7" t="s">
        <v>361</v>
      </c>
    </row>
    <row r="22" customFormat="false" ht="15" hidden="false" customHeight="false" outlineLevel="0" collapsed="false">
      <c r="A22" s="7" t="s">
        <v>2054</v>
      </c>
      <c r="B22" s="8" t="n">
        <v>45688</v>
      </c>
      <c r="C22" s="7" t="s">
        <v>43</v>
      </c>
      <c r="D22" s="7" t="s">
        <v>87</v>
      </c>
      <c r="E22" s="7" t="s">
        <v>2055</v>
      </c>
      <c r="F22" s="7"/>
      <c r="G22" s="7" t="s">
        <v>2056</v>
      </c>
      <c r="H22" s="11" t="n">
        <v>77413005</v>
      </c>
      <c r="I22" s="11" t="n">
        <v>74154120</v>
      </c>
      <c r="J22" s="11" t="n">
        <f aca="false">I22-H22</f>
        <v>-3258885</v>
      </c>
      <c r="K22" s="9" t="n">
        <f aca="false">ROUND(J22/H22,4)</f>
        <v>-0.0421</v>
      </c>
      <c r="L22" s="7" t="s">
        <v>333</v>
      </c>
    </row>
    <row r="23" customFormat="false" ht="15" hidden="false" customHeight="false" outlineLevel="0" collapsed="false">
      <c r="A23" s="7" t="s">
        <v>2057</v>
      </c>
      <c r="B23" s="8" t="n">
        <v>45706</v>
      </c>
      <c r="C23" s="7" t="s">
        <v>52</v>
      </c>
      <c r="D23" s="7" t="s">
        <v>71</v>
      </c>
      <c r="E23" s="7" t="s">
        <v>2011</v>
      </c>
      <c r="F23" s="7" t="s">
        <v>115</v>
      </c>
      <c r="G23" s="7" t="s">
        <v>2058</v>
      </c>
      <c r="H23" s="11" t="n">
        <v>144391346</v>
      </c>
      <c r="I23" s="11" t="n">
        <v>118850242</v>
      </c>
      <c r="J23" s="11" t="n">
        <f aca="false">I23-H23</f>
        <v>-25541104</v>
      </c>
      <c r="K23" s="9" t="n">
        <f aca="false">ROUND(J23/H23,4)</f>
        <v>-0.1769</v>
      </c>
      <c r="L23" s="7" t="s">
        <v>347</v>
      </c>
    </row>
    <row r="24" customFormat="false" ht="15" hidden="false" customHeight="false" outlineLevel="0" collapsed="false">
      <c r="A24" s="7" t="s">
        <v>2059</v>
      </c>
      <c r="B24" s="8" t="n">
        <v>45618</v>
      </c>
      <c r="C24" s="7" t="s">
        <v>25</v>
      </c>
      <c r="D24" s="7" t="s">
        <v>68</v>
      </c>
      <c r="E24" s="7" t="s">
        <v>2055</v>
      </c>
      <c r="F24" s="7"/>
      <c r="G24" s="7" t="s">
        <v>2060</v>
      </c>
      <c r="H24" s="11" t="n">
        <v>142379694</v>
      </c>
      <c r="I24" s="11" t="n">
        <v>138902750</v>
      </c>
      <c r="J24" s="11" t="n">
        <f aca="false">I24-H24</f>
        <v>-3476944</v>
      </c>
      <c r="K24" s="9" t="n">
        <f aca="false">ROUND(J24/H24,4)</f>
        <v>-0.0244</v>
      </c>
      <c r="L24" s="7" t="s">
        <v>333</v>
      </c>
    </row>
    <row r="25" customFormat="false" ht="15" hidden="false" customHeight="false" outlineLevel="0" collapsed="false">
      <c r="A25" s="7" t="s">
        <v>2061</v>
      </c>
      <c r="B25" s="8" t="n">
        <v>45329</v>
      </c>
      <c r="C25" s="7" t="s">
        <v>34</v>
      </c>
      <c r="D25" s="7" t="s">
        <v>71</v>
      </c>
      <c r="E25" s="7" t="s">
        <v>2041</v>
      </c>
      <c r="F25" s="7"/>
      <c r="G25" s="7" t="s">
        <v>2062</v>
      </c>
      <c r="H25" s="11" t="n">
        <v>233951496</v>
      </c>
      <c r="I25" s="11" t="n">
        <v>247219942</v>
      </c>
      <c r="J25" s="11" t="n">
        <f aca="false">I25-H25</f>
        <v>13268446</v>
      </c>
      <c r="K25" s="9" t="n">
        <f aca="false">ROUND(J25/H25,4)</f>
        <v>0.0567</v>
      </c>
      <c r="L25" s="7" t="s">
        <v>333</v>
      </c>
    </row>
    <row r="26" customFormat="false" ht="15" hidden="false" customHeight="false" outlineLevel="0" collapsed="false">
      <c r="A26" s="7" t="s">
        <v>2063</v>
      </c>
      <c r="B26" s="8" t="n">
        <v>45923</v>
      </c>
      <c r="C26" s="7" t="s">
        <v>25</v>
      </c>
      <c r="D26" s="7" t="s">
        <v>60</v>
      </c>
      <c r="E26" s="7" t="s">
        <v>2014</v>
      </c>
      <c r="F26" s="7" t="s">
        <v>102</v>
      </c>
      <c r="G26" s="7" t="s">
        <v>2033</v>
      </c>
      <c r="H26" s="11" t="n">
        <v>109157698</v>
      </c>
      <c r="I26" s="11" t="n">
        <v>87053302</v>
      </c>
      <c r="J26" s="11" t="n">
        <f aca="false">I26-H26</f>
        <v>-22104396</v>
      </c>
      <c r="K26" s="9" t="n">
        <f aca="false">ROUND(J26/H26,4)</f>
        <v>-0.2025</v>
      </c>
      <c r="L26" s="7" t="s">
        <v>351</v>
      </c>
    </row>
    <row r="27" customFormat="false" ht="15" hidden="false" customHeight="false" outlineLevel="0" collapsed="false">
      <c r="A27" s="7" t="s">
        <v>2064</v>
      </c>
      <c r="B27" s="8" t="n">
        <v>45773</v>
      </c>
      <c r="C27" s="7" t="s">
        <v>49</v>
      </c>
      <c r="D27" s="7" t="s">
        <v>79</v>
      </c>
      <c r="E27" s="7" t="s">
        <v>2014</v>
      </c>
      <c r="F27" s="7" t="s">
        <v>102</v>
      </c>
      <c r="G27" s="7" t="s">
        <v>2065</v>
      </c>
      <c r="H27" s="11" t="n">
        <v>4836263</v>
      </c>
      <c r="I27" s="11" t="n">
        <v>5137750</v>
      </c>
      <c r="J27" s="11" t="n">
        <f aca="false">I27-H27</f>
        <v>301487</v>
      </c>
      <c r="K27" s="9" t="n">
        <f aca="false">ROUND(J27/H27,4)</f>
        <v>0.0623</v>
      </c>
      <c r="L27" s="7" t="s">
        <v>353</v>
      </c>
    </row>
    <row r="28" customFormat="false" ht="15" hidden="false" customHeight="false" outlineLevel="0" collapsed="false">
      <c r="A28" s="7" t="s">
        <v>2066</v>
      </c>
      <c r="B28" s="8" t="n">
        <v>45780</v>
      </c>
      <c r="C28" s="7" t="s">
        <v>25</v>
      </c>
      <c r="D28" s="7" t="s">
        <v>83</v>
      </c>
      <c r="E28" s="7" t="s">
        <v>2011</v>
      </c>
      <c r="F28" s="7" t="s">
        <v>106</v>
      </c>
      <c r="G28" s="7" t="s">
        <v>2067</v>
      </c>
      <c r="H28" s="11" t="n">
        <v>129819422</v>
      </c>
      <c r="I28" s="11" t="n">
        <v>140856102</v>
      </c>
      <c r="J28" s="11" t="n">
        <f aca="false">I28-H28</f>
        <v>11036680</v>
      </c>
      <c r="K28" s="9" t="n">
        <f aca="false">ROUND(J28/H28,4)</f>
        <v>0.085</v>
      </c>
      <c r="L28" s="7" t="s">
        <v>343</v>
      </c>
    </row>
    <row r="29" customFormat="false" ht="15" hidden="false" customHeight="false" outlineLevel="0" collapsed="false">
      <c r="A29" s="7" t="s">
        <v>2068</v>
      </c>
      <c r="B29" s="8" t="n">
        <v>45834</v>
      </c>
      <c r="C29" s="7" t="s">
        <v>31</v>
      </c>
      <c r="D29" s="7" t="s">
        <v>87</v>
      </c>
      <c r="E29" s="7" t="s">
        <v>2055</v>
      </c>
      <c r="F29" s="7"/>
      <c r="G29" s="7" t="s">
        <v>2069</v>
      </c>
      <c r="H29" s="11" t="n">
        <v>98132890</v>
      </c>
      <c r="I29" s="11" t="n">
        <v>101728700</v>
      </c>
      <c r="J29" s="11" t="n">
        <f aca="false">I29-H29</f>
        <v>3595810</v>
      </c>
      <c r="K29" s="9" t="n">
        <f aca="false">ROUND(J29/H29,4)</f>
        <v>0.0366</v>
      </c>
      <c r="L29" s="7" t="s">
        <v>341</v>
      </c>
    </row>
    <row r="30" customFormat="false" ht="15" hidden="false" customHeight="false" outlineLevel="0" collapsed="false">
      <c r="A30" s="7" t="s">
        <v>2070</v>
      </c>
      <c r="B30" s="8" t="n">
        <v>45541</v>
      </c>
      <c r="C30" s="7" t="s">
        <v>52</v>
      </c>
      <c r="D30" s="7" t="s">
        <v>65</v>
      </c>
      <c r="E30" s="7" t="s">
        <v>2055</v>
      </c>
      <c r="F30" s="7"/>
      <c r="G30" s="7" t="s">
        <v>2071</v>
      </c>
      <c r="H30" s="11" t="n">
        <v>16535181</v>
      </c>
      <c r="I30" s="11" t="n">
        <v>12516294</v>
      </c>
      <c r="J30" s="11" t="n">
        <f aca="false">I30-H30</f>
        <v>-4018887</v>
      </c>
      <c r="K30" s="9" t="n">
        <f aca="false">ROUND(J30/H30,4)</f>
        <v>-0.2431</v>
      </c>
      <c r="L30" s="7" t="s">
        <v>333</v>
      </c>
    </row>
    <row r="31" customFormat="false" ht="15" hidden="false" customHeight="false" outlineLevel="0" collapsed="false">
      <c r="A31" s="7" t="s">
        <v>2072</v>
      </c>
      <c r="B31" s="8" t="n">
        <v>45965</v>
      </c>
      <c r="C31" s="7" t="s">
        <v>52</v>
      </c>
      <c r="D31" s="7" t="s">
        <v>71</v>
      </c>
      <c r="E31" s="7" t="s">
        <v>2011</v>
      </c>
      <c r="F31" s="7" t="s">
        <v>113</v>
      </c>
      <c r="G31" s="7" t="s">
        <v>2027</v>
      </c>
      <c r="H31" s="11" t="n">
        <v>152396831</v>
      </c>
      <c r="I31" s="11" t="n">
        <v>172909602</v>
      </c>
      <c r="J31" s="11" t="n">
        <f aca="false">I31-H31</f>
        <v>20512771</v>
      </c>
      <c r="K31" s="9" t="n">
        <f aca="false">ROUND(J31/H31,4)</f>
        <v>0.1346</v>
      </c>
      <c r="L31" s="7" t="s">
        <v>343</v>
      </c>
    </row>
    <row r="32" customFormat="false" ht="15" hidden="false" customHeight="false" outlineLevel="0" collapsed="false">
      <c r="A32" s="7" t="s">
        <v>2073</v>
      </c>
      <c r="B32" s="8" t="n">
        <v>45595</v>
      </c>
      <c r="C32" s="7" t="s">
        <v>52</v>
      </c>
      <c r="D32" s="7" t="s">
        <v>71</v>
      </c>
      <c r="E32" s="7" t="s">
        <v>2024</v>
      </c>
      <c r="F32" s="7" t="s">
        <v>106</v>
      </c>
      <c r="G32" s="7" t="s">
        <v>2074</v>
      </c>
      <c r="H32" s="11" t="n">
        <v>5313216</v>
      </c>
      <c r="I32" s="11" t="n">
        <v>5722381</v>
      </c>
      <c r="J32" s="11" t="n">
        <f aca="false">I32-H32</f>
        <v>409165</v>
      </c>
      <c r="K32" s="9" t="n">
        <f aca="false">ROUND(J32/H32,4)</f>
        <v>0.077</v>
      </c>
      <c r="L32" s="7" t="s">
        <v>355</v>
      </c>
    </row>
    <row r="33" customFormat="false" ht="15" hidden="false" customHeight="false" outlineLevel="0" collapsed="false">
      <c r="A33" s="7" t="s">
        <v>2075</v>
      </c>
      <c r="B33" s="8" t="n">
        <v>45920</v>
      </c>
      <c r="C33" s="7" t="s">
        <v>43</v>
      </c>
      <c r="D33" s="7" t="s">
        <v>65</v>
      </c>
      <c r="E33" s="7" t="s">
        <v>2019</v>
      </c>
      <c r="F33" s="7"/>
      <c r="G33" s="7" t="s">
        <v>2076</v>
      </c>
      <c r="H33" s="11" t="n">
        <v>215711927</v>
      </c>
      <c r="I33" s="11" t="n">
        <v>218644957</v>
      </c>
      <c r="J33" s="11" t="n">
        <f aca="false">I33-H33</f>
        <v>2933030</v>
      </c>
      <c r="K33" s="9" t="n">
        <f aca="false">ROUND(J33/H33,4)</f>
        <v>0.0136</v>
      </c>
      <c r="L33" s="7" t="s">
        <v>355</v>
      </c>
    </row>
    <row r="34" customFormat="false" ht="15" hidden="false" customHeight="false" outlineLevel="0" collapsed="false">
      <c r="A34" s="7" t="s">
        <v>2077</v>
      </c>
      <c r="B34" s="8" t="n">
        <v>45827</v>
      </c>
      <c r="C34" s="7" t="s">
        <v>25</v>
      </c>
      <c r="D34" s="7" t="s">
        <v>87</v>
      </c>
      <c r="E34" s="7" t="s">
        <v>2019</v>
      </c>
      <c r="F34" s="7"/>
      <c r="G34" s="7" t="s">
        <v>2078</v>
      </c>
      <c r="H34" s="11" t="n">
        <v>212132132</v>
      </c>
      <c r="I34" s="11" t="n">
        <v>161860160</v>
      </c>
      <c r="J34" s="11" t="n">
        <f aca="false">I34-H34</f>
        <v>-50271972</v>
      </c>
      <c r="K34" s="9" t="n">
        <f aca="false">ROUND(J34/H34,4)</f>
        <v>-0.237</v>
      </c>
      <c r="L34" s="7" t="s">
        <v>349</v>
      </c>
    </row>
    <row r="35" customFormat="false" ht="15" hidden="false" customHeight="false" outlineLevel="0" collapsed="false">
      <c r="A35" s="7" t="s">
        <v>2079</v>
      </c>
      <c r="B35" s="8" t="n">
        <v>45520</v>
      </c>
      <c r="C35" s="7" t="s">
        <v>25</v>
      </c>
      <c r="D35" s="7" t="s">
        <v>60</v>
      </c>
      <c r="E35" s="7" t="s">
        <v>2055</v>
      </c>
      <c r="F35" s="7"/>
      <c r="G35" s="7" t="s">
        <v>2080</v>
      </c>
      <c r="H35" s="11" t="n">
        <v>119991050</v>
      </c>
      <c r="I35" s="11" t="n">
        <v>104912541</v>
      </c>
      <c r="J35" s="11" t="n">
        <f aca="false">I35-H35</f>
        <v>-15078509</v>
      </c>
      <c r="K35" s="9" t="n">
        <f aca="false">ROUND(J35/H35,4)</f>
        <v>-0.1257</v>
      </c>
      <c r="L35" s="7" t="s">
        <v>347</v>
      </c>
    </row>
    <row r="36" customFormat="false" ht="15" hidden="false" customHeight="false" outlineLevel="0" collapsed="false">
      <c r="A36" s="7" t="s">
        <v>2081</v>
      </c>
      <c r="B36" s="8" t="n">
        <v>45555</v>
      </c>
      <c r="C36" s="7" t="s">
        <v>40</v>
      </c>
      <c r="D36" s="7" t="s">
        <v>65</v>
      </c>
      <c r="E36" s="7" t="s">
        <v>2011</v>
      </c>
      <c r="F36" s="7" t="s">
        <v>115</v>
      </c>
      <c r="G36" s="7" t="s">
        <v>2082</v>
      </c>
      <c r="H36" s="11" t="n">
        <v>200155590</v>
      </c>
      <c r="I36" s="11" t="n">
        <v>154945995</v>
      </c>
      <c r="J36" s="11" t="n">
        <f aca="false">I36-H36</f>
        <v>-45209595</v>
      </c>
      <c r="K36" s="9" t="n">
        <f aca="false">ROUND(J36/H36,4)</f>
        <v>-0.2259</v>
      </c>
      <c r="L36" s="7" t="s">
        <v>347</v>
      </c>
    </row>
    <row r="37" customFormat="false" ht="15" hidden="false" customHeight="false" outlineLevel="0" collapsed="false">
      <c r="A37" s="7" t="s">
        <v>2083</v>
      </c>
      <c r="B37" s="8" t="n">
        <v>45813</v>
      </c>
      <c r="C37" s="7" t="s">
        <v>46</v>
      </c>
      <c r="D37" s="7" t="s">
        <v>75</v>
      </c>
      <c r="E37" s="7" t="s">
        <v>2014</v>
      </c>
      <c r="F37" s="7" t="s">
        <v>113</v>
      </c>
      <c r="G37" s="7" t="s">
        <v>2084</v>
      </c>
      <c r="H37" s="11" t="n">
        <v>166127364</v>
      </c>
      <c r="I37" s="11" t="n">
        <v>186519343</v>
      </c>
      <c r="J37" s="11" t="n">
        <f aca="false">I37-H37</f>
        <v>20391979</v>
      </c>
      <c r="K37" s="9" t="n">
        <f aca="false">ROUND(J37/H37,4)</f>
        <v>0.1227</v>
      </c>
      <c r="L37" s="7" t="s">
        <v>357</v>
      </c>
    </row>
    <row r="38" customFormat="false" ht="15" hidden="false" customHeight="false" outlineLevel="0" collapsed="false">
      <c r="A38" s="7" t="s">
        <v>2085</v>
      </c>
      <c r="B38" s="8" t="n">
        <v>45864</v>
      </c>
      <c r="C38" s="7" t="s">
        <v>46</v>
      </c>
      <c r="D38" s="7" t="s">
        <v>65</v>
      </c>
      <c r="E38" s="7" t="s">
        <v>2024</v>
      </c>
      <c r="F38" s="7" t="s">
        <v>113</v>
      </c>
      <c r="G38" s="7" t="s">
        <v>2035</v>
      </c>
      <c r="H38" s="11" t="n">
        <v>203250188</v>
      </c>
      <c r="I38" s="11" t="n">
        <v>223958979</v>
      </c>
      <c r="J38" s="11" t="n">
        <f aca="false">I38-H38</f>
        <v>20708791</v>
      </c>
      <c r="K38" s="9" t="n">
        <f aca="false">ROUND(J38/H38,4)</f>
        <v>0.1019</v>
      </c>
      <c r="L38" s="7" t="s">
        <v>335</v>
      </c>
    </row>
    <row r="39" customFormat="false" ht="15" hidden="false" customHeight="false" outlineLevel="0" collapsed="false">
      <c r="A39" s="7" t="s">
        <v>2086</v>
      </c>
      <c r="B39" s="8" t="n">
        <v>45984</v>
      </c>
      <c r="C39" s="7" t="s">
        <v>43</v>
      </c>
      <c r="D39" s="7" t="s">
        <v>68</v>
      </c>
      <c r="E39" s="7" t="s">
        <v>2024</v>
      </c>
      <c r="F39" s="7" t="s">
        <v>113</v>
      </c>
      <c r="G39" s="7" t="s">
        <v>2087</v>
      </c>
      <c r="H39" s="11" t="n">
        <v>237103057</v>
      </c>
      <c r="I39" s="11" t="n">
        <v>215180845</v>
      </c>
      <c r="J39" s="11" t="n">
        <f aca="false">I39-H39</f>
        <v>-21922212</v>
      </c>
      <c r="K39" s="9" t="n">
        <f aca="false">ROUND(J39/H39,4)</f>
        <v>-0.0925</v>
      </c>
      <c r="L39" s="7" t="s">
        <v>331</v>
      </c>
    </row>
    <row r="40" customFormat="false" ht="15" hidden="false" customHeight="false" outlineLevel="0" collapsed="false">
      <c r="A40" s="7" t="s">
        <v>2088</v>
      </c>
      <c r="B40" s="8" t="n">
        <v>45736</v>
      </c>
      <c r="C40" s="7" t="s">
        <v>49</v>
      </c>
      <c r="D40" s="7" t="s">
        <v>83</v>
      </c>
      <c r="E40" s="7" t="s">
        <v>2041</v>
      </c>
      <c r="F40" s="7"/>
      <c r="G40" s="7" t="s">
        <v>2089</v>
      </c>
      <c r="H40" s="11" t="n">
        <v>80025683</v>
      </c>
      <c r="I40" s="11" t="n">
        <v>94457780</v>
      </c>
      <c r="J40" s="11" t="n">
        <f aca="false">I40-H40</f>
        <v>14432097</v>
      </c>
      <c r="K40" s="9" t="n">
        <f aca="false">ROUND(J40/H40,4)</f>
        <v>0.1803</v>
      </c>
      <c r="L40" s="7" t="s">
        <v>341</v>
      </c>
    </row>
    <row r="41" customFormat="false" ht="15" hidden="false" customHeight="false" outlineLevel="0" collapsed="false">
      <c r="A41" s="7" t="s">
        <v>2090</v>
      </c>
      <c r="B41" s="8" t="n">
        <v>45477</v>
      </c>
      <c r="C41" s="7" t="s">
        <v>31</v>
      </c>
      <c r="D41" s="7" t="s">
        <v>79</v>
      </c>
      <c r="E41" s="7" t="s">
        <v>2024</v>
      </c>
      <c r="F41" s="7" t="s">
        <v>109</v>
      </c>
      <c r="G41" s="7" t="s">
        <v>2025</v>
      </c>
      <c r="H41" s="11" t="n">
        <v>173017130</v>
      </c>
      <c r="I41" s="11" t="n">
        <v>185134768</v>
      </c>
      <c r="J41" s="11" t="n">
        <f aca="false">I41-H41</f>
        <v>12117638</v>
      </c>
      <c r="K41" s="9" t="n">
        <f aca="false">ROUND(J41/H41,4)</f>
        <v>0.07</v>
      </c>
      <c r="L41" s="7" t="s">
        <v>361</v>
      </c>
    </row>
    <row r="42" customFormat="false" ht="15" hidden="false" customHeight="false" outlineLevel="0" collapsed="false">
      <c r="A42" s="7" t="s">
        <v>2091</v>
      </c>
      <c r="B42" s="8" t="n">
        <v>45679</v>
      </c>
      <c r="C42" s="7" t="s">
        <v>25</v>
      </c>
      <c r="D42" s="7" t="s">
        <v>79</v>
      </c>
      <c r="E42" s="7" t="s">
        <v>2055</v>
      </c>
      <c r="F42" s="7"/>
      <c r="G42" s="7" t="s">
        <v>2056</v>
      </c>
      <c r="H42" s="11" t="n">
        <v>141896401</v>
      </c>
      <c r="I42" s="11" t="n">
        <v>113583132</v>
      </c>
      <c r="J42" s="11" t="n">
        <f aca="false">I42-H42</f>
        <v>-28313269</v>
      </c>
      <c r="K42" s="9" t="n">
        <f aca="false">ROUND(J42/H42,4)</f>
        <v>-0.1995</v>
      </c>
      <c r="L42" s="7" t="s">
        <v>341</v>
      </c>
    </row>
    <row r="43" customFormat="false" ht="15" hidden="false" customHeight="false" outlineLevel="0" collapsed="false">
      <c r="A43" s="7" t="s">
        <v>2092</v>
      </c>
      <c r="B43" s="8" t="n">
        <v>45938</v>
      </c>
      <c r="C43" s="7" t="s">
        <v>31</v>
      </c>
      <c r="D43" s="7" t="s">
        <v>79</v>
      </c>
      <c r="E43" s="7" t="s">
        <v>2014</v>
      </c>
      <c r="F43" s="7" t="s">
        <v>102</v>
      </c>
      <c r="G43" s="7" t="s">
        <v>2093</v>
      </c>
      <c r="H43" s="11" t="n">
        <v>136820737</v>
      </c>
      <c r="I43" s="11" t="n">
        <v>157116513</v>
      </c>
      <c r="J43" s="11" t="n">
        <f aca="false">I43-H43</f>
        <v>20295776</v>
      </c>
      <c r="K43" s="9" t="n">
        <f aca="false">ROUND(J43/H43,4)</f>
        <v>0.1483</v>
      </c>
      <c r="L43" s="7" t="s">
        <v>359</v>
      </c>
    </row>
    <row r="44" customFormat="false" ht="15" hidden="false" customHeight="false" outlineLevel="0" collapsed="false">
      <c r="A44" s="7" t="s">
        <v>2094</v>
      </c>
      <c r="B44" s="8" t="n">
        <v>45306</v>
      </c>
      <c r="C44" s="7" t="s">
        <v>49</v>
      </c>
      <c r="D44" s="7" t="s">
        <v>75</v>
      </c>
      <c r="E44" s="7" t="s">
        <v>2024</v>
      </c>
      <c r="F44" s="7" t="s">
        <v>99</v>
      </c>
      <c r="G44" s="7" t="s">
        <v>2095</v>
      </c>
      <c r="H44" s="11" t="n">
        <v>204108871</v>
      </c>
      <c r="I44" s="11" t="n">
        <v>158932619</v>
      </c>
      <c r="J44" s="11" t="n">
        <f aca="false">I44-H44</f>
        <v>-45176252</v>
      </c>
      <c r="K44" s="9" t="n">
        <f aca="false">ROUND(J44/H44,4)</f>
        <v>-0.2213</v>
      </c>
      <c r="L44" s="7" t="s">
        <v>349</v>
      </c>
    </row>
    <row r="45" customFormat="false" ht="15" hidden="false" customHeight="false" outlineLevel="0" collapsed="false">
      <c r="A45" s="7" t="s">
        <v>2096</v>
      </c>
      <c r="B45" s="8" t="n">
        <v>45512</v>
      </c>
      <c r="C45" s="7" t="s">
        <v>37</v>
      </c>
      <c r="D45" s="7" t="s">
        <v>87</v>
      </c>
      <c r="E45" s="7" t="s">
        <v>2024</v>
      </c>
      <c r="F45" s="7" t="s">
        <v>102</v>
      </c>
      <c r="G45" s="7" t="s">
        <v>2097</v>
      </c>
      <c r="H45" s="11" t="n">
        <v>80656324</v>
      </c>
      <c r="I45" s="11" t="n">
        <v>78282506</v>
      </c>
      <c r="J45" s="11" t="n">
        <f aca="false">I45-H45</f>
        <v>-2373818</v>
      </c>
      <c r="K45" s="9" t="n">
        <f aca="false">ROUND(J45/H45,4)</f>
        <v>-0.0294</v>
      </c>
      <c r="L45" s="7" t="s">
        <v>343</v>
      </c>
    </row>
    <row r="46" customFormat="false" ht="15" hidden="false" customHeight="false" outlineLevel="0" collapsed="false">
      <c r="A46" s="7" t="s">
        <v>2098</v>
      </c>
      <c r="B46" s="8" t="n">
        <v>45635</v>
      </c>
      <c r="C46" s="7" t="s">
        <v>34</v>
      </c>
      <c r="D46" s="7" t="s">
        <v>83</v>
      </c>
      <c r="E46" s="7" t="s">
        <v>2011</v>
      </c>
      <c r="F46" s="7" t="s">
        <v>109</v>
      </c>
      <c r="G46" s="7" t="s">
        <v>2099</v>
      </c>
      <c r="H46" s="11" t="n">
        <v>54544671</v>
      </c>
      <c r="I46" s="11" t="n">
        <v>43580255</v>
      </c>
      <c r="J46" s="11" t="n">
        <f aca="false">I46-H46</f>
        <v>-10964416</v>
      </c>
      <c r="K46" s="9" t="n">
        <f aca="false">ROUND(J46/H46,4)</f>
        <v>-0.201</v>
      </c>
      <c r="L46" s="7" t="s">
        <v>329</v>
      </c>
    </row>
    <row r="47" customFormat="false" ht="15" hidden="false" customHeight="false" outlineLevel="0" collapsed="false">
      <c r="A47" s="7" t="s">
        <v>2100</v>
      </c>
      <c r="B47" s="8" t="n">
        <v>45569</v>
      </c>
      <c r="C47" s="7" t="s">
        <v>43</v>
      </c>
      <c r="D47" s="7" t="s">
        <v>68</v>
      </c>
      <c r="E47" s="7" t="s">
        <v>2041</v>
      </c>
      <c r="F47" s="7"/>
      <c r="G47" s="7" t="s">
        <v>2042</v>
      </c>
      <c r="H47" s="11" t="n">
        <v>120226793</v>
      </c>
      <c r="I47" s="11" t="n">
        <v>130754502</v>
      </c>
      <c r="J47" s="11" t="n">
        <f aca="false">I47-H47</f>
        <v>10527709</v>
      </c>
      <c r="K47" s="9" t="n">
        <f aca="false">ROUND(J47/H47,4)</f>
        <v>0.0876</v>
      </c>
      <c r="L47" s="7" t="s">
        <v>357</v>
      </c>
    </row>
    <row r="48" customFormat="false" ht="15" hidden="false" customHeight="false" outlineLevel="0" collapsed="false">
      <c r="A48" s="7" t="s">
        <v>2101</v>
      </c>
      <c r="B48" s="8" t="n">
        <v>45316</v>
      </c>
      <c r="C48" s="7" t="s">
        <v>25</v>
      </c>
      <c r="D48" s="7" t="s">
        <v>71</v>
      </c>
      <c r="E48" s="7" t="s">
        <v>2024</v>
      </c>
      <c r="F48" s="7" t="s">
        <v>104</v>
      </c>
      <c r="G48" s="7" t="s">
        <v>2095</v>
      </c>
      <c r="H48" s="11" t="n">
        <v>65955302</v>
      </c>
      <c r="I48" s="11" t="n">
        <v>75671469</v>
      </c>
      <c r="J48" s="11" t="n">
        <f aca="false">I48-H48</f>
        <v>9716167</v>
      </c>
      <c r="K48" s="9" t="n">
        <f aca="false">ROUND(J48/H48,4)</f>
        <v>0.1473</v>
      </c>
      <c r="L48" s="7" t="s">
        <v>349</v>
      </c>
    </row>
    <row r="49" customFormat="false" ht="15" hidden="false" customHeight="false" outlineLevel="0" collapsed="false">
      <c r="A49" s="7" t="s">
        <v>2102</v>
      </c>
      <c r="B49" s="8" t="n">
        <v>45438</v>
      </c>
      <c r="C49" s="7" t="s">
        <v>25</v>
      </c>
      <c r="D49" s="7" t="s">
        <v>68</v>
      </c>
      <c r="E49" s="7" t="s">
        <v>2041</v>
      </c>
      <c r="F49" s="7"/>
      <c r="G49" s="7" t="s">
        <v>2103</v>
      </c>
      <c r="H49" s="11" t="n">
        <v>87674023</v>
      </c>
      <c r="I49" s="11" t="n">
        <v>76127604</v>
      </c>
      <c r="J49" s="11" t="n">
        <f aca="false">I49-H49</f>
        <v>-11546419</v>
      </c>
      <c r="K49" s="9" t="n">
        <f aca="false">ROUND(J49/H49,4)</f>
        <v>-0.1317</v>
      </c>
      <c r="L49" s="7" t="s">
        <v>343</v>
      </c>
    </row>
    <row r="50" customFormat="false" ht="15" hidden="false" customHeight="false" outlineLevel="0" collapsed="false">
      <c r="A50" s="7" t="s">
        <v>2104</v>
      </c>
      <c r="B50" s="8" t="n">
        <v>45934</v>
      </c>
      <c r="C50" s="7" t="s">
        <v>25</v>
      </c>
      <c r="D50" s="7" t="s">
        <v>75</v>
      </c>
      <c r="E50" s="7" t="s">
        <v>2014</v>
      </c>
      <c r="F50" s="7" t="s">
        <v>109</v>
      </c>
      <c r="G50" s="7" t="s">
        <v>2093</v>
      </c>
      <c r="H50" s="11" t="n">
        <v>224715419</v>
      </c>
      <c r="I50" s="11" t="n">
        <v>251748582</v>
      </c>
      <c r="J50" s="11" t="n">
        <f aca="false">I50-H50</f>
        <v>27033163</v>
      </c>
      <c r="K50" s="9" t="n">
        <f aca="false">ROUND(J50/H50,4)</f>
        <v>0.1203</v>
      </c>
      <c r="L50" s="7" t="s">
        <v>329</v>
      </c>
    </row>
    <row r="51" customFormat="false" ht="15" hidden="false" customHeight="false" outlineLevel="0" collapsed="false">
      <c r="A51" s="7" t="s">
        <v>2105</v>
      </c>
      <c r="B51" s="8" t="n">
        <v>45521</v>
      </c>
      <c r="C51" s="7" t="s">
        <v>52</v>
      </c>
      <c r="D51" s="7" t="s">
        <v>68</v>
      </c>
      <c r="E51" s="7" t="s">
        <v>2041</v>
      </c>
      <c r="F51" s="7"/>
      <c r="G51" s="7" t="s">
        <v>2046</v>
      </c>
      <c r="H51" s="11" t="n">
        <v>188137107</v>
      </c>
      <c r="I51" s="11" t="n">
        <v>197430865</v>
      </c>
      <c r="J51" s="11" t="n">
        <f aca="false">I51-H51</f>
        <v>9293758</v>
      </c>
      <c r="K51" s="9" t="n">
        <f aca="false">ROUND(J51/H51,4)</f>
        <v>0.0494</v>
      </c>
      <c r="L51" s="7" t="s">
        <v>359</v>
      </c>
    </row>
    <row r="52" customFormat="false" ht="15" hidden="false" customHeight="false" outlineLevel="0" collapsed="false">
      <c r="A52" s="7" t="s">
        <v>2106</v>
      </c>
      <c r="B52" s="8" t="n">
        <v>45993</v>
      </c>
      <c r="C52" s="7" t="s">
        <v>34</v>
      </c>
      <c r="D52" s="7" t="s">
        <v>71</v>
      </c>
      <c r="E52" s="7" t="s">
        <v>2041</v>
      </c>
      <c r="F52" s="7"/>
      <c r="G52" s="7" t="s">
        <v>2107</v>
      </c>
      <c r="H52" s="11" t="n">
        <v>171945907</v>
      </c>
      <c r="I52" s="11" t="n">
        <v>136262244</v>
      </c>
      <c r="J52" s="11" t="n">
        <f aca="false">I52-H52</f>
        <v>-35683663</v>
      </c>
      <c r="K52" s="9" t="n">
        <f aca="false">ROUND(J52/H52,4)</f>
        <v>-0.2075</v>
      </c>
      <c r="L52" s="7" t="s">
        <v>337</v>
      </c>
    </row>
    <row r="53" customFormat="false" ht="15" hidden="false" customHeight="false" outlineLevel="0" collapsed="false">
      <c r="A53" s="7" t="s">
        <v>2108</v>
      </c>
      <c r="B53" s="8" t="n">
        <v>45492</v>
      </c>
      <c r="C53" s="7" t="s">
        <v>34</v>
      </c>
      <c r="D53" s="7" t="s">
        <v>79</v>
      </c>
      <c r="E53" s="7" t="s">
        <v>2024</v>
      </c>
      <c r="F53" s="7" t="s">
        <v>109</v>
      </c>
      <c r="G53" s="7" t="s">
        <v>2025</v>
      </c>
      <c r="H53" s="11" t="n">
        <v>190782285</v>
      </c>
      <c r="I53" s="11" t="n">
        <v>176893262</v>
      </c>
      <c r="J53" s="11" t="n">
        <f aca="false">I53-H53</f>
        <v>-13889023</v>
      </c>
      <c r="K53" s="9" t="n">
        <f aca="false">ROUND(J53/H53,4)</f>
        <v>-0.0728</v>
      </c>
      <c r="L53" s="7" t="s">
        <v>335</v>
      </c>
    </row>
    <row r="54" customFormat="false" ht="15" hidden="false" customHeight="false" outlineLevel="0" collapsed="false">
      <c r="A54" s="7" t="s">
        <v>2109</v>
      </c>
      <c r="B54" s="8" t="n">
        <v>45367</v>
      </c>
      <c r="C54" s="7" t="s">
        <v>31</v>
      </c>
      <c r="D54" s="7" t="s">
        <v>65</v>
      </c>
      <c r="E54" s="7" t="s">
        <v>2055</v>
      </c>
      <c r="F54" s="7"/>
      <c r="G54" s="7" t="s">
        <v>2110</v>
      </c>
      <c r="H54" s="11" t="n">
        <v>89802581</v>
      </c>
      <c r="I54" s="11" t="n">
        <v>85884724</v>
      </c>
      <c r="J54" s="11" t="n">
        <f aca="false">I54-H54</f>
        <v>-3917857</v>
      </c>
      <c r="K54" s="9" t="n">
        <f aca="false">ROUND(J54/H54,4)</f>
        <v>-0.0436</v>
      </c>
      <c r="L54" s="7" t="s">
        <v>361</v>
      </c>
    </row>
    <row r="55" customFormat="false" ht="15" hidden="false" customHeight="false" outlineLevel="0" collapsed="false">
      <c r="A55" s="7" t="s">
        <v>2111</v>
      </c>
      <c r="B55" s="8" t="n">
        <v>45471</v>
      </c>
      <c r="C55" s="7" t="s">
        <v>49</v>
      </c>
      <c r="D55" s="7" t="s">
        <v>83</v>
      </c>
      <c r="E55" s="7" t="s">
        <v>2019</v>
      </c>
      <c r="F55" s="7"/>
      <c r="G55" s="7" t="s">
        <v>2112</v>
      </c>
      <c r="H55" s="11" t="n">
        <v>193031873</v>
      </c>
      <c r="I55" s="11" t="n">
        <v>181549015</v>
      </c>
      <c r="J55" s="11" t="n">
        <f aca="false">I55-H55</f>
        <v>-11482858</v>
      </c>
      <c r="K55" s="9" t="n">
        <f aca="false">ROUND(J55/H55,4)</f>
        <v>-0.0595</v>
      </c>
      <c r="L55" s="7" t="s">
        <v>341</v>
      </c>
    </row>
    <row r="56" customFormat="false" ht="15" hidden="false" customHeight="false" outlineLevel="0" collapsed="false">
      <c r="A56" s="7" t="s">
        <v>2113</v>
      </c>
      <c r="B56" s="8" t="n">
        <v>45849</v>
      </c>
      <c r="C56" s="7" t="s">
        <v>40</v>
      </c>
      <c r="D56" s="7" t="s">
        <v>79</v>
      </c>
      <c r="E56" s="7" t="s">
        <v>2041</v>
      </c>
      <c r="F56" s="7"/>
      <c r="G56" s="7" t="s">
        <v>2114</v>
      </c>
      <c r="H56" s="11" t="n">
        <v>183406681</v>
      </c>
      <c r="I56" s="11" t="n">
        <v>203053877</v>
      </c>
      <c r="J56" s="11" t="n">
        <f aca="false">I56-H56</f>
        <v>19647196</v>
      </c>
      <c r="K56" s="9" t="n">
        <f aca="false">ROUND(J56/H56,4)</f>
        <v>0.1071</v>
      </c>
      <c r="L56" s="7" t="s">
        <v>333</v>
      </c>
    </row>
    <row r="57" customFormat="false" ht="15" hidden="false" customHeight="false" outlineLevel="0" collapsed="false">
      <c r="A57" s="7" t="s">
        <v>2115</v>
      </c>
      <c r="B57" s="8" t="n">
        <v>45486</v>
      </c>
      <c r="C57" s="7" t="s">
        <v>40</v>
      </c>
      <c r="D57" s="7" t="s">
        <v>65</v>
      </c>
      <c r="E57" s="7" t="s">
        <v>2014</v>
      </c>
      <c r="F57" s="7" t="s">
        <v>104</v>
      </c>
      <c r="G57" s="7" t="s">
        <v>2116</v>
      </c>
      <c r="H57" s="11" t="n">
        <v>56555042</v>
      </c>
      <c r="I57" s="11" t="n">
        <v>50568870</v>
      </c>
      <c r="J57" s="11" t="n">
        <f aca="false">I57-H57</f>
        <v>-5986172</v>
      </c>
      <c r="K57" s="9" t="n">
        <f aca="false">ROUND(J57/H57,4)</f>
        <v>-0.1058</v>
      </c>
      <c r="L57" s="7" t="s">
        <v>339</v>
      </c>
    </row>
    <row r="58" customFormat="false" ht="15" hidden="false" customHeight="false" outlineLevel="0" collapsed="false">
      <c r="A58" s="7" t="s">
        <v>2117</v>
      </c>
      <c r="B58" s="8" t="n">
        <v>45444</v>
      </c>
      <c r="C58" s="7" t="s">
        <v>49</v>
      </c>
      <c r="D58" s="7" t="s">
        <v>60</v>
      </c>
      <c r="E58" s="7" t="s">
        <v>2011</v>
      </c>
      <c r="F58" s="7" t="s">
        <v>99</v>
      </c>
      <c r="G58" s="7" t="s">
        <v>2118</v>
      </c>
      <c r="H58" s="11" t="n">
        <v>40342035</v>
      </c>
      <c r="I58" s="11" t="n">
        <v>41089703</v>
      </c>
      <c r="J58" s="11" t="n">
        <f aca="false">I58-H58</f>
        <v>747668</v>
      </c>
      <c r="K58" s="9" t="n">
        <f aca="false">ROUND(J58/H58,4)</f>
        <v>0.0185</v>
      </c>
      <c r="L58" s="7" t="s">
        <v>335</v>
      </c>
    </row>
    <row r="59" customFormat="false" ht="15" hidden="false" customHeight="false" outlineLevel="0" collapsed="false">
      <c r="A59" s="7" t="s">
        <v>2119</v>
      </c>
      <c r="B59" s="8" t="n">
        <v>45531</v>
      </c>
      <c r="C59" s="7" t="s">
        <v>31</v>
      </c>
      <c r="D59" s="7" t="s">
        <v>75</v>
      </c>
      <c r="E59" s="7" t="s">
        <v>2055</v>
      </c>
      <c r="F59" s="7"/>
      <c r="G59" s="7" t="s">
        <v>2080</v>
      </c>
      <c r="H59" s="11" t="n">
        <v>40865942</v>
      </c>
      <c r="I59" s="11" t="n">
        <v>36684211</v>
      </c>
      <c r="J59" s="11" t="n">
        <f aca="false">I59-H59</f>
        <v>-4181731</v>
      </c>
      <c r="K59" s="9" t="n">
        <f aca="false">ROUND(J59/H59,4)</f>
        <v>-0.1023</v>
      </c>
      <c r="L59" s="7" t="s">
        <v>331</v>
      </c>
    </row>
    <row r="60" customFormat="false" ht="15" hidden="false" customHeight="false" outlineLevel="0" collapsed="false">
      <c r="A60" s="7" t="s">
        <v>2120</v>
      </c>
      <c r="B60" s="8" t="n">
        <v>45831</v>
      </c>
      <c r="C60" s="7" t="s">
        <v>43</v>
      </c>
      <c r="D60" s="7" t="s">
        <v>65</v>
      </c>
      <c r="E60" s="7" t="s">
        <v>2019</v>
      </c>
      <c r="F60" s="7"/>
      <c r="G60" s="7" t="s">
        <v>2078</v>
      </c>
      <c r="H60" s="11" t="n">
        <v>26580462</v>
      </c>
      <c r="I60" s="11" t="n">
        <v>21908416</v>
      </c>
      <c r="J60" s="11" t="n">
        <f aca="false">I60-H60</f>
        <v>-4672046</v>
      </c>
      <c r="K60" s="9" t="n">
        <f aca="false">ROUND(J60/H60,4)</f>
        <v>-0.1758</v>
      </c>
      <c r="L60" s="7" t="s">
        <v>333</v>
      </c>
    </row>
    <row r="61" customFormat="false" ht="15" hidden="false" customHeight="false" outlineLevel="0" collapsed="false">
      <c r="A61" s="7" t="s">
        <v>2121</v>
      </c>
      <c r="B61" s="8" t="n">
        <v>45522</v>
      </c>
      <c r="C61" s="7" t="s">
        <v>40</v>
      </c>
      <c r="D61" s="7" t="s">
        <v>68</v>
      </c>
      <c r="E61" s="7" t="s">
        <v>2041</v>
      </c>
      <c r="F61" s="7"/>
      <c r="G61" s="7" t="s">
        <v>2046</v>
      </c>
      <c r="H61" s="11" t="n">
        <v>244646701</v>
      </c>
      <c r="I61" s="11" t="n">
        <v>289912778</v>
      </c>
      <c r="J61" s="11" t="n">
        <f aca="false">I61-H61</f>
        <v>45266077</v>
      </c>
      <c r="K61" s="9" t="n">
        <f aca="false">ROUND(J61/H61,4)</f>
        <v>0.185</v>
      </c>
      <c r="L61" s="7" t="s">
        <v>349</v>
      </c>
    </row>
    <row r="62" customFormat="false" ht="15" hidden="false" customHeight="false" outlineLevel="0" collapsed="false">
      <c r="A62" s="7" t="s">
        <v>2122</v>
      </c>
      <c r="B62" s="8" t="n">
        <v>45795</v>
      </c>
      <c r="C62" s="7" t="s">
        <v>31</v>
      </c>
      <c r="D62" s="7" t="s">
        <v>79</v>
      </c>
      <c r="E62" s="7" t="s">
        <v>2024</v>
      </c>
      <c r="F62" s="7" t="s">
        <v>115</v>
      </c>
      <c r="G62" s="7" t="s">
        <v>2123</v>
      </c>
      <c r="H62" s="11" t="n">
        <v>21889852</v>
      </c>
      <c r="I62" s="11" t="n">
        <v>21812306</v>
      </c>
      <c r="J62" s="11" t="n">
        <f aca="false">I62-H62</f>
        <v>-77546</v>
      </c>
      <c r="K62" s="9" t="n">
        <f aca="false">ROUND(J62/H62,4)</f>
        <v>-0.0035</v>
      </c>
      <c r="L62" s="7" t="s">
        <v>355</v>
      </c>
    </row>
    <row r="63" customFormat="false" ht="15" hidden="false" customHeight="false" outlineLevel="0" collapsed="false">
      <c r="A63" s="7" t="s">
        <v>2124</v>
      </c>
      <c r="B63" s="8" t="n">
        <v>45725</v>
      </c>
      <c r="C63" s="7" t="s">
        <v>40</v>
      </c>
      <c r="D63" s="7" t="s">
        <v>83</v>
      </c>
      <c r="E63" s="7" t="s">
        <v>2014</v>
      </c>
      <c r="F63" s="7" t="s">
        <v>109</v>
      </c>
      <c r="G63" s="7" t="s">
        <v>2125</v>
      </c>
      <c r="H63" s="11" t="n">
        <v>61769534</v>
      </c>
      <c r="I63" s="11" t="n">
        <v>67673887</v>
      </c>
      <c r="J63" s="11" t="n">
        <f aca="false">I63-H63</f>
        <v>5904353</v>
      </c>
      <c r="K63" s="9" t="n">
        <f aca="false">ROUND(J63/H63,4)</f>
        <v>0.0956</v>
      </c>
      <c r="L63" s="7" t="s">
        <v>333</v>
      </c>
    </row>
    <row r="64" customFormat="false" ht="15" hidden="false" customHeight="false" outlineLevel="0" collapsed="false">
      <c r="A64" s="7" t="s">
        <v>2126</v>
      </c>
      <c r="B64" s="8" t="n">
        <v>46009</v>
      </c>
      <c r="C64" s="7" t="s">
        <v>46</v>
      </c>
      <c r="D64" s="7" t="s">
        <v>75</v>
      </c>
      <c r="E64" s="7" t="s">
        <v>2024</v>
      </c>
      <c r="F64" s="7" t="s">
        <v>95</v>
      </c>
      <c r="G64" s="7" t="s">
        <v>2044</v>
      </c>
      <c r="H64" s="11" t="n">
        <v>134910335</v>
      </c>
      <c r="I64" s="11" t="n">
        <v>130457395</v>
      </c>
      <c r="J64" s="11" t="n">
        <f aca="false">I64-H64</f>
        <v>-4452940</v>
      </c>
      <c r="K64" s="9" t="n">
        <f aca="false">ROUND(J64/H64,4)</f>
        <v>-0.033</v>
      </c>
      <c r="L64" s="7" t="s">
        <v>349</v>
      </c>
    </row>
    <row r="65" customFormat="false" ht="15" hidden="false" customHeight="false" outlineLevel="0" collapsed="false">
      <c r="A65" s="7" t="s">
        <v>2127</v>
      </c>
      <c r="B65" s="8" t="n">
        <v>45716</v>
      </c>
      <c r="C65" s="7" t="s">
        <v>52</v>
      </c>
      <c r="D65" s="7" t="s">
        <v>79</v>
      </c>
      <c r="E65" s="7" t="s">
        <v>2019</v>
      </c>
      <c r="F65" s="7"/>
      <c r="G65" s="7" t="s">
        <v>2128</v>
      </c>
      <c r="H65" s="11" t="n">
        <v>85865553</v>
      </c>
      <c r="I65" s="11" t="n">
        <v>101227326</v>
      </c>
      <c r="J65" s="11" t="n">
        <f aca="false">I65-H65</f>
        <v>15361773</v>
      </c>
      <c r="K65" s="9" t="n">
        <f aca="false">ROUND(J65/H65,4)</f>
        <v>0.1789</v>
      </c>
      <c r="L65" s="7" t="s">
        <v>331</v>
      </c>
    </row>
    <row r="66" customFormat="false" ht="15" hidden="false" customHeight="false" outlineLevel="0" collapsed="false">
      <c r="A66" s="7" t="s">
        <v>2129</v>
      </c>
      <c r="B66" s="8" t="n">
        <v>45327</v>
      </c>
      <c r="C66" s="7" t="s">
        <v>52</v>
      </c>
      <c r="D66" s="7" t="s">
        <v>79</v>
      </c>
      <c r="E66" s="7" t="s">
        <v>2011</v>
      </c>
      <c r="F66" s="7" t="s">
        <v>102</v>
      </c>
      <c r="G66" s="7" t="s">
        <v>2130</v>
      </c>
      <c r="H66" s="11" t="n">
        <v>202161645</v>
      </c>
      <c r="I66" s="11" t="n">
        <v>204488508</v>
      </c>
      <c r="J66" s="11" t="n">
        <f aca="false">I66-H66</f>
        <v>2326863</v>
      </c>
      <c r="K66" s="9" t="n">
        <f aca="false">ROUND(J66/H66,4)</f>
        <v>0.0115</v>
      </c>
      <c r="L66" s="7" t="s">
        <v>339</v>
      </c>
    </row>
    <row r="67" customFormat="false" ht="15" hidden="false" customHeight="false" outlineLevel="0" collapsed="false">
      <c r="A67" s="7" t="s">
        <v>2131</v>
      </c>
      <c r="B67" s="8" t="n">
        <v>45320</v>
      </c>
      <c r="C67" s="7" t="s">
        <v>34</v>
      </c>
      <c r="D67" s="7" t="s">
        <v>71</v>
      </c>
      <c r="E67" s="7" t="s">
        <v>2011</v>
      </c>
      <c r="F67" s="7" t="s">
        <v>109</v>
      </c>
      <c r="G67" s="7" t="s">
        <v>2132</v>
      </c>
      <c r="H67" s="11" t="n">
        <v>132231878</v>
      </c>
      <c r="I67" s="11" t="n">
        <v>101400893</v>
      </c>
      <c r="J67" s="11" t="n">
        <f aca="false">I67-H67</f>
        <v>-30830985</v>
      </c>
      <c r="K67" s="9" t="n">
        <f aca="false">ROUND(J67/H67,4)</f>
        <v>-0.2332</v>
      </c>
      <c r="L67" s="7" t="s">
        <v>339</v>
      </c>
    </row>
    <row r="68" customFormat="false" ht="15" hidden="false" customHeight="false" outlineLevel="0" collapsed="false">
      <c r="A68" s="7" t="s">
        <v>2133</v>
      </c>
      <c r="B68" s="8" t="n">
        <v>45391</v>
      </c>
      <c r="C68" s="7" t="s">
        <v>25</v>
      </c>
      <c r="D68" s="7" t="s">
        <v>75</v>
      </c>
      <c r="E68" s="7" t="s">
        <v>2019</v>
      </c>
      <c r="F68" s="7"/>
      <c r="G68" s="7" t="s">
        <v>2134</v>
      </c>
      <c r="H68" s="11" t="n">
        <v>191173523</v>
      </c>
      <c r="I68" s="11" t="n">
        <v>186325974</v>
      </c>
      <c r="J68" s="11" t="n">
        <f aca="false">I68-H68</f>
        <v>-4847549</v>
      </c>
      <c r="K68" s="9" t="n">
        <f aca="false">ROUND(J68/H68,4)</f>
        <v>-0.0254</v>
      </c>
      <c r="L68" s="7" t="s">
        <v>331</v>
      </c>
    </row>
    <row r="69" customFormat="false" ht="15" hidden="false" customHeight="false" outlineLevel="0" collapsed="false">
      <c r="A69" s="7" t="s">
        <v>2135</v>
      </c>
      <c r="B69" s="8" t="n">
        <v>45704</v>
      </c>
      <c r="C69" s="7" t="s">
        <v>25</v>
      </c>
      <c r="D69" s="7" t="s">
        <v>79</v>
      </c>
      <c r="E69" s="7" t="s">
        <v>2019</v>
      </c>
      <c r="F69" s="7"/>
      <c r="G69" s="7" t="s">
        <v>2128</v>
      </c>
      <c r="H69" s="11" t="n">
        <v>19269243</v>
      </c>
      <c r="I69" s="11" t="n">
        <v>14599419</v>
      </c>
      <c r="J69" s="11" t="n">
        <f aca="false">I69-H69</f>
        <v>-4669824</v>
      </c>
      <c r="K69" s="9" t="n">
        <f aca="false">ROUND(J69/H69,4)</f>
        <v>-0.2423</v>
      </c>
      <c r="L69" s="7" t="s">
        <v>331</v>
      </c>
    </row>
    <row r="70" customFormat="false" ht="15" hidden="false" customHeight="false" outlineLevel="0" collapsed="false">
      <c r="A70" s="7" t="s">
        <v>2136</v>
      </c>
      <c r="B70" s="8" t="n">
        <v>45947</v>
      </c>
      <c r="C70" s="7" t="s">
        <v>37</v>
      </c>
      <c r="D70" s="7" t="s">
        <v>68</v>
      </c>
      <c r="E70" s="7" t="s">
        <v>2011</v>
      </c>
      <c r="F70" s="7" t="s">
        <v>104</v>
      </c>
      <c r="G70" s="7" t="s">
        <v>2137</v>
      </c>
      <c r="H70" s="11" t="n">
        <v>125966056</v>
      </c>
      <c r="I70" s="11" t="n">
        <v>97459782</v>
      </c>
      <c r="J70" s="11" t="n">
        <f aca="false">I70-H70</f>
        <v>-28506274</v>
      </c>
      <c r="K70" s="9" t="n">
        <f aca="false">ROUND(J70/H70,4)</f>
        <v>-0.2263</v>
      </c>
      <c r="L70" s="7" t="s">
        <v>339</v>
      </c>
    </row>
    <row r="71" customFormat="false" ht="15" hidden="false" customHeight="false" outlineLevel="0" collapsed="false">
      <c r="A71" s="7" t="s">
        <v>2138</v>
      </c>
      <c r="B71" s="8" t="n">
        <v>45851</v>
      </c>
      <c r="C71" s="7" t="s">
        <v>43</v>
      </c>
      <c r="D71" s="7" t="s">
        <v>65</v>
      </c>
      <c r="E71" s="7" t="s">
        <v>2024</v>
      </c>
      <c r="F71" s="7" t="s">
        <v>109</v>
      </c>
      <c r="G71" s="7" t="s">
        <v>2035</v>
      </c>
      <c r="H71" s="11" t="n">
        <v>88379801</v>
      </c>
      <c r="I71" s="11" t="n">
        <v>87834274</v>
      </c>
      <c r="J71" s="11" t="n">
        <f aca="false">I71-H71</f>
        <v>-545527</v>
      </c>
      <c r="K71" s="9" t="n">
        <f aca="false">ROUND(J71/H71,4)</f>
        <v>-0.0062</v>
      </c>
      <c r="L71" s="7" t="s">
        <v>353</v>
      </c>
    </row>
    <row r="72" customFormat="false" ht="15" hidden="false" customHeight="false" outlineLevel="0" collapsed="false">
      <c r="A72" s="7" t="s">
        <v>2139</v>
      </c>
      <c r="B72" s="8" t="n">
        <v>45783</v>
      </c>
      <c r="C72" s="7" t="s">
        <v>34</v>
      </c>
      <c r="D72" s="7" t="s">
        <v>65</v>
      </c>
      <c r="E72" s="7" t="s">
        <v>2019</v>
      </c>
      <c r="F72" s="7"/>
      <c r="G72" s="7" t="s">
        <v>2140</v>
      </c>
      <c r="H72" s="11" t="n">
        <v>55384256</v>
      </c>
      <c r="I72" s="11" t="n">
        <v>44596306</v>
      </c>
      <c r="J72" s="11" t="n">
        <f aca="false">I72-H72</f>
        <v>-10787950</v>
      </c>
      <c r="K72" s="9" t="n">
        <f aca="false">ROUND(J72/H72,4)</f>
        <v>-0.1948</v>
      </c>
      <c r="L72" s="7" t="s">
        <v>351</v>
      </c>
    </row>
    <row r="73" customFormat="false" ht="15" hidden="false" customHeight="false" outlineLevel="0" collapsed="false">
      <c r="A73" s="7" t="s">
        <v>2141</v>
      </c>
      <c r="B73" s="8" t="n">
        <v>45301</v>
      </c>
      <c r="C73" s="7" t="s">
        <v>46</v>
      </c>
      <c r="D73" s="7" t="s">
        <v>65</v>
      </c>
      <c r="E73" s="7" t="s">
        <v>2019</v>
      </c>
      <c r="F73" s="7"/>
      <c r="G73" s="7" t="s">
        <v>2142</v>
      </c>
      <c r="H73" s="11" t="n">
        <v>53523156</v>
      </c>
      <c r="I73" s="11" t="n">
        <v>56421847</v>
      </c>
      <c r="J73" s="11" t="n">
        <f aca="false">I73-H73</f>
        <v>2898691</v>
      </c>
      <c r="K73" s="9" t="n">
        <f aca="false">ROUND(J73/H73,4)</f>
        <v>0.0542</v>
      </c>
      <c r="L73" s="7" t="s">
        <v>361</v>
      </c>
    </row>
    <row r="74" customFormat="false" ht="15" hidden="false" customHeight="false" outlineLevel="0" collapsed="false">
      <c r="A74" s="7" t="s">
        <v>2143</v>
      </c>
      <c r="B74" s="8" t="n">
        <v>45991</v>
      </c>
      <c r="C74" s="7" t="s">
        <v>46</v>
      </c>
      <c r="D74" s="7" t="s">
        <v>68</v>
      </c>
      <c r="E74" s="7" t="s">
        <v>2055</v>
      </c>
      <c r="F74" s="7"/>
      <c r="G74" s="7" t="s">
        <v>2144</v>
      </c>
      <c r="H74" s="11" t="n">
        <v>16497873</v>
      </c>
      <c r="I74" s="11" t="n">
        <v>15566230</v>
      </c>
      <c r="J74" s="11" t="n">
        <f aca="false">I74-H74</f>
        <v>-931643</v>
      </c>
      <c r="K74" s="9" t="n">
        <f aca="false">ROUND(J74/H74,4)</f>
        <v>-0.0565</v>
      </c>
      <c r="L74" s="7" t="s">
        <v>339</v>
      </c>
    </row>
    <row r="75" customFormat="false" ht="15" hidden="false" customHeight="false" outlineLevel="0" collapsed="false">
      <c r="A75" s="7" t="s">
        <v>2145</v>
      </c>
      <c r="B75" s="8" t="n">
        <v>45672</v>
      </c>
      <c r="C75" s="7" t="s">
        <v>52</v>
      </c>
      <c r="D75" s="7" t="s">
        <v>60</v>
      </c>
      <c r="E75" s="7" t="s">
        <v>2011</v>
      </c>
      <c r="F75" s="7" t="s">
        <v>95</v>
      </c>
      <c r="G75" s="7" t="s">
        <v>2146</v>
      </c>
      <c r="H75" s="11" t="n">
        <v>147593075</v>
      </c>
      <c r="I75" s="11" t="n">
        <v>115947540</v>
      </c>
      <c r="J75" s="11" t="n">
        <f aca="false">I75-H75</f>
        <v>-31645535</v>
      </c>
      <c r="K75" s="9" t="n">
        <f aca="false">ROUND(J75/H75,4)</f>
        <v>-0.2144</v>
      </c>
      <c r="L75" s="7" t="s">
        <v>337</v>
      </c>
    </row>
    <row r="76" customFormat="false" ht="15" hidden="false" customHeight="false" outlineLevel="0" collapsed="false">
      <c r="A76" s="7" t="s">
        <v>2147</v>
      </c>
      <c r="B76" s="8" t="n">
        <v>45761</v>
      </c>
      <c r="C76" s="7" t="s">
        <v>37</v>
      </c>
      <c r="D76" s="7" t="s">
        <v>65</v>
      </c>
      <c r="E76" s="7" t="s">
        <v>2055</v>
      </c>
      <c r="F76" s="7"/>
      <c r="G76" s="7" t="s">
        <v>2148</v>
      </c>
      <c r="H76" s="11" t="n">
        <v>186869052</v>
      </c>
      <c r="I76" s="11" t="n">
        <v>186476688</v>
      </c>
      <c r="J76" s="11" t="n">
        <f aca="false">I76-H76</f>
        <v>-392364</v>
      </c>
      <c r="K76" s="9" t="n">
        <f aca="false">ROUND(J76/H76,4)</f>
        <v>-0.0021</v>
      </c>
      <c r="L76" s="7" t="s">
        <v>337</v>
      </c>
    </row>
    <row r="77" customFormat="false" ht="15" hidden="false" customHeight="false" outlineLevel="0" collapsed="false">
      <c r="A77" s="7" t="s">
        <v>2149</v>
      </c>
      <c r="B77" s="8" t="n">
        <v>45338</v>
      </c>
      <c r="C77" s="7" t="s">
        <v>34</v>
      </c>
      <c r="D77" s="7" t="s">
        <v>68</v>
      </c>
      <c r="E77" s="7" t="s">
        <v>2011</v>
      </c>
      <c r="F77" s="7" t="s">
        <v>113</v>
      </c>
      <c r="G77" s="7" t="s">
        <v>2130</v>
      </c>
      <c r="H77" s="11" t="n">
        <v>248539554</v>
      </c>
      <c r="I77" s="11" t="n">
        <v>238238800</v>
      </c>
      <c r="J77" s="11" t="n">
        <f aca="false">I77-H77</f>
        <v>-10300754</v>
      </c>
      <c r="K77" s="9" t="n">
        <f aca="false">ROUND(J77/H77,4)</f>
        <v>-0.0414</v>
      </c>
      <c r="L77" s="7" t="s">
        <v>329</v>
      </c>
    </row>
    <row r="78" customFormat="false" ht="15" hidden="false" customHeight="false" outlineLevel="0" collapsed="false">
      <c r="A78" s="7" t="s">
        <v>2150</v>
      </c>
      <c r="B78" s="8" t="n">
        <v>45749</v>
      </c>
      <c r="C78" s="7" t="s">
        <v>43</v>
      </c>
      <c r="D78" s="7" t="s">
        <v>71</v>
      </c>
      <c r="E78" s="7" t="s">
        <v>2019</v>
      </c>
      <c r="F78" s="7"/>
      <c r="G78" s="7" t="s">
        <v>2151</v>
      </c>
      <c r="H78" s="11" t="n">
        <v>220480679</v>
      </c>
      <c r="I78" s="11" t="n">
        <v>221890436</v>
      </c>
      <c r="J78" s="11" t="n">
        <f aca="false">I78-H78</f>
        <v>1409757</v>
      </c>
      <c r="K78" s="9" t="n">
        <f aca="false">ROUND(J78/H78,4)</f>
        <v>0.0064</v>
      </c>
      <c r="L78" s="7" t="s">
        <v>357</v>
      </c>
    </row>
    <row r="79" customFormat="false" ht="15" hidden="false" customHeight="false" outlineLevel="0" collapsed="false">
      <c r="A79" s="7" t="s">
        <v>2152</v>
      </c>
      <c r="B79" s="8" t="n">
        <v>45537</v>
      </c>
      <c r="C79" s="7" t="s">
        <v>46</v>
      </c>
      <c r="D79" s="7" t="s">
        <v>87</v>
      </c>
      <c r="E79" s="7" t="s">
        <v>2055</v>
      </c>
      <c r="F79" s="7"/>
      <c r="G79" s="7" t="s">
        <v>2071</v>
      </c>
      <c r="H79" s="11" t="n">
        <v>60348934</v>
      </c>
      <c r="I79" s="11" t="n">
        <v>54561333</v>
      </c>
      <c r="J79" s="11" t="n">
        <f aca="false">I79-H79</f>
        <v>-5787601</v>
      </c>
      <c r="K79" s="9" t="n">
        <f aca="false">ROUND(J79/H79,4)</f>
        <v>-0.0959</v>
      </c>
      <c r="L79" s="7" t="s">
        <v>359</v>
      </c>
    </row>
    <row r="80" customFormat="false" ht="15" hidden="false" customHeight="false" outlineLevel="0" collapsed="false">
      <c r="A80" s="7" t="s">
        <v>2153</v>
      </c>
      <c r="B80" s="8" t="n">
        <v>45819</v>
      </c>
      <c r="C80" s="7" t="s">
        <v>43</v>
      </c>
      <c r="D80" s="7" t="s">
        <v>68</v>
      </c>
      <c r="E80" s="7" t="s">
        <v>2055</v>
      </c>
      <c r="F80" s="7"/>
      <c r="G80" s="7" t="s">
        <v>2069</v>
      </c>
      <c r="H80" s="11" t="n">
        <v>33495554</v>
      </c>
      <c r="I80" s="11" t="n">
        <v>36003644</v>
      </c>
      <c r="J80" s="11" t="n">
        <f aca="false">I80-H80</f>
        <v>2508090</v>
      </c>
      <c r="K80" s="9" t="n">
        <f aca="false">ROUND(J80/H80,4)</f>
        <v>0.0749</v>
      </c>
      <c r="L80" s="7" t="s">
        <v>339</v>
      </c>
    </row>
    <row r="81" customFormat="false" ht="15" hidden="false" customHeight="false" outlineLevel="0" collapsed="false">
      <c r="A81" s="7" t="s">
        <v>2154</v>
      </c>
      <c r="B81" s="8" t="n">
        <v>45409</v>
      </c>
      <c r="C81" s="7" t="s">
        <v>37</v>
      </c>
      <c r="D81" s="7" t="s">
        <v>65</v>
      </c>
      <c r="E81" s="7" t="s">
        <v>2024</v>
      </c>
      <c r="F81" s="7" t="s">
        <v>99</v>
      </c>
      <c r="G81" s="7" t="s">
        <v>2155</v>
      </c>
      <c r="H81" s="11" t="n">
        <v>25887632</v>
      </c>
      <c r="I81" s="11" t="n">
        <v>20598007</v>
      </c>
      <c r="J81" s="11" t="n">
        <f aca="false">I81-H81</f>
        <v>-5289625</v>
      </c>
      <c r="K81" s="9" t="n">
        <f aca="false">ROUND(J81/H81,4)</f>
        <v>-0.2043</v>
      </c>
      <c r="L81" s="7" t="s">
        <v>343</v>
      </c>
    </row>
    <row r="82" customFormat="false" ht="15" hidden="false" customHeight="false" outlineLevel="0" collapsed="false">
      <c r="A82" s="7" t="s">
        <v>2156</v>
      </c>
      <c r="B82" s="8" t="n">
        <v>45621</v>
      </c>
      <c r="C82" s="7" t="s">
        <v>43</v>
      </c>
      <c r="D82" s="7" t="s">
        <v>83</v>
      </c>
      <c r="E82" s="7" t="s">
        <v>2041</v>
      </c>
      <c r="F82" s="7"/>
      <c r="G82" s="7" t="s">
        <v>2157</v>
      </c>
      <c r="H82" s="11" t="n">
        <v>68727146</v>
      </c>
      <c r="I82" s="11" t="n">
        <v>80558028</v>
      </c>
      <c r="J82" s="11" t="n">
        <f aca="false">I82-H82</f>
        <v>11830882</v>
      </c>
      <c r="K82" s="9" t="n">
        <f aca="false">ROUND(J82/H82,4)</f>
        <v>0.1721</v>
      </c>
      <c r="L82" s="7" t="s">
        <v>337</v>
      </c>
    </row>
    <row r="83" customFormat="false" ht="15" hidden="false" customHeight="false" outlineLevel="0" collapsed="false">
      <c r="A83" s="7" t="s">
        <v>2158</v>
      </c>
      <c r="B83" s="8" t="n">
        <v>45755</v>
      </c>
      <c r="C83" s="7" t="s">
        <v>34</v>
      </c>
      <c r="D83" s="7" t="s">
        <v>87</v>
      </c>
      <c r="E83" s="7" t="s">
        <v>2041</v>
      </c>
      <c r="F83" s="7"/>
      <c r="G83" s="7" t="s">
        <v>2159</v>
      </c>
      <c r="H83" s="11" t="n">
        <v>165440973</v>
      </c>
      <c r="I83" s="11" t="n">
        <v>178873076</v>
      </c>
      <c r="J83" s="11" t="n">
        <f aca="false">I83-H83</f>
        <v>13432103</v>
      </c>
      <c r="K83" s="9" t="n">
        <f aca="false">ROUND(J83/H83,4)</f>
        <v>0.0812</v>
      </c>
      <c r="L83" s="7" t="s">
        <v>361</v>
      </c>
    </row>
    <row r="84" customFormat="false" ht="15" hidden="false" customHeight="false" outlineLevel="0" collapsed="false">
      <c r="A84" s="7" t="s">
        <v>2160</v>
      </c>
      <c r="B84" s="8" t="n">
        <v>46009</v>
      </c>
      <c r="C84" s="7" t="s">
        <v>43</v>
      </c>
      <c r="D84" s="7" t="s">
        <v>79</v>
      </c>
      <c r="E84" s="7" t="s">
        <v>2041</v>
      </c>
      <c r="F84" s="7"/>
      <c r="G84" s="7" t="s">
        <v>2107</v>
      </c>
      <c r="H84" s="11" t="n">
        <v>113218575</v>
      </c>
      <c r="I84" s="11" t="n">
        <v>112880090</v>
      </c>
      <c r="J84" s="11" t="n">
        <f aca="false">I84-H84</f>
        <v>-338485</v>
      </c>
      <c r="K84" s="9" t="n">
        <f aca="false">ROUND(J84/H84,4)</f>
        <v>-0.003</v>
      </c>
      <c r="L84" s="7" t="s">
        <v>361</v>
      </c>
    </row>
    <row r="85" customFormat="false" ht="15" hidden="false" customHeight="false" outlineLevel="0" collapsed="false">
      <c r="A85" s="7" t="s">
        <v>2161</v>
      </c>
      <c r="B85" s="8" t="n">
        <v>45448</v>
      </c>
      <c r="C85" s="7" t="s">
        <v>43</v>
      </c>
      <c r="D85" s="7" t="s">
        <v>65</v>
      </c>
      <c r="E85" s="7" t="s">
        <v>2011</v>
      </c>
      <c r="F85" s="7" t="s">
        <v>113</v>
      </c>
      <c r="G85" s="7" t="s">
        <v>2118</v>
      </c>
      <c r="H85" s="11" t="n">
        <v>218773258</v>
      </c>
      <c r="I85" s="11" t="n">
        <v>259583184</v>
      </c>
      <c r="J85" s="11" t="n">
        <f aca="false">I85-H85</f>
        <v>40809926</v>
      </c>
      <c r="K85" s="9" t="n">
        <f aca="false">ROUND(J85/H85,4)</f>
        <v>0.1865</v>
      </c>
      <c r="L85" s="7" t="s">
        <v>361</v>
      </c>
    </row>
    <row r="86" customFormat="false" ht="15" hidden="false" customHeight="false" outlineLevel="0" collapsed="false">
      <c r="A86" s="7" t="s">
        <v>2162</v>
      </c>
      <c r="B86" s="8" t="n">
        <v>45305</v>
      </c>
      <c r="C86" s="7" t="s">
        <v>37</v>
      </c>
      <c r="D86" s="7" t="s">
        <v>79</v>
      </c>
      <c r="E86" s="7" t="s">
        <v>2019</v>
      </c>
      <c r="F86" s="7"/>
      <c r="G86" s="7" t="s">
        <v>2142</v>
      </c>
      <c r="H86" s="11" t="n">
        <v>42527377</v>
      </c>
      <c r="I86" s="11" t="n">
        <v>37665383</v>
      </c>
      <c r="J86" s="11" t="n">
        <f aca="false">I86-H86</f>
        <v>-4861994</v>
      </c>
      <c r="K86" s="9" t="n">
        <f aca="false">ROUND(J86/H86,4)</f>
        <v>-0.1143</v>
      </c>
      <c r="L86" s="7" t="s">
        <v>353</v>
      </c>
    </row>
    <row r="87" customFormat="false" ht="15" hidden="false" customHeight="false" outlineLevel="0" collapsed="false">
      <c r="A87" s="7" t="s">
        <v>2163</v>
      </c>
      <c r="B87" s="8" t="n">
        <v>45484</v>
      </c>
      <c r="C87" s="7" t="s">
        <v>34</v>
      </c>
      <c r="D87" s="7" t="s">
        <v>79</v>
      </c>
      <c r="E87" s="7" t="s">
        <v>2024</v>
      </c>
      <c r="F87" s="7" t="s">
        <v>109</v>
      </c>
      <c r="G87" s="7" t="s">
        <v>2025</v>
      </c>
      <c r="H87" s="11" t="n">
        <v>7819111</v>
      </c>
      <c r="I87" s="11" t="n">
        <v>8966906</v>
      </c>
      <c r="J87" s="11" t="n">
        <f aca="false">I87-H87</f>
        <v>1147795</v>
      </c>
      <c r="K87" s="9" t="n">
        <f aca="false">ROUND(J87/H87,4)</f>
        <v>0.1468</v>
      </c>
      <c r="L87" s="7" t="s">
        <v>345</v>
      </c>
    </row>
    <row r="88" customFormat="false" ht="15" hidden="false" customHeight="false" outlineLevel="0" collapsed="false">
      <c r="A88" s="7" t="s">
        <v>2164</v>
      </c>
      <c r="B88" s="8" t="n">
        <v>45586</v>
      </c>
      <c r="C88" s="7" t="s">
        <v>52</v>
      </c>
      <c r="D88" s="7" t="s">
        <v>87</v>
      </c>
      <c r="E88" s="7" t="s">
        <v>2055</v>
      </c>
      <c r="F88" s="7"/>
      <c r="G88" s="7" t="s">
        <v>2165</v>
      </c>
      <c r="H88" s="11" t="n">
        <v>32929410</v>
      </c>
      <c r="I88" s="11" t="n">
        <v>39436889</v>
      </c>
      <c r="J88" s="11" t="n">
        <f aca="false">I88-H88</f>
        <v>6507479</v>
      </c>
      <c r="K88" s="9" t="n">
        <f aca="false">ROUND(J88/H88,4)</f>
        <v>0.1976</v>
      </c>
      <c r="L88" s="7" t="s">
        <v>331</v>
      </c>
    </row>
    <row r="89" customFormat="false" ht="15" hidden="false" customHeight="false" outlineLevel="0" collapsed="false">
      <c r="A89" s="7" t="s">
        <v>2166</v>
      </c>
      <c r="B89" s="8" t="n">
        <v>45822</v>
      </c>
      <c r="C89" s="7" t="s">
        <v>52</v>
      </c>
      <c r="D89" s="7" t="s">
        <v>71</v>
      </c>
      <c r="E89" s="7" t="s">
        <v>2019</v>
      </c>
      <c r="F89" s="7"/>
      <c r="G89" s="7" t="s">
        <v>2078</v>
      </c>
      <c r="H89" s="11" t="n">
        <v>205072280</v>
      </c>
      <c r="I89" s="11" t="n">
        <v>230239745</v>
      </c>
      <c r="J89" s="11" t="n">
        <f aca="false">I89-H89</f>
        <v>25167465</v>
      </c>
      <c r="K89" s="9" t="n">
        <f aca="false">ROUND(J89/H89,4)</f>
        <v>0.1227</v>
      </c>
      <c r="L89" s="7" t="s">
        <v>359</v>
      </c>
    </row>
    <row r="90" customFormat="false" ht="15" hidden="false" customHeight="false" outlineLevel="0" collapsed="false">
      <c r="A90" s="7" t="s">
        <v>2167</v>
      </c>
      <c r="B90" s="8" t="n">
        <v>45939</v>
      </c>
      <c r="C90" s="7" t="s">
        <v>31</v>
      </c>
      <c r="D90" s="7" t="s">
        <v>83</v>
      </c>
      <c r="E90" s="7" t="s">
        <v>2014</v>
      </c>
      <c r="F90" s="7" t="s">
        <v>104</v>
      </c>
      <c r="G90" s="7" t="s">
        <v>2093</v>
      </c>
      <c r="H90" s="11" t="n">
        <v>90344416</v>
      </c>
      <c r="I90" s="11" t="n">
        <v>88245438</v>
      </c>
      <c r="J90" s="11" t="n">
        <f aca="false">I90-H90</f>
        <v>-2098978</v>
      </c>
      <c r="K90" s="9" t="n">
        <f aca="false">ROUND(J90/H90,4)</f>
        <v>-0.0232</v>
      </c>
      <c r="L90" s="7" t="s">
        <v>355</v>
      </c>
    </row>
    <row r="91" customFormat="false" ht="15" hidden="false" customHeight="false" outlineLevel="0" collapsed="false">
      <c r="A91" s="7" t="s">
        <v>2168</v>
      </c>
      <c r="B91" s="8" t="n">
        <v>45901</v>
      </c>
      <c r="C91" s="7" t="s">
        <v>31</v>
      </c>
      <c r="D91" s="7" t="s">
        <v>71</v>
      </c>
      <c r="E91" s="7" t="s">
        <v>2055</v>
      </c>
      <c r="F91" s="7"/>
      <c r="G91" s="7" t="s">
        <v>2169</v>
      </c>
      <c r="H91" s="11" t="n">
        <v>31486468</v>
      </c>
      <c r="I91" s="11" t="n">
        <v>24678797</v>
      </c>
      <c r="J91" s="11" t="n">
        <f aca="false">I91-H91</f>
        <v>-6807671</v>
      </c>
      <c r="K91" s="9" t="n">
        <f aca="false">ROUND(J91/H91,4)</f>
        <v>-0.2162</v>
      </c>
      <c r="L91" s="7" t="s">
        <v>331</v>
      </c>
    </row>
    <row r="92" customFormat="false" ht="15" hidden="false" customHeight="false" outlineLevel="0" collapsed="false">
      <c r="A92" s="7" t="s">
        <v>2170</v>
      </c>
      <c r="B92" s="8" t="n">
        <v>45502</v>
      </c>
      <c r="C92" s="7" t="s">
        <v>52</v>
      </c>
      <c r="D92" s="7" t="s">
        <v>68</v>
      </c>
      <c r="E92" s="7" t="s">
        <v>2024</v>
      </c>
      <c r="F92" s="7" t="s">
        <v>102</v>
      </c>
      <c r="G92" s="7" t="s">
        <v>2025</v>
      </c>
      <c r="H92" s="11" t="n">
        <v>145638671</v>
      </c>
      <c r="I92" s="11" t="n">
        <v>129789707</v>
      </c>
      <c r="J92" s="11" t="n">
        <f aca="false">I92-H92</f>
        <v>-15848964</v>
      </c>
      <c r="K92" s="9" t="n">
        <f aca="false">ROUND(J92/H92,4)</f>
        <v>-0.1088</v>
      </c>
      <c r="L92" s="7" t="s">
        <v>359</v>
      </c>
    </row>
    <row r="93" customFormat="false" ht="15" hidden="false" customHeight="false" outlineLevel="0" collapsed="false">
      <c r="A93" s="7" t="s">
        <v>2171</v>
      </c>
      <c r="B93" s="8" t="n">
        <v>45640</v>
      </c>
      <c r="C93" s="7" t="s">
        <v>40</v>
      </c>
      <c r="D93" s="7" t="s">
        <v>71</v>
      </c>
      <c r="E93" s="7" t="s">
        <v>2014</v>
      </c>
      <c r="F93" s="7" t="s">
        <v>113</v>
      </c>
      <c r="G93" s="7" t="s">
        <v>2172</v>
      </c>
      <c r="H93" s="11" t="n">
        <v>176110771</v>
      </c>
      <c r="I93" s="11" t="n">
        <v>196201756</v>
      </c>
      <c r="J93" s="11" t="n">
        <f aca="false">I93-H93</f>
        <v>20090985</v>
      </c>
      <c r="K93" s="9" t="n">
        <f aca="false">ROUND(J93/H93,4)</f>
        <v>0.1141</v>
      </c>
      <c r="L93" s="7" t="s">
        <v>331</v>
      </c>
    </row>
    <row r="94" customFormat="false" ht="15" hidden="false" customHeight="false" outlineLevel="0" collapsed="false">
      <c r="A94" s="7" t="s">
        <v>2173</v>
      </c>
      <c r="B94" s="8" t="n">
        <v>45897</v>
      </c>
      <c r="C94" s="7" t="s">
        <v>31</v>
      </c>
      <c r="D94" s="7" t="s">
        <v>68</v>
      </c>
      <c r="E94" s="7" t="s">
        <v>2024</v>
      </c>
      <c r="F94" s="7" t="s">
        <v>106</v>
      </c>
      <c r="G94" s="7" t="s">
        <v>2174</v>
      </c>
      <c r="H94" s="11" t="n">
        <v>36536301</v>
      </c>
      <c r="I94" s="11" t="n">
        <v>43802915</v>
      </c>
      <c r="J94" s="11" t="n">
        <f aca="false">I94-H94</f>
        <v>7266614</v>
      </c>
      <c r="K94" s="9" t="n">
        <f aca="false">ROUND(J94/H94,4)</f>
        <v>0.1989</v>
      </c>
      <c r="L94" s="7" t="s">
        <v>345</v>
      </c>
    </row>
    <row r="95" customFormat="false" ht="15" hidden="false" customHeight="false" outlineLevel="0" collapsed="false">
      <c r="A95" s="7" t="s">
        <v>2175</v>
      </c>
      <c r="B95" s="8" t="n">
        <v>45983</v>
      </c>
      <c r="C95" s="7" t="s">
        <v>40</v>
      </c>
      <c r="D95" s="7" t="s">
        <v>87</v>
      </c>
      <c r="E95" s="7" t="s">
        <v>2011</v>
      </c>
      <c r="F95" s="7" t="s">
        <v>102</v>
      </c>
      <c r="G95" s="7" t="s">
        <v>2027</v>
      </c>
      <c r="H95" s="11" t="n">
        <v>109695703</v>
      </c>
      <c r="I95" s="11" t="n">
        <v>128237089</v>
      </c>
      <c r="J95" s="11" t="n">
        <f aca="false">I95-H95</f>
        <v>18541386</v>
      </c>
      <c r="K95" s="9" t="n">
        <f aca="false">ROUND(J95/H95,4)</f>
        <v>0.169</v>
      </c>
      <c r="L95" s="7" t="s">
        <v>359</v>
      </c>
    </row>
    <row r="96" customFormat="false" ht="15" hidden="false" customHeight="false" outlineLevel="0" collapsed="false">
      <c r="A96" s="7" t="s">
        <v>2176</v>
      </c>
      <c r="B96" s="8" t="n">
        <v>45537</v>
      </c>
      <c r="C96" s="7" t="s">
        <v>43</v>
      </c>
      <c r="D96" s="7" t="s">
        <v>87</v>
      </c>
      <c r="E96" s="7" t="s">
        <v>2019</v>
      </c>
      <c r="F96" s="7"/>
      <c r="G96" s="7" t="s">
        <v>2020</v>
      </c>
      <c r="H96" s="11" t="n">
        <v>10794954</v>
      </c>
      <c r="I96" s="11" t="n">
        <v>10026482</v>
      </c>
      <c r="J96" s="11" t="n">
        <f aca="false">I96-H96</f>
        <v>-768472</v>
      </c>
      <c r="K96" s="9" t="n">
        <f aca="false">ROUND(J96/H96,4)</f>
        <v>-0.0712</v>
      </c>
      <c r="L96" s="7" t="s">
        <v>353</v>
      </c>
    </row>
    <row r="97" customFormat="false" ht="15" hidden="false" customHeight="false" outlineLevel="0" collapsed="false">
      <c r="A97" s="7" t="s">
        <v>2177</v>
      </c>
      <c r="B97" s="8" t="n">
        <v>45878</v>
      </c>
      <c r="C97" s="7" t="s">
        <v>34</v>
      </c>
      <c r="D97" s="7" t="s">
        <v>60</v>
      </c>
      <c r="E97" s="7" t="s">
        <v>2055</v>
      </c>
      <c r="F97" s="7"/>
      <c r="G97" s="7" t="s">
        <v>2178</v>
      </c>
      <c r="H97" s="11" t="n">
        <v>84443047</v>
      </c>
      <c r="I97" s="11" t="n">
        <v>83028070</v>
      </c>
      <c r="J97" s="11" t="n">
        <f aca="false">I97-H97</f>
        <v>-1414977</v>
      </c>
      <c r="K97" s="9" t="n">
        <f aca="false">ROUND(J97/H97,4)</f>
        <v>-0.0168</v>
      </c>
      <c r="L97" s="7" t="s">
        <v>355</v>
      </c>
    </row>
    <row r="98" customFormat="false" ht="15" hidden="false" customHeight="false" outlineLevel="0" collapsed="false">
      <c r="A98" s="7" t="s">
        <v>2179</v>
      </c>
      <c r="B98" s="8" t="n">
        <v>45316</v>
      </c>
      <c r="C98" s="7" t="s">
        <v>31</v>
      </c>
      <c r="D98" s="7" t="s">
        <v>75</v>
      </c>
      <c r="E98" s="7" t="s">
        <v>2011</v>
      </c>
      <c r="F98" s="7" t="s">
        <v>106</v>
      </c>
      <c r="G98" s="7" t="s">
        <v>2132</v>
      </c>
      <c r="H98" s="11" t="n">
        <v>35479642</v>
      </c>
      <c r="I98" s="11" t="n">
        <v>35528384</v>
      </c>
      <c r="J98" s="11" t="n">
        <f aca="false">I98-H98</f>
        <v>48742</v>
      </c>
      <c r="K98" s="9" t="n">
        <f aca="false">ROUND(J98/H98,4)</f>
        <v>0.0014</v>
      </c>
      <c r="L98" s="7" t="s">
        <v>357</v>
      </c>
    </row>
    <row r="99" customFormat="false" ht="15" hidden="false" customHeight="false" outlineLevel="0" collapsed="false">
      <c r="A99" s="7" t="s">
        <v>2180</v>
      </c>
      <c r="B99" s="8" t="n">
        <v>46001</v>
      </c>
      <c r="C99" s="7" t="s">
        <v>43</v>
      </c>
      <c r="D99" s="7" t="s">
        <v>87</v>
      </c>
      <c r="E99" s="7" t="s">
        <v>2019</v>
      </c>
      <c r="F99" s="7"/>
      <c r="G99" s="7" t="s">
        <v>2181</v>
      </c>
      <c r="H99" s="11" t="n">
        <v>158489320</v>
      </c>
      <c r="I99" s="11" t="n">
        <v>185473158</v>
      </c>
      <c r="J99" s="11" t="n">
        <f aca="false">I99-H99</f>
        <v>26983838</v>
      </c>
      <c r="K99" s="9" t="n">
        <f aca="false">ROUND(J99/H99,4)</f>
        <v>0.1703</v>
      </c>
      <c r="L99" s="7" t="s">
        <v>337</v>
      </c>
    </row>
    <row r="100" customFormat="false" ht="15" hidden="false" customHeight="false" outlineLevel="0" collapsed="false">
      <c r="A100" s="7" t="s">
        <v>2182</v>
      </c>
      <c r="B100" s="8" t="n">
        <v>45829</v>
      </c>
      <c r="C100" s="7" t="s">
        <v>37</v>
      </c>
      <c r="D100" s="7" t="s">
        <v>87</v>
      </c>
      <c r="E100" s="7" t="s">
        <v>2055</v>
      </c>
      <c r="F100" s="7"/>
      <c r="G100" s="7" t="s">
        <v>2069</v>
      </c>
      <c r="H100" s="11" t="n">
        <v>221200733</v>
      </c>
      <c r="I100" s="11" t="n">
        <v>173526474</v>
      </c>
      <c r="J100" s="11" t="n">
        <f aca="false">I100-H100</f>
        <v>-47674259</v>
      </c>
      <c r="K100" s="9" t="n">
        <f aca="false">ROUND(J100/H100,4)</f>
        <v>-0.2155</v>
      </c>
      <c r="L100" s="7" t="s">
        <v>335</v>
      </c>
    </row>
    <row r="101" customFormat="false" ht="15" hidden="false" customHeight="false" outlineLevel="0" collapsed="false">
      <c r="A101" s="7" t="s">
        <v>2183</v>
      </c>
      <c r="B101" s="8" t="n">
        <v>45853</v>
      </c>
      <c r="C101" s="7" t="s">
        <v>37</v>
      </c>
      <c r="D101" s="7" t="s">
        <v>65</v>
      </c>
      <c r="E101" s="7" t="s">
        <v>2041</v>
      </c>
      <c r="F101" s="7"/>
      <c r="G101" s="7" t="s">
        <v>2114</v>
      </c>
      <c r="H101" s="11" t="n">
        <v>233279892</v>
      </c>
      <c r="I101" s="11" t="n">
        <v>257169750</v>
      </c>
      <c r="J101" s="11" t="n">
        <f aca="false">I101-H101</f>
        <v>23889858</v>
      </c>
      <c r="K101" s="9" t="n">
        <f aca="false">ROUND(J101/H101,4)</f>
        <v>0.1024</v>
      </c>
      <c r="L101" s="7" t="s">
        <v>355</v>
      </c>
    </row>
    <row r="102" customFormat="false" ht="15" hidden="false" customHeight="false" outlineLevel="0" collapsed="false">
      <c r="A102" s="7" t="s">
        <v>2184</v>
      </c>
      <c r="B102" s="8" t="n">
        <v>45766</v>
      </c>
      <c r="C102" s="7" t="s">
        <v>52</v>
      </c>
      <c r="D102" s="7" t="s">
        <v>60</v>
      </c>
      <c r="E102" s="7" t="s">
        <v>2014</v>
      </c>
      <c r="F102" s="7" t="s">
        <v>99</v>
      </c>
      <c r="G102" s="7" t="s">
        <v>2065</v>
      </c>
      <c r="H102" s="11" t="n">
        <v>22940354</v>
      </c>
      <c r="I102" s="11" t="n">
        <v>19269510</v>
      </c>
      <c r="J102" s="11" t="n">
        <f aca="false">I102-H102</f>
        <v>-3670844</v>
      </c>
      <c r="K102" s="9" t="n">
        <f aca="false">ROUND(J102/H102,4)</f>
        <v>-0.16</v>
      </c>
      <c r="L102" s="7" t="s">
        <v>333</v>
      </c>
    </row>
    <row r="103" customFormat="false" ht="15" hidden="false" customHeight="false" outlineLevel="0" collapsed="false">
      <c r="A103" s="7" t="s">
        <v>2185</v>
      </c>
      <c r="B103" s="8" t="n">
        <v>45632</v>
      </c>
      <c r="C103" s="7" t="s">
        <v>49</v>
      </c>
      <c r="D103" s="7" t="s">
        <v>68</v>
      </c>
      <c r="E103" s="7" t="s">
        <v>2011</v>
      </c>
      <c r="F103" s="7" t="s">
        <v>115</v>
      </c>
      <c r="G103" s="7" t="s">
        <v>2099</v>
      </c>
      <c r="H103" s="11" t="n">
        <v>236074254</v>
      </c>
      <c r="I103" s="11" t="n">
        <v>185920974</v>
      </c>
      <c r="J103" s="11" t="n">
        <f aca="false">I103-H103</f>
        <v>-50153280</v>
      </c>
      <c r="K103" s="9" t="n">
        <f aca="false">ROUND(J103/H103,4)</f>
        <v>-0.2124</v>
      </c>
      <c r="L103" s="7" t="s">
        <v>335</v>
      </c>
    </row>
    <row r="104" customFormat="false" ht="15" hidden="false" customHeight="false" outlineLevel="0" collapsed="false">
      <c r="A104" s="7" t="s">
        <v>2186</v>
      </c>
      <c r="B104" s="8" t="n">
        <v>45800</v>
      </c>
      <c r="C104" s="7" t="s">
        <v>25</v>
      </c>
      <c r="D104" s="7" t="s">
        <v>75</v>
      </c>
      <c r="E104" s="7" t="s">
        <v>2019</v>
      </c>
      <c r="F104" s="7"/>
      <c r="G104" s="7" t="s">
        <v>2140</v>
      </c>
      <c r="H104" s="11" t="n">
        <v>207133263</v>
      </c>
      <c r="I104" s="11" t="n">
        <v>204254872</v>
      </c>
      <c r="J104" s="11" t="n">
        <f aca="false">I104-H104</f>
        <v>-2878391</v>
      </c>
      <c r="K104" s="9" t="n">
        <f aca="false">ROUND(J104/H104,4)</f>
        <v>-0.0139</v>
      </c>
      <c r="L104" s="7" t="s">
        <v>349</v>
      </c>
    </row>
    <row r="105" customFormat="false" ht="15" hidden="false" customHeight="false" outlineLevel="0" collapsed="false">
      <c r="A105" s="7" t="s">
        <v>2187</v>
      </c>
      <c r="B105" s="8" t="n">
        <v>45840</v>
      </c>
      <c r="C105" s="7" t="s">
        <v>31</v>
      </c>
      <c r="D105" s="7" t="s">
        <v>71</v>
      </c>
      <c r="E105" s="7" t="s">
        <v>2024</v>
      </c>
      <c r="F105" s="7" t="s">
        <v>99</v>
      </c>
      <c r="G105" s="7" t="s">
        <v>2035</v>
      </c>
      <c r="H105" s="11" t="n">
        <v>209730418</v>
      </c>
      <c r="I105" s="11" t="n">
        <v>204733198</v>
      </c>
      <c r="J105" s="11" t="n">
        <f aca="false">I105-H105</f>
        <v>-4997220</v>
      </c>
      <c r="K105" s="9" t="n">
        <f aca="false">ROUND(J105/H105,4)</f>
        <v>-0.0238</v>
      </c>
      <c r="L105" s="7" t="s">
        <v>341</v>
      </c>
    </row>
    <row r="106" customFormat="false" ht="15" hidden="false" customHeight="false" outlineLevel="0" collapsed="false">
      <c r="A106" s="7" t="s">
        <v>2188</v>
      </c>
      <c r="B106" s="8" t="n">
        <v>45700</v>
      </c>
      <c r="C106" s="7" t="s">
        <v>52</v>
      </c>
      <c r="D106" s="7" t="s">
        <v>79</v>
      </c>
      <c r="E106" s="7" t="s">
        <v>2011</v>
      </c>
      <c r="F106" s="7" t="s">
        <v>106</v>
      </c>
      <c r="G106" s="7" t="s">
        <v>2058</v>
      </c>
      <c r="H106" s="11" t="n">
        <v>10956609</v>
      </c>
      <c r="I106" s="11" t="n">
        <v>12992247</v>
      </c>
      <c r="J106" s="11" t="n">
        <f aca="false">I106-H106</f>
        <v>2035638</v>
      </c>
      <c r="K106" s="9" t="n">
        <f aca="false">ROUND(J106/H106,4)</f>
        <v>0.1858</v>
      </c>
      <c r="L106" s="7" t="s">
        <v>343</v>
      </c>
    </row>
    <row r="107" customFormat="false" ht="15" hidden="false" customHeight="false" outlineLevel="0" collapsed="false">
      <c r="A107" s="7" t="s">
        <v>2189</v>
      </c>
      <c r="B107" s="8" t="n">
        <v>45466</v>
      </c>
      <c r="C107" s="7" t="s">
        <v>25</v>
      </c>
      <c r="D107" s="7" t="s">
        <v>71</v>
      </c>
      <c r="E107" s="7" t="s">
        <v>2011</v>
      </c>
      <c r="F107" s="7" t="s">
        <v>99</v>
      </c>
      <c r="G107" s="7" t="s">
        <v>2118</v>
      </c>
      <c r="H107" s="11" t="n">
        <v>67887711</v>
      </c>
      <c r="I107" s="11" t="n">
        <v>71024504</v>
      </c>
      <c r="J107" s="11" t="n">
        <f aca="false">I107-H107</f>
        <v>3136793</v>
      </c>
      <c r="K107" s="9" t="n">
        <f aca="false">ROUND(J107/H107,4)</f>
        <v>0.0462</v>
      </c>
      <c r="L107" s="7" t="s">
        <v>335</v>
      </c>
    </row>
    <row r="108" customFormat="false" ht="15" hidden="false" customHeight="false" outlineLevel="0" collapsed="false">
      <c r="A108" s="7" t="s">
        <v>2190</v>
      </c>
      <c r="B108" s="8" t="n">
        <v>45327</v>
      </c>
      <c r="C108" s="7" t="s">
        <v>52</v>
      </c>
      <c r="D108" s="7" t="s">
        <v>65</v>
      </c>
      <c r="E108" s="7" t="s">
        <v>2055</v>
      </c>
      <c r="F108" s="7"/>
      <c r="G108" s="7" t="s">
        <v>2191</v>
      </c>
      <c r="H108" s="11" t="n">
        <v>203085171</v>
      </c>
      <c r="I108" s="11" t="n">
        <v>162165038</v>
      </c>
      <c r="J108" s="11" t="n">
        <f aca="false">I108-H108</f>
        <v>-40920133</v>
      </c>
      <c r="K108" s="9" t="n">
        <f aca="false">ROUND(J108/H108,4)</f>
        <v>-0.2015</v>
      </c>
      <c r="L108" s="7" t="s">
        <v>331</v>
      </c>
    </row>
    <row r="109" customFormat="false" ht="15" hidden="false" customHeight="false" outlineLevel="0" collapsed="false">
      <c r="A109" s="7" t="s">
        <v>2192</v>
      </c>
      <c r="B109" s="8" t="n">
        <v>45901</v>
      </c>
      <c r="C109" s="7" t="s">
        <v>25</v>
      </c>
      <c r="D109" s="7" t="s">
        <v>60</v>
      </c>
      <c r="E109" s="7" t="s">
        <v>2024</v>
      </c>
      <c r="F109" s="7" t="s">
        <v>95</v>
      </c>
      <c r="G109" s="7" t="s">
        <v>2029</v>
      </c>
      <c r="H109" s="11" t="n">
        <v>5481053</v>
      </c>
      <c r="I109" s="11" t="n">
        <v>5341317</v>
      </c>
      <c r="J109" s="11" t="n">
        <f aca="false">I109-H109</f>
        <v>-139736</v>
      </c>
      <c r="K109" s="9" t="n">
        <f aca="false">ROUND(J109/H109,4)</f>
        <v>-0.0255</v>
      </c>
      <c r="L109" s="7" t="s">
        <v>333</v>
      </c>
    </row>
    <row r="110" customFormat="false" ht="15" hidden="false" customHeight="false" outlineLevel="0" collapsed="false">
      <c r="A110" s="7" t="s">
        <v>2193</v>
      </c>
      <c r="B110" s="8" t="n">
        <v>45349</v>
      </c>
      <c r="C110" s="7" t="s">
        <v>46</v>
      </c>
      <c r="D110" s="7" t="s">
        <v>60</v>
      </c>
      <c r="E110" s="7" t="s">
        <v>2041</v>
      </c>
      <c r="F110" s="7"/>
      <c r="G110" s="7" t="s">
        <v>2062</v>
      </c>
      <c r="H110" s="11" t="n">
        <v>53554359</v>
      </c>
      <c r="I110" s="11" t="n">
        <v>44370327</v>
      </c>
      <c r="J110" s="11" t="n">
        <f aca="false">I110-H110</f>
        <v>-9184032</v>
      </c>
      <c r="K110" s="9" t="n">
        <f aca="false">ROUND(J110/H110,4)</f>
        <v>-0.1715</v>
      </c>
      <c r="L110" s="7" t="s">
        <v>335</v>
      </c>
    </row>
    <row r="111" customFormat="false" ht="15" hidden="false" customHeight="false" outlineLevel="0" collapsed="false">
      <c r="A111" s="7" t="s">
        <v>2194</v>
      </c>
      <c r="B111" s="8" t="n">
        <v>45343</v>
      </c>
      <c r="C111" s="7" t="s">
        <v>43</v>
      </c>
      <c r="D111" s="7" t="s">
        <v>68</v>
      </c>
      <c r="E111" s="7" t="s">
        <v>2055</v>
      </c>
      <c r="F111" s="7"/>
      <c r="G111" s="7" t="s">
        <v>2191</v>
      </c>
      <c r="H111" s="11" t="n">
        <v>177528673</v>
      </c>
      <c r="I111" s="11" t="n">
        <v>137580018</v>
      </c>
      <c r="J111" s="11" t="n">
        <f aca="false">I111-H111</f>
        <v>-39948655</v>
      </c>
      <c r="K111" s="9" t="n">
        <f aca="false">ROUND(J111/H111,4)</f>
        <v>-0.225</v>
      </c>
      <c r="L111" s="7" t="s">
        <v>341</v>
      </c>
    </row>
    <row r="112" customFormat="false" ht="15" hidden="false" customHeight="false" outlineLevel="0" collapsed="false">
      <c r="A112" s="7" t="s">
        <v>2195</v>
      </c>
      <c r="B112" s="8" t="n">
        <v>45979</v>
      </c>
      <c r="C112" s="7" t="s">
        <v>40</v>
      </c>
      <c r="D112" s="7" t="s">
        <v>87</v>
      </c>
      <c r="E112" s="7" t="s">
        <v>2011</v>
      </c>
      <c r="F112" s="7" t="s">
        <v>95</v>
      </c>
      <c r="G112" s="7" t="s">
        <v>2027</v>
      </c>
      <c r="H112" s="11" t="n">
        <v>206622898</v>
      </c>
      <c r="I112" s="11" t="n">
        <v>206029315</v>
      </c>
      <c r="J112" s="11" t="n">
        <f aca="false">I112-H112</f>
        <v>-593583</v>
      </c>
      <c r="K112" s="9" t="n">
        <f aca="false">ROUND(J112/H112,4)</f>
        <v>-0.0029</v>
      </c>
      <c r="L112" s="7" t="s">
        <v>335</v>
      </c>
    </row>
    <row r="113" customFormat="false" ht="15" hidden="false" customHeight="false" outlineLevel="0" collapsed="false">
      <c r="A113" s="7" t="s">
        <v>2196</v>
      </c>
      <c r="B113" s="8" t="n">
        <v>45954</v>
      </c>
      <c r="C113" s="7" t="s">
        <v>31</v>
      </c>
      <c r="D113" s="7" t="s">
        <v>83</v>
      </c>
      <c r="E113" s="7" t="s">
        <v>2024</v>
      </c>
      <c r="F113" s="7" t="s">
        <v>113</v>
      </c>
      <c r="G113" s="7" t="s">
        <v>2197</v>
      </c>
      <c r="H113" s="11" t="n">
        <v>109079602</v>
      </c>
      <c r="I113" s="11" t="n">
        <v>122059615</v>
      </c>
      <c r="J113" s="11" t="n">
        <f aca="false">I113-H113</f>
        <v>12980013</v>
      </c>
      <c r="K113" s="9" t="n">
        <f aca="false">ROUND(J113/H113,4)</f>
        <v>0.119</v>
      </c>
      <c r="L113" s="7" t="s">
        <v>333</v>
      </c>
    </row>
    <row r="114" customFormat="false" ht="15" hidden="false" customHeight="false" outlineLevel="0" collapsed="false">
      <c r="A114" s="7" t="s">
        <v>2198</v>
      </c>
      <c r="B114" s="8" t="n">
        <v>45583</v>
      </c>
      <c r="C114" s="7" t="s">
        <v>52</v>
      </c>
      <c r="D114" s="7" t="s">
        <v>79</v>
      </c>
      <c r="E114" s="7" t="s">
        <v>2055</v>
      </c>
      <c r="F114" s="7"/>
      <c r="G114" s="7" t="s">
        <v>2165</v>
      </c>
      <c r="H114" s="11" t="n">
        <v>211209412</v>
      </c>
      <c r="I114" s="11" t="n">
        <v>225455051</v>
      </c>
      <c r="J114" s="11" t="n">
        <f aca="false">I114-H114</f>
        <v>14245639</v>
      </c>
      <c r="K114" s="9" t="n">
        <f aca="false">ROUND(J114/H114,4)</f>
        <v>0.0674</v>
      </c>
      <c r="L114" s="7" t="s">
        <v>329</v>
      </c>
    </row>
    <row r="115" customFormat="false" ht="15" hidden="false" customHeight="false" outlineLevel="0" collapsed="false">
      <c r="A115" s="7" t="s">
        <v>2199</v>
      </c>
      <c r="B115" s="8" t="n">
        <v>45676</v>
      </c>
      <c r="C115" s="7" t="s">
        <v>25</v>
      </c>
      <c r="D115" s="7" t="s">
        <v>87</v>
      </c>
      <c r="E115" s="7" t="s">
        <v>2019</v>
      </c>
      <c r="F115" s="7"/>
      <c r="G115" s="7" t="s">
        <v>2200</v>
      </c>
      <c r="H115" s="11" t="n">
        <v>46962593</v>
      </c>
      <c r="I115" s="11" t="n">
        <v>36548409</v>
      </c>
      <c r="J115" s="11" t="n">
        <f aca="false">I115-H115</f>
        <v>-10414184</v>
      </c>
      <c r="K115" s="9" t="n">
        <f aca="false">ROUND(J115/H115,4)</f>
        <v>-0.2218</v>
      </c>
      <c r="L115" s="7" t="s">
        <v>357</v>
      </c>
    </row>
    <row r="116" customFormat="false" ht="15" hidden="false" customHeight="false" outlineLevel="0" collapsed="false">
      <c r="A116" s="7" t="s">
        <v>2201</v>
      </c>
      <c r="B116" s="8" t="n">
        <v>45732</v>
      </c>
      <c r="C116" s="7" t="s">
        <v>34</v>
      </c>
      <c r="D116" s="7" t="s">
        <v>68</v>
      </c>
      <c r="E116" s="7" t="s">
        <v>2055</v>
      </c>
      <c r="F116" s="7"/>
      <c r="G116" s="7" t="s">
        <v>2202</v>
      </c>
      <c r="H116" s="11" t="n">
        <v>6060925</v>
      </c>
      <c r="I116" s="11" t="n">
        <v>6409359</v>
      </c>
      <c r="J116" s="11" t="n">
        <f aca="false">I116-H116</f>
        <v>348434</v>
      </c>
      <c r="K116" s="9" t="n">
        <f aca="false">ROUND(J116/H116,4)</f>
        <v>0.0575</v>
      </c>
      <c r="L116" s="7" t="s">
        <v>331</v>
      </c>
    </row>
    <row r="117" customFormat="false" ht="15" hidden="false" customHeight="false" outlineLevel="0" collapsed="false">
      <c r="A117" s="7" t="s">
        <v>2203</v>
      </c>
      <c r="B117" s="8" t="n">
        <v>45418</v>
      </c>
      <c r="C117" s="7" t="s">
        <v>25</v>
      </c>
      <c r="D117" s="7" t="s">
        <v>65</v>
      </c>
      <c r="E117" s="7" t="s">
        <v>2041</v>
      </c>
      <c r="F117" s="7"/>
      <c r="G117" s="7" t="s">
        <v>2103</v>
      </c>
      <c r="H117" s="11" t="n">
        <v>208159660</v>
      </c>
      <c r="I117" s="11" t="n">
        <v>235316535</v>
      </c>
      <c r="J117" s="11" t="n">
        <f aca="false">I117-H117</f>
        <v>27156875</v>
      </c>
      <c r="K117" s="9" t="n">
        <f aca="false">ROUND(J117/H117,4)</f>
        <v>0.1305</v>
      </c>
      <c r="L117" s="7" t="s">
        <v>347</v>
      </c>
    </row>
    <row r="118" customFormat="false" ht="15" hidden="false" customHeight="false" outlineLevel="0" collapsed="false">
      <c r="A118" s="7" t="s">
        <v>2204</v>
      </c>
      <c r="B118" s="8" t="n">
        <v>45404</v>
      </c>
      <c r="C118" s="7" t="s">
        <v>25</v>
      </c>
      <c r="D118" s="7" t="s">
        <v>71</v>
      </c>
      <c r="E118" s="7" t="s">
        <v>2024</v>
      </c>
      <c r="F118" s="7" t="s">
        <v>104</v>
      </c>
      <c r="G118" s="7" t="s">
        <v>2155</v>
      </c>
      <c r="H118" s="11" t="n">
        <v>52136909</v>
      </c>
      <c r="I118" s="11" t="n">
        <v>48753859</v>
      </c>
      <c r="J118" s="11" t="n">
        <f aca="false">I118-H118</f>
        <v>-3383050</v>
      </c>
      <c r="K118" s="9" t="n">
        <f aca="false">ROUND(J118/H118,4)</f>
        <v>-0.0649</v>
      </c>
      <c r="L118" s="7" t="s">
        <v>341</v>
      </c>
    </row>
    <row r="119" customFormat="false" ht="15" hidden="false" customHeight="false" outlineLevel="0" collapsed="false">
      <c r="A119" s="7" t="s">
        <v>2205</v>
      </c>
      <c r="B119" s="8" t="n">
        <v>45857</v>
      </c>
      <c r="C119" s="7" t="s">
        <v>40</v>
      </c>
      <c r="D119" s="7" t="s">
        <v>71</v>
      </c>
      <c r="E119" s="7" t="s">
        <v>2011</v>
      </c>
      <c r="F119" s="7" t="s">
        <v>99</v>
      </c>
      <c r="G119" s="7" t="s">
        <v>2012</v>
      </c>
      <c r="H119" s="11" t="n">
        <v>116255466</v>
      </c>
      <c r="I119" s="11" t="n">
        <v>87685613</v>
      </c>
      <c r="J119" s="11" t="n">
        <f aca="false">I119-H119</f>
        <v>-28569853</v>
      </c>
      <c r="K119" s="9" t="n">
        <f aca="false">ROUND(J119/H119,4)</f>
        <v>-0.2458</v>
      </c>
      <c r="L119" s="7" t="s">
        <v>353</v>
      </c>
    </row>
    <row r="120" customFormat="false" ht="15" hidden="false" customHeight="false" outlineLevel="0" collapsed="false">
      <c r="A120" s="7" t="s">
        <v>2206</v>
      </c>
      <c r="B120" s="8" t="n">
        <v>45865</v>
      </c>
      <c r="C120" s="7" t="s">
        <v>49</v>
      </c>
      <c r="D120" s="7" t="s">
        <v>71</v>
      </c>
      <c r="E120" s="7" t="s">
        <v>2011</v>
      </c>
      <c r="F120" s="7" t="s">
        <v>95</v>
      </c>
      <c r="G120" s="7" t="s">
        <v>2012</v>
      </c>
      <c r="H120" s="11" t="n">
        <v>159025922</v>
      </c>
      <c r="I120" s="11" t="n">
        <v>169496169</v>
      </c>
      <c r="J120" s="11" t="n">
        <f aca="false">I120-H120</f>
        <v>10470247</v>
      </c>
      <c r="K120" s="9" t="n">
        <f aca="false">ROUND(J120/H120,4)</f>
        <v>0.0658</v>
      </c>
      <c r="L120" s="7" t="s">
        <v>359</v>
      </c>
    </row>
    <row r="121" customFormat="false" ht="15" hidden="false" customHeight="false" outlineLevel="0" collapsed="false">
      <c r="A121" s="7" t="s">
        <v>2207</v>
      </c>
      <c r="B121" s="8" t="n">
        <v>45868</v>
      </c>
      <c r="C121" s="7" t="s">
        <v>52</v>
      </c>
      <c r="D121" s="7" t="s">
        <v>87</v>
      </c>
      <c r="E121" s="7" t="s">
        <v>2041</v>
      </c>
      <c r="F121" s="7"/>
      <c r="G121" s="7" t="s">
        <v>2114</v>
      </c>
      <c r="H121" s="11" t="n">
        <v>201705666</v>
      </c>
      <c r="I121" s="11" t="n">
        <v>225771881</v>
      </c>
      <c r="J121" s="11" t="n">
        <f aca="false">I121-H121</f>
        <v>24066215</v>
      </c>
      <c r="K121" s="9" t="n">
        <f aca="false">ROUND(J121/H121,4)</f>
        <v>0.1193</v>
      </c>
      <c r="L121" s="7" t="s">
        <v>341</v>
      </c>
    </row>
    <row r="122" customFormat="false" ht="15" hidden="false" customHeight="false" outlineLevel="0" collapsed="false">
      <c r="A122" s="7" t="s">
        <v>2208</v>
      </c>
      <c r="B122" s="8" t="n">
        <v>45777</v>
      </c>
      <c r="C122" s="7" t="s">
        <v>25</v>
      </c>
      <c r="D122" s="7" t="s">
        <v>71</v>
      </c>
      <c r="E122" s="7" t="s">
        <v>2011</v>
      </c>
      <c r="F122" s="7" t="s">
        <v>115</v>
      </c>
      <c r="G122" s="7" t="s">
        <v>2209</v>
      </c>
      <c r="H122" s="11" t="n">
        <v>52617001</v>
      </c>
      <c r="I122" s="11" t="n">
        <v>54560459</v>
      </c>
      <c r="J122" s="11" t="n">
        <f aca="false">I122-H122</f>
        <v>1943458</v>
      </c>
      <c r="K122" s="9" t="n">
        <f aca="false">ROUND(J122/H122,4)</f>
        <v>0.0369</v>
      </c>
      <c r="L122" s="7" t="s">
        <v>357</v>
      </c>
    </row>
    <row r="123" customFormat="false" ht="15" hidden="false" customHeight="false" outlineLevel="0" collapsed="false">
      <c r="A123" s="7" t="s">
        <v>2210</v>
      </c>
      <c r="B123" s="8" t="n">
        <v>45473</v>
      </c>
      <c r="C123" s="7" t="s">
        <v>34</v>
      </c>
      <c r="D123" s="7" t="s">
        <v>75</v>
      </c>
      <c r="E123" s="7" t="s">
        <v>2024</v>
      </c>
      <c r="F123" s="7" t="s">
        <v>106</v>
      </c>
      <c r="G123" s="7" t="s">
        <v>2211</v>
      </c>
      <c r="H123" s="11" t="n">
        <v>21078826</v>
      </c>
      <c r="I123" s="11" t="n">
        <v>25078680</v>
      </c>
      <c r="J123" s="11" t="n">
        <f aca="false">I123-H123</f>
        <v>3999854</v>
      </c>
      <c r="K123" s="9" t="n">
        <f aca="false">ROUND(J123/H123,4)</f>
        <v>0.1898</v>
      </c>
      <c r="L123" s="7" t="s">
        <v>349</v>
      </c>
    </row>
    <row r="124" customFormat="false" ht="15" hidden="false" customHeight="false" outlineLevel="0" collapsed="false">
      <c r="A124" s="7" t="s">
        <v>2212</v>
      </c>
      <c r="B124" s="8" t="n">
        <v>45812</v>
      </c>
      <c r="C124" s="7" t="s">
        <v>49</v>
      </c>
      <c r="D124" s="7" t="s">
        <v>71</v>
      </c>
      <c r="E124" s="7" t="s">
        <v>2055</v>
      </c>
      <c r="F124" s="7"/>
      <c r="G124" s="7" t="s">
        <v>2069</v>
      </c>
      <c r="H124" s="11" t="n">
        <v>226402278</v>
      </c>
      <c r="I124" s="11" t="n">
        <v>213309110</v>
      </c>
      <c r="J124" s="11" t="n">
        <f aca="false">I124-H124</f>
        <v>-13093168</v>
      </c>
      <c r="K124" s="9" t="n">
        <f aca="false">ROUND(J124/H124,4)</f>
        <v>-0.0578</v>
      </c>
      <c r="L124" s="7" t="s">
        <v>331</v>
      </c>
    </row>
    <row r="125" customFormat="false" ht="15" hidden="false" customHeight="false" outlineLevel="0" collapsed="false">
      <c r="A125" s="7" t="s">
        <v>2213</v>
      </c>
      <c r="B125" s="8" t="n">
        <v>45738</v>
      </c>
      <c r="C125" s="7" t="s">
        <v>34</v>
      </c>
      <c r="D125" s="7" t="s">
        <v>71</v>
      </c>
      <c r="E125" s="7" t="s">
        <v>2019</v>
      </c>
      <c r="F125" s="7"/>
      <c r="G125" s="7" t="s">
        <v>2214</v>
      </c>
      <c r="H125" s="11" t="n">
        <v>216007841</v>
      </c>
      <c r="I125" s="11" t="n">
        <v>224598156</v>
      </c>
      <c r="J125" s="11" t="n">
        <f aca="false">I125-H125</f>
        <v>8590315</v>
      </c>
      <c r="K125" s="9" t="n">
        <f aca="false">ROUND(J125/H125,4)</f>
        <v>0.0398</v>
      </c>
      <c r="L125" s="7" t="s">
        <v>347</v>
      </c>
    </row>
    <row r="126" customFormat="false" ht="15" hidden="false" customHeight="false" outlineLevel="0" collapsed="false">
      <c r="A126" s="7" t="s">
        <v>2215</v>
      </c>
      <c r="B126" s="8" t="n">
        <v>45450</v>
      </c>
      <c r="C126" s="7" t="s">
        <v>31</v>
      </c>
      <c r="D126" s="7" t="s">
        <v>87</v>
      </c>
      <c r="E126" s="7" t="s">
        <v>2041</v>
      </c>
      <c r="F126" s="7"/>
      <c r="G126" s="7" t="s">
        <v>2216</v>
      </c>
      <c r="H126" s="11" t="n">
        <v>177124159</v>
      </c>
      <c r="I126" s="11" t="n">
        <v>205039466</v>
      </c>
      <c r="J126" s="11" t="n">
        <f aca="false">I126-H126</f>
        <v>27915307</v>
      </c>
      <c r="K126" s="9" t="n">
        <f aca="false">ROUND(J126/H126,4)</f>
        <v>0.1576</v>
      </c>
      <c r="L126" s="7" t="s">
        <v>331</v>
      </c>
    </row>
    <row r="127" customFormat="false" ht="15" hidden="false" customHeight="false" outlineLevel="0" collapsed="false">
      <c r="A127" s="7" t="s">
        <v>2217</v>
      </c>
      <c r="B127" s="8" t="n">
        <v>45844</v>
      </c>
      <c r="C127" s="7" t="s">
        <v>25</v>
      </c>
      <c r="D127" s="7" t="s">
        <v>83</v>
      </c>
      <c r="E127" s="7" t="s">
        <v>2041</v>
      </c>
      <c r="F127" s="7"/>
      <c r="G127" s="7" t="s">
        <v>2114</v>
      </c>
      <c r="H127" s="11" t="n">
        <v>104493028</v>
      </c>
      <c r="I127" s="11" t="n">
        <v>105416157</v>
      </c>
      <c r="J127" s="11" t="n">
        <f aca="false">I127-H127</f>
        <v>923129</v>
      </c>
      <c r="K127" s="9" t="n">
        <f aca="false">ROUND(J127/H127,4)</f>
        <v>0.0088</v>
      </c>
      <c r="L127" s="7" t="s">
        <v>349</v>
      </c>
    </row>
    <row r="128" customFormat="false" ht="15" hidden="false" customHeight="false" outlineLevel="0" collapsed="false">
      <c r="A128" s="7" t="s">
        <v>2218</v>
      </c>
      <c r="B128" s="8" t="n">
        <v>45736</v>
      </c>
      <c r="C128" s="7" t="s">
        <v>37</v>
      </c>
      <c r="D128" s="7" t="s">
        <v>87</v>
      </c>
      <c r="E128" s="7" t="s">
        <v>2019</v>
      </c>
      <c r="F128" s="7"/>
      <c r="G128" s="7" t="s">
        <v>2214</v>
      </c>
      <c r="H128" s="11" t="n">
        <v>113721950</v>
      </c>
      <c r="I128" s="11" t="n">
        <v>121998977</v>
      </c>
      <c r="J128" s="11" t="n">
        <f aca="false">I128-H128</f>
        <v>8277027</v>
      </c>
      <c r="K128" s="9" t="n">
        <f aca="false">ROUND(J128/H128,4)</f>
        <v>0.0728</v>
      </c>
      <c r="L128" s="7" t="s">
        <v>345</v>
      </c>
    </row>
    <row r="129" customFormat="false" ht="15" hidden="false" customHeight="false" outlineLevel="0" collapsed="false">
      <c r="A129" s="7" t="s">
        <v>2219</v>
      </c>
      <c r="B129" s="8" t="n">
        <v>45451</v>
      </c>
      <c r="C129" s="7" t="s">
        <v>31</v>
      </c>
      <c r="D129" s="7" t="s">
        <v>68</v>
      </c>
      <c r="E129" s="7" t="s">
        <v>2041</v>
      </c>
      <c r="F129" s="7"/>
      <c r="G129" s="7" t="s">
        <v>2216</v>
      </c>
      <c r="H129" s="11" t="n">
        <v>195944662</v>
      </c>
      <c r="I129" s="11" t="n">
        <v>178122622</v>
      </c>
      <c r="J129" s="11" t="n">
        <f aca="false">I129-H129</f>
        <v>-17822040</v>
      </c>
      <c r="K129" s="9" t="n">
        <f aca="false">ROUND(J129/H129,4)</f>
        <v>-0.091</v>
      </c>
      <c r="L129" s="7" t="s">
        <v>351</v>
      </c>
    </row>
    <row r="130" customFormat="false" ht="15" hidden="false" customHeight="false" outlineLevel="0" collapsed="false">
      <c r="A130" s="7" t="s">
        <v>2220</v>
      </c>
      <c r="B130" s="8" t="n">
        <v>45807</v>
      </c>
      <c r="C130" s="7" t="s">
        <v>46</v>
      </c>
      <c r="D130" s="7" t="s">
        <v>87</v>
      </c>
      <c r="E130" s="7" t="s">
        <v>2041</v>
      </c>
      <c r="F130" s="7"/>
      <c r="G130" s="7" t="s">
        <v>2221</v>
      </c>
      <c r="H130" s="11" t="n">
        <v>234805365</v>
      </c>
      <c r="I130" s="11" t="n">
        <v>257903189</v>
      </c>
      <c r="J130" s="11" t="n">
        <f aca="false">I130-H130</f>
        <v>23097824</v>
      </c>
      <c r="K130" s="9" t="n">
        <f aca="false">ROUND(J130/H130,4)</f>
        <v>0.0984</v>
      </c>
      <c r="L130" s="7" t="s">
        <v>337</v>
      </c>
    </row>
    <row r="131" customFormat="false" ht="15" hidden="false" customHeight="false" outlineLevel="0" collapsed="false">
      <c r="A131" s="7" t="s">
        <v>2222</v>
      </c>
      <c r="B131" s="8" t="n">
        <v>45665</v>
      </c>
      <c r="C131" s="7" t="s">
        <v>25</v>
      </c>
      <c r="D131" s="7" t="s">
        <v>87</v>
      </c>
      <c r="E131" s="7" t="s">
        <v>2019</v>
      </c>
      <c r="F131" s="7"/>
      <c r="G131" s="7" t="s">
        <v>2200</v>
      </c>
      <c r="H131" s="11" t="n">
        <v>132437376</v>
      </c>
      <c r="I131" s="11" t="n">
        <v>114731566</v>
      </c>
      <c r="J131" s="11" t="n">
        <f aca="false">I131-H131</f>
        <v>-17705810</v>
      </c>
      <c r="K131" s="9" t="n">
        <f aca="false">ROUND(J131/H131,4)</f>
        <v>-0.1337</v>
      </c>
      <c r="L131" s="7" t="s">
        <v>353</v>
      </c>
    </row>
    <row r="132" customFormat="false" ht="15" hidden="false" customHeight="false" outlineLevel="0" collapsed="false">
      <c r="A132" s="7" t="s">
        <v>2223</v>
      </c>
      <c r="B132" s="8" t="n">
        <v>45483</v>
      </c>
      <c r="C132" s="7" t="s">
        <v>31</v>
      </c>
      <c r="D132" s="7" t="s">
        <v>68</v>
      </c>
      <c r="E132" s="7" t="s">
        <v>2024</v>
      </c>
      <c r="F132" s="7" t="s">
        <v>113</v>
      </c>
      <c r="G132" s="7" t="s">
        <v>2025</v>
      </c>
      <c r="H132" s="11" t="n">
        <v>143476419</v>
      </c>
      <c r="I132" s="11" t="n">
        <v>131172514</v>
      </c>
      <c r="J132" s="11" t="n">
        <f aca="false">I132-H132</f>
        <v>-12303905</v>
      </c>
      <c r="K132" s="9" t="n">
        <f aca="false">ROUND(J132/H132,4)</f>
        <v>-0.0858</v>
      </c>
      <c r="L132" s="7" t="s">
        <v>331</v>
      </c>
    </row>
    <row r="133" customFormat="false" ht="15" hidden="false" customHeight="false" outlineLevel="0" collapsed="false">
      <c r="A133" s="7" t="s">
        <v>2224</v>
      </c>
      <c r="B133" s="8" t="n">
        <v>45313</v>
      </c>
      <c r="C133" s="7" t="s">
        <v>31</v>
      </c>
      <c r="D133" s="7" t="s">
        <v>83</v>
      </c>
      <c r="E133" s="7" t="s">
        <v>2055</v>
      </c>
      <c r="F133" s="7"/>
      <c r="G133" s="7" t="s">
        <v>2225</v>
      </c>
      <c r="H133" s="11" t="n">
        <v>236001723</v>
      </c>
      <c r="I133" s="11" t="n">
        <v>182197593</v>
      </c>
      <c r="J133" s="11" t="n">
        <f aca="false">I133-H133</f>
        <v>-53804130</v>
      </c>
      <c r="K133" s="9" t="n">
        <f aca="false">ROUND(J133/H133,4)</f>
        <v>-0.228</v>
      </c>
      <c r="L133" s="7" t="s">
        <v>359</v>
      </c>
    </row>
    <row r="134" customFormat="false" ht="15" hidden="false" customHeight="false" outlineLevel="0" collapsed="false">
      <c r="A134" s="7" t="s">
        <v>2226</v>
      </c>
      <c r="B134" s="8" t="n">
        <v>45697</v>
      </c>
      <c r="C134" s="7" t="s">
        <v>31</v>
      </c>
      <c r="D134" s="7" t="s">
        <v>71</v>
      </c>
      <c r="E134" s="7" t="s">
        <v>2024</v>
      </c>
      <c r="F134" s="7" t="s">
        <v>104</v>
      </c>
      <c r="G134" s="7" t="s">
        <v>2227</v>
      </c>
      <c r="H134" s="11" t="n">
        <v>184583860</v>
      </c>
      <c r="I134" s="11" t="n">
        <v>181123033</v>
      </c>
      <c r="J134" s="11" t="n">
        <f aca="false">I134-H134</f>
        <v>-3460827</v>
      </c>
      <c r="K134" s="9" t="n">
        <f aca="false">ROUND(J134/H134,4)</f>
        <v>-0.0187</v>
      </c>
      <c r="L134" s="7" t="s">
        <v>355</v>
      </c>
    </row>
    <row r="135" customFormat="false" ht="15" hidden="false" customHeight="false" outlineLevel="0" collapsed="false">
      <c r="A135" s="7" t="s">
        <v>2228</v>
      </c>
      <c r="B135" s="8" t="n">
        <v>45408</v>
      </c>
      <c r="C135" s="7" t="s">
        <v>31</v>
      </c>
      <c r="D135" s="7" t="s">
        <v>71</v>
      </c>
      <c r="E135" s="7" t="s">
        <v>2024</v>
      </c>
      <c r="F135" s="7" t="s">
        <v>95</v>
      </c>
      <c r="G135" s="7" t="s">
        <v>2155</v>
      </c>
      <c r="H135" s="11" t="n">
        <v>73515505</v>
      </c>
      <c r="I135" s="11" t="n">
        <v>60474889</v>
      </c>
      <c r="J135" s="11" t="n">
        <f aca="false">I135-H135</f>
        <v>-13040616</v>
      </c>
      <c r="K135" s="9" t="n">
        <f aca="false">ROUND(J135/H135,4)</f>
        <v>-0.1774</v>
      </c>
      <c r="L135" s="7" t="s">
        <v>347</v>
      </c>
    </row>
    <row r="136" customFormat="false" ht="15" hidden="false" customHeight="false" outlineLevel="0" collapsed="false">
      <c r="A136" s="7" t="s">
        <v>2229</v>
      </c>
      <c r="B136" s="8" t="n">
        <v>45977</v>
      </c>
      <c r="C136" s="7" t="s">
        <v>34</v>
      </c>
      <c r="D136" s="7" t="s">
        <v>71</v>
      </c>
      <c r="E136" s="7" t="s">
        <v>2041</v>
      </c>
      <c r="F136" s="7"/>
      <c r="G136" s="7" t="s">
        <v>2230</v>
      </c>
      <c r="H136" s="11" t="n">
        <v>81478605</v>
      </c>
      <c r="I136" s="11" t="n">
        <v>83857480</v>
      </c>
      <c r="J136" s="11" t="n">
        <f aca="false">I136-H136</f>
        <v>2378875</v>
      </c>
      <c r="K136" s="9" t="n">
        <f aca="false">ROUND(J136/H136,4)</f>
        <v>0.0292</v>
      </c>
      <c r="L136" s="7" t="s">
        <v>333</v>
      </c>
    </row>
    <row r="137" customFormat="false" ht="15" hidden="false" customHeight="false" outlineLevel="0" collapsed="false">
      <c r="A137" s="7" t="s">
        <v>2231</v>
      </c>
      <c r="B137" s="8" t="n">
        <v>45562</v>
      </c>
      <c r="C137" s="7" t="s">
        <v>49</v>
      </c>
      <c r="D137" s="7" t="s">
        <v>71</v>
      </c>
      <c r="E137" s="7" t="s">
        <v>2055</v>
      </c>
      <c r="F137" s="7"/>
      <c r="G137" s="7" t="s">
        <v>2071</v>
      </c>
      <c r="H137" s="11" t="n">
        <v>152115385</v>
      </c>
      <c r="I137" s="11" t="n">
        <v>133966600</v>
      </c>
      <c r="J137" s="11" t="n">
        <f aca="false">I137-H137</f>
        <v>-18148785</v>
      </c>
      <c r="K137" s="9" t="n">
        <f aca="false">ROUND(J137/H137,4)</f>
        <v>-0.1193</v>
      </c>
      <c r="L137" s="7" t="s">
        <v>339</v>
      </c>
    </row>
    <row r="138" customFormat="false" ht="15" hidden="false" customHeight="false" outlineLevel="0" collapsed="false">
      <c r="A138" s="7" t="s">
        <v>2232</v>
      </c>
      <c r="B138" s="8" t="n">
        <v>45880</v>
      </c>
      <c r="C138" s="7" t="s">
        <v>46</v>
      </c>
      <c r="D138" s="7" t="s">
        <v>75</v>
      </c>
      <c r="E138" s="7" t="s">
        <v>2011</v>
      </c>
      <c r="F138" s="7" t="s">
        <v>95</v>
      </c>
      <c r="G138" s="7" t="s">
        <v>2233</v>
      </c>
      <c r="H138" s="11" t="n">
        <v>185146812</v>
      </c>
      <c r="I138" s="11" t="n">
        <v>188864600</v>
      </c>
      <c r="J138" s="11" t="n">
        <f aca="false">I138-H138</f>
        <v>3717788</v>
      </c>
      <c r="K138" s="9" t="n">
        <f aca="false">ROUND(J138/H138,4)</f>
        <v>0.0201</v>
      </c>
      <c r="L138" s="7" t="s">
        <v>345</v>
      </c>
    </row>
    <row r="139" customFormat="false" ht="15" hidden="false" customHeight="false" outlineLevel="0" collapsed="false">
      <c r="A139" s="7" t="s">
        <v>2234</v>
      </c>
      <c r="B139" s="8" t="n">
        <v>45554</v>
      </c>
      <c r="C139" s="7" t="s">
        <v>31</v>
      </c>
      <c r="D139" s="7" t="s">
        <v>60</v>
      </c>
      <c r="E139" s="7" t="s">
        <v>2024</v>
      </c>
      <c r="F139" s="7" t="s">
        <v>104</v>
      </c>
      <c r="G139" s="7" t="s">
        <v>2235</v>
      </c>
      <c r="H139" s="11" t="n">
        <v>212164230</v>
      </c>
      <c r="I139" s="11" t="n">
        <v>196718704</v>
      </c>
      <c r="J139" s="11" t="n">
        <f aca="false">I139-H139</f>
        <v>-15445526</v>
      </c>
      <c r="K139" s="9" t="n">
        <f aca="false">ROUND(J139/H139,4)</f>
        <v>-0.0728</v>
      </c>
      <c r="L139" s="7" t="s">
        <v>345</v>
      </c>
    </row>
    <row r="140" customFormat="false" ht="15" hidden="false" customHeight="false" outlineLevel="0" collapsed="false">
      <c r="A140" s="7" t="s">
        <v>2236</v>
      </c>
      <c r="B140" s="8" t="n">
        <v>45736</v>
      </c>
      <c r="C140" s="7" t="s">
        <v>52</v>
      </c>
      <c r="D140" s="7" t="s">
        <v>60</v>
      </c>
      <c r="E140" s="7" t="s">
        <v>2019</v>
      </c>
      <c r="F140" s="7"/>
      <c r="G140" s="7" t="s">
        <v>2214</v>
      </c>
      <c r="H140" s="11" t="n">
        <v>99847410</v>
      </c>
      <c r="I140" s="11" t="n">
        <v>115257100</v>
      </c>
      <c r="J140" s="11" t="n">
        <f aca="false">I140-H140</f>
        <v>15409690</v>
      </c>
      <c r="K140" s="9" t="n">
        <f aca="false">ROUND(J140/H140,4)</f>
        <v>0.1543</v>
      </c>
      <c r="L140" s="7" t="s">
        <v>353</v>
      </c>
    </row>
    <row r="141" customFormat="false" ht="15" hidden="false" customHeight="false" outlineLevel="0" collapsed="false">
      <c r="A141" s="7" t="s">
        <v>2237</v>
      </c>
      <c r="B141" s="8" t="n">
        <v>45493</v>
      </c>
      <c r="C141" s="7" t="s">
        <v>49</v>
      </c>
      <c r="D141" s="7" t="s">
        <v>75</v>
      </c>
      <c r="E141" s="7" t="s">
        <v>2014</v>
      </c>
      <c r="F141" s="7" t="s">
        <v>102</v>
      </c>
      <c r="G141" s="7" t="s">
        <v>2116</v>
      </c>
      <c r="H141" s="11" t="n">
        <v>132259084</v>
      </c>
      <c r="I141" s="11" t="n">
        <v>105303172</v>
      </c>
      <c r="J141" s="11" t="n">
        <f aca="false">I141-H141</f>
        <v>-26955912</v>
      </c>
      <c r="K141" s="9" t="n">
        <f aca="false">ROUND(J141/H141,4)</f>
        <v>-0.2038</v>
      </c>
      <c r="L141" s="7" t="s">
        <v>359</v>
      </c>
    </row>
    <row r="142" customFormat="false" ht="15" hidden="false" customHeight="false" outlineLevel="0" collapsed="false">
      <c r="A142" s="7" t="s">
        <v>2238</v>
      </c>
      <c r="B142" s="8" t="n">
        <v>45571</v>
      </c>
      <c r="C142" s="7" t="s">
        <v>52</v>
      </c>
      <c r="D142" s="7" t="s">
        <v>68</v>
      </c>
      <c r="E142" s="7" t="s">
        <v>2011</v>
      </c>
      <c r="F142" s="7" t="s">
        <v>102</v>
      </c>
      <c r="G142" s="7" t="s">
        <v>2239</v>
      </c>
      <c r="H142" s="11" t="n">
        <v>157719132</v>
      </c>
      <c r="I142" s="11" t="n">
        <v>143359714</v>
      </c>
      <c r="J142" s="11" t="n">
        <f aca="false">I142-H142</f>
        <v>-14359418</v>
      </c>
      <c r="K142" s="9" t="n">
        <f aca="false">ROUND(J142/H142,4)</f>
        <v>-0.091</v>
      </c>
      <c r="L142" s="7" t="s">
        <v>357</v>
      </c>
    </row>
    <row r="143" customFormat="false" ht="15" hidden="false" customHeight="false" outlineLevel="0" collapsed="false">
      <c r="A143" s="7" t="s">
        <v>2240</v>
      </c>
      <c r="B143" s="8" t="n">
        <v>45874</v>
      </c>
      <c r="C143" s="7" t="s">
        <v>31</v>
      </c>
      <c r="D143" s="7" t="s">
        <v>83</v>
      </c>
      <c r="E143" s="7" t="s">
        <v>2011</v>
      </c>
      <c r="F143" s="7" t="s">
        <v>95</v>
      </c>
      <c r="G143" s="7" t="s">
        <v>2233</v>
      </c>
      <c r="H143" s="11" t="n">
        <v>146784673</v>
      </c>
      <c r="I143" s="11" t="n">
        <v>110188144</v>
      </c>
      <c r="J143" s="11" t="n">
        <f aca="false">I143-H143</f>
        <v>-36596529</v>
      </c>
      <c r="K143" s="9" t="n">
        <f aca="false">ROUND(J143/H143,4)</f>
        <v>-0.2493</v>
      </c>
      <c r="L143" s="7" t="s">
        <v>339</v>
      </c>
    </row>
    <row r="144" customFormat="false" ht="15" hidden="false" customHeight="false" outlineLevel="0" collapsed="false">
      <c r="A144" s="7" t="s">
        <v>2241</v>
      </c>
      <c r="B144" s="8" t="n">
        <v>45908</v>
      </c>
      <c r="C144" s="7" t="s">
        <v>31</v>
      </c>
      <c r="D144" s="7" t="s">
        <v>87</v>
      </c>
      <c r="E144" s="7" t="s">
        <v>2024</v>
      </c>
      <c r="F144" s="7" t="s">
        <v>102</v>
      </c>
      <c r="G144" s="7" t="s">
        <v>2029</v>
      </c>
      <c r="H144" s="11" t="n">
        <v>6503229</v>
      </c>
      <c r="I144" s="11" t="n">
        <v>7152938</v>
      </c>
      <c r="J144" s="11" t="n">
        <f aca="false">I144-H144</f>
        <v>649709</v>
      </c>
      <c r="K144" s="9" t="n">
        <f aca="false">ROUND(J144/H144,4)</f>
        <v>0.0999</v>
      </c>
      <c r="L144" s="7" t="s">
        <v>335</v>
      </c>
    </row>
    <row r="145" customFormat="false" ht="15" hidden="false" customHeight="false" outlineLevel="0" collapsed="false">
      <c r="A145" s="7" t="s">
        <v>2242</v>
      </c>
      <c r="B145" s="8" t="n">
        <v>45362</v>
      </c>
      <c r="C145" s="7" t="s">
        <v>25</v>
      </c>
      <c r="D145" s="7" t="s">
        <v>71</v>
      </c>
      <c r="E145" s="7" t="s">
        <v>2041</v>
      </c>
      <c r="F145" s="7"/>
      <c r="G145" s="7" t="s">
        <v>2243</v>
      </c>
      <c r="H145" s="11" t="n">
        <v>243592475</v>
      </c>
      <c r="I145" s="11" t="n">
        <v>290895875</v>
      </c>
      <c r="J145" s="11" t="n">
        <f aca="false">I145-H145</f>
        <v>47303400</v>
      </c>
      <c r="K145" s="9" t="n">
        <f aca="false">ROUND(J145/H145,4)</f>
        <v>0.1942</v>
      </c>
      <c r="L145" s="7" t="s">
        <v>359</v>
      </c>
    </row>
    <row r="146" customFormat="false" ht="15" hidden="false" customHeight="false" outlineLevel="0" collapsed="false">
      <c r="A146" s="7" t="s">
        <v>2244</v>
      </c>
      <c r="B146" s="8" t="n">
        <v>45998</v>
      </c>
      <c r="C146" s="7" t="s">
        <v>25</v>
      </c>
      <c r="D146" s="7" t="s">
        <v>79</v>
      </c>
      <c r="E146" s="7" t="s">
        <v>2014</v>
      </c>
      <c r="F146" s="7" t="s">
        <v>95</v>
      </c>
      <c r="G146" s="7" t="s">
        <v>2245</v>
      </c>
      <c r="H146" s="11" t="n">
        <v>186361393</v>
      </c>
      <c r="I146" s="11" t="n">
        <v>155215075</v>
      </c>
      <c r="J146" s="11" t="n">
        <f aca="false">I146-H146</f>
        <v>-31146318</v>
      </c>
      <c r="K146" s="9" t="n">
        <f aca="false">ROUND(J146/H146,4)</f>
        <v>-0.1671</v>
      </c>
      <c r="L146" s="7" t="s">
        <v>353</v>
      </c>
    </row>
    <row r="147" customFormat="false" ht="15" hidden="false" customHeight="false" outlineLevel="0" collapsed="false">
      <c r="A147" s="7" t="s">
        <v>2246</v>
      </c>
      <c r="B147" s="8" t="n">
        <v>45514</v>
      </c>
      <c r="C147" s="7" t="s">
        <v>25</v>
      </c>
      <c r="D147" s="7" t="s">
        <v>75</v>
      </c>
      <c r="E147" s="7" t="s">
        <v>2055</v>
      </c>
      <c r="F147" s="7"/>
      <c r="G147" s="7" t="s">
        <v>2080</v>
      </c>
      <c r="H147" s="11" t="n">
        <v>194543435</v>
      </c>
      <c r="I147" s="11" t="n">
        <v>163265592</v>
      </c>
      <c r="J147" s="11" t="n">
        <f aca="false">I147-H147</f>
        <v>-31277843</v>
      </c>
      <c r="K147" s="9" t="n">
        <f aca="false">ROUND(J147/H147,4)</f>
        <v>-0.1608</v>
      </c>
      <c r="L147" s="7" t="s">
        <v>333</v>
      </c>
    </row>
    <row r="148" customFormat="false" ht="15" hidden="false" customHeight="false" outlineLevel="0" collapsed="false">
      <c r="A148" s="7" t="s">
        <v>2247</v>
      </c>
      <c r="B148" s="8" t="n">
        <v>46017</v>
      </c>
      <c r="C148" s="7" t="s">
        <v>31</v>
      </c>
      <c r="D148" s="7" t="s">
        <v>83</v>
      </c>
      <c r="E148" s="7" t="s">
        <v>2055</v>
      </c>
      <c r="F148" s="7"/>
      <c r="G148" s="7" t="s">
        <v>2248</v>
      </c>
      <c r="H148" s="11" t="n">
        <v>103933189</v>
      </c>
      <c r="I148" s="11" t="n">
        <v>111589792</v>
      </c>
      <c r="J148" s="11" t="n">
        <f aca="false">I148-H148</f>
        <v>7656603</v>
      </c>
      <c r="K148" s="9" t="n">
        <f aca="false">ROUND(J148/H148,4)</f>
        <v>0.0737</v>
      </c>
      <c r="L148" s="7" t="s">
        <v>329</v>
      </c>
    </row>
    <row r="149" customFormat="false" ht="15" hidden="false" customHeight="false" outlineLevel="0" collapsed="false">
      <c r="A149" s="7" t="s">
        <v>2249</v>
      </c>
      <c r="B149" s="8" t="n">
        <v>45558</v>
      </c>
      <c r="C149" s="7" t="s">
        <v>34</v>
      </c>
      <c r="D149" s="7" t="s">
        <v>87</v>
      </c>
      <c r="E149" s="7" t="s">
        <v>2024</v>
      </c>
      <c r="F149" s="7" t="s">
        <v>115</v>
      </c>
      <c r="G149" s="7" t="s">
        <v>2235</v>
      </c>
      <c r="H149" s="11" t="n">
        <v>204659966</v>
      </c>
      <c r="I149" s="11" t="n">
        <v>218601442</v>
      </c>
      <c r="J149" s="11" t="n">
        <f aca="false">I149-H149</f>
        <v>13941476</v>
      </c>
      <c r="K149" s="9" t="n">
        <f aca="false">ROUND(J149/H149,4)</f>
        <v>0.0681</v>
      </c>
      <c r="L149" s="7" t="s">
        <v>329</v>
      </c>
    </row>
    <row r="150" customFormat="false" ht="15" hidden="false" customHeight="false" outlineLevel="0" collapsed="false">
      <c r="A150" s="7" t="s">
        <v>2250</v>
      </c>
      <c r="B150" s="8" t="n">
        <v>45525</v>
      </c>
      <c r="C150" s="7" t="s">
        <v>40</v>
      </c>
      <c r="D150" s="7" t="s">
        <v>87</v>
      </c>
      <c r="E150" s="7" t="s">
        <v>2055</v>
      </c>
      <c r="F150" s="7"/>
      <c r="G150" s="7" t="s">
        <v>2080</v>
      </c>
      <c r="H150" s="11" t="n">
        <v>107865299</v>
      </c>
      <c r="I150" s="11" t="n">
        <v>125371162</v>
      </c>
      <c r="J150" s="11" t="n">
        <f aca="false">I150-H150</f>
        <v>17505863</v>
      </c>
      <c r="K150" s="9" t="n">
        <f aca="false">ROUND(J150/H150,4)</f>
        <v>0.1623</v>
      </c>
      <c r="L150" s="7" t="s">
        <v>331</v>
      </c>
    </row>
    <row r="151" customFormat="false" ht="15" hidden="false" customHeight="false" outlineLevel="0" collapsed="false">
      <c r="A151" s="7" t="s">
        <v>2251</v>
      </c>
      <c r="B151" s="8" t="n">
        <v>45929</v>
      </c>
      <c r="C151" s="7" t="s">
        <v>34</v>
      </c>
      <c r="D151" s="7" t="s">
        <v>60</v>
      </c>
      <c r="E151" s="7" t="s">
        <v>2041</v>
      </c>
      <c r="F151" s="7"/>
      <c r="G151" s="7" t="s">
        <v>2252</v>
      </c>
      <c r="H151" s="11" t="n">
        <v>17432832</v>
      </c>
      <c r="I151" s="11" t="n">
        <v>17637408</v>
      </c>
      <c r="J151" s="11" t="n">
        <f aca="false">I151-H151</f>
        <v>204576</v>
      </c>
      <c r="K151" s="9" t="n">
        <f aca="false">ROUND(J151/H151,4)</f>
        <v>0.0117</v>
      </c>
      <c r="L151" s="7" t="s">
        <v>355</v>
      </c>
    </row>
    <row r="152" customFormat="false" ht="15" hidden="false" customHeight="false" outlineLevel="0" collapsed="false">
      <c r="A152" s="7" t="s">
        <v>2253</v>
      </c>
      <c r="B152" s="8" t="n">
        <v>45588</v>
      </c>
      <c r="C152" s="7" t="s">
        <v>43</v>
      </c>
      <c r="D152" s="7" t="s">
        <v>79</v>
      </c>
      <c r="E152" s="7" t="s">
        <v>2055</v>
      </c>
      <c r="F152" s="7"/>
      <c r="G152" s="7" t="s">
        <v>2165</v>
      </c>
      <c r="H152" s="11" t="n">
        <v>86516693</v>
      </c>
      <c r="I152" s="11" t="n">
        <v>89364708</v>
      </c>
      <c r="J152" s="11" t="n">
        <f aca="false">I152-H152</f>
        <v>2848015</v>
      </c>
      <c r="K152" s="9" t="n">
        <f aca="false">ROUND(J152/H152,4)</f>
        <v>0.0329</v>
      </c>
      <c r="L152" s="7" t="s">
        <v>353</v>
      </c>
    </row>
    <row r="153" customFormat="false" ht="15" hidden="false" customHeight="false" outlineLevel="0" collapsed="false">
      <c r="A153" s="7" t="s">
        <v>2254</v>
      </c>
      <c r="B153" s="8" t="n">
        <v>45716</v>
      </c>
      <c r="C153" s="7" t="s">
        <v>25</v>
      </c>
      <c r="D153" s="7" t="s">
        <v>65</v>
      </c>
      <c r="E153" s="7" t="s">
        <v>2011</v>
      </c>
      <c r="F153" s="7" t="s">
        <v>95</v>
      </c>
      <c r="G153" s="7" t="s">
        <v>2058</v>
      </c>
      <c r="H153" s="11" t="n">
        <v>120683237</v>
      </c>
      <c r="I153" s="11" t="n">
        <v>130229190</v>
      </c>
      <c r="J153" s="11" t="n">
        <f aca="false">I153-H153</f>
        <v>9545953</v>
      </c>
      <c r="K153" s="9" t="n">
        <f aca="false">ROUND(J153/H153,4)</f>
        <v>0.0791</v>
      </c>
      <c r="L153" s="7" t="s">
        <v>351</v>
      </c>
    </row>
    <row r="154" customFormat="false" ht="15" hidden="false" customHeight="false" outlineLevel="0" collapsed="false">
      <c r="A154" s="7" t="s">
        <v>2255</v>
      </c>
      <c r="B154" s="8" t="n">
        <v>45869</v>
      </c>
      <c r="C154" s="7" t="s">
        <v>34</v>
      </c>
      <c r="D154" s="7" t="s">
        <v>75</v>
      </c>
      <c r="E154" s="7" t="s">
        <v>2014</v>
      </c>
      <c r="F154" s="7" t="s">
        <v>95</v>
      </c>
      <c r="G154" s="7" t="s">
        <v>2022</v>
      </c>
      <c r="H154" s="11" t="n">
        <v>116880554</v>
      </c>
      <c r="I154" s="11" t="n">
        <v>123979719</v>
      </c>
      <c r="J154" s="11" t="n">
        <f aca="false">I154-H154</f>
        <v>7099165</v>
      </c>
      <c r="K154" s="9" t="n">
        <f aca="false">ROUND(J154/H154,4)</f>
        <v>0.0607</v>
      </c>
      <c r="L154" s="7" t="s">
        <v>353</v>
      </c>
    </row>
    <row r="155" customFormat="false" ht="15" hidden="false" customHeight="false" outlineLevel="0" collapsed="false">
      <c r="A155" s="7" t="s">
        <v>2256</v>
      </c>
      <c r="B155" s="8" t="n">
        <v>45710</v>
      </c>
      <c r="C155" s="7" t="s">
        <v>25</v>
      </c>
      <c r="D155" s="7" t="s">
        <v>87</v>
      </c>
      <c r="E155" s="7" t="s">
        <v>2055</v>
      </c>
      <c r="F155" s="7"/>
      <c r="G155" s="7" t="s">
        <v>2257</v>
      </c>
      <c r="H155" s="11" t="n">
        <v>119858931</v>
      </c>
      <c r="I155" s="11" t="n">
        <v>126639076</v>
      </c>
      <c r="J155" s="11" t="n">
        <f aca="false">I155-H155</f>
        <v>6780145</v>
      </c>
      <c r="K155" s="9" t="n">
        <f aca="false">ROUND(J155/H155,4)</f>
        <v>0.0566</v>
      </c>
      <c r="L155" s="7" t="s">
        <v>349</v>
      </c>
    </row>
    <row r="156" customFormat="false" ht="15" hidden="false" customHeight="false" outlineLevel="0" collapsed="false">
      <c r="A156" s="7" t="s">
        <v>2258</v>
      </c>
      <c r="B156" s="8" t="n">
        <v>45491</v>
      </c>
      <c r="C156" s="7" t="s">
        <v>31</v>
      </c>
      <c r="D156" s="7" t="s">
        <v>87</v>
      </c>
      <c r="E156" s="7" t="s">
        <v>2014</v>
      </c>
      <c r="F156" s="7" t="s">
        <v>102</v>
      </c>
      <c r="G156" s="7" t="s">
        <v>2116</v>
      </c>
      <c r="H156" s="11" t="n">
        <v>60821485</v>
      </c>
      <c r="I156" s="11" t="n">
        <v>57404783</v>
      </c>
      <c r="J156" s="11" t="n">
        <f aca="false">I156-H156</f>
        <v>-3416702</v>
      </c>
      <c r="K156" s="9" t="n">
        <f aca="false">ROUND(J156/H156,4)</f>
        <v>-0.0562</v>
      </c>
      <c r="L156" s="7" t="s">
        <v>333</v>
      </c>
    </row>
    <row r="157" customFormat="false" ht="15" hidden="false" customHeight="false" outlineLevel="0" collapsed="false">
      <c r="A157" s="7" t="s">
        <v>2259</v>
      </c>
      <c r="B157" s="8" t="n">
        <v>45801</v>
      </c>
      <c r="C157" s="7" t="s">
        <v>46</v>
      </c>
      <c r="D157" s="7" t="s">
        <v>79</v>
      </c>
      <c r="E157" s="7" t="s">
        <v>2041</v>
      </c>
      <c r="F157" s="7"/>
      <c r="G157" s="7" t="s">
        <v>2221</v>
      </c>
      <c r="H157" s="11" t="n">
        <v>22452046</v>
      </c>
      <c r="I157" s="11" t="n">
        <v>24423331</v>
      </c>
      <c r="J157" s="11" t="n">
        <f aca="false">I157-H157</f>
        <v>1971285</v>
      </c>
      <c r="K157" s="9" t="n">
        <f aca="false">ROUND(J157/H157,4)</f>
        <v>0.0878</v>
      </c>
      <c r="L157" s="7" t="s">
        <v>333</v>
      </c>
    </row>
    <row r="158" customFormat="false" ht="15" hidden="false" customHeight="false" outlineLevel="0" collapsed="false">
      <c r="A158" s="7" t="s">
        <v>2260</v>
      </c>
      <c r="B158" s="8" t="n">
        <v>45876</v>
      </c>
      <c r="C158" s="7" t="s">
        <v>25</v>
      </c>
      <c r="D158" s="7" t="s">
        <v>68</v>
      </c>
      <c r="E158" s="7" t="s">
        <v>2011</v>
      </c>
      <c r="F158" s="7" t="s">
        <v>104</v>
      </c>
      <c r="G158" s="7" t="s">
        <v>2233</v>
      </c>
      <c r="H158" s="11" t="n">
        <v>225491276</v>
      </c>
      <c r="I158" s="11" t="n">
        <v>202310057</v>
      </c>
      <c r="J158" s="11" t="n">
        <f aca="false">I158-H158</f>
        <v>-23181219</v>
      </c>
      <c r="K158" s="9" t="n">
        <f aca="false">ROUND(J158/H158,4)</f>
        <v>-0.1028</v>
      </c>
      <c r="L158" s="7" t="s">
        <v>343</v>
      </c>
    </row>
    <row r="159" customFormat="false" ht="15" hidden="false" customHeight="false" outlineLevel="0" collapsed="false">
      <c r="A159" s="7" t="s">
        <v>2261</v>
      </c>
      <c r="B159" s="8" t="n">
        <v>45510</v>
      </c>
      <c r="C159" s="7" t="s">
        <v>46</v>
      </c>
      <c r="D159" s="7" t="s">
        <v>75</v>
      </c>
      <c r="E159" s="7" t="s">
        <v>2011</v>
      </c>
      <c r="F159" s="7" t="s">
        <v>113</v>
      </c>
      <c r="G159" s="7" t="s">
        <v>2262</v>
      </c>
      <c r="H159" s="11" t="n">
        <v>209381621</v>
      </c>
      <c r="I159" s="11" t="n">
        <v>234175964</v>
      </c>
      <c r="J159" s="11" t="n">
        <f aca="false">I159-H159</f>
        <v>24794343</v>
      </c>
      <c r="K159" s="9" t="n">
        <f aca="false">ROUND(J159/H159,4)</f>
        <v>0.1184</v>
      </c>
      <c r="L159" s="7" t="s">
        <v>349</v>
      </c>
    </row>
    <row r="160" customFormat="false" ht="15" hidden="false" customHeight="false" outlineLevel="0" collapsed="false">
      <c r="A160" s="7" t="s">
        <v>2263</v>
      </c>
      <c r="B160" s="8" t="n">
        <v>45617</v>
      </c>
      <c r="C160" s="7" t="s">
        <v>40</v>
      </c>
      <c r="D160" s="7" t="s">
        <v>60</v>
      </c>
      <c r="E160" s="7" t="s">
        <v>2055</v>
      </c>
      <c r="F160" s="7"/>
      <c r="G160" s="7" t="s">
        <v>2060</v>
      </c>
      <c r="H160" s="11" t="n">
        <v>232786329</v>
      </c>
      <c r="I160" s="11" t="n">
        <v>277270818</v>
      </c>
      <c r="J160" s="11" t="n">
        <f aca="false">I160-H160</f>
        <v>44484489</v>
      </c>
      <c r="K160" s="9" t="n">
        <f aca="false">ROUND(J160/H160,4)</f>
        <v>0.1911</v>
      </c>
      <c r="L160" s="7" t="s">
        <v>345</v>
      </c>
    </row>
    <row r="161" customFormat="false" ht="15" hidden="false" customHeight="false" outlineLevel="0" collapsed="false">
      <c r="A161" s="7" t="s">
        <v>2264</v>
      </c>
      <c r="B161" s="8" t="n">
        <v>45757</v>
      </c>
      <c r="C161" s="7" t="s">
        <v>43</v>
      </c>
      <c r="D161" s="7" t="s">
        <v>71</v>
      </c>
      <c r="E161" s="7" t="s">
        <v>2019</v>
      </c>
      <c r="F161" s="7"/>
      <c r="G161" s="7" t="s">
        <v>2151</v>
      </c>
      <c r="H161" s="11" t="n">
        <v>247780995</v>
      </c>
      <c r="I161" s="11" t="n">
        <v>295718651</v>
      </c>
      <c r="J161" s="11" t="n">
        <f aca="false">I161-H161</f>
        <v>47937656</v>
      </c>
      <c r="K161" s="9" t="n">
        <f aca="false">ROUND(J161/H161,4)</f>
        <v>0.1935</v>
      </c>
      <c r="L161" s="7" t="s">
        <v>333</v>
      </c>
    </row>
    <row r="162" customFormat="false" ht="15" hidden="false" customHeight="false" outlineLevel="0" collapsed="false">
      <c r="A162" s="7" t="s">
        <v>2265</v>
      </c>
      <c r="B162" s="8" t="n">
        <v>45777</v>
      </c>
      <c r="C162" s="7" t="s">
        <v>25</v>
      </c>
      <c r="D162" s="7" t="s">
        <v>83</v>
      </c>
      <c r="E162" s="7" t="s">
        <v>2011</v>
      </c>
      <c r="F162" s="7" t="s">
        <v>102</v>
      </c>
      <c r="G162" s="7" t="s">
        <v>2209</v>
      </c>
      <c r="H162" s="11" t="n">
        <v>15715706</v>
      </c>
      <c r="I162" s="11" t="n">
        <v>12606155</v>
      </c>
      <c r="J162" s="11" t="n">
        <f aca="false">I162-H162</f>
        <v>-3109551</v>
      </c>
      <c r="K162" s="9" t="n">
        <f aca="false">ROUND(J162/H162,4)</f>
        <v>-0.1979</v>
      </c>
      <c r="L162" s="7" t="s">
        <v>337</v>
      </c>
    </row>
    <row r="163" customFormat="false" ht="15" hidden="false" customHeight="false" outlineLevel="0" collapsed="false">
      <c r="A163" s="7" t="s">
        <v>2266</v>
      </c>
      <c r="B163" s="8" t="n">
        <v>45454</v>
      </c>
      <c r="C163" s="7" t="s">
        <v>25</v>
      </c>
      <c r="D163" s="7" t="s">
        <v>75</v>
      </c>
      <c r="E163" s="7" t="s">
        <v>2019</v>
      </c>
      <c r="F163" s="7"/>
      <c r="G163" s="7" t="s">
        <v>2112</v>
      </c>
      <c r="H163" s="11" t="n">
        <v>66893816</v>
      </c>
      <c r="I163" s="11" t="n">
        <v>69191217</v>
      </c>
      <c r="J163" s="11" t="n">
        <f aca="false">I163-H163</f>
        <v>2297401</v>
      </c>
      <c r="K163" s="9" t="n">
        <f aca="false">ROUND(J163/H163,4)</f>
        <v>0.0343</v>
      </c>
      <c r="L163" s="7" t="s">
        <v>329</v>
      </c>
    </row>
    <row r="164" customFormat="false" ht="15" hidden="false" customHeight="false" outlineLevel="0" collapsed="false">
      <c r="A164" s="7" t="s">
        <v>2267</v>
      </c>
      <c r="B164" s="8" t="n">
        <v>45931</v>
      </c>
      <c r="C164" s="7" t="s">
        <v>25</v>
      </c>
      <c r="D164" s="7" t="s">
        <v>79</v>
      </c>
      <c r="E164" s="7" t="s">
        <v>2014</v>
      </c>
      <c r="F164" s="7" t="s">
        <v>115</v>
      </c>
      <c r="G164" s="7" t="s">
        <v>2093</v>
      </c>
      <c r="H164" s="11" t="n">
        <v>241079760</v>
      </c>
      <c r="I164" s="11" t="n">
        <v>196265429</v>
      </c>
      <c r="J164" s="11" t="n">
        <f aca="false">I164-H164</f>
        <v>-44814331</v>
      </c>
      <c r="K164" s="9" t="n">
        <f aca="false">ROUND(J164/H164,4)</f>
        <v>-0.1859</v>
      </c>
      <c r="L164" s="7" t="s">
        <v>335</v>
      </c>
    </row>
    <row r="165" customFormat="false" ht="15" hidden="false" customHeight="false" outlineLevel="0" collapsed="false">
      <c r="A165" s="7" t="s">
        <v>2268</v>
      </c>
      <c r="B165" s="8" t="n">
        <v>45388</v>
      </c>
      <c r="C165" s="7" t="s">
        <v>31</v>
      </c>
      <c r="D165" s="7" t="s">
        <v>87</v>
      </c>
      <c r="E165" s="7" t="s">
        <v>2055</v>
      </c>
      <c r="F165" s="7"/>
      <c r="G165" s="7" t="s">
        <v>2269</v>
      </c>
      <c r="H165" s="11" t="n">
        <v>236679294</v>
      </c>
      <c r="I165" s="11" t="n">
        <v>200131155</v>
      </c>
      <c r="J165" s="11" t="n">
        <f aca="false">I165-H165</f>
        <v>-36548139</v>
      </c>
      <c r="K165" s="9" t="n">
        <f aca="false">ROUND(J165/H165,4)</f>
        <v>-0.1544</v>
      </c>
      <c r="L165" s="7" t="s">
        <v>329</v>
      </c>
    </row>
    <row r="166" customFormat="false" ht="15" hidden="false" customHeight="false" outlineLevel="0" collapsed="false">
      <c r="A166" s="7" t="s">
        <v>2270</v>
      </c>
      <c r="B166" s="8" t="n">
        <v>45619</v>
      </c>
      <c r="C166" s="7" t="s">
        <v>31</v>
      </c>
      <c r="D166" s="7" t="s">
        <v>68</v>
      </c>
      <c r="E166" s="7" t="s">
        <v>2014</v>
      </c>
      <c r="F166" s="7" t="s">
        <v>115</v>
      </c>
      <c r="G166" s="7" t="s">
        <v>2015</v>
      </c>
      <c r="H166" s="11" t="n">
        <v>156233887</v>
      </c>
      <c r="I166" s="11" t="n">
        <v>167245447</v>
      </c>
      <c r="J166" s="11" t="n">
        <f aca="false">I166-H166</f>
        <v>11011560</v>
      </c>
      <c r="K166" s="9" t="n">
        <f aca="false">ROUND(J166/H166,4)</f>
        <v>0.0705</v>
      </c>
      <c r="L166" s="7" t="s">
        <v>331</v>
      </c>
    </row>
    <row r="167" customFormat="false" ht="15" hidden="false" customHeight="false" outlineLevel="0" collapsed="false">
      <c r="A167" s="7" t="s">
        <v>2271</v>
      </c>
      <c r="B167" s="8" t="n">
        <v>45634</v>
      </c>
      <c r="C167" s="7" t="s">
        <v>46</v>
      </c>
      <c r="D167" s="7" t="s">
        <v>65</v>
      </c>
      <c r="E167" s="7" t="s">
        <v>2024</v>
      </c>
      <c r="F167" s="7" t="s">
        <v>99</v>
      </c>
      <c r="G167" s="7" t="s">
        <v>2272</v>
      </c>
      <c r="H167" s="11" t="n">
        <v>46463227</v>
      </c>
      <c r="I167" s="11" t="n">
        <v>44795524</v>
      </c>
      <c r="J167" s="11" t="n">
        <f aca="false">I167-H167</f>
        <v>-1667703</v>
      </c>
      <c r="K167" s="9" t="n">
        <f aca="false">ROUND(J167/H167,4)</f>
        <v>-0.0359</v>
      </c>
      <c r="L167" s="7" t="s">
        <v>339</v>
      </c>
    </row>
    <row r="168" customFormat="false" ht="15" hidden="false" customHeight="false" outlineLevel="0" collapsed="false">
      <c r="A168" s="7" t="s">
        <v>2273</v>
      </c>
      <c r="B168" s="8" t="n">
        <v>45333</v>
      </c>
      <c r="C168" s="7" t="s">
        <v>40</v>
      </c>
      <c r="D168" s="7" t="s">
        <v>60</v>
      </c>
      <c r="E168" s="7" t="s">
        <v>2041</v>
      </c>
      <c r="F168" s="7"/>
      <c r="G168" s="7" t="s">
        <v>2062</v>
      </c>
      <c r="H168" s="11" t="n">
        <v>117351055</v>
      </c>
      <c r="I168" s="11" t="n">
        <v>127069105</v>
      </c>
      <c r="J168" s="11" t="n">
        <f aca="false">I168-H168</f>
        <v>9718050</v>
      </c>
      <c r="K168" s="9" t="n">
        <f aca="false">ROUND(J168/H168,4)</f>
        <v>0.0828</v>
      </c>
      <c r="L168" s="7" t="s">
        <v>335</v>
      </c>
    </row>
    <row r="169" customFormat="false" ht="15" hidden="false" customHeight="false" outlineLevel="0" collapsed="false">
      <c r="A169" s="7" t="s">
        <v>2274</v>
      </c>
      <c r="B169" s="8" t="n">
        <v>45962</v>
      </c>
      <c r="C169" s="7" t="s">
        <v>25</v>
      </c>
      <c r="D169" s="7" t="s">
        <v>83</v>
      </c>
      <c r="E169" s="7" t="s">
        <v>2041</v>
      </c>
      <c r="F169" s="7"/>
      <c r="G169" s="7" t="s">
        <v>2230</v>
      </c>
      <c r="H169" s="11" t="n">
        <v>65779953</v>
      </c>
      <c r="I169" s="11" t="n">
        <v>66657084</v>
      </c>
      <c r="J169" s="11" t="n">
        <f aca="false">I169-H169</f>
        <v>877131</v>
      </c>
      <c r="K169" s="9" t="n">
        <f aca="false">ROUND(J169/H169,4)</f>
        <v>0.0133</v>
      </c>
      <c r="L169" s="7" t="s">
        <v>329</v>
      </c>
    </row>
    <row r="170" customFormat="false" ht="15" hidden="false" customHeight="false" outlineLevel="0" collapsed="false">
      <c r="A170" s="7" t="s">
        <v>2275</v>
      </c>
      <c r="B170" s="8" t="n">
        <v>45699</v>
      </c>
      <c r="C170" s="7" t="s">
        <v>31</v>
      </c>
      <c r="D170" s="7" t="s">
        <v>83</v>
      </c>
      <c r="E170" s="7" t="s">
        <v>2055</v>
      </c>
      <c r="F170" s="7"/>
      <c r="G170" s="7" t="s">
        <v>2257</v>
      </c>
      <c r="H170" s="11" t="n">
        <v>46829254</v>
      </c>
      <c r="I170" s="11" t="n">
        <v>55405697</v>
      </c>
      <c r="J170" s="11" t="n">
        <f aca="false">I170-H170</f>
        <v>8576443</v>
      </c>
      <c r="K170" s="9" t="n">
        <f aca="false">ROUND(J170/H170,4)</f>
        <v>0.1831</v>
      </c>
      <c r="L170" s="7" t="s">
        <v>333</v>
      </c>
    </row>
    <row r="171" customFormat="false" ht="15" hidden="false" customHeight="false" outlineLevel="0" collapsed="false">
      <c r="A171" s="7" t="s">
        <v>2276</v>
      </c>
      <c r="B171" s="8" t="n">
        <v>45903</v>
      </c>
      <c r="C171" s="7" t="s">
        <v>25</v>
      </c>
      <c r="D171" s="7" t="s">
        <v>83</v>
      </c>
      <c r="E171" s="7" t="s">
        <v>2041</v>
      </c>
      <c r="F171" s="7"/>
      <c r="G171" s="7" t="s">
        <v>2252</v>
      </c>
      <c r="H171" s="11" t="n">
        <v>149007569</v>
      </c>
      <c r="I171" s="11" t="n">
        <v>147560336</v>
      </c>
      <c r="J171" s="11" t="n">
        <f aca="false">I171-H171</f>
        <v>-1447233</v>
      </c>
      <c r="K171" s="9" t="n">
        <f aca="false">ROUND(J171/H171,4)</f>
        <v>-0.0097</v>
      </c>
      <c r="L171" s="7" t="s">
        <v>341</v>
      </c>
    </row>
    <row r="172" customFormat="false" ht="15" hidden="false" customHeight="false" outlineLevel="0" collapsed="false">
      <c r="A172" s="7" t="s">
        <v>2277</v>
      </c>
      <c r="B172" s="8" t="n">
        <v>45474</v>
      </c>
      <c r="C172" s="7" t="s">
        <v>31</v>
      </c>
      <c r="D172" s="7" t="s">
        <v>87</v>
      </c>
      <c r="E172" s="7" t="s">
        <v>2019</v>
      </c>
      <c r="F172" s="7"/>
      <c r="G172" s="7" t="s">
        <v>2278</v>
      </c>
      <c r="H172" s="11" t="n">
        <v>185462356</v>
      </c>
      <c r="I172" s="11" t="n">
        <v>207224694</v>
      </c>
      <c r="J172" s="11" t="n">
        <f aca="false">I172-H172</f>
        <v>21762338</v>
      </c>
      <c r="K172" s="9" t="n">
        <f aca="false">ROUND(J172/H172,4)</f>
        <v>0.1173</v>
      </c>
      <c r="L172" s="7" t="s">
        <v>339</v>
      </c>
    </row>
    <row r="173" customFormat="false" ht="15" hidden="false" customHeight="false" outlineLevel="0" collapsed="false">
      <c r="A173" s="7" t="s">
        <v>2279</v>
      </c>
      <c r="B173" s="8" t="n">
        <v>45579</v>
      </c>
      <c r="C173" s="7" t="s">
        <v>40</v>
      </c>
      <c r="D173" s="7" t="s">
        <v>79</v>
      </c>
      <c r="E173" s="7" t="s">
        <v>2041</v>
      </c>
      <c r="F173" s="7"/>
      <c r="G173" s="7" t="s">
        <v>2042</v>
      </c>
      <c r="H173" s="11" t="n">
        <v>200987528</v>
      </c>
      <c r="I173" s="11" t="n">
        <v>224047972</v>
      </c>
      <c r="J173" s="11" t="n">
        <f aca="false">I173-H173</f>
        <v>23060444</v>
      </c>
      <c r="K173" s="9" t="n">
        <f aca="false">ROUND(J173/H173,4)</f>
        <v>0.1147</v>
      </c>
      <c r="L173" s="7" t="s">
        <v>345</v>
      </c>
    </row>
    <row r="174" customFormat="false" ht="15" hidden="false" customHeight="false" outlineLevel="0" collapsed="false">
      <c r="A174" s="7" t="s">
        <v>2280</v>
      </c>
      <c r="B174" s="8" t="n">
        <v>45802</v>
      </c>
      <c r="C174" s="7" t="s">
        <v>31</v>
      </c>
      <c r="D174" s="7" t="s">
        <v>79</v>
      </c>
      <c r="E174" s="7" t="s">
        <v>2011</v>
      </c>
      <c r="F174" s="7" t="s">
        <v>99</v>
      </c>
      <c r="G174" s="7" t="s">
        <v>2067</v>
      </c>
      <c r="H174" s="11" t="n">
        <v>130741226</v>
      </c>
      <c r="I174" s="11" t="n">
        <v>144420332</v>
      </c>
      <c r="J174" s="11" t="n">
        <f aca="false">I174-H174</f>
        <v>13679106</v>
      </c>
      <c r="K174" s="9" t="n">
        <f aca="false">ROUND(J174/H174,4)</f>
        <v>0.1046</v>
      </c>
      <c r="L174" s="7" t="s">
        <v>353</v>
      </c>
    </row>
    <row r="175" customFormat="false" ht="15" hidden="false" customHeight="false" outlineLevel="0" collapsed="false">
      <c r="A175" s="7" t="s">
        <v>2281</v>
      </c>
      <c r="B175" s="8" t="n">
        <v>45947</v>
      </c>
      <c r="C175" s="7" t="s">
        <v>34</v>
      </c>
      <c r="D175" s="7" t="s">
        <v>79</v>
      </c>
      <c r="E175" s="7" t="s">
        <v>2019</v>
      </c>
      <c r="F175" s="7"/>
      <c r="G175" s="7" t="s">
        <v>2282</v>
      </c>
      <c r="H175" s="11" t="n">
        <v>143635528</v>
      </c>
      <c r="I175" s="11" t="n">
        <v>155742097</v>
      </c>
      <c r="J175" s="11" t="n">
        <f aca="false">I175-H175</f>
        <v>12106569</v>
      </c>
      <c r="K175" s="9" t="n">
        <f aca="false">ROUND(J175/H175,4)</f>
        <v>0.0843</v>
      </c>
      <c r="L175" s="7" t="s">
        <v>339</v>
      </c>
    </row>
    <row r="176" customFormat="false" ht="15" hidden="false" customHeight="false" outlineLevel="0" collapsed="false">
      <c r="A176" s="7" t="s">
        <v>2283</v>
      </c>
      <c r="B176" s="8" t="n">
        <v>45968</v>
      </c>
      <c r="C176" s="7" t="s">
        <v>31</v>
      </c>
      <c r="D176" s="7" t="s">
        <v>87</v>
      </c>
      <c r="E176" s="7" t="s">
        <v>2014</v>
      </c>
      <c r="F176" s="7" t="s">
        <v>102</v>
      </c>
      <c r="G176" s="7" t="s">
        <v>2284</v>
      </c>
      <c r="H176" s="11" t="n">
        <v>7233508</v>
      </c>
      <c r="I176" s="11" t="n">
        <v>6918852</v>
      </c>
      <c r="J176" s="11" t="n">
        <f aca="false">I176-H176</f>
        <v>-314656</v>
      </c>
      <c r="K176" s="9" t="n">
        <f aca="false">ROUND(J176/H176,4)</f>
        <v>-0.0435</v>
      </c>
      <c r="L176" s="7" t="s">
        <v>349</v>
      </c>
    </row>
    <row r="177" customFormat="false" ht="15" hidden="false" customHeight="false" outlineLevel="0" collapsed="false">
      <c r="A177" s="7" t="s">
        <v>2285</v>
      </c>
      <c r="B177" s="8" t="n">
        <v>45650</v>
      </c>
      <c r="C177" s="7" t="s">
        <v>52</v>
      </c>
      <c r="D177" s="7" t="s">
        <v>65</v>
      </c>
      <c r="E177" s="7" t="s">
        <v>2019</v>
      </c>
      <c r="F177" s="7"/>
      <c r="G177" s="7" t="s">
        <v>2031</v>
      </c>
      <c r="H177" s="11" t="n">
        <v>230380623</v>
      </c>
      <c r="I177" s="11" t="n">
        <v>173304649</v>
      </c>
      <c r="J177" s="11" t="n">
        <f aca="false">I177-H177</f>
        <v>-57075974</v>
      </c>
      <c r="K177" s="9" t="n">
        <f aca="false">ROUND(J177/H177,4)</f>
        <v>-0.2477</v>
      </c>
      <c r="L177" s="7" t="s">
        <v>333</v>
      </c>
    </row>
    <row r="178" customFormat="false" ht="15" hidden="false" customHeight="false" outlineLevel="0" collapsed="false">
      <c r="A178" s="7" t="s">
        <v>2286</v>
      </c>
      <c r="B178" s="8" t="n">
        <v>45724</v>
      </c>
      <c r="C178" s="7" t="s">
        <v>34</v>
      </c>
      <c r="D178" s="7" t="s">
        <v>71</v>
      </c>
      <c r="E178" s="7" t="s">
        <v>2024</v>
      </c>
      <c r="F178" s="7" t="s">
        <v>106</v>
      </c>
      <c r="G178" s="7" t="s">
        <v>2037</v>
      </c>
      <c r="H178" s="11" t="n">
        <v>151755805</v>
      </c>
      <c r="I178" s="11" t="n">
        <v>147348636</v>
      </c>
      <c r="J178" s="11" t="n">
        <f aca="false">I178-H178</f>
        <v>-4407169</v>
      </c>
      <c r="K178" s="9" t="n">
        <f aca="false">ROUND(J178/H178,4)</f>
        <v>-0.029</v>
      </c>
      <c r="L178" s="7" t="s">
        <v>335</v>
      </c>
    </row>
    <row r="179" customFormat="false" ht="15" hidden="false" customHeight="false" outlineLevel="0" collapsed="false">
      <c r="A179" s="7" t="s">
        <v>2287</v>
      </c>
      <c r="B179" s="8" t="n">
        <v>45903</v>
      </c>
      <c r="C179" s="7" t="s">
        <v>40</v>
      </c>
      <c r="D179" s="7" t="s">
        <v>79</v>
      </c>
      <c r="E179" s="7" t="s">
        <v>2019</v>
      </c>
      <c r="F179" s="7"/>
      <c r="G179" s="7" t="s">
        <v>2076</v>
      </c>
      <c r="H179" s="11" t="n">
        <v>5469763</v>
      </c>
      <c r="I179" s="11" t="n">
        <v>5155236</v>
      </c>
      <c r="J179" s="11" t="n">
        <f aca="false">I179-H179</f>
        <v>-314527</v>
      </c>
      <c r="K179" s="9" t="n">
        <f aca="false">ROUND(J179/H179,4)</f>
        <v>-0.0575</v>
      </c>
      <c r="L179" s="7" t="s">
        <v>345</v>
      </c>
    </row>
    <row r="180" customFormat="false" ht="15" hidden="false" customHeight="false" outlineLevel="0" collapsed="false">
      <c r="A180" s="7" t="s">
        <v>2288</v>
      </c>
      <c r="B180" s="8" t="n">
        <v>45667</v>
      </c>
      <c r="C180" s="7" t="s">
        <v>40</v>
      </c>
      <c r="D180" s="7" t="s">
        <v>71</v>
      </c>
      <c r="E180" s="7" t="s">
        <v>2024</v>
      </c>
      <c r="F180" s="7" t="s">
        <v>115</v>
      </c>
      <c r="G180" s="7" t="s">
        <v>2289</v>
      </c>
      <c r="H180" s="11" t="n">
        <v>162510431</v>
      </c>
      <c r="I180" s="11" t="n">
        <v>132840149</v>
      </c>
      <c r="J180" s="11" t="n">
        <f aca="false">I180-H180</f>
        <v>-29670282</v>
      </c>
      <c r="K180" s="9" t="n">
        <f aca="false">ROUND(J180/H180,4)</f>
        <v>-0.1826</v>
      </c>
      <c r="L180" s="7" t="s">
        <v>349</v>
      </c>
    </row>
    <row r="181" customFormat="false" ht="15" hidden="false" customHeight="false" outlineLevel="0" collapsed="false">
      <c r="A181" s="7" t="s">
        <v>2290</v>
      </c>
      <c r="B181" s="8" t="n">
        <v>45600</v>
      </c>
      <c r="C181" s="7" t="s">
        <v>49</v>
      </c>
      <c r="D181" s="7" t="s">
        <v>71</v>
      </c>
      <c r="E181" s="7" t="s">
        <v>2024</v>
      </c>
      <c r="F181" s="7" t="s">
        <v>109</v>
      </c>
      <c r="G181" s="7" t="s">
        <v>2291</v>
      </c>
      <c r="H181" s="11" t="n">
        <v>90043114</v>
      </c>
      <c r="I181" s="11" t="n">
        <v>68137617</v>
      </c>
      <c r="J181" s="11" t="n">
        <f aca="false">I181-H181</f>
        <v>-21905497</v>
      </c>
      <c r="K181" s="9" t="n">
        <f aca="false">ROUND(J181/H181,4)</f>
        <v>-0.2433</v>
      </c>
      <c r="L181" s="7" t="s">
        <v>331</v>
      </c>
    </row>
    <row r="182" customFormat="false" ht="15" hidden="false" customHeight="false" outlineLevel="0" collapsed="false">
      <c r="A182" s="7" t="s">
        <v>2292</v>
      </c>
      <c r="B182" s="8" t="n">
        <v>45487</v>
      </c>
      <c r="C182" s="7" t="s">
        <v>31</v>
      </c>
      <c r="D182" s="7" t="s">
        <v>75</v>
      </c>
      <c r="E182" s="7" t="s">
        <v>2011</v>
      </c>
      <c r="F182" s="7" t="s">
        <v>95</v>
      </c>
      <c r="G182" s="7" t="s">
        <v>2293</v>
      </c>
      <c r="H182" s="11" t="n">
        <v>191242588</v>
      </c>
      <c r="I182" s="11" t="n">
        <v>168888086</v>
      </c>
      <c r="J182" s="11" t="n">
        <f aca="false">I182-H182</f>
        <v>-22354502</v>
      </c>
      <c r="K182" s="9" t="n">
        <f aca="false">ROUND(J182/H182,4)</f>
        <v>-0.1169</v>
      </c>
      <c r="L182" s="7" t="s">
        <v>357</v>
      </c>
    </row>
    <row r="183" customFormat="false" ht="15" hidden="false" customHeight="false" outlineLevel="0" collapsed="false">
      <c r="A183" s="7" t="s">
        <v>2294</v>
      </c>
      <c r="B183" s="8" t="n">
        <v>45770</v>
      </c>
      <c r="C183" s="7" t="s">
        <v>34</v>
      </c>
      <c r="D183" s="7" t="s">
        <v>75</v>
      </c>
      <c r="E183" s="7" t="s">
        <v>2011</v>
      </c>
      <c r="F183" s="7" t="s">
        <v>113</v>
      </c>
      <c r="G183" s="7" t="s">
        <v>2209</v>
      </c>
      <c r="H183" s="11" t="n">
        <v>87901660</v>
      </c>
      <c r="I183" s="11" t="n">
        <v>101545858</v>
      </c>
      <c r="J183" s="11" t="n">
        <f aca="false">I183-H183</f>
        <v>13644198</v>
      </c>
      <c r="K183" s="9" t="n">
        <f aca="false">ROUND(J183/H183,4)</f>
        <v>0.1552</v>
      </c>
      <c r="L183" s="7" t="s">
        <v>335</v>
      </c>
    </row>
    <row r="184" customFormat="false" ht="15" hidden="false" customHeight="false" outlineLevel="0" collapsed="false">
      <c r="A184" s="7" t="s">
        <v>2295</v>
      </c>
      <c r="B184" s="8" t="n">
        <v>45727</v>
      </c>
      <c r="C184" s="7" t="s">
        <v>37</v>
      </c>
      <c r="D184" s="7" t="s">
        <v>79</v>
      </c>
      <c r="E184" s="7" t="s">
        <v>2024</v>
      </c>
      <c r="F184" s="7" t="s">
        <v>104</v>
      </c>
      <c r="G184" s="7" t="s">
        <v>2037</v>
      </c>
      <c r="H184" s="11" t="n">
        <v>132023047</v>
      </c>
      <c r="I184" s="11" t="n">
        <v>149561624</v>
      </c>
      <c r="J184" s="11" t="n">
        <f aca="false">I184-H184</f>
        <v>17538577</v>
      </c>
      <c r="K184" s="9" t="n">
        <f aca="false">ROUND(J184/H184,4)</f>
        <v>0.1328</v>
      </c>
      <c r="L184" s="7" t="s">
        <v>351</v>
      </c>
    </row>
    <row r="185" customFormat="false" ht="15" hidden="false" customHeight="false" outlineLevel="0" collapsed="false">
      <c r="A185" s="7" t="s">
        <v>2296</v>
      </c>
      <c r="B185" s="8" t="n">
        <v>45885</v>
      </c>
      <c r="C185" s="7" t="s">
        <v>25</v>
      </c>
      <c r="D185" s="7" t="s">
        <v>65</v>
      </c>
      <c r="E185" s="7" t="s">
        <v>2011</v>
      </c>
      <c r="F185" s="7" t="s">
        <v>104</v>
      </c>
      <c r="G185" s="7" t="s">
        <v>2233</v>
      </c>
      <c r="H185" s="11" t="n">
        <v>182036360</v>
      </c>
      <c r="I185" s="11" t="n">
        <v>153132554</v>
      </c>
      <c r="J185" s="11" t="n">
        <f aca="false">I185-H185</f>
        <v>-28903806</v>
      </c>
      <c r="K185" s="9" t="n">
        <f aca="false">ROUND(J185/H185,4)</f>
        <v>-0.1588</v>
      </c>
      <c r="L185" s="7" t="s">
        <v>349</v>
      </c>
    </row>
    <row r="186" customFormat="false" ht="15" hidden="false" customHeight="false" outlineLevel="0" collapsed="false">
      <c r="A186" s="7" t="s">
        <v>2297</v>
      </c>
      <c r="B186" s="8" t="n">
        <v>45408</v>
      </c>
      <c r="C186" s="7" t="s">
        <v>40</v>
      </c>
      <c r="D186" s="7" t="s">
        <v>71</v>
      </c>
      <c r="E186" s="7" t="s">
        <v>2024</v>
      </c>
      <c r="F186" s="7" t="s">
        <v>104</v>
      </c>
      <c r="G186" s="7" t="s">
        <v>2155</v>
      </c>
      <c r="H186" s="11" t="n">
        <v>246058960</v>
      </c>
      <c r="I186" s="11" t="n">
        <v>234386637</v>
      </c>
      <c r="J186" s="11" t="n">
        <f aca="false">I186-H186</f>
        <v>-11672323</v>
      </c>
      <c r="K186" s="9" t="n">
        <f aca="false">ROUND(J186/H186,4)</f>
        <v>-0.0474</v>
      </c>
      <c r="L186" s="7" t="s">
        <v>345</v>
      </c>
    </row>
    <row r="187" customFormat="false" ht="15" hidden="false" customHeight="false" outlineLevel="0" collapsed="false">
      <c r="A187" s="7" t="s">
        <v>2298</v>
      </c>
      <c r="B187" s="8" t="n">
        <v>45869</v>
      </c>
      <c r="C187" s="7" t="s">
        <v>40</v>
      </c>
      <c r="D187" s="7" t="s">
        <v>87</v>
      </c>
      <c r="E187" s="7" t="s">
        <v>2019</v>
      </c>
      <c r="F187" s="7"/>
      <c r="G187" s="7" t="s">
        <v>2299</v>
      </c>
      <c r="H187" s="11" t="n">
        <v>111324699</v>
      </c>
      <c r="I187" s="11" t="n">
        <v>119145141</v>
      </c>
      <c r="J187" s="11" t="n">
        <f aca="false">I187-H187</f>
        <v>7820442</v>
      </c>
      <c r="K187" s="9" t="n">
        <f aca="false">ROUND(J187/H187,4)</f>
        <v>0.0702</v>
      </c>
      <c r="L187" s="7" t="s">
        <v>359</v>
      </c>
    </row>
    <row r="188" customFormat="false" ht="15" hidden="false" customHeight="false" outlineLevel="0" collapsed="false">
      <c r="A188" s="7" t="s">
        <v>2300</v>
      </c>
      <c r="B188" s="8" t="n">
        <v>45431</v>
      </c>
      <c r="C188" s="7" t="s">
        <v>40</v>
      </c>
      <c r="D188" s="7" t="s">
        <v>75</v>
      </c>
      <c r="E188" s="7" t="s">
        <v>2011</v>
      </c>
      <c r="F188" s="7" t="s">
        <v>102</v>
      </c>
      <c r="G188" s="7" t="s">
        <v>2039</v>
      </c>
      <c r="H188" s="11" t="n">
        <v>61938826</v>
      </c>
      <c r="I188" s="11" t="n">
        <v>74113785</v>
      </c>
      <c r="J188" s="11" t="n">
        <f aca="false">I188-H188</f>
        <v>12174959</v>
      </c>
      <c r="K188" s="9" t="n">
        <f aca="false">ROUND(J188/H188,4)</f>
        <v>0.1966</v>
      </c>
      <c r="L188" s="7" t="s">
        <v>339</v>
      </c>
    </row>
    <row r="189" customFormat="false" ht="15" hidden="false" customHeight="false" outlineLevel="0" collapsed="false">
      <c r="A189" s="7" t="s">
        <v>2301</v>
      </c>
      <c r="B189" s="8" t="n">
        <v>45860</v>
      </c>
      <c r="C189" s="7" t="s">
        <v>25</v>
      </c>
      <c r="D189" s="7" t="s">
        <v>68</v>
      </c>
      <c r="E189" s="7" t="s">
        <v>2014</v>
      </c>
      <c r="F189" s="7" t="s">
        <v>109</v>
      </c>
      <c r="G189" s="7" t="s">
        <v>2022</v>
      </c>
      <c r="H189" s="11" t="n">
        <v>244475066</v>
      </c>
      <c r="I189" s="11" t="n">
        <v>229426055</v>
      </c>
      <c r="J189" s="11" t="n">
        <f aca="false">I189-H189</f>
        <v>-15049011</v>
      </c>
      <c r="K189" s="9" t="n">
        <f aca="false">ROUND(J189/H189,4)</f>
        <v>-0.0616</v>
      </c>
      <c r="L189" s="7" t="s">
        <v>339</v>
      </c>
    </row>
    <row r="190" customFormat="false" ht="15" hidden="false" customHeight="false" outlineLevel="0" collapsed="false">
      <c r="A190" s="7" t="s">
        <v>2302</v>
      </c>
      <c r="B190" s="8" t="n">
        <v>45997</v>
      </c>
      <c r="C190" s="7" t="s">
        <v>43</v>
      </c>
      <c r="D190" s="7" t="s">
        <v>83</v>
      </c>
      <c r="E190" s="7" t="s">
        <v>2011</v>
      </c>
      <c r="F190" s="7" t="s">
        <v>106</v>
      </c>
      <c r="G190" s="7" t="s">
        <v>2303</v>
      </c>
      <c r="H190" s="11" t="n">
        <v>222214120</v>
      </c>
      <c r="I190" s="11" t="n">
        <v>190622256</v>
      </c>
      <c r="J190" s="11" t="n">
        <f aca="false">I190-H190</f>
        <v>-31591864</v>
      </c>
      <c r="K190" s="9" t="n">
        <f aca="false">ROUND(J190/H190,4)</f>
        <v>-0.1422</v>
      </c>
      <c r="L190" s="7" t="s">
        <v>349</v>
      </c>
    </row>
    <row r="191" customFormat="false" ht="15" hidden="false" customHeight="false" outlineLevel="0" collapsed="false">
      <c r="A191" s="7" t="s">
        <v>2304</v>
      </c>
      <c r="B191" s="8" t="n">
        <v>45892</v>
      </c>
      <c r="C191" s="7" t="s">
        <v>46</v>
      </c>
      <c r="D191" s="7" t="s">
        <v>87</v>
      </c>
      <c r="E191" s="7" t="s">
        <v>2011</v>
      </c>
      <c r="F191" s="7" t="s">
        <v>115</v>
      </c>
      <c r="G191" s="7" t="s">
        <v>2233</v>
      </c>
      <c r="H191" s="11" t="n">
        <v>43743919</v>
      </c>
      <c r="I191" s="11" t="n">
        <v>50875718</v>
      </c>
      <c r="J191" s="11" t="n">
        <f aca="false">I191-H191</f>
        <v>7131799</v>
      </c>
      <c r="K191" s="9" t="n">
        <f aca="false">ROUND(J191/H191,4)</f>
        <v>0.163</v>
      </c>
      <c r="L191" s="7" t="s">
        <v>331</v>
      </c>
    </row>
    <row r="192" customFormat="false" ht="15" hidden="false" customHeight="false" outlineLevel="0" collapsed="false">
      <c r="A192" s="7" t="s">
        <v>2305</v>
      </c>
      <c r="B192" s="8" t="n">
        <v>45922</v>
      </c>
      <c r="C192" s="7" t="s">
        <v>43</v>
      </c>
      <c r="D192" s="7" t="s">
        <v>65</v>
      </c>
      <c r="E192" s="7" t="s">
        <v>2011</v>
      </c>
      <c r="F192" s="7" t="s">
        <v>104</v>
      </c>
      <c r="G192" s="7" t="s">
        <v>2306</v>
      </c>
      <c r="H192" s="11" t="n">
        <v>161785666</v>
      </c>
      <c r="I192" s="11" t="n">
        <v>141548155</v>
      </c>
      <c r="J192" s="11" t="n">
        <f aca="false">I192-H192</f>
        <v>-20237511</v>
      </c>
      <c r="K192" s="9" t="n">
        <f aca="false">ROUND(J192/H192,4)</f>
        <v>-0.1251</v>
      </c>
      <c r="L192" s="7" t="s">
        <v>333</v>
      </c>
    </row>
    <row r="193" customFormat="false" ht="15" hidden="false" customHeight="false" outlineLevel="0" collapsed="false">
      <c r="A193" s="7" t="s">
        <v>2307</v>
      </c>
      <c r="B193" s="8" t="n">
        <v>45989</v>
      </c>
      <c r="C193" s="7" t="s">
        <v>37</v>
      </c>
      <c r="D193" s="7" t="s">
        <v>83</v>
      </c>
      <c r="E193" s="7" t="s">
        <v>2014</v>
      </c>
      <c r="F193" s="7" t="s">
        <v>99</v>
      </c>
      <c r="G193" s="7" t="s">
        <v>2284</v>
      </c>
      <c r="H193" s="11" t="n">
        <v>232223966</v>
      </c>
      <c r="I193" s="11" t="n">
        <v>193478001</v>
      </c>
      <c r="J193" s="11" t="n">
        <f aca="false">I193-H193</f>
        <v>-38745965</v>
      </c>
      <c r="K193" s="9" t="n">
        <f aca="false">ROUND(J193/H193,4)</f>
        <v>-0.1668</v>
      </c>
      <c r="L193" s="7" t="s">
        <v>359</v>
      </c>
    </row>
    <row r="194" customFormat="false" ht="15" hidden="false" customHeight="false" outlineLevel="0" collapsed="false">
      <c r="A194" s="7" t="s">
        <v>2308</v>
      </c>
      <c r="B194" s="8" t="n">
        <v>45424</v>
      </c>
      <c r="C194" s="7" t="s">
        <v>43</v>
      </c>
      <c r="D194" s="7" t="s">
        <v>71</v>
      </c>
      <c r="E194" s="7" t="s">
        <v>2019</v>
      </c>
      <c r="F194" s="7"/>
      <c r="G194" s="7" t="s">
        <v>2309</v>
      </c>
      <c r="H194" s="11" t="n">
        <v>9311806</v>
      </c>
      <c r="I194" s="11" t="n">
        <v>8180251</v>
      </c>
      <c r="J194" s="11" t="n">
        <f aca="false">I194-H194</f>
        <v>-1131555</v>
      </c>
      <c r="K194" s="9" t="n">
        <f aca="false">ROUND(J194/H194,4)</f>
        <v>-0.1215</v>
      </c>
      <c r="L194" s="7" t="s">
        <v>359</v>
      </c>
    </row>
    <row r="195" customFormat="false" ht="15" hidden="false" customHeight="false" outlineLevel="0" collapsed="false">
      <c r="A195" s="7" t="s">
        <v>2310</v>
      </c>
      <c r="B195" s="8" t="n">
        <v>45542</v>
      </c>
      <c r="C195" s="7" t="s">
        <v>52</v>
      </c>
      <c r="D195" s="7" t="s">
        <v>83</v>
      </c>
      <c r="E195" s="7" t="s">
        <v>2041</v>
      </c>
      <c r="F195" s="7"/>
      <c r="G195" s="7" t="s">
        <v>2311</v>
      </c>
      <c r="H195" s="11" t="n">
        <v>105433745</v>
      </c>
      <c r="I195" s="11" t="n">
        <v>96629694</v>
      </c>
      <c r="J195" s="11" t="n">
        <f aca="false">I195-H195</f>
        <v>-8804051</v>
      </c>
      <c r="K195" s="9" t="n">
        <f aca="false">ROUND(J195/H195,4)</f>
        <v>-0.0835</v>
      </c>
      <c r="L195" s="7" t="s">
        <v>337</v>
      </c>
    </row>
    <row r="196" customFormat="false" ht="15" hidden="false" customHeight="false" outlineLevel="0" collapsed="false">
      <c r="A196" s="7" t="s">
        <v>2312</v>
      </c>
      <c r="B196" s="8" t="n">
        <v>45346</v>
      </c>
      <c r="C196" s="7" t="s">
        <v>40</v>
      </c>
      <c r="D196" s="7" t="s">
        <v>79</v>
      </c>
      <c r="E196" s="7" t="s">
        <v>2055</v>
      </c>
      <c r="F196" s="7"/>
      <c r="G196" s="7" t="s">
        <v>2191</v>
      </c>
      <c r="H196" s="11" t="n">
        <v>170958632</v>
      </c>
      <c r="I196" s="11" t="n">
        <v>128637034</v>
      </c>
      <c r="J196" s="11" t="n">
        <f aca="false">I196-H196</f>
        <v>-42321598</v>
      </c>
      <c r="K196" s="9" t="n">
        <f aca="false">ROUND(J196/H196,4)</f>
        <v>-0.2476</v>
      </c>
      <c r="L196" s="7" t="s">
        <v>331</v>
      </c>
    </row>
    <row r="197" customFormat="false" ht="15" hidden="false" customHeight="false" outlineLevel="0" collapsed="false">
      <c r="A197" s="7" t="s">
        <v>2313</v>
      </c>
      <c r="B197" s="8" t="n">
        <v>45606</v>
      </c>
      <c r="C197" s="7" t="s">
        <v>49</v>
      </c>
      <c r="D197" s="7" t="s">
        <v>65</v>
      </c>
      <c r="E197" s="7" t="s">
        <v>2014</v>
      </c>
      <c r="F197" s="7" t="s">
        <v>102</v>
      </c>
      <c r="G197" s="7" t="s">
        <v>2015</v>
      </c>
      <c r="H197" s="11" t="n">
        <v>126989321</v>
      </c>
      <c r="I197" s="11" t="n">
        <v>140702595</v>
      </c>
      <c r="J197" s="11" t="n">
        <f aca="false">I197-H197</f>
        <v>13713274</v>
      </c>
      <c r="K197" s="9" t="n">
        <f aca="false">ROUND(J197/H197,4)</f>
        <v>0.108</v>
      </c>
      <c r="L197" s="7" t="s">
        <v>347</v>
      </c>
    </row>
    <row r="198" customFormat="false" ht="15" hidden="false" customHeight="false" outlineLevel="0" collapsed="false">
      <c r="A198" s="7" t="s">
        <v>2314</v>
      </c>
      <c r="B198" s="8" t="n">
        <v>45892</v>
      </c>
      <c r="C198" s="7" t="s">
        <v>52</v>
      </c>
      <c r="D198" s="7" t="s">
        <v>83</v>
      </c>
      <c r="E198" s="7" t="s">
        <v>2024</v>
      </c>
      <c r="F198" s="7" t="s">
        <v>106</v>
      </c>
      <c r="G198" s="7" t="s">
        <v>2174</v>
      </c>
      <c r="H198" s="11" t="n">
        <v>78625722</v>
      </c>
      <c r="I198" s="11" t="n">
        <v>68167911</v>
      </c>
      <c r="J198" s="11" t="n">
        <f aca="false">I198-H198</f>
        <v>-10457811</v>
      </c>
      <c r="K198" s="9" t="n">
        <f aca="false">ROUND(J198/H198,4)</f>
        <v>-0.133</v>
      </c>
      <c r="L198" s="7" t="s">
        <v>345</v>
      </c>
    </row>
    <row r="199" customFormat="false" ht="15" hidden="false" customHeight="false" outlineLevel="0" collapsed="false">
      <c r="A199" s="7" t="s">
        <v>2315</v>
      </c>
      <c r="B199" s="8" t="n">
        <v>45493</v>
      </c>
      <c r="C199" s="7" t="s">
        <v>49</v>
      </c>
      <c r="D199" s="7" t="s">
        <v>87</v>
      </c>
      <c r="E199" s="7" t="s">
        <v>2019</v>
      </c>
      <c r="F199" s="7"/>
      <c r="G199" s="7" t="s">
        <v>2278</v>
      </c>
      <c r="H199" s="11" t="n">
        <v>241055381</v>
      </c>
      <c r="I199" s="11" t="n">
        <v>260049703</v>
      </c>
      <c r="J199" s="11" t="n">
        <f aca="false">I199-H199</f>
        <v>18994322</v>
      </c>
      <c r="K199" s="9" t="n">
        <f aca="false">ROUND(J199/H199,4)</f>
        <v>0.0788</v>
      </c>
      <c r="L199" s="7" t="s">
        <v>355</v>
      </c>
    </row>
    <row r="200" customFormat="false" ht="15" hidden="false" customHeight="false" outlineLevel="0" collapsed="false">
      <c r="A200" s="7" t="s">
        <v>2316</v>
      </c>
      <c r="B200" s="8" t="n">
        <v>45306</v>
      </c>
      <c r="C200" s="7" t="s">
        <v>46</v>
      </c>
      <c r="D200" s="7" t="s">
        <v>68</v>
      </c>
      <c r="E200" s="7" t="s">
        <v>2041</v>
      </c>
      <c r="F200" s="7"/>
      <c r="G200" s="7" t="s">
        <v>2317</v>
      </c>
      <c r="H200" s="11" t="n">
        <v>99028479</v>
      </c>
      <c r="I200" s="11" t="n">
        <v>101178667</v>
      </c>
      <c r="J200" s="11" t="n">
        <f aca="false">I200-H200</f>
        <v>2150188</v>
      </c>
      <c r="K200" s="9" t="n">
        <f aca="false">ROUND(J200/H200,4)</f>
        <v>0.0217</v>
      </c>
      <c r="L200" s="7" t="s">
        <v>359</v>
      </c>
    </row>
    <row r="201" customFormat="false" ht="15" hidden="false" customHeight="false" outlineLevel="0" collapsed="false">
      <c r="A201" s="7" t="s">
        <v>2318</v>
      </c>
      <c r="B201" s="8" t="n">
        <v>45887</v>
      </c>
      <c r="C201" s="7" t="s">
        <v>37</v>
      </c>
      <c r="D201" s="7" t="s">
        <v>60</v>
      </c>
      <c r="E201" s="7" t="s">
        <v>2024</v>
      </c>
      <c r="F201" s="7" t="s">
        <v>115</v>
      </c>
      <c r="G201" s="7" t="s">
        <v>2174</v>
      </c>
      <c r="H201" s="11" t="n">
        <v>61791151</v>
      </c>
      <c r="I201" s="11" t="n">
        <v>50967907</v>
      </c>
      <c r="J201" s="11" t="n">
        <f aca="false">I201-H201</f>
        <v>-10823244</v>
      </c>
      <c r="K201" s="9" t="n">
        <f aca="false">ROUND(J201/H201,4)</f>
        <v>-0.1752</v>
      </c>
      <c r="L201" s="7" t="s">
        <v>331</v>
      </c>
    </row>
    <row r="202" customFormat="false" ht="15" hidden="false" customHeight="false" outlineLevel="0" collapsed="false">
      <c r="A202" s="7" t="s">
        <v>2319</v>
      </c>
      <c r="B202" s="8" t="n">
        <v>45651</v>
      </c>
      <c r="C202" s="7" t="s">
        <v>37</v>
      </c>
      <c r="D202" s="7" t="s">
        <v>71</v>
      </c>
      <c r="E202" s="7" t="s">
        <v>2041</v>
      </c>
      <c r="F202" s="7"/>
      <c r="G202" s="7" t="s">
        <v>2320</v>
      </c>
      <c r="H202" s="11" t="n">
        <v>223857323</v>
      </c>
      <c r="I202" s="11" t="n">
        <v>195983309</v>
      </c>
      <c r="J202" s="11" t="n">
        <f aca="false">I202-H202</f>
        <v>-27874014</v>
      </c>
      <c r="K202" s="9" t="n">
        <f aca="false">ROUND(J202/H202,4)</f>
        <v>-0.1245</v>
      </c>
      <c r="L202" s="7" t="s">
        <v>331</v>
      </c>
    </row>
    <row r="203" customFormat="false" ht="15" hidden="false" customHeight="false" outlineLevel="0" collapsed="false">
      <c r="A203" s="7" t="s">
        <v>2321</v>
      </c>
      <c r="B203" s="8" t="n">
        <v>45528</v>
      </c>
      <c r="C203" s="7" t="s">
        <v>25</v>
      </c>
      <c r="D203" s="7" t="s">
        <v>60</v>
      </c>
      <c r="E203" s="7" t="s">
        <v>2024</v>
      </c>
      <c r="F203" s="7" t="s">
        <v>113</v>
      </c>
      <c r="G203" s="7" t="s">
        <v>2097</v>
      </c>
      <c r="H203" s="11" t="n">
        <v>5525017</v>
      </c>
      <c r="I203" s="11" t="n">
        <v>6202614</v>
      </c>
      <c r="J203" s="11" t="n">
        <f aca="false">I203-H203</f>
        <v>677597</v>
      </c>
      <c r="K203" s="9" t="n">
        <f aca="false">ROUND(J203/H203,4)</f>
        <v>0.1226</v>
      </c>
      <c r="L203" s="7" t="s">
        <v>349</v>
      </c>
    </row>
    <row r="204" customFormat="false" ht="15" hidden="false" customHeight="false" outlineLevel="0" collapsed="false">
      <c r="A204" s="7" t="s">
        <v>2322</v>
      </c>
      <c r="B204" s="8" t="n">
        <v>45966</v>
      </c>
      <c r="C204" s="7" t="s">
        <v>43</v>
      </c>
      <c r="D204" s="7" t="s">
        <v>83</v>
      </c>
      <c r="E204" s="7" t="s">
        <v>2019</v>
      </c>
      <c r="F204" s="7"/>
      <c r="G204" s="7" t="s">
        <v>2323</v>
      </c>
      <c r="H204" s="11" t="n">
        <v>147251612</v>
      </c>
      <c r="I204" s="11" t="n">
        <v>172782762</v>
      </c>
      <c r="J204" s="11" t="n">
        <f aca="false">I204-H204</f>
        <v>25531150</v>
      </c>
      <c r="K204" s="9" t="n">
        <f aca="false">ROUND(J204/H204,4)</f>
        <v>0.1734</v>
      </c>
      <c r="L204" s="7" t="s">
        <v>341</v>
      </c>
    </row>
    <row r="205" customFormat="false" ht="15" hidden="false" customHeight="false" outlineLevel="0" collapsed="false">
      <c r="A205" s="7" t="s">
        <v>2324</v>
      </c>
      <c r="B205" s="8" t="n">
        <v>45708</v>
      </c>
      <c r="C205" s="7" t="s">
        <v>46</v>
      </c>
      <c r="D205" s="7" t="s">
        <v>68</v>
      </c>
      <c r="E205" s="7" t="s">
        <v>2011</v>
      </c>
      <c r="F205" s="7" t="s">
        <v>104</v>
      </c>
      <c r="G205" s="7" t="s">
        <v>2058</v>
      </c>
      <c r="H205" s="11" t="n">
        <v>161704701</v>
      </c>
      <c r="I205" s="11" t="n">
        <v>189452518</v>
      </c>
      <c r="J205" s="11" t="n">
        <f aca="false">I205-H205</f>
        <v>27747817</v>
      </c>
      <c r="K205" s="9" t="n">
        <f aca="false">ROUND(J205/H205,4)</f>
        <v>0.1716</v>
      </c>
      <c r="L205" s="7" t="s">
        <v>329</v>
      </c>
    </row>
    <row r="206" customFormat="false" ht="15" hidden="false" customHeight="false" outlineLevel="0" collapsed="false">
      <c r="A206" s="7" t="s">
        <v>2325</v>
      </c>
      <c r="B206" s="8" t="n">
        <v>45385</v>
      </c>
      <c r="C206" s="7" t="s">
        <v>25</v>
      </c>
      <c r="D206" s="7" t="s">
        <v>68</v>
      </c>
      <c r="E206" s="7" t="s">
        <v>2019</v>
      </c>
      <c r="F206" s="7"/>
      <c r="G206" s="7" t="s">
        <v>2134</v>
      </c>
      <c r="H206" s="11" t="n">
        <v>100705485</v>
      </c>
      <c r="I206" s="11" t="n">
        <v>76926999</v>
      </c>
      <c r="J206" s="11" t="n">
        <f aca="false">I206-H206</f>
        <v>-23778486</v>
      </c>
      <c r="K206" s="9" t="n">
        <f aca="false">ROUND(J206/H206,4)</f>
        <v>-0.2361</v>
      </c>
      <c r="L206" s="7" t="s">
        <v>345</v>
      </c>
    </row>
    <row r="207" customFormat="false" ht="15" hidden="false" customHeight="false" outlineLevel="0" collapsed="false">
      <c r="A207" s="7" t="s">
        <v>2326</v>
      </c>
      <c r="B207" s="8" t="n">
        <v>45464</v>
      </c>
      <c r="C207" s="7" t="s">
        <v>31</v>
      </c>
      <c r="D207" s="7" t="s">
        <v>60</v>
      </c>
      <c r="E207" s="7" t="s">
        <v>2014</v>
      </c>
      <c r="F207" s="7" t="s">
        <v>115</v>
      </c>
      <c r="G207" s="7" t="s">
        <v>2327</v>
      </c>
      <c r="H207" s="11" t="n">
        <v>78655134</v>
      </c>
      <c r="I207" s="11" t="n">
        <v>69866965</v>
      </c>
      <c r="J207" s="11" t="n">
        <f aca="false">I207-H207</f>
        <v>-8788169</v>
      </c>
      <c r="K207" s="9" t="n">
        <f aca="false">ROUND(J207/H207,4)</f>
        <v>-0.1117</v>
      </c>
      <c r="L207" s="7" t="s">
        <v>337</v>
      </c>
    </row>
    <row r="208" customFormat="false" ht="15" hidden="false" customHeight="false" outlineLevel="0" collapsed="false">
      <c r="A208" s="7" t="s">
        <v>2328</v>
      </c>
      <c r="B208" s="8" t="n">
        <v>45874</v>
      </c>
      <c r="C208" s="7" t="s">
        <v>49</v>
      </c>
      <c r="D208" s="7" t="s">
        <v>79</v>
      </c>
      <c r="E208" s="7" t="s">
        <v>2041</v>
      </c>
      <c r="F208" s="7"/>
      <c r="G208" s="7" t="s">
        <v>2329</v>
      </c>
      <c r="H208" s="11" t="n">
        <v>218970670</v>
      </c>
      <c r="I208" s="11" t="n">
        <v>195656622</v>
      </c>
      <c r="J208" s="11" t="n">
        <f aca="false">I208-H208</f>
        <v>-23314048</v>
      </c>
      <c r="K208" s="9" t="n">
        <f aca="false">ROUND(J208/H208,4)</f>
        <v>-0.1065</v>
      </c>
      <c r="L208" s="7" t="s">
        <v>361</v>
      </c>
    </row>
    <row r="209" customFormat="false" ht="15" hidden="false" customHeight="false" outlineLevel="0" collapsed="false">
      <c r="A209" s="7" t="s">
        <v>2330</v>
      </c>
      <c r="B209" s="8" t="n">
        <v>45640</v>
      </c>
      <c r="C209" s="7" t="s">
        <v>25</v>
      </c>
      <c r="D209" s="7" t="s">
        <v>68</v>
      </c>
      <c r="E209" s="7" t="s">
        <v>2041</v>
      </c>
      <c r="F209" s="7"/>
      <c r="G209" s="7" t="s">
        <v>2320</v>
      </c>
      <c r="H209" s="11" t="n">
        <v>88998526</v>
      </c>
      <c r="I209" s="11" t="n">
        <v>100899913</v>
      </c>
      <c r="J209" s="11" t="n">
        <f aca="false">I209-H209</f>
        <v>11901387</v>
      </c>
      <c r="K209" s="9" t="n">
        <f aca="false">ROUND(J209/H209,4)</f>
        <v>0.1337</v>
      </c>
      <c r="L209" s="7" t="s">
        <v>355</v>
      </c>
    </row>
    <row r="210" customFormat="false" ht="15" hidden="false" customHeight="false" outlineLevel="0" collapsed="false">
      <c r="A210" s="7" t="s">
        <v>2331</v>
      </c>
      <c r="B210" s="8" t="n">
        <v>45384</v>
      </c>
      <c r="C210" s="7" t="s">
        <v>25</v>
      </c>
      <c r="D210" s="7" t="s">
        <v>71</v>
      </c>
      <c r="E210" s="7" t="s">
        <v>2014</v>
      </c>
      <c r="F210" s="7" t="s">
        <v>104</v>
      </c>
      <c r="G210" s="7" t="s">
        <v>2332</v>
      </c>
      <c r="H210" s="11" t="n">
        <v>36367024</v>
      </c>
      <c r="I210" s="11" t="n">
        <v>33013798</v>
      </c>
      <c r="J210" s="11" t="n">
        <f aca="false">I210-H210</f>
        <v>-3353226</v>
      </c>
      <c r="K210" s="9" t="n">
        <f aca="false">ROUND(J210/H210,4)</f>
        <v>-0.0922</v>
      </c>
      <c r="L210" s="7" t="s">
        <v>349</v>
      </c>
    </row>
    <row r="211" customFormat="false" ht="15" hidden="false" customHeight="false" outlineLevel="0" collapsed="false">
      <c r="A211" s="7" t="s">
        <v>2333</v>
      </c>
      <c r="B211" s="8" t="n">
        <v>45465</v>
      </c>
      <c r="C211" s="7" t="s">
        <v>40</v>
      </c>
      <c r="D211" s="7" t="s">
        <v>60</v>
      </c>
      <c r="E211" s="7" t="s">
        <v>2014</v>
      </c>
      <c r="F211" s="7" t="s">
        <v>99</v>
      </c>
      <c r="G211" s="7" t="s">
        <v>2327</v>
      </c>
      <c r="H211" s="11" t="n">
        <v>41080310</v>
      </c>
      <c r="I211" s="11" t="n">
        <v>35925143</v>
      </c>
      <c r="J211" s="11" t="n">
        <f aca="false">I211-H211</f>
        <v>-5155167</v>
      </c>
      <c r="K211" s="9" t="n">
        <f aca="false">ROUND(J211/H211,4)</f>
        <v>-0.1255</v>
      </c>
      <c r="L211" s="7" t="s">
        <v>343</v>
      </c>
    </row>
    <row r="212" customFormat="false" ht="15" hidden="false" customHeight="false" outlineLevel="0" collapsed="false">
      <c r="A212" s="7" t="s">
        <v>2334</v>
      </c>
      <c r="B212" s="8" t="n">
        <v>45465</v>
      </c>
      <c r="C212" s="7" t="s">
        <v>31</v>
      </c>
      <c r="D212" s="7" t="s">
        <v>79</v>
      </c>
      <c r="E212" s="7" t="s">
        <v>2011</v>
      </c>
      <c r="F212" s="7" t="s">
        <v>109</v>
      </c>
      <c r="G212" s="7" t="s">
        <v>2118</v>
      </c>
      <c r="H212" s="11" t="n">
        <v>127418752</v>
      </c>
      <c r="I212" s="11" t="n">
        <v>98283325</v>
      </c>
      <c r="J212" s="11" t="n">
        <f aca="false">I212-H212</f>
        <v>-29135427</v>
      </c>
      <c r="K212" s="9" t="n">
        <f aca="false">ROUND(J212/H212,4)</f>
        <v>-0.2287</v>
      </c>
      <c r="L212" s="7" t="s">
        <v>343</v>
      </c>
    </row>
    <row r="213" customFormat="false" ht="15" hidden="false" customHeight="false" outlineLevel="0" collapsed="false">
      <c r="A213" s="7" t="s">
        <v>2335</v>
      </c>
      <c r="B213" s="8" t="n">
        <v>45686</v>
      </c>
      <c r="C213" s="7" t="s">
        <v>31</v>
      </c>
      <c r="D213" s="7" t="s">
        <v>71</v>
      </c>
      <c r="E213" s="7" t="s">
        <v>2041</v>
      </c>
      <c r="F213" s="7"/>
      <c r="G213" s="7" t="s">
        <v>2336</v>
      </c>
      <c r="H213" s="11" t="n">
        <v>93688897</v>
      </c>
      <c r="I213" s="11" t="n">
        <v>99080173</v>
      </c>
      <c r="J213" s="11" t="n">
        <f aca="false">I213-H213</f>
        <v>5391276</v>
      </c>
      <c r="K213" s="9" t="n">
        <f aca="false">ROUND(J213/H213,4)</f>
        <v>0.0575</v>
      </c>
      <c r="L213" s="7" t="s">
        <v>337</v>
      </c>
    </row>
    <row r="214" customFormat="false" ht="15" hidden="false" customHeight="false" outlineLevel="0" collapsed="false">
      <c r="A214" s="7" t="s">
        <v>2337</v>
      </c>
      <c r="B214" s="8" t="n">
        <v>45884</v>
      </c>
      <c r="C214" s="7" t="s">
        <v>52</v>
      </c>
      <c r="D214" s="7" t="s">
        <v>65</v>
      </c>
      <c r="E214" s="7" t="s">
        <v>2014</v>
      </c>
      <c r="F214" s="7" t="s">
        <v>99</v>
      </c>
      <c r="G214" s="7" t="s">
        <v>2053</v>
      </c>
      <c r="H214" s="11" t="n">
        <v>213685273</v>
      </c>
      <c r="I214" s="11" t="n">
        <v>224474468</v>
      </c>
      <c r="J214" s="11" t="n">
        <f aca="false">I214-H214</f>
        <v>10789195</v>
      </c>
      <c r="K214" s="9" t="n">
        <f aca="false">ROUND(J214/H214,4)</f>
        <v>0.0505</v>
      </c>
      <c r="L214" s="7" t="s">
        <v>355</v>
      </c>
    </row>
    <row r="215" customFormat="false" ht="15" hidden="false" customHeight="false" outlineLevel="0" collapsed="false">
      <c r="A215" s="7" t="s">
        <v>2338</v>
      </c>
      <c r="B215" s="8" t="n">
        <v>45695</v>
      </c>
      <c r="C215" s="7" t="s">
        <v>43</v>
      </c>
      <c r="D215" s="7" t="s">
        <v>75</v>
      </c>
      <c r="E215" s="7" t="s">
        <v>2019</v>
      </c>
      <c r="F215" s="7"/>
      <c r="G215" s="7" t="s">
        <v>2128</v>
      </c>
      <c r="H215" s="11" t="n">
        <v>146805755</v>
      </c>
      <c r="I215" s="11" t="n">
        <v>161553877</v>
      </c>
      <c r="J215" s="11" t="n">
        <f aca="false">I215-H215</f>
        <v>14748122</v>
      </c>
      <c r="K215" s="9" t="n">
        <f aca="false">ROUND(J215/H215,4)</f>
        <v>0.1005</v>
      </c>
      <c r="L215" s="7" t="s">
        <v>361</v>
      </c>
    </row>
    <row r="216" customFormat="false" ht="15" hidden="false" customHeight="false" outlineLevel="0" collapsed="false">
      <c r="A216" s="7" t="s">
        <v>2339</v>
      </c>
      <c r="B216" s="8" t="n">
        <v>45470</v>
      </c>
      <c r="C216" s="7" t="s">
        <v>52</v>
      </c>
      <c r="D216" s="7" t="s">
        <v>79</v>
      </c>
      <c r="E216" s="7" t="s">
        <v>2041</v>
      </c>
      <c r="F216" s="7"/>
      <c r="G216" s="7" t="s">
        <v>2216</v>
      </c>
      <c r="H216" s="11" t="n">
        <v>107227740</v>
      </c>
      <c r="I216" s="11" t="n">
        <v>124375485</v>
      </c>
      <c r="J216" s="11" t="n">
        <f aca="false">I216-H216</f>
        <v>17147745</v>
      </c>
      <c r="K216" s="9" t="n">
        <f aca="false">ROUND(J216/H216,4)</f>
        <v>0.1599</v>
      </c>
      <c r="L216" s="7" t="s">
        <v>347</v>
      </c>
    </row>
    <row r="217" customFormat="false" ht="15" hidden="false" customHeight="false" outlineLevel="0" collapsed="false">
      <c r="A217" s="7" t="s">
        <v>2340</v>
      </c>
      <c r="B217" s="8" t="n">
        <v>45844</v>
      </c>
      <c r="C217" s="7" t="s">
        <v>40</v>
      </c>
      <c r="D217" s="7" t="s">
        <v>68</v>
      </c>
      <c r="E217" s="7" t="s">
        <v>2011</v>
      </c>
      <c r="F217" s="7" t="s">
        <v>99</v>
      </c>
      <c r="G217" s="7" t="s">
        <v>2012</v>
      </c>
      <c r="H217" s="11" t="n">
        <v>87677276</v>
      </c>
      <c r="I217" s="11" t="n">
        <v>69306946</v>
      </c>
      <c r="J217" s="11" t="n">
        <f aca="false">I217-H217</f>
        <v>-18370330</v>
      </c>
      <c r="K217" s="9" t="n">
        <f aca="false">ROUND(J217/H217,4)</f>
        <v>-0.2095</v>
      </c>
      <c r="L217" s="7" t="s">
        <v>331</v>
      </c>
    </row>
    <row r="218" customFormat="false" ht="15" hidden="false" customHeight="false" outlineLevel="0" collapsed="false">
      <c r="A218" s="7" t="s">
        <v>2341</v>
      </c>
      <c r="B218" s="8" t="n">
        <v>45550</v>
      </c>
      <c r="C218" s="7" t="s">
        <v>43</v>
      </c>
      <c r="D218" s="7" t="s">
        <v>79</v>
      </c>
      <c r="E218" s="7" t="s">
        <v>2055</v>
      </c>
      <c r="F218" s="7"/>
      <c r="G218" s="7" t="s">
        <v>2071</v>
      </c>
      <c r="H218" s="11" t="n">
        <v>19944946</v>
      </c>
      <c r="I218" s="11" t="n">
        <v>15376001</v>
      </c>
      <c r="J218" s="11" t="n">
        <f aca="false">I218-H218</f>
        <v>-4568945</v>
      </c>
      <c r="K218" s="9" t="n">
        <f aca="false">ROUND(J218/H218,4)</f>
        <v>-0.2291</v>
      </c>
      <c r="L218" s="7" t="s">
        <v>357</v>
      </c>
    </row>
    <row r="219" customFormat="false" ht="15" hidden="false" customHeight="false" outlineLevel="0" collapsed="false">
      <c r="A219" s="7" t="s">
        <v>2342</v>
      </c>
      <c r="B219" s="8" t="n">
        <v>45636</v>
      </c>
      <c r="C219" s="7" t="s">
        <v>34</v>
      </c>
      <c r="D219" s="7" t="s">
        <v>83</v>
      </c>
      <c r="E219" s="7" t="s">
        <v>2011</v>
      </c>
      <c r="F219" s="7" t="s">
        <v>106</v>
      </c>
      <c r="G219" s="7" t="s">
        <v>2099</v>
      </c>
      <c r="H219" s="11" t="n">
        <v>65211243</v>
      </c>
      <c r="I219" s="11" t="n">
        <v>73744481</v>
      </c>
      <c r="J219" s="11" t="n">
        <f aca="false">I219-H219</f>
        <v>8533238</v>
      </c>
      <c r="K219" s="9" t="n">
        <f aca="false">ROUND(J219/H219,4)</f>
        <v>0.1309</v>
      </c>
      <c r="L219" s="7" t="s">
        <v>343</v>
      </c>
    </row>
    <row r="220" customFormat="false" ht="15" hidden="false" customHeight="false" outlineLevel="0" collapsed="false">
      <c r="A220" s="7" t="s">
        <v>2343</v>
      </c>
      <c r="B220" s="8" t="n">
        <v>45761</v>
      </c>
      <c r="C220" s="7" t="s">
        <v>34</v>
      </c>
      <c r="D220" s="7" t="s">
        <v>65</v>
      </c>
      <c r="E220" s="7" t="s">
        <v>2024</v>
      </c>
      <c r="F220" s="7" t="s">
        <v>113</v>
      </c>
      <c r="G220" s="7" t="s">
        <v>2344</v>
      </c>
      <c r="H220" s="11" t="n">
        <v>167400428</v>
      </c>
      <c r="I220" s="11" t="n">
        <v>198796438</v>
      </c>
      <c r="J220" s="11" t="n">
        <f aca="false">I220-H220</f>
        <v>31396010</v>
      </c>
      <c r="K220" s="9" t="n">
        <f aca="false">ROUND(J220/H220,4)</f>
        <v>0.1876</v>
      </c>
      <c r="L220" s="7" t="s">
        <v>357</v>
      </c>
    </row>
    <row r="221" customFormat="false" ht="15" hidden="false" customHeight="false" outlineLevel="0" collapsed="false">
      <c r="A221" s="7" t="s">
        <v>2345</v>
      </c>
      <c r="B221" s="8" t="n">
        <v>45974</v>
      </c>
      <c r="C221" s="7" t="s">
        <v>31</v>
      </c>
      <c r="D221" s="7" t="s">
        <v>65</v>
      </c>
      <c r="E221" s="7" t="s">
        <v>2041</v>
      </c>
      <c r="F221" s="7"/>
      <c r="G221" s="7" t="s">
        <v>2230</v>
      </c>
      <c r="H221" s="11" t="n">
        <v>249291510</v>
      </c>
      <c r="I221" s="11" t="n">
        <v>193887641</v>
      </c>
      <c r="J221" s="11" t="n">
        <f aca="false">I221-H221</f>
        <v>-55403869</v>
      </c>
      <c r="K221" s="9" t="n">
        <f aca="false">ROUND(J221/H221,4)</f>
        <v>-0.2222</v>
      </c>
      <c r="L221" s="7" t="s">
        <v>329</v>
      </c>
    </row>
    <row r="222" customFormat="false" ht="15" hidden="false" customHeight="false" outlineLevel="0" collapsed="false">
      <c r="A222" s="7" t="s">
        <v>2346</v>
      </c>
      <c r="B222" s="8" t="n">
        <v>45472</v>
      </c>
      <c r="C222" s="7" t="s">
        <v>49</v>
      </c>
      <c r="D222" s="7" t="s">
        <v>87</v>
      </c>
      <c r="E222" s="7" t="s">
        <v>2019</v>
      </c>
      <c r="F222" s="7"/>
      <c r="G222" s="7" t="s">
        <v>2112</v>
      </c>
      <c r="H222" s="11" t="n">
        <v>151245983</v>
      </c>
      <c r="I222" s="11" t="n">
        <v>155636702</v>
      </c>
      <c r="J222" s="11" t="n">
        <f aca="false">I222-H222</f>
        <v>4390719</v>
      </c>
      <c r="K222" s="9" t="n">
        <f aca="false">ROUND(J222/H222,4)</f>
        <v>0.029</v>
      </c>
      <c r="L222" s="7" t="s">
        <v>345</v>
      </c>
    </row>
    <row r="223" customFormat="false" ht="15" hidden="false" customHeight="false" outlineLevel="0" collapsed="false">
      <c r="A223" s="7" t="s">
        <v>2347</v>
      </c>
      <c r="B223" s="8" t="n">
        <v>45320</v>
      </c>
      <c r="C223" s="7" t="s">
        <v>46</v>
      </c>
      <c r="D223" s="7" t="s">
        <v>87</v>
      </c>
      <c r="E223" s="7" t="s">
        <v>2041</v>
      </c>
      <c r="F223" s="7"/>
      <c r="G223" s="7" t="s">
        <v>2317</v>
      </c>
      <c r="H223" s="11" t="n">
        <v>195828799</v>
      </c>
      <c r="I223" s="11" t="n">
        <v>202195131</v>
      </c>
      <c r="J223" s="11" t="n">
        <f aca="false">I223-H223</f>
        <v>6366332</v>
      </c>
      <c r="K223" s="9" t="n">
        <f aca="false">ROUND(J223/H223,4)</f>
        <v>0.0325</v>
      </c>
      <c r="L223" s="7" t="s">
        <v>353</v>
      </c>
    </row>
    <row r="224" customFormat="false" ht="15" hidden="false" customHeight="false" outlineLevel="0" collapsed="false">
      <c r="A224" s="7" t="s">
        <v>2348</v>
      </c>
      <c r="B224" s="8" t="n">
        <v>45781</v>
      </c>
      <c r="C224" s="7" t="s">
        <v>25</v>
      </c>
      <c r="D224" s="7" t="s">
        <v>68</v>
      </c>
      <c r="E224" s="7" t="s">
        <v>2011</v>
      </c>
      <c r="F224" s="7" t="s">
        <v>104</v>
      </c>
      <c r="G224" s="7" t="s">
        <v>2067</v>
      </c>
      <c r="H224" s="11" t="n">
        <v>237572948</v>
      </c>
      <c r="I224" s="11" t="n">
        <v>182995043</v>
      </c>
      <c r="J224" s="11" t="n">
        <f aca="false">I224-H224</f>
        <v>-54577905</v>
      </c>
      <c r="K224" s="9" t="n">
        <f aca="false">ROUND(J224/H224,4)</f>
        <v>-0.2297</v>
      </c>
      <c r="L224" s="7" t="s">
        <v>331</v>
      </c>
    </row>
    <row r="225" customFormat="false" ht="15" hidden="false" customHeight="false" outlineLevel="0" collapsed="false">
      <c r="A225" s="7" t="s">
        <v>2349</v>
      </c>
      <c r="B225" s="8" t="n">
        <v>45971</v>
      </c>
      <c r="C225" s="7" t="s">
        <v>43</v>
      </c>
      <c r="D225" s="7" t="s">
        <v>71</v>
      </c>
      <c r="E225" s="7" t="s">
        <v>2014</v>
      </c>
      <c r="F225" s="7" t="s">
        <v>109</v>
      </c>
      <c r="G225" s="7" t="s">
        <v>2284</v>
      </c>
      <c r="H225" s="11" t="n">
        <v>173849560</v>
      </c>
      <c r="I225" s="11" t="n">
        <v>148009178</v>
      </c>
      <c r="J225" s="11" t="n">
        <f aca="false">I225-H225</f>
        <v>-25840382</v>
      </c>
      <c r="K225" s="9" t="n">
        <f aca="false">ROUND(J225/H225,4)</f>
        <v>-0.1486</v>
      </c>
      <c r="L225" s="7" t="s">
        <v>353</v>
      </c>
    </row>
    <row r="226" customFormat="false" ht="15" hidden="false" customHeight="false" outlineLevel="0" collapsed="false">
      <c r="A226" s="7" t="s">
        <v>2350</v>
      </c>
      <c r="B226" s="8" t="n">
        <v>45828</v>
      </c>
      <c r="C226" s="7" t="s">
        <v>31</v>
      </c>
      <c r="D226" s="7" t="s">
        <v>60</v>
      </c>
      <c r="E226" s="7" t="s">
        <v>2041</v>
      </c>
      <c r="F226" s="7"/>
      <c r="G226" s="7" t="s">
        <v>2351</v>
      </c>
      <c r="H226" s="11" t="n">
        <v>46426942</v>
      </c>
      <c r="I226" s="11" t="n">
        <v>43868410</v>
      </c>
      <c r="J226" s="11" t="n">
        <f aca="false">I226-H226</f>
        <v>-2558532</v>
      </c>
      <c r="K226" s="9" t="n">
        <f aca="false">ROUND(J226/H226,4)</f>
        <v>-0.0551</v>
      </c>
      <c r="L226" s="7" t="s">
        <v>343</v>
      </c>
    </row>
    <row r="227" customFormat="false" ht="15" hidden="false" customHeight="false" outlineLevel="0" collapsed="false">
      <c r="A227" s="7" t="s">
        <v>2352</v>
      </c>
      <c r="B227" s="8" t="n">
        <v>45666</v>
      </c>
      <c r="C227" s="7" t="s">
        <v>31</v>
      </c>
      <c r="D227" s="7" t="s">
        <v>65</v>
      </c>
      <c r="E227" s="7" t="s">
        <v>2014</v>
      </c>
      <c r="F227" s="7" t="s">
        <v>106</v>
      </c>
      <c r="G227" s="7" t="s">
        <v>2353</v>
      </c>
      <c r="H227" s="11" t="n">
        <v>64543161</v>
      </c>
      <c r="I227" s="11" t="n">
        <v>72297151</v>
      </c>
      <c r="J227" s="11" t="n">
        <f aca="false">I227-H227</f>
        <v>7753990</v>
      </c>
      <c r="K227" s="9" t="n">
        <f aca="false">ROUND(J227/H227,4)</f>
        <v>0.1201</v>
      </c>
      <c r="L227" s="7" t="s">
        <v>355</v>
      </c>
    </row>
    <row r="228" customFormat="false" ht="15" hidden="false" customHeight="false" outlineLevel="0" collapsed="false">
      <c r="A228" s="7" t="s">
        <v>2354</v>
      </c>
      <c r="B228" s="8" t="n">
        <v>45851</v>
      </c>
      <c r="C228" s="7" t="s">
        <v>37</v>
      </c>
      <c r="D228" s="7" t="s">
        <v>79</v>
      </c>
      <c r="E228" s="7" t="s">
        <v>2019</v>
      </c>
      <c r="F228" s="7"/>
      <c r="G228" s="7" t="s">
        <v>2299</v>
      </c>
      <c r="H228" s="11" t="n">
        <v>66761543</v>
      </c>
      <c r="I228" s="11" t="n">
        <v>50661349</v>
      </c>
      <c r="J228" s="11" t="n">
        <f aca="false">I228-H228</f>
        <v>-16100194</v>
      </c>
      <c r="K228" s="9" t="n">
        <f aca="false">ROUND(J228/H228,4)</f>
        <v>-0.2412</v>
      </c>
      <c r="L228" s="7" t="s">
        <v>347</v>
      </c>
    </row>
    <row r="229" customFormat="false" ht="15" hidden="false" customHeight="false" outlineLevel="0" collapsed="false">
      <c r="A229" s="7" t="s">
        <v>2355</v>
      </c>
      <c r="B229" s="8" t="n">
        <v>45554</v>
      </c>
      <c r="C229" s="7" t="s">
        <v>52</v>
      </c>
      <c r="D229" s="7" t="s">
        <v>75</v>
      </c>
      <c r="E229" s="7" t="s">
        <v>2041</v>
      </c>
      <c r="F229" s="7"/>
      <c r="G229" s="7" t="s">
        <v>2311</v>
      </c>
      <c r="H229" s="11" t="n">
        <v>34317179</v>
      </c>
      <c r="I229" s="11" t="n">
        <v>37060001</v>
      </c>
      <c r="J229" s="11" t="n">
        <f aca="false">I229-H229</f>
        <v>2742822</v>
      </c>
      <c r="K229" s="9" t="n">
        <f aca="false">ROUND(J229/H229,4)</f>
        <v>0.0799</v>
      </c>
      <c r="L229" s="7" t="s">
        <v>345</v>
      </c>
    </row>
    <row r="230" customFormat="false" ht="15" hidden="false" customHeight="false" outlineLevel="0" collapsed="false">
      <c r="A230" s="7" t="s">
        <v>2356</v>
      </c>
      <c r="B230" s="8" t="n">
        <v>45549</v>
      </c>
      <c r="C230" s="7" t="s">
        <v>25</v>
      </c>
      <c r="D230" s="7" t="s">
        <v>83</v>
      </c>
      <c r="E230" s="7" t="s">
        <v>2055</v>
      </c>
      <c r="F230" s="7"/>
      <c r="G230" s="7" t="s">
        <v>2071</v>
      </c>
      <c r="H230" s="11" t="n">
        <v>72392806</v>
      </c>
      <c r="I230" s="11" t="n">
        <v>67049951</v>
      </c>
      <c r="J230" s="11" t="n">
        <f aca="false">I230-H230</f>
        <v>-5342855</v>
      </c>
      <c r="K230" s="9" t="n">
        <f aca="false">ROUND(J230/H230,4)</f>
        <v>-0.0738</v>
      </c>
      <c r="L230" s="7" t="s">
        <v>355</v>
      </c>
    </row>
    <row r="231" customFormat="false" ht="15" hidden="false" customHeight="false" outlineLevel="0" collapsed="false">
      <c r="A231" s="7" t="s">
        <v>2357</v>
      </c>
      <c r="B231" s="8" t="n">
        <v>45644</v>
      </c>
      <c r="C231" s="7" t="s">
        <v>46</v>
      </c>
      <c r="D231" s="7" t="s">
        <v>79</v>
      </c>
      <c r="E231" s="7" t="s">
        <v>2014</v>
      </c>
      <c r="F231" s="7" t="s">
        <v>106</v>
      </c>
      <c r="G231" s="7" t="s">
        <v>2172</v>
      </c>
      <c r="H231" s="11" t="n">
        <v>28639124</v>
      </c>
      <c r="I231" s="11" t="n">
        <v>21951606</v>
      </c>
      <c r="J231" s="11" t="n">
        <f aca="false">I231-H231</f>
        <v>-6687518</v>
      </c>
      <c r="K231" s="9" t="n">
        <f aca="false">ROUND(J231/H231,4)</f>
        <v>-0.2335</v>
      </c>
      <c r="L231" s="7" t="s">
        <v>329</v>
      </c>
    </row>
    <row r="232" customFormat="false" ht="15" hidden="false" customHeight="false" outlineLevel="0" collapsed="false">
      <c r="A232" s="7" t="s">
        <v>2358</v>
      </c>
      <c r="B232" s="8" t="n">
        <v>46009</v>
      </c>
      <c r="C232" s="7" t="s">
        <v>25</v>
      </c>
      <c r="D232" s="7" t="s">
        <v>71</v>
      </c>
      <c r="E232" s="7" t="s">
        <v>2041</v>
      </c>
      <c r="F232" s="7"/>
      <c r="G232" s="7" t="s">
        <v>2107</v>
      </c>
      <c r="H232" s="11" t="n">
        <v>113146117</v>
      </c>
      <c r="I232" s="11" t="n">
        <v>88921086</v>
      </c>
      <c r="J232" s="11" t="n">
        <f aca="false">I232-H232</f>
        <v>-24225031</v>
      </c>
      <c r="K232" s="9" t="n">
        <f aca="false">ROUND(J232/H232,4)</f>
        <v>-0.2141</v>
      </c>
      <c r="L232" s="7" t="s">
        <v>351</v>
      </c>
    </row>
    <row r="233" customFormat="false" ht="15" hidden="false" customHeight="false" outlineLevel="0" collapsed="false">
      <c r="A233" s="7" t="s">
        <v>2359</v>
      </c>
      <c r="B233" s="8" t="n">
        <v>45329</v>
      </c>
      <c r="C233" s="7" t="s">
        <v>52</v>
      </c>
      <c r="D233" s="7" t="s">
        <v>87</v>
      </c>
      <c r="E233" s="7" t="s">
        <v>2014</v>
      </c>
      <c r="F233" s="7" t="s">
        <v>106</v>
      </c>
      <c r="G233" s="7" t="s">
        <v>2360</v>
      </c>
      <c r="H233" s="11" t="n">
        <v>163462804</v>
      </c>
      <c r="I233" s="11" t="n">
        <v>157554644</v>
      </c>
      <c r="J233" s="11" t="n">
        <f aca="false">I233-H233</f>
        <v>-5908160</v>
      </c>
      <c r="K233" s="9" t="n">
        <f aca="false">ROUND(J233/H233,4)</f>
        <v>-0.0361</v>
      </c>
      <c r="L233" s="7" t="s">
        <v>341</v>
      </c>
    </row>
    <row r="234" customFormat="false" ht="15" hidden="false" customHeight="false" outlineLevel="0" collapsed="false">
      <c r="A234" s="7" t="s">
        <v>2361</v>
      </c>
      <c r="B234" s="8" t="n">
        <v>45679</v>
      </c>
      <c r="C234" s="7" t="s">
        <v>40</v>
      </c>
      <c r="D234" s="7" t="s">
        <v>83</v>
      </c>
      <c r="E234" s="7" t="s">
        <v>2019</v>
      </c>
      <c r="F234" s="7"/>
      <c r="G234" s="7" t="s">
        <v>2200</v>
      </c>
      <c r="H234" s="11" t="n">
        <v>158032398</v>
      </c>
      <c r="I234" s="11" t="n">
        <v>159555581</v>
      </c>
      <c r="J234" s="11" t="n">
        <f aca="false">I234-H234</f>
        <v>1523183</v>
      </c>
      <c r="K234" s="9" t="n">
        <f aca="false">ROUND(J234/H234,4)</f>
        <v>0.0096</v>
      </c>
      <c r="L234" s="7" t="s">
        <v>341</v>
      </c>
    </row>
    <row r="235" customFormat="false" ht="15" hidden="false" customHeight="false" outlineLevel="0" collapsed="false">
      <c r="A235" s="7" t="s">
        <v>2362</v>
      </c>
      <c r="B235" s="8" t="n">
        <v>45787</v>
      </c>
      <c r="C235" s="7" t="s">
        <v>31</v>
      </c>
      <c r="D235" s="7" t="s">
        <v>71</v>
      </c>
      <c r="E235" s="7" t="s">
        <v>2041</v>
      </c>
      <c r="F235" s="7"/>
      <c r="G235" s="7" t="s">
        <v>2221</v>
      </c>
      <c r="H235" s="11" t="n">
        <v>116260498</v>
      </c>
      <c r="I235" s="11" t="n">
        <v>126441169</v>
      </c>
      <c r="J235" s="11" t="n">
        <f aca="false">I235-H235</f>
        <v>10180671</v>
      </c>
      <c r="K235" s="9" t="n">
        <f aca="false">ROUND(J235/H235,4)</f>
        <v>0.0876</v>
      </c>
      <c r="L235" s="7" t="s">
        <v>339</v>
      </c>
    </row>
    <row r="236" customFormat="false" ht="15" hidden="false" customHeight="false" outlineLevel="0" collapsed="false">
      <c r="A236" s="7" t="s">
        <v>2363</v>
      </c>
      <c r="B236" s="8" t="n">
        <v>45361</v>
      </c>
      <c r="C236" s="7" t="s">
        <v>43</v>
      </c>
      <c r="D236" s="7" t="s">
        <v>83</v>
      </c>
      <c r="E236" s="7" t="s">
        <v>2019</v>
      </c>
      <c r="F236" s="7"/>
      <c r="G236" s="7" t="s">
        <v>2364</v>
      </c>
      <c r="H236" s="11" t="n">
        <v>33306164</v>
      </c>
      <c r="I236" s="11" t="n">
        <v>30592935</v>
      </c>
      <c r="J236" s="11" t="n">
        <f aca="false">I236-H236</f>
        <v>-2713229</v>
      </c>
      <c r="K236" s="9" t="n">
        <f aca="false">ROUND(J236/H236,4)</f>
        <v>-0.0815</v>
      </c>
      <c r="L236" s="7" t="s">
        <v>345</v>
      </c>
    </row>
    <row r="237" customFormat="false" ht="15" hidden="false" customHeight="false" outlineLevel="0" collapsed="false">
      <c r="A237" s="7" t="s">
        <v>2365</v>
      </c>
      <c r="B237" s="8" t="n">
        <v>45542</v>
      </c>
      <c r="C237" s="7" t="s">
        <v>31</v>
      </c>
      <c r="D237" s="7" t="s">
        <v>60</v>
      </c>
      <c r="E237" s="7" t="s">
        <v>2019</v>
      </c>
      <c r="F237" s="7"/>
      <c r="G237" s="7" t="s">
        <v>2020</v>
      </c>
      <c r="H237" s="11" t="n">
        <v>128585751</v>
      </c>
      <c r="I237" s="11" t="n">
        <v>152356866</v>
      </c>
      <c r="J237" s="11" t="n">
        <f aca="false">I237-H237</f>
        <v>23771115</v>
      </c>
      <c r="K237" s="9" t="n">
        <f aca="false">ROUND(J237/H237,4)</f>
        <v>0.1849</v>
      </c>
      <c r="L237" s="7" t="s">
        <v>355</v>
      </c>
    </row>
    <row r="238" customFormat="false" ht="15" hidden="false" customHeight="false" outlineLevel="0" collapsed="false">
      <c r="A238" s="7" t="s">
        <v>2366</v>
      </c>
      <c r="B238" s="8" t="n">
        <v>45939</v>
      </c>
      <c r="C238" s="7" t="s">
        <v>40</v>
      </c>
      <c r="D238" s="7" t="s">
        <v>68</v>
      </c>
      <c r="E238" s="7" t="s">
        <v>2019</v>
      </c>
      <c r="F238" s="7"/>
      <c r="G238" s="7" t="s">
        <v>2282</v>
      </c>
      <c r="H238" s="11" t="n">
        <v>158026821</v>
      </c>
      <c r="I238" s="11" t="n">
        <v>177392662</v>
      </c>
      <c r="J238" s="11" t="n">
        <f aca="false">I238-H238</f>
        <v>19365841</v>
      </c>
      <c r="K238" s="9" t="n">
        <f aca="false">ROUND(J238/H238,4)</f>
        <v>0.1225</v>
      </c>
      <c r="L238" s="7" t="s">
        <v>333</v>
      </c>
    </row>
    <row r="239" customFormat="false" ht="15" hidden="false" customHeight="false" outlineLevel="0" collapsed="false">
      <c r="A239" s="7" t="s">
        <v>2367</v>
      </c>
      <c r="B239" s="8" t="n">
        <v>45895</v>
      </c>
      <c r="C239" s="7" t="s">
        <v>37</v>
      </c>
      <c r="D239" s="7" t="s">
        <v>87</v>
      </c>
      <c r="E239" s="7" t="s">
        <v>2041</v>
      </c>
      <c r="F239" s="7"/>
      <c r="G239" s="7" t="s">
        <v>2329</v>
      </c>
      <c r="H239" s="11" t="n">
        <v>15040706</v>
      </c>
      <c r="I239" s="11" t="n">
        <v>14324672</v>
      </c>
      <c r="J239" s="11" t="n">
        <f aca="false">I239-H239</f>
        <v>-716034</v>
      </c>
      <c r="K239" s="9" t="n">
        <f aca="false">ROUND(J239/H239,4)</f>
        <v>-0.0476</v>
      </c>
      <c r="L239" s="7" t="s">
        <v>329</v>
      </c>
    </row>
    <row r="240" customFormat="false" ht="15" hidden="false" customHeight="false" outlineLevel="0" collapsed="false">
      <c r="A240" s="7" t="s">
        <v>2368</v>
      </c>
      <c r="B240" s="8" t="n">
        <v>45306</v>
      </c>
      <c r="C240" s="7" t="s">
        <v>34</v>
      </c>
      <c r="D240" s="7" t="s">
        <v>79</v>
      </c>
      <c r="E240" s="7" t="s">
        <v>2019</v>
      </c>
      <c r="F240" s="7"/>
      <c r="G240" s="7" t="s">
        <v>2142</v>
      </c>
      <c r="H240" s="11" t="n">
        <v>248292830</v>
      </c>
      <c r="I240" s="11" t="n">
        <v>294907502</v>
      </c>
      <c r="J240" s="11" t="n">
        <f aca="false">I240-H240</f>
        <v>46614672</v>
      </c>
      <c r="K240" s="9" t="n">
        <f aca="false">ROUND(J240/H240,4)</f>
        <v>0.1877</v>
      </c>
      <c r="L240" s="7" t="s">
        <v>361</v>
      </c>
    </row>
    <row r="241" customFormat="false" ht="15" hidden="false" customHeight="false" outlineLevel="0" collapsed="false">
      <c r="A241" s="7" t="s">
        <v>2369</v>
      </c>
      <c r="B241" s="8" t="n">
        <v>45663</v>
      </c>
      <c r="C241" s="7" t="s">
        <v>46</v>
      </c>
      <c r="D241" s="7" t="s">
        <v>60</v>
      </c>
      <c r="E241" s="7" t="s">
        <v>2014</v>
      </c>
      <c r="F241" s="7" t="s">
        <v>95</v>
      </c>
      <c r="G241" s="7" t="s">
        <v>2353</v>
      </c>
      <c r="H241" s="11" t="n">
        <v>23398761</v>
      </c>
      <c r="I241" s="11" t="n">
        <v>25036724</v>
      </c>
      <c r="J241" s="11" t="n">
        <f aca="false">I241-H241</f>
        <v>1637963</v>
      </c>
      <c r="K241" s="9" t="n">
        <f aca="false">ROUND(J241/H241,4)</f>
        <v>0.07</v>
      </c>
      <c r="L241" s="7" t="s">
        <v>331</v>
      </c>
    </row>
    <row r="242" customFormat="false" ht="15" hidden="false" customHeight="false" outlineLevel="0" collapsed="false">
      <c r="A242" s="7" t="s">
        <v>2370</v>
      </c>
      <c r="B242" s="8" t="n">
        <v>45634</v>
      </c>
      <c r="C242" s="7" t="s">
        <v>46</v>
      </c>
      <c r="D242" s="7" t="s">
        <v>83</v>
      </c>
      <c r="E242" s="7" t="s">
        <v>2055</v>
      </c>
      <c r="F242" s="7"/>
      <c r="G242" s="7" t="s">
        <v>2371</v>
      </c>
      <c r="H242" s="11" t="n">
        <v>249186506</v>
      </c>
      <c r="I242" s="11" t="n">
        <v>204438573</v>
      </c>
      <c r="J242" s="11" t="n">
        <f aca="false">I242-H242</f>
        <v>-44747933</v>
      </c>
      <c r="K242" s="9" t="n">
        <f aca="false">ROUND(J242/H242,4)</f>
        <v>-0.1796</v>
      </c>
      <c r="L242" s="7" t="s">
        <v>329</v>
      </c>
    </row>
    <row r="243" customFormat="false" ht="15" hidden="false" customHeight="false" outlineLevel="0" collapsed="false">
      <c r="A243" s="7" t="s">
        <v>2372</v>
      </c>
      <c r="B243" s="8" t="n">
        <v>45435</v>
      </c>
      <c r="C243" s="7" t="s">
        <v>43</v>
      </c>
      <c r="D243" s="7" t="s">
        <v>65</v>
      </c>
      <c r="E243" s="7" t="s">
        <v>2011</v>
      </c>
      <c r="F243" s="7" t="s">
        <v>106</v>
      </c>
      <c r="G243" s="7" t="s">
        <v>2039</v>
      </c>
      <c r="H243" s="11" t="n">
        <v>234280172</v>
      </c>
      <c r="I243" s="11" t="n">
        <v>273789758</v>
      </c>
      <c r="J243" s="11" t="n">
        <f aca="false">I243-H243</f>
        <v>39509586</v>
      </c>
      <c r="K243" s="9" t="n">
        <f aca="false">ROUND(J243/H243,4)</f>
        <v>0.1686</v>
      </c>
      <c r="L243" s="7" t="s">
        <v>353</v>
      </c>
    </row>
    <row r="244" customFormat="false" ht="15" hidden="false" customHeight="false" outlineLevel="0" collapsed="false">
      <c r="A244" s="7" t="s">
        <v>2373</v>
      </c>
      <c r="B244" s="8" t="n">
        <v>45818</v>
      </c>
      <c r="C244" s="7" t="s">
        <v>31</v>
      </c>
      <c r="D244" s="7" t="s">
        <v>79</v>
      </c>
      <c r="E244" s="7" t="s">
        <v>2055</v>
      </c>
      <c r="F244" s="7"/>
      <c r="G244" s="7" t="s">
        <v>2069</v>
      </c>
      <c r="H244" s="11" t="n">
        <v>152996113</v>
      </c>
      <c r="I244" s="11" t="n">
        <v>139153959</v>
      </c>
      <c r="J244" s="11" t="n">
        <f aca="false">I244-H244</f>
        <v>-13842154</v>
      </c>
      <c r="K244" s="9" t="n">
        <f aca="false">ROUND(J244/H244,4)</f>
        <v>-0.0905</v>
      </c>
      <c r="L244" s="7" t="s">
        <v>349</v>
      </c>
    </row>
    <row r="245" customFormat="false" ht="15" hidden="false" customHeight="false" outlineLevel="0" collapsed="false">
      <c r="A245" s="7" t="s">
        <v>2374</v>
      </c>
      <c r="B245" s="8" t="n">
        <v>46002</v>
      </c>
      <c r="C245" s="7" t="s">
        <v>40</v>
      </c>
      <c r="D245" s="7" t="s">
        <v>65</v>
      </c>
      <c r="E245" s="7" t="s">
        <v>2024</v>
      </c>
      <c r="F245" s="7" t="s">
        <v>104</v>
      </c>
      <c r="G245" s="7" t="s">
        <v>2044</v>
      </c>
      <c r="H245" s="11" t="n">
        <v>4496957</v>
      </c>
      <c r="I245" s="11" t="n">
        <v>4936618</v>
      </c>
      <c r="J245" s="11" t="n">
        <f aca="false">I245-H245</f>
        <v>439661</v>
      </c>
      <c r="K245" s="9" t="n">
        <f aca="false">ROUND(J245/H245,4)</f>
        <v>0.0978</v>
      </c>
      <c r="L245" s="7" t="s">
        <v>335</v>
      </c>
    </row>
    <row r="246" customFormat="false" ht="15" hidden="false" customHeight="false" outlineLevel="0" collapsed="false">
      <c r="A246" s="7" t="s">
        <v>2375</v>
      </c>
      <c r="B246" s="8" t="n">
        <v>45296</v>
      </c>
      <c r="C246" s="7" t="s">
        <v>52</v>
      </c>
      <c r="D246" s="7" t="s">
        <v>75</v>
      </c>
      <c r="E246" s="7" t="s">
        <v>2011</v>
      </c>
      <c r="F246" s="7" t="s">
        <v>95</v>
      </c>
      <c r="G246" s="7" t="s">
        <v>2132</v>
      </c>
      <c r="H246" s="11" t="n">
        <v>62667559</v>
      </c>
      <c r="I246" s="11" t="n">
        <v>55990936</v>
      </c>
      <c r="J246" s="11" t="n">
        <f aca="false">I246-H246</f>
        <v>-6676623</v>
      </c>
      <c r="K246" s="9" t="n">
        <f aca="false">ROUND(J246/H246,4)</f>
        <v>-0.1065</v>
      </c>
      <c r="L246" s="7" t="s">
        <v>361</v>
      </c>
    </row>
    <row r="247" customFormat="false" ht="15" hidden="false" customHeight="false" outlineLevel="0" collapsed="false">
      <c r="A247" s="7" t="s">
        <v>2376</v>
      </c>
      <c r="B247" s="8" t="n">
        <v>45756</v>
      </c>
      <c r="C247" s="7" t="s">
        <v>25</v>
      </c>
      <c r="D247" s="7" t="s">
        <v>75</v>
      </c>
      <c r="E247" s="7" t="s">
        <v>2024</v>
      </c>
      <c r="F247" s="7" t="s">
        <v>104</v>
      </c>
      <c r="G247" s="7" t="s">
        <v>2344</v>
      </c>
      <c r="H247" s="11" t="n">
        <v>240208847</v>
      </c>
      <c r="I247" s="11" t="n">
        <v>260831979</v>
      </c>
      <c r="J247" s="11" t="n">
        <f aca="false">I247-H247</f>
        <v>20623132</v>
      </c>
      <c r="K247" s="9" t="n">
        <f aca="false">ROUND(J247/H247,4)</f>
        <v>0.0859</v>
      </c>
      <c r="L247" s="7" t="s">
        <v>351</v>
      </c>
    </row>
    <row r="248" customFormat="false" ht="15" hidden="false" customHeight="false" outlineLevel="0" collapsed="false">
      <c r="A248" s="7" t="s">
        <v>2377</v>
      </c>
      <c r="B248" s="8" t="n">
        <v>45333</v>
      </c>
      <c r="C248" s="7" t="s">
        <v>34</v>
      </c>
      <c r="D248" s="7" t="s">
        <v>71</v>
      </c>
      <c r="E248" s="7" t="s">
        <v>2019</v>
      </c>
      <c r="F248" s="7"/>
      <c r="G248" s="7" t="s">
        <v>2378</v>
      </c>
      <c r="H248" s="11" t="n">
        <v>220623554</v>
      </c>
      <c r="I248" s="11" t="n">
        <v>174025085</v>
      </c>
      <c r="J248" s="11" t="n">
        <f aca="false">I248-H248</f>
        <v>-46598469</v>
      </c>
      <c r="K248" s="9" t="n">
        <f aca="false">ROUND(J248/H248,4)</f>
        <v>-0.2112</v>
      </c>
      <c r="L248" s="7" t="s">
        <v>337</v>
      </c>
    </row>
    <row r="249" customFormat="false" ht="15" hidden="false" customHeight="false" outlineLevel="0" collapsed="false">
      <c r="A249" s="7" t="s">
        <v>2379</v>
      </c>
      <c r="B249" s="8" t="n">
        <v>45429</v>
      </c>
      <c r="C249" s="7" t="s">
        <v>25</v>
      </c>
      <c r="D249" s="7" t="s">
        <v>65</v>
      </c>
      <c r="E249" s="7" t="s">
        <v>2011</v>
      </c>
      <c r="F249" s="7" t="s">
        <v>99</v>
      </c>
      <c r="G249" s="7" t="s">
        <v>2039</v>
      </c>
      <c r="H249" s="11" t="n">
        <v>50242482</v>
      </c>
      <c r="I249" s="11" t="n">
        <v>44308969</v>
      </c>
      <c r="J249" s="11" t="n">
        <f aca="false">I249-H249</f>
        <v>-5933513</v>
      </c>
      <c r="K249" s="9" t="n">
        <f aca="false">ROUND(J249/H249,4)</f>
        <v>-0.1181</v>
      </c>
      <c r="L249" s="7" t="s">
        <v>357</v>
      </c>
    </row>
    <row r="250" customFormat="false" ht="15" hidden="false" customHeight="false" outlineLevel="0" collapsed="false">
      <c r="A250" s="7" t="s">
        <v>2380</v>
      </c>
      <c r="B250" s="8" t="n">
        <v>45761</v>
      </c>
      <c r="C250" s="7" t="s">
        <v>31</v>
      </c>
      <c r="D250" s="7" t="s">
        <v>68</v>
      </c>
      <c r="E250" s="7" t="s">
        <v>2019</v>
      </c>
      <c r="F250" s="7"/>
      <c r="G250" s="7" t="s">
        <v>2151</v>
      </c>
      <c r="H250" s="11" t="n">
        <v>5159987</v>
      </c>
      <c r="I250" s="11" t="n">
        <v>5198806</v>
      </c>
      <c r="J250" s="11" t="n">
        <f aca="false">I250-H250</f>
        <v>38819</v>
      </c>
      <c r="K250" s="9" t="n">
        <f aca="false">ROUND(J250/H250,4)</f>
        <v>0.0075</v>
      </c>
      <c r="L250" s="7" t="s">
        <v>339</v>
      </c>
    </row>
    <row r="251" customFormat="false" ht="15" hidden="false" customHeight="false" outlineLevel="0" collapsed="false">
      <c r="A251" s="7" t="s">
        <v>2381</v>
      </c>
      <c r="B251" s="8" t="n">
        <v>45435</v>
      </c>
      <c r="C251" s="7" t="s">
        <v>43</v>
      </c>
      <c r="D251" s="7" t="s">
        <v>83</v>
      </c>
      <c r="E251" s="7" t="s">
        <v>2041</v>
      </c>
      <c r="F251" s="7"/>
      <c r="G251" s="7" t="s">
        <v>2103</v>
      </c>
      <c r="H251" s="11" t="n">
        <v>213314768</v>
      </c>
      <c r="I251" s="11" t="n">
        <v>248578474</v>
      </c>
      <c r="J251" s="11" t="n">
        <f aca="false">I251-H251</f>
        <v>35263706</v>
      </c>
      <c r="K251" s="9" t="n">
        <f aca="false">ROUND(J251/H251,4)</f>
        <v>0.1653</v>
      </c>
      <c r="L251" s="7" t="s">
        <v>355</v>
      </c>
    </row>
    <row r="252" customFormat="false" ht="15" hidden="false" customHeight="false" outlineLevel="0" collapsed="false">
      <c r="A252" s="7" t="s">
        <v>2382</v>
      </c>
      <c r="B252" s="8" t="n">
        <v>45739</v>
      </c>
      <c r="C252" s="7" t="s">
        <v>31</v>
      </c>
      <c r="D252" s="7" t="s">
        <v>60</v>
      </c>
      <c r="E252" s="7" t="s">
        <v>2011</v>
      </c>
      <c r="F252" s="7" t="s">
        <v>115</v>
      </c>
      <c r="G252" s="7" t="s">
        <v>2017</v>
      </c>
      <c r="H252" s="11" t="n">
        <v>193053444</v>
      </c>
      <c r="I252" s="11" t="n">
        <v>220558683</v>
      </c>
      <c r="J252" s="11" t="n">
        <f aca="false">I252-H252</f>
        <v>27505239</v>
      </c>
      <c r="K252" s="9" t="n">
        <f aca="false">ROUND(J252/H252,4)</f>
        <v>0.1425</v>
      </c>
      <c r="L252" s="7" t="s">
        <v>335</v>
      </c>
    </row>
    <row r="253" customFormat="false" ht="15" hidden="false" customHeight="false" outlineLevel="0" collapsed="false">
      <c r="A253" s="7" t="s">
        <v>2383</v>
      </c>
      <c r="B253" s="8" t="n">
        <v>45959</v>
      </c>
      <c r="C253" s="7" t="s">
        <v>34</v>
      </c>
      <c r="D253" s="7" t="s">
        <v>71</v>
      </c>
      <c r="E253" s="7" t="s">
        <v>2014</v>
      </c>
      <c r="F253" s="7" t="s">
        <v>99</v>
      </c>
      <c r="G253" s="7" t="s">
        <v>2093</v>
      </c>
      <c r="H253" s="11" t="n">
        <v>109285996</v>
      </c>
      <c r="I253" s="11" t="n">
        <v>102708973</v>
      </c>
      <c r="J253" s="11" t="n">
        <f aca="false">I253-H253</f>
        <v>-6577023</v>
      </c>
      <c r="K253" s="9" t="n">
        <f aca="false">ROUND(J253/H253,4)</f>
        <v>-0.0602</v>
      </c>
      <c r="L253" s="7" t="s">
        <v>361</v>
      </c>
    </row>
    <row r="254" customFormat="false" ht="15" hidden="false" customHeight="false" outlineLevel="0" collapsed="false">
      <c r="A254" s="7" t="s">
        <v>2384</v>
      </c>
      <c r="B254" s="8" t="n">
        <v>45568</v>
      </c>
      <c r="C254" s="7" t="s">
        <v>49</v>
      </c>
      <c r="D254" s="7" t="s">
        <v>65</v>
      </c>
      <c r="E254" s="7" t="s">
        <v>2011</v>
      </c>
      <c r="F254" s="7" t="s">
        <v>115</v>
      </c>
      <c r="G254" s="7" t="s">
        <v>2239</v>
      </c>
      <c r="H254" s="11" t="n">
        <v>146457005</v>
      </c>
      <c r="I254" s="11" t="n">
        <v>151021402</v>
      </c>
      <c r="J254" s="11" t="n">
        <f aca="false">I254-H254</f>
        <v>4564397</v>
      </c>
      <c r="K254" s="9" t="n">
        <f aca="false">ROUND(J254/H254,4)</f>
        <v>0.0312</v>
      </c>
      <c r="L254" s="7" t="s">
        <v>353</v>
      </c>
    </row>
    <row r="255" customFormat="false" ht="15" hidden="false" customHeight="false" outlineLevel="0" collapsed="false">
      <c r="A255" s="7" t="s">
        <v>2385</v>
      </c>
      <c r="B255" s="8" t="n">
        <v>45760</v>
      </c>
      <c r="C255" s="7" t="s">
        <v>31</v>
      </c>
      <c r="D255" s="7" t="s">
        <v>71</v>
      </c>
      <c r="E255" s="7" t="s">
        <v>2019</v>
      </c>
      <c r="F255" s="7"/>
      <c r="G255" s="7" t="s">
        <v>2151</v>
      </c>
      <c r="H255" s="11" t="n">
        <v>152740045</v>
      </c>
      <c r="I255" s="11" t="n">
        <v>126365385</v>
      </c>
      <c r="J255" s="11" t="n">
        <f aca="false">I255-H255</f>
        <v>-26374660</v>
      </c>
      <c r="K255" s="9" t="n">
        <f aca="false">ROUND(J255/H255,4)</f>
        <v>-0.1727</v>
      </c>
      <c r="L255" s="7" t="s">
        <v>359</v>
      </c>
    </row>
    <row r="256" customFormat="false" ht="15" hidden="false" customHeight="false" outlineLevel="0" collapsed="false">
      <c r="A256" s="7" t="s">
        <v>2386</v>
      </c>
      <c r="B256" s="8" t="n">
        <v>45337</v>
      </c>
      <c r="C256" s="7" t="s">
        <v>37</v>
      </c>
      <c r="D256" s="7" t="s">
        <v>83</v>
      </c>
      <c r="E256" s="7" t="s">
        <v>2011</v>
      </c>
      <c r="F256" s="7" t="s">
        <v>99</v>
      </c>
      <c r="G256" s="7" t="s">
        <v>2130</v>
      </c>
      <c r="H256" s="11" t="n">
        <v>161527408</v>
      </c>
      <c r="I256" s="11" t="n">
        <v>173776252</v>
      </c>
      <c r="J256" s="11" t="n">
        <f aca="false">I256-H256</f>
        <v>12248844</v>
      </c>
      <c r="K256" s="9" t="n">
        <f aca="false">ROUND(J256/H256,4)</f>
        <v>0.0758</v>
      </c>
      <c r="L256" s="7" t="s">
        <v>359</v>
      </c>
    </row>
    <row r="257" customFormat="false" ht="15" hidden="false" customHeight="false" outlineLevel="0" collapsed="false">
      <c r="A257" s="7" t="s">
        <v>2387</v>
      </c>
      <c r="B257" s="8" t="n">
        <v>45399</v>
      </c>
      <c r="C257" s="7" t="s">
        <v>25</v>
      </c>
      <c r="D257" s="7" t="s">
        <v>68</v>
      </c>
      <c r="E257" s="7" t="s">
        <v>2055</v>
      </c>
      <c r="F257" s="7"/>
      <c r="G257" s="7" t="s">
        <v>2269</v>
      </c>
      <c r="H257" s="11" t="n">
        <v>94965811</v>
      </c>
      <c r="I257" s="11" t="n">
        <v>74382900</v>
      </c>
      <c r="J257" s="11" t="n">
        <f aca="false">I257-H257</f>
        <v>-20582911</v>
      </c>
      <c r="K257" s="9" t="n">
        <f aca="false">ROUND(J257/H257,4)</f>
        <v>-0.2167</v>
      </c>
      <c r="L257" s="7" t="s">
        <v>345</v>
      </c>
    </row>
    <row r="258" customFormat="false" ht="15" hidden="false" customHeight="false" outlineLevel="0" collapsed="false">
      <c r="A258" s="7" t="s">
        <v>2388</v>
      </c>
      <c r="B258" s="8" t="n">
        <v>45578</v>
      </c>
      <c r="C258" s="7" t="s">
        <v>25</v>
      </c>
      <c r="D258" s="7" t="s">
        <v>65</v>
      </c>
      <c r="E258" s="7" t="s">
        <v>2011</v>
      </c>
      <c r="F258" s="7" t="s">
        <v>95</v>
      </c>
      <c r="G258" s="7" t="s">
        <v>2239</v>
      </c>
      <c r="H258" s="11" t="n">
        <v>167912103</v>
      </c>
      <c r="I258" s="11" t="n">
        <v>190673381</v>
      </c>
      <c r="J258" s="11" t="n">
        <f aca="false">I258-H258</f>
        <v>22761278</v>
      </c>
      <c r="K258" s="9" t="n">
        <f aca="false">ROUND(J258/H258,4)</f>
        <v>0.1356</v>
      </c>
      <c r="L258" s="7" t="s">
        <v>361</v>
      </c>
    </row>
    <row r="259" customFormat="false" ht="15" hidden="false" customHeight="false" outlineLevel="0" collapsed="false">
      <c r="A259" s="7" t="s">
        <v>2389</v>
      </c>
      <c r="B259" s="8" t="n">
        <v>45873</v>
      </c>
      <c r="C259" s="7" t="s">
        <v>37</v>
      </c>
      <c r="D259" s="7" t="s">
        <v>83</v>
      </c>
      <c r="E259" s="7" t="s">
        <v>2014</v>
      </c>
      <c r="F259" s="7" t="s">
        <v>99</v>
      </c>
      <c r="G259" s="7" t="s">
        <v>2053</v>
      </c>
      <c r="H259" s="11" t="n">
        <v>158723485</v>
      </c>
      <c r="I259" s="11" t="n">
        <v>176634543</v>
      </c>
      <c r="J259" s="11" t="n">
        <f aca="false">I259-H259</f>
        <v>17911058</v>
      </c>
      <c r="K259" s="9" t="n">
        <f aca="false">ROUND(J259/H259,4)</f>
        <v>0.1128</v>
      </c>
      <c r="L259" s="7" t="s">
        <v>329</v>
      </c>
    </row>
    <row r="260" customFormat="false" ht="15" hidden="false" customHeight="false" outlineLevel="0" collapsed="false">
      <c r="A260" s="7" t="s">
        <v>2390</v>
      </c>
      <c r="B260" s="8" t="n">
        <v>45335</v>
      </c>
      <c r="C260" s="7" t="s">
        <v>46</v>
      </c>
      <c r="D260" s="7" t="s">
        <v>60</v>
      </c>
      <c r="E260" s="7" t="s">
        <v>2019</v>
      </c>
      <c r="F260" s="7"/>
      <c r="G260" s="7" t="s">
        <v>2378</v>
      </c>
      <c r="H260" s="11" t="n">
        <v>10787884</v>
      </c>
      <c r="I260" s="11" t="n">
        <v>9346165</v>
      </c>
      <c r="J260" s="11" t="n">
        <f aca="false">I260-H260</f>
        <v>-1441719</v>
      </c>
      <c r="K260" s="9" t="n">
        <f aca="false">ROUND(J260/H260,4)</f>
        <v>-0.1336</v>
      </c>
      <c r="L260" s="7" t="s">
        <v>357</v>
      </c>
    </row>
    <row r="261" customFormat="false" ht="15" hidden="false" customHeight="false" outlineLevel="0" collapsed="false">
      <c r="A261" s="7" t="s">
        <v>2391</v>
      </c>
      <c r="B261" s="8" t="n">
        <v>45666</v>
      </c>
      <c r="C261" s="7" t="s">
        <v>40</v>
      </c>
      <c r="D261" s="7" t="s">
        <v>65</v>
      </c>
      <c r="E261" s="7" t="s">
        <v>2019</v>
      </c>
      <c r="F261" s="7"/>
      <c r="G261" s="7" t="s">
        <v>2200</v>
      </c>
      <c r="H261" s="11" t="n">
        <v>199193958</v>
      </c>
      <c r="I261" s="11" t="n">
        <v>209494145</v>
      </c>
      <c r="J261" s="11" t="n">
        <f aca="false">I261-H261</f>
        <v>10300187</v>
      </c>
      <c r="K261" s="9" t="n">
        <f aca="false">ROUND(J261/H261,4)</f>
        <v>0.0517</v>
      </c>
      <c r="L261" s="7" t="s">
        <v>351</v>
      </c>
    </row>
    <row r="262" customFormat="false" ht="15" hidden="false" customHeight="false" outlineLevel="0" collapsed="false">
      <c r="A262" s="7" t="s">
        <v>2392</v>
      </c>
      <c r="B262" s="8" t="n">
        <v>45292</v>
      </c>
      <c r="C262" s="7" t="s">
        <v>43</v>
      </c>
      <c r="D262" s="7" t="s">
        <v>75</v>
      </c>
      <c r="E262" s="7" t="s">
        <v>2055</v>
      </c>
      <c r="F262" s="7"/>
      <c r="G262" s="7" t="s">
        <v>2225</v>
      </c>
      <c r="H262" s="11" t="n">
        <v>170563070</v>
      </c>
      <c r="I262" s="11" t="n">
        <v>201941430</v>
      </c>
      <c r="J262" s="11" t="n">
        <f aca="false">I262-H262</f>
        <v>31378360</v>
      </c>
      <c r="K262" s="9" t="n">
        <f aca="false">ROUND(J262/H262,4)</f>
        <v>0.184</v>
      </c>
      <c r="L262" s="7" t="s">
        <v>357</v>
      </c>
    </row>
    <row r="263" customFormat="false" ht="15" hidden="false" customHeight="false" outlineLevel="0" collapsed="false">
      <c r="A263" s="7" t="s">
        <v>2393</v>
      </c>
      <c r="B263" s="8" t="n">
        <v>45707</v>
      </c>
      <c r="C263" s="7" t="s">
        <v>46</v>
      </c>
      <c r="D263" s="7" t="s">
        <v>60</v>
      </c>
      <c r="E263" s="7" t="s">
        <v>2024</v>
      </c>
      <c r="F263" s="7" t="s">
        <v>95</v>
      </c>
      <c r="G263" s="7" t="s">
        <v>2227</v>
      </c>
      <c r="H263" s="11" t="n">
        <v>21078516</v>
      </c>
      <c r="I263" s="11" t="n">
        <v>24467674</v>
      </c>
      <c r="J263" s="11" t="n">
        <f aca="false">I263-H263</f>
        <v>3389158</v>
      </c>
      <c r="K263" s="9" t="n">
        <f aca="false">ROUND(J263/H263,4)</f>
        <v>0.1608</v>
      </c>
      <c r="L263" s="7" t="s">
        <v>343</v>
      </c>
    </row>
    <row r="264" customFormat="false" ht="15" hidden="false" customHeight="false" outlineLevel="0" collapsed="false">
      <c r="A264" s="7" t="s">
        <v>2394</v>
      </c>
      <c r="B264" s="8" t="n">
        <v>45322</v>
      </c>
      <c r="C264" s="7" t="s">
        <v>25</v>
      </c>
      <c r="D264" s="7" t="s">
        <v>71</v>
      </c>
      <c r="E264" s="7" t="s">
        <v>2041</v>
      </c>
      <c r="F264" s="7"/>
      <c r="G264" s="7" t="s">
        <v>2317</v>
      </c>
      <c r="H264" s="11" t="n">
        <v>41180136</v>
      </c>
      <c r="I264" s="11" t="n">
        <v>32253787</v>
      </c>
      <c r="J264" s="11" t="n">
        <f aca="false">I264-H264</f>
        <v>-8926349</v>
      </c>
      <c r="K264" s="9" t="n">
        <f aca="false">ROUND(J264/H264,4)</f>
        <v>-0.2168</v>
      </c>
      <c r="L264" s="7" t="s">
        <v>331</v>
      </c>
    </row>
    <row r="265" customFormat="false" ht="15" hidden="false" customHeight="false" outlineLevel="0" collapsed="false">
      <c r="A265" s="7" t="s">
        <v>2395</v>
      </c>
      <c r="B265" s="8" t="n">
        <v>45826</v>
      </c>
      <c r="C265" s="7" t="s">
        <v>46</v>
      </c>
      <c r="D265" s="7" t="s">
        <v>71</v>
      </c>
      <c r="E265" s="7" t="s">
        <v>2011</v>
      </c>
      <c r="F265" s="7" t="s">
        <v>113</v>
      </c>
      <c r="G265" s="7" t="s">
        <v>2396</v>
      </c>
      <c r="H265" s="11" t="n">
        <v>127881909</v>
      </c>
      <c r="I265" s="11" t="n">
        <v>121885268</v>
      </c>
      <c r="J265" s="11" t="n">
        <f aca="false">I265-H265</f>
        <v>-5996641</v>
      </c>
      <c r="K265" s="9" t="n">
        <f aca="false">ROUND(J265/H265,4)</f>
        <v>-0.0469</v>
      </c>
      <c r="L265" s="7" t="s">
        <v>341</v>
      </c>
    </row>
    <row r="266" customFormat="false" ht="15" hidden="false" customHeight="false" outlineLevel="0" collapsed="false">
      <c r="A266" s="7" t="s">
        <v>2397</v>
      </c>
      <c r="B266" s="8" t="n">
        <v>45746</v>
      </c>
      <c r="C266" s="7" t="s">
        <v>25</v>
      </c>
      <c r="D266" s="7" t="s">
        <v>83</v>
      </c>
      <c r="E266" s="7" t="s">
        <v>2041</v>
      </c>
      <c r="F266" s="7"/>
      <c r="G266" s="7" t="s">
        <v>2089</v>
      </c>
      <c r="H266" s="11" t="n">
        <v>155629500</v>
      </c>
      <c r="I266" s="11" t="n">
        <v>132580719</v>
      </c>
      <c r="J266" s="11" t="n">
        <f aca="false">I266-H266</f>
        <v>-23048781</v>
      </c>
      <c r="K266" s="9" t="n">
        <f aca="false">ROUND(J266/H266,4)</f>
        <v>-0.1481</v>
      </c>
      <c r="L266" s="7" t="s">
        <v>347</v>
      </c>
    </row>
    <row r="267" customFormat="false" ht="15" hidden="false" customHeight="false" outlineLevel="0" collapsed="false">
      <c r="A267" s="7" t="s">
        <v>2398</v>
      </c>
      <c r="B267" s="8" t="n">
        <v>45670</v>
      </c>
      <c r="C267" s="7" t="s">
        <v>31</v>
      </c>
      <c r="D267" s="7" t="s">
        <v>65</v>
      </c>
      <c r="E267" s="7" t="s">
        <v>2011</v>
      </c>
      <c r="F267" s="7" t="s">
        <v>99</v>
      </c>
      <c r="G267" s="7" t="s">
        <v>2146</v>
      </c>
      <c r="H267" s="11" t="n">
        <v>97813164</v>
      </c>
      <c r="I267" s="11" t="n">
        <v>81967136</v>
      </c>
      <c r="J267" s="11" t="n">
        <f aca="false">I267-H267</f>
        <v>-15846028</v>
      </c>
      <c r="K267" s="9" t="n">
        <f aca="false">ROUND(J267/H267,4)</f>
        <v>-0.162</v>
      </c>
      <c r="L267" s="7" t="s">
        <v>353</v>
      </c>
    </row>
    <row r="268" customFormat="false" ht="15" hidden="false" customHeight="false" outlineLevel="0" collapsed="false">
      <c r="A268" s="7" t="s">
        <v>2399</v>
      </c>
      <c r="B268" s="8" t="n">
        <v>45900</v>
      </c>
      <c r="C268" s="7" t="s">
        <v>37</v>
      </c>
      <c r="D268" s="7" t="s">
        <v>87</v>
      </c>
      <c r="E268" s="7" t="s">
        <v>2019</v>
      </c>
      <c r="F268" s="7"/>
      <c r="G268" s="7" t="s">
        <v>2400</v>
      </c>
      <c r="H268" s="11" t="n">
        <v>195024192</v>
      </c>
      <c r="I268" s="11" t="n">
        <v>207561614</v>
      </c>
      <c r="J268" s="11" t="n">
        <f aca="false">I268-H268</f>
        <v>12537422</v>
      </c>
      <c r="K268" s="9" t="n">
        <f aca="false">ROUND(J268/H268,4)</f>
        <v>0.0643</v>
      </c>
      <c r="L268" s="7" t="s">
        <v>347</v>
      </c>
    </row>
    <row r="269" customFormat="false" ht="15" hidden="false" customHeight="false" outlineLevel="0" collapsed="false">
      <c r="A269" s="7" t="s">
        <v>2401</v>
      </c>
      <c r="B269" s="8" t="n">
        <v>45734</v>
      </c>
      <c r="C269" s="7" t="s">
        <v>46</v>
      </c>
      <c r="D269" s="7" t="s">
        <v>65</v>
      </c>
      <c r="E269" s="7" t="s">
        <v>2019</v>
      </c>
      <c r="F269" s="7"/>
      <c r="G269" s="7" t="s">
        <v>2214</v>
      </c>
      <c r="H269" s="11" t="n">
        <v>173852359</v>
      </c>
      <c r="I269" s="11" t="n">
        <v>175253355</v>
      </c>
      <c r="J269" s="11" t="n">
        <f aca="false">I269-H269</f>
        <v>1400996</v>
      </c>
      <c r="K269" s="9" t="n">
        <f aca="false">ROUND(J269/H269,4)</f>
        <v>0.0081</v>
      </c>
      <c r="L269" s="7" t="s">
        <v>345</v>
      </c>
    </row>
    <row r="270" customFormat="false" ht="15" hidden="false" customHeight="false" outlineLevel="0" collapsed="false">
      <c r="A270" s="7" t="s">
        <v>2402</v>
      </c>
      <c r="B270" s="8" t="n">
        <v>45428</v>
      </c>
      <c r="C270" s="7" t="s">
        <v>31</v>
      </c>
      <c r="D270" s="7" t="s">
        <v>60</v>
      </c>
      <c r="E270" s="7" t="s">
        <v>2024</v>
      </c>
      <c r="F270" s="7" t="s">
        <v>109</v>
      </c>
      <c r="G270" s="7" t="s">
        <v>2403</v>
      </c>
      <c r="H270" s="11" t="n">
        <v>231596478</v>
      </c>
      <c r="I270" s="11" t="n">
        <v>192078436</v>
      </c>
      <c r="J270" s="11" t="n">
        <f aca="false">I270-H270</f>
        <v>-39518042</v>
      </c>
      <c r="K270" s="9" t="n">
        <f aca="false">ROUND(J270/H270,4)</f>
        <v>-0.1706</v>
      </c>
      <c r="L270" s="7" t="s">
        <v>345</v>
      </c>
    </row>
    <row r="271" customFormat="false" ht="15" hidden="false" customHeight="false" outlineLevel="0" collapsed="false">
      <c r="A271" s="7" t="s">
        <v>2404</v>
      </c>
      <c r="B271" s="8" t="n">
        <v>45704</v>
      </c>
      <c r="C271" s="7" t="s">
        <v>25</v>
      </c>
      <c r="D271" s="7" t="s">
        <v>68</v>
      </c>
      <c r="E271" s="7" t="s">
        <v>2024</v>
      </c>
      <c r="F271" s="7" t="s">
        <v>115</v>
      </c>
      <c r="G271" s="7" t="s">
        <v>2227</v>
      </c>
      <c r="H271" s="11" t="n">
        <v>25670905</v>
      </c>
      <c r="I271" s="11" t="n">
        <v>28894827</v>
      </c>
      <c r="J271" s="11" t="n">
        <f aca="false">I271-H271</f>
        <v>3223922</v>
      </c>
      <c r="K271" s="9" t="n">
        <f aca="false">ROUND(J271/H271,4)</f>
        <v>0.1256</v>
      </c>
      <c r="L271" s="7" t="s">
        <v>357</v>
      </c>
    </row>
    <row r="272" customFormat="false" ht="15" hidden="false" customHeight="false" outlineLevel="0" collapsed="false">
      <c r="A272" s="7" t="s">
        <v>2405</v>
      </c>
      <c r="B272" s="8" t="n">
        <v>45737</v>
      </c>
      <c r="C272" s="7" t="s">
        <v>31</v>
      </c>
      <c r="D272" s="7" t="s">
        <v>79</v>
      </c>
      <c r="E272" s="7" t="s">
        <v>2055</v>
      </c>
      <c r="F272" s="7"/>
      <c r="G272" s="7" t="s">
        <v>2202</v>
      </c>
      <c r="H272" s="11" t="n">
        <v>61484376</v>
      </c>
      <c r="I272" s="11" t="n">
        <v>56731823</v>
      </c>
      <c r="J272" s="11" t="n">
        <f aca="false">I272-H272</f>
        <v>-4752553</v>
      </c>
      <c r="K272" s="9" t="n">
        <f aca="false">ROUND(J272/H272,4)</f>
        <v>-0.0773</v>
      </c>
      <c r="L272" s="7" t="s">
        <v>361</v>
      </c>
    </row>
    <row r="273" customFormat="false" ht="15" hidden="false" customHeight="false" outlineLevel="0" collapsed="false">
      <c r="A273" s="7" t="s">
        <v>2406</v>
      </c>
      <c r="B273" s="8" t="n">
        <v>45943</v>
      </c>
      <c r="C273" s="7" t="s">
        <v>31</v>
      </c>
      <c r="D273" s="7" t="s">
        <v>75</v>
      </c>
      <c r="E273" s="7" t="s">
        <v>2011</v>
      </c>
      <c r="F273" s="7" t="s">
        <v>115</v>
      </c>
      <c r="G273" s="7" t="s">
        <v>2137</v>
      </c>
      <c r="H273" s="11" t="n">
        <v>67620644</v>
      </c>
      <c r="I273" s="11" t="n">
        <v>57076546</v>
      </c>
      <c r="J273" s="11" t="n">
        <f aca="false">I273-H273</f>
        <v>-10544098</v>
      </c>
      <c r="K273" s="9" t="n">
        <f aca="false">ROUND(J273/H273,4)</f>
        <v>-0.1559</v>
      </c>
      <c r="L273" s="7" t="s">
        <v>347</v>
      </c>
    </row>
    <row r="274" customFormat="false" ht="15" hidden="false" customHeight="false" outlineLevel="0" collapsed="false">
      <c r="A274" s="7" t="s">
        <v>2407</v>
      </c>
      <c r="B274" s="8" t="n">
        <v>45952</v>
      </c>
      <c r="C274" s="7" t="s">
        <v>37</v>
      </c>
      <c r="D274" s="7" t="s">
        <v>65</v>
      </c>
      <c r="E274" s="7" t="s">
        <v>2019</v>
      </c>
      <c r="F274" s="7"/>
      <c r="G274" s="7" t="s">
        <v>2282</v>
      </c>
      <c r="H274" s="11" t="n">
        <v>141873106</v>
      </c>
      <c r="I274" s="11" t="n">
        <v>163526468</v>
      </c>
      <c r="J274" s="11" t="n">
        <f aca="false">I274-H274</f>
        <v>21653362</v>
      </c>
      <c r="K274" s="9" t="n">
        <f aca="false">ROUND(J274/H274,4)</f>
        <v>0.1526</v>
      </c>
      <c r="L274" s="7" t="s">
        <v>343</v>
      </c>
    </row>
    <row r="275" customFormat="false" ht="15" hidden="false" customHeight="false" outlineLevel="0" collapsed="false">
      <c r="A275" s="7" t="s">
        <v>2408</v>
      </c>
      <c r="B275" s="8" t="n">
        <v>45443</v>
      </c>
      <c r="C275" s="7" t="s">
        <v>34</v>
      </c>
      <c r="D275" s="7" t="s">
        <v>60</v>
      </c>
      <c r="E275" s="7" t="s">
        <v>2014</v>
      </c>
      <c r="F275" s="7" t="s">
        <v>106</v>
      </c>
      <c r="G275" s="7" t="s">
        <v>2049</v>
      </c>
      <c r="H275" s="11" t="n">
        <v>88104048</v>
      </c>
      <c r="I275" s="11" t="n">
        <v>80252159</v>
      </c>
      <c r="J275" s="11" t="n">
        <f aca="false">I275-H275</f>
        <v>-7851889</v>
      </c>
      <c r="K275" s="9" t="n">
        <f aca="false">ROUND(J275/H275,4)</f>
        <v>-0.0891</v>
      </c>
      <c r="L275" s="7" t="s">
        <v>343</v>
      </c>
    </row>
    <row r="276" customFormat="false" ht="15" hidden="false" customHeight="false" outlineLevel="0" collapsed="false">
      <c r="A276" s="7" t="s">
        <v>2409</v>
      </c>
      <c r="B276" s="8" t="n">
        <v>45351</v>
      </c>
      <c r="C276" s="7" t="s">
        <v>25</v>
      </c>
      <c r="D276" s="7" t="s">
        <v>83</v>
      </c>
      <c r="E276" s="7" t="s">
        <v>2011</v>
      </c>
      <c r="F276" s="7" t="s">
        <v>104</v>
      </c>
      <c r="G276" s="7" t="s">
        <v>2130</v>
      </c>
      <c r="H276" s="11" t="n">
        <v>188118551</v>
      </c>
      <c r="I276" s="11" t="n">
        <v>220918109</v>
      </c>
      <c r="J276" s="11" t="n">
        <f aca="false">I276-H276</f>
        <v>32799558</v>
      </c>
      <c r="K276" s="9" t="n">
        <f aca="false">ROUND(J276/H276,4)</f>
        <v>0.1744</v>
      </c>
      <c r="L276" s="7" t="s">
        <v>343</v>
      </c>
    </row>
    <row r="277" customFormat="false" ht="15" hidden="false" customHeight="false" outlineLevel="0" collapsed="false">
      <c r="A277" s="7" t="s">
        <v>2410</v>
      </c>
      <c r="B277" s="8" t="n">
        <v>45516</v>
      </c>
      <c r="C277" s="7" t="s">
        <v>25</v>
      </c>
      <c r="D277" s="7" t="s">
        <v>75</v>
      </c>
      <c r="E277" s="7" t="s">
        <v>2019</v>
      </c>
      <c r="F277" s="7"/>
      <c r="G277" s="7" t="s">
        <v>2411</v>
      </c>
      <c r="H277" s="11" t="n">
        <v>59259872</v>
      </c>
      <c r="I277" s="11" t="n">
        <v>63049227</v>
      </c>
      <c r="J277" s="11" t="n">
        <f aca="false">I277-H277</f>
        <v>3789355</v>
      </c>
      <c r="K277" s="9" t="n">
        <f aca="false">ROUND(J277/H277,4)</f>
        <v>0.0639</v>
      </c>
      <c r="L277" s="7" t="s">
        <v>341</v>
      </c>
    </row>
    <row r="278" customFormat="false" ht="15" hidden="false" customHeight="false" outlineLevel="0" collapsed="false">
      <c r="A278" s="7" t="s">
        <v>2412</v>
      </c>
      <c r="B278" s="8" t="n">
        <v>45388</v>
      </c>
      <c r="C278" s="7" t="s">
        <v>31</v>
      </c>
      <c r="D278" s="7" t="s">
        <v>79</v>
      </c>
      <c r="E278" s="7" t="s">
        <v>2019</v>
      </c>
      <c r="F278" s="7"/>
      <c r="G278" s="7" t="s">
        <v>2134</v>
      </c>
      <c r="H278" s="11" t="n">
        <v>197429488</v>
      </c>
      <c r="I278" s="11" t="n">
        <v>189850521</v>
      </c>
      <c r="J278" s="11" t="n">
        <f aca="false">I278-H278</f>
        <v>-7578967</v>
      </c>
      <c r="K278" s="9" t="n">
        <f aca="false">ROUND(J278/H278,4)</f>
        <v>-0.0384</v>
      </c>
      <c r="L278" s="7" t="s">
        <v>343</v>
      </c>
    </row>
    <row r="279" customFormat="false" ht="15" hidden="false" customHeight="false" outlineLevel="0" collapsed="false">
      <c r="A279" s="7" t="s">
        <v>2413</v>
      </c>
      <c r="B279" s="8" t="n">
        <v>46015</v>
      </c>
      <c r="C279" s="7" t="s">
        <v>25</v>
      </c>
      <c r="D279" s="7" t="s">
        <v>60</v>
      </c>
      <c r="E279" s="7" t="s">
        <v>2041</v>
      </c>
      <c r="F279" s="7"/>
      <c r="G279" s="7" t="s">
        <v>2107</v>
      </c>
      <c r="H279" s="11" t="n">
        <v>214771558</v>
      </c>
      <c r="I279" s="11" t="n">
        <v>233557206</v>
      </c>
      <c r="J279" s="11" t="n">
        <f aca="false">I279-H279</f>
        <v>18785648</v>
      </c>
      <c r="K279" s="9" t="n">
        <f aca="false">ROUND(J279/H279,4)</f>
        <v>0.0875</v>
      </c>
      <c r="L279" s="7" t="s">
        <v>347</v>
      </c>
    </row>
    <row r="280" customFormat="false" ht="15" hidden="false" customHeight="false" outlineLevel="0" collapsed="false">
      <c r="A280" s="7" t="s">
        <v>2414</v>
      </c>
      <c r="B280" s="8" t="n">
        <v>45505</v>
      </c>
      <c r="C280" s="7" t="s">
        <v>31</v>
      </c>
      <c r="D280" s="7" t="s">
        <v>65</v>
      </c>
      <c r="E280" s="7" t="s">
        <v>2055</v>
      </c>
      <c r="F280" s="7"/>
      <c r="G280" s="7" t="s">
        <v>2080</v>
      </c>
      <c r="H280" s="11" t="n">
        <v>71751138</v>
      </c>
      <c r="I280" s="11" t="n">
        <v>59356060</v>
      </c>
      <c r="J280" s="11" t="n">
        <f aca="false">I280-H280</f>
        <v>-12395078</v>
      </c>
      <c r="K280" s="9" t="n">
        <f aca="false">ROUND(J280/H280,4)</f>
        <v>-0.1728</v>
      </c>
      <c r="L280" s="7" t="s">
        <v>329</v>
      </c>
    </row>
    <row r="281" customFormat="false" ht="15" hidden="false" customHeight="false" outlineLevel="0" collapsed="false">
      <c r="A281" s="7" t="s">
        <v>2415</v>
      </c>
      <c r="B281" s="8" t="n">
        <v>45533</v>
      </c>
      <c r="C281" s="7" t="s">
        <v>25</v>
      </c>
      <c r="D281" s="7" t="s">
        <v>87</v>
      </c>
      <c r="E281" s="7" t="s">
        <v>2024</v>
      </c>
      <c r="F281" s="7" t="s">
        <v>113</v>
      </c>
      <c r="G281" s="7" t="s">
        <v>2097</v>
      </c>
      <c r="H281" s="11" t="n">
        <v>152896015</v>
      </c>
      <c r="I281" s="11" t="n">
        <v>136618191</v>
      </c>
      <c r="J281" s="11" t="n">
        <f aca="false">I281-H281</f>
        <v>-16277824</v>
      </c>
      <c r="K281" s="9" t="n">
        <f aca="false">ROUND(J281/H281,4)</f>
        <v>-0.1065</v>
      </c>
      <c r="L281" s="7" t="s">
        <v>331</v>
      </c>
    </row>
    <row r="282" customFormat="false" ht="15" hidden="false" customHeight="false" outlineLevel="0" collapsed="false">
      <c r="A282" s="7" t="s">
        <v>2416</v>
      </c>
      <c r="B282" s="8" t="n">
        <v>45973</v>
      </c>
      <c r="C282" s="7" t="s">
        <v>25</v>
      </c>
      <c r="D282" s="7" t="s">
        <v>75</v>
      </c>
      <c r="E282" s="7" t="s">
        <v>2014</v>
      </c>
      <c r="F282" s="7" t="s">
        <v>104</v>
      </c>
      <c r="G282" s="7" t="s">
        <v>2284</v>
      </c>
      <c r="H282" s="11" t="n">
        <v>29422060</v>
      </c>
      <c r="I282" s="11" t="n">
        <v>26618470</v>
      </c>
      <c r="J282" s="11" t="n">
        <f aca="false">I282-H282</f>
        <v>-2803590</v>
      </c>
      <c r="K282" s="9" t="n">
        <f aca="false">ROUND(J282/H282,4)</f>
        <v>-0.0953</v>
      </c>
      <c r="L282" s="7" t="s">
        <v>355</v>
      </c>
    </row>
    <row r="283" customFormat="false" ht="15" hidden="false" customHeight="false" outlineLevel="0" collapsed="false">
      <c r="A283" s="7" t="s">
        <v>2417</v>
      </c>
      <c r="B283" s="8" t="n">
        <v>45476</v>
      </c>
      <c r="C283" s="7" t="s">
        <v>40</v>
      </c>
      <c r="D283" s="7" t="s">
        <v>87</v>
      </c>
      <c r="E283" s="7" t="s">
        <v>2041</v>
      </c>
      <c r="F283" s="7"/>
      <c r="G283" s="7" t="s">
        <v>2418</v>
      </c>
      <c r="H283" s="11" t="n">
        <v>127027540</v>
      </c>
      <c r="I283" s="11" t="n">
        <v>113963373</v>
      </c>
      <c r="J283" s="11" t="n">
        <f aca="false">I283-H283</f>
        <v>-13064167</v>
      </c>
      <c r="K283" s="9" t="n">
        <f aca="false">ROUND(J283/H283,4)</f>
        <v>-0.1028</v>
      </c>
      <c r="L283" s="7" t="s">
        <v>361</v>
      </c>
    </row>
    <row r="284" customFormat="false" ht="15" hidden="false" customHeight="false" outlineLevel="0" collapsed="false">
      <c r="A284" s="7" t="s">
        <v>2419</v>
      </c>
      <c r="B284" s="8" t="n">
        <v>45533</v>
      </c>
      <c r="C284" s="7" t="s">
        <v>43</v>
      </c>
      <c r="D284" s="7" t="s">
        <v>71</v>
      </c>
      <c r="E284" s="7" t="s">
        <v>2041</v>
      </c>
      <c r="F284" s="7"/>
      <c r="G284" s="7" t="s">
        <v>2046</v>
      </c>
      <c r="H284" s="11" t="n">
        <v>172391122</v>
      </c>
      <c r="I284" s="11" t="n">
        <v>139738549</v>
      </c>
      <c r="J284" s="11" t="n">
        <f aca="false">I284-H284</f>
        <v>-32652573</v>
      </c>
      <c r="K284" s="9" t="n">
        <f aca="false">ROUND(J284/H284,4)</f>
        <v>-0.1894</v>
      </c>
      <c r="L284" s="7" t="s">
        <v>333</v>
      </c>
    </row>
    <row r="285" customFormat="false" ht="15" hidden="false" customHeight="false" outlineLevel="0" collapsed="false">
      <c r="A285" s="7" t="s">
        <v>2420</v>
      </c>
      <c r="B285" s="8" t="n">
        <v>45713</v>
      </c>
      <c r="C285" s="7" t="s">
        <v>31</v>
      </c>
      <c r="D285" s="7" t="s">
        <v>83</v>
      </c>
      <c r="E285" s="7" t="s">
        <v>2014</v>
      </c>
      <c r="F285" s="7" t="s">
        <v>102</v>
      </c>
      <c r="G285" s="7" t="s">
        <v>2421</v>
      </c>
      <c r="H285" s="11" t="n">
        <v>156461755</v>
      </c>
      <c r="I285" s="11" t="n">
        <v>123755893</v>
      </c>
      <c r="J285" s="11" t="n">
        <f aca="false">I285-H285</f>
        <v>-32705862</v>
      </c>
      <c r="K285" s="9" t="n">
        <f aca="false">ROUND(J285/H285,4)</f>
        <v>-0.209</v>
      </c>
      <c r="L285" s="7" t="s">
        <v>353</v>
      </c>
    </row>
    <row r="286" customFormat="false" ht="15" hidden="false" customHeight="false" outlineLevel="0" collapsed="false">
      <c r="A286" s="7" t="s">
        <v>2422</v>
      </c>
      <c r="B286" s="8" t="n">
        <v>45498</v>
      </c>
      <c r="C286" s="7" t="s">
        <v>31</v>
      </c>
      <c r="D286" s="7" t="s">
        <v>65</v>
      </c>
      <c r="E286" s="7" t="s">
        <v>2055</v>
      </c>
      <c r="F286" s="7"/>
      <c r="G286" s="7" t="s">
        <v>2423</v>
      </c>
      <c r="H286" s="11" t="n">
        <v>119512514</v>
      </c>
      <c r="I286" s="11" t="n">
        <v>109504524</v>
      </c>
      <c r="J286" s="11" t="n">
        <f aca="false">I286-H286</f>
        <v>-10007990</v>
      </c>
      <c r="K286" s="9" t="n">
        <f aca="false">ROUND(J286/H286,4)</f>
        <v>-0.0837</v>
      </c>
      <c r="L286" s="7" t="s">
        <v>339</v>
      </c>
    </row>
    <row r="287" customFormat="false" ht="15" hidden="false" customHeight="false" outlineLevel="0" collapsed="false">
      <c r="A287" s="7" t="s">
        <v>2424</v>
      </c>
      <c r="B287" s="8" t="n">
        <v>45489</v>
      </c>
      <c r="C287" s="7" t="s">
        <v>52</v>
      </c>
      <c r="D287" s="7" t="s">
        <v>68</v>
      </c>
      <c r="E287" s="7" t="s">
        <v>2041</v>
      </c>
      <c r="F287" s="7"/>
      <c r="G287" s="7" t="s">
        <v>2418</v>
      </c>
      <c r="H287" s="11" t="n">
        <v>60924028</v>
      </c>
      <c r="I287" s="11" t="n">
        <v>52063138</v>
      </c>
      <c r="J287" s="11" t="n">
        <f aca="false">I287-H287</f>
        <v>-8860890</v>
      </c>
      <c r="K287" s="9" t="n">
        <f aca="false">ROUND(J287/H287,4)</f>
        <v>-0.1454</v>
      </c>
      <c r="L287" s="7" t="s">
        <v>331</v>
      </c>
    </row>
    <row r="288" customFormat="false" ht="15" hidden="false" customHeight="false" outlineLevel="0" collapsed="false">
      <c r="A288" s="7" t="s">
        <v>2425</v>
      </c>
      <c r="B288" s="8" t="n">
        <v>45998</v>
      </c>
      <c r="C288" s="7" t="s">
        <v>43</v>
      </c>
      <c r="D288" s="7" t="s">
        <v>60</v>
      </c>
      <c r="E288" s="7" t="s">
        <v>2041</v>
      </c>
      <c r="F288" s="7"/>
      <c r="G288" s="7" t="s">
        <v>2107</v>
      </c>
      <c r="H288" s="11" t="n">
        <v>2347142</v>
      </c>
      <c r="I288" s="11" t="n">
        <v>1809326</v>
      </c>
      <c r="J288" s="11" t="n">
        <f aca="false">I288-H288</f>
        <v>-537816</v>
      </c>
      <c r="K288" s="9" t="n">
        <f aca="false">ROUND(J288/H288,4)</f>
        <v>-0.2291</v>
      </c>
      <c r="L288" s="7" t="s">
        <v>329</v>
      </c>
    </row>
    <row r="289" customFormat="false" ht="15" hidden="false" customHeight="false" outlineLevel="0" collapsed="false">
      <c r="A289" s="7" t="s">
        <v>2426</v>
      </c>
      <c r="B289" s="8" t="n">
        <v>45819</v>
      </c>
      <c r="C289" s="7" t="s">
        <v>49</v>
      </c>
      <c r="D289" s="7" t="s">
        <v>87</v>
      </c>
      <c r="E289" s="7" t="s">
        <v>2019</v>
      </c>
      <c r="F289" s="7"/>
      <c r="G289" s="7" t="s">
        <v>2078</v>
      </c>
      <c r="H289" s="11" t="n">
        <v>17600286</v>
      </c>
      <c r="I289" s="11" t="n">
        <v>13888584</v>
      </c>
      <c r="J289" s="11" t="n">
        <f aca="false">I289-H289</f>
        <v>-3711702</v>
      </c>
      <c r="K289" s="9" t="n">
        <f aca="false">ROUND(J289/H289,4)</f>
        <v>-0.2109</v>
      </c>
      <c r="L289" s="7" t="s">
        <v>337</v>
      </c>
    </row>
    <row r="290" customFormat="false" ht="15" hidden="false" customHeight="false" outlineLevel="0" collapsed="false">
      <c r="A290" s="7" t="s">
        <v>2427</v>
      </c>
      <c r="B290" s="8" t="n">
        <v>45985</v>
      </c>
      <c r="C290" s="7" t="s">
        <v>40</v>
      </c>
      <c r="D290" s="7" t="s">
        <v>71</v>
      </c>
      <c r="E290" s="7" t="s">
        <v>2019</v>
      </c>
      <c r="F290" s="7"/>
      <c r="G290" s="7" t="s">
        <v>2323</v>
      </c>
      <c r="H290" s="11" t="n">
        <v>94736032</v>
      </c>
      <c r="I290" s="11" t="n">
        <v>104242100</v>
      </c>
      <c r="J290" s="11" t="n">
        <f aca="false">I290-H290</f>
        <v>9506068</v>
      </c>
      <c r="K290" s="9" t="n">
        <f aca="false">ROUND(J290/H290,4)</f>
        <v>0.1003</v>
      </c>
      <c r="L290" s="7" t="s">
        <v>355</v>
      </c>
    </row>
    <row r="291" customFormat="false" ht="15" hidden="false" customHeight="false" outlineLevel="0" collapsed="false">
      <c r="A291" s="7" t="s">
        <v>2428</v>
      </c>
      <c r="B291" s="8" t="n">
        <v>45606</v>
      </c>
      <c r="C291" s="7" t="s">
        <v>49</v>
      </c>
      <c r="D291" s="7" t="s">
        <v>68</v>
      </c>
      <c r="E291" s="7" t="s">
        <v>2014</v>
      </c>
      <c r="F291" s="7" t="s">
        <v>113</v>
      </c>
      <c r="G291" s="7" t="s">
        <v>2015</v>
      </c>
      <c r="H291" s="11" t="n">
        <v>238253137</v>
      </c>
      <c r="I291" s="11" t="n">
        <v>248014180</v>
      </c>
      <c r="J291" s="11" t="n">
        <f aca="false">I291-H291</f>
        <v>9761043</v>
      </c>
      <c r="K291" s="9" t="n">
        <f aca="false">ROUND(J291/H291,4)</f>
        <v>0.041</v>
      </c>
      <c r="L291" s="7" t="s">
        <v>339</v>
      </c>
    </row>
    <row r="292" customFormat="false" ht="15" hidden="false" customHeight="false" outlineLevel="0" collapsed="false">
      <c r="A292" s="7" t="s">
        <v>2429</v>
      </c>
      <c r="B292" s="8" t="n">
        <v>45661</v>
      </c>
      <c r="C292" s="7" t="s">
        <v>31</v>
      </c>
      <c r="D292" s="7" t="s">
        <v>71</v>
      </c>
      <c r="E292" s="7" t="s">
        <v>2024</v>
      </c>
      <c r="F292" s="7" t="s">
        <v>99</v>
      </c>
      <c r="G292" s="7" t="s">
        <v>2289</v>
      </c>
      <c r="H292" s="11" t="n">
        <v>144535223</v>
      </c>
      <c r="I292" s="11" t="n">
        <v>108564666</v>
      </c>
      <c r="J292" s="11" t="n">
        <f aca="false">I292-H292</f>
        <v>-35970557</v>
      </c>
      <c r="K292" s="9" t="n">
        <f aca="false">ROUND(J292/H292,4)</f>
        <v>-0.2489</v>
      </c>
      <c r="L292" s="7" t="s">
        <v>349</v>
      </c>
    </row>
    <row r="293" customFormat="false" ht="15" hidden="false" customHeight="false" outlineLevel="0" collapsed="false">
      <c r="A293" s="7" t="s">
        <v>2430</v>
      </c>
      <c r="B293" s="8" t="n">
        <v>45469</v>
      </c>
      <c r="C293" s="7" t="s">
        <v>52</v>
      </c>
      <c r="D293" s="7" t="s">
        <v>68</v>
      </c>
      <c r="E293" s="7" t="s">
        <v>2011</v>
      </c>
      <c r="F293" s="7" t="s">
        <v>115</v>
      </c>
      <c r="G293" s="7" t="s">
        <v>2118</v>
      </c>
      <c r="H293" s="11" t="n">
        <v>240900923</v>
      </c>
      <c r="I293" s="11" t="n">
        <v>239292882</v>
      </c>
      <c r="J293" s="11" t="n">
        <f aca="false">I293-H293</f>
        <v>-1608041</v>
      </c>
      <c r="K293" s="9" t="n">
        <f aca="false">ROUND(J293/H293,4)</f>
        <v>-0.0067</v>
      </c>
      <c r="L293" s="7" t="s">
        <v>341</v>
      </c>
    </row>
    <row r="294" customFormat="false" ht="15" hidden="false" customHeight="false" outlineLevel="0" collapsed="false">
      <c r="A294" s="7" t="s">
        <v>2431</v>
      </c>
      <c r="B294" s="8" t="n">
        <v>45397</v>
      </c>
      <c r="C294" s="7" t="s">
        <v>25</v>
      </c>
      <c r="D294" s="7" t="s">
        <v>87</v>
      </c>
      <c r="E294" s="7" t="s">
        <v>2055</v>
      </c>
      <c r="F294" s="7"/>
      <c r="G294" s="7" t="s">
        <v>2269</v>
      </c>
      <c r="H294" s="11" t="n">
        <v>83574666</v>
      </c>
      <c r="I294" s="11" t="n">
        <v>89874297</v>
      </c>
      <c r="J294" s="11" t="n">
        <f aca="false">I294-H294</f>
        <v>6299631</v>
      </c>
      <c r="K294" s="9" t="n">
        <f aca="false">ROUND(J294/H294,4)</f>
        <v>0.0754</v>
      </c>
      <c r="L294" s="7" t="s">
        <v>337</v>
      </c>
    </row>
    <row r="295" customFormat="false" ht="15" hidden="false" customHeight="false" outlineLevel="0" collapsed="false">
      <c r="A295" s="7" t="s">
        <v>2432</v>
      </c>
      <c r="B295" s="8" t="n">
        <v>46014</v>
      </c>
      <c r="C295" s="7" t="s">
        <v>49</v>
      </c>
      <c r="D295" s="7" t="s">
        <v>71</v>
      </c>
      <c r="E295" s="7" t="s">
        <v>2055</v>
      </c>
      <c r="F295" s="7"/>
      <c r="G295" s="7" t="s">
        <v>2248</v>
      </c>
      <c r="H295" s="11" t="n">
        <v>229718831</v>
      </c>
      <c r="I295" s="11" t="n">
        <v>191960837</v>
      </c>
      <c r="J295" s="11" t="n">
        <f aca="false">I295-H295</f>
        <v>-37757994</v>
      </c>
      <c r="K295" s="9" t="n">
        <f aca="false">ROUND(J295/H295,4)</f>
        <v>-0.1644</v>
      </c>
      <c r="L295" s="7" t="s">
        <v>357</v>
      </c>
    </row>
    <row r="296" customFormat="false" ht="15" hidden="false" customHeight="false" outlineLevel="0" collapsed="false">
      <c r="A296" s="7" t="s">
        <v>2433</v>
      </c>
      <c r="B296" s="8" t="n">
        <v>45426</v>
      </c>
      <c r="C296" s="7" t="s">
        <v>46</v>
      </c>
      <c r="D296" s="7" t="s">
        <v>83</v>
      </c>
      <c r="E296" s="7" t="s">
        <v>2024</v>
      </c>
      <c r="F296" s="7" t="s">
        <v>104</v>
      </c>
      <c r="G296" s="7" t="s">
        <v>2403</v>
      </c>
      <c r="H296" s="11" t="n">
        <v>139618148</v>
      </c>
      <c r="I296" s="11" t="n">
        <v>111033595</v>
      </c>
      <c r="J296" s="11" t="n">
        <f aca="false">I296-H296</f>
        <v>-28584553</v>
      </c>
      <c r="K296" s="9" t="n">
        <f aca="false">ROUND(J296/H296,4)</f>
        <v>-0.2047</v>
      </c>
      <c r="L296" s="7" t="s">
        <v>351</v>
      </c>
    </row>
    <row r="297" customFormat="false" ht="15" hidden="false" customHeight="false" outlineLevel="0" collapsed="false">
      <c r="A297" s="7" t="s">
        <v>2434</v>
      </c>
      <c r="B297" s="8" t="n">
        <v>45873</v>
      </c>
      <c r="C297" s="7" t="s">
        <v>40</v>
      </c>
      <c r="D297" s="7" t="s">
        <v>83</v>
      </c>
      <c r="E297" s="7" t="s">
        <v>2011</v>
      </c>
      <c r="F297" s="7" t="s">
        <v>104</v>
      </c>
      <c r="G297" s="7" t="s">
        <v>2233</v>
      </c>
      <c r="H297" s="11" t="n">
        <v>92923868</v>
      </c>
      <c r="I297" s="11" t="n">
        <v>106149515</v>
      </c>
      <c r="J297" s="11" t="n">
        <f aca="false">I297-H297</f>
        <v>13225647</v>
      </c>
      <c r="K297" s="9" t="n">
        <f aca="false">ROUND(J297/H297,4)</f>
        <v>0.1423</v>
      </c>
      <c r="L297" s="7" t="s">
        <v>359</v>
      </c>
    </row>
    <row r="298" customFormat="false" ht="15" hidden="false" customHeight="false" outlineLevel="0" collapsed="false">
      <c r="A298" s="7" t="s">
        <v>2435</v>
      </c>
      <c r="B298" s="8" t="n">
        <v>45301</v>
      </c>
      <c r="C298" s="7" t="s">
        <v>40</v>
      </c>
      <c r="D298" s="7" t="s">
        <v>75</v>
      </c>
      <c r="E298" s="7" t="s">
        <v>2014</v>
      </c>
      <c r="F298" s="7" t="s">
        <v>115</v>
      </c>
      <c r="G298" s="7" t="s">
        <v>2436</v>
      </c>
      <c r="H298" s="11" t="n">
        <v>135345836</v>
      </c>
      <c r="I298" s="11" t="n">
        <v>119138925</v>
      </c>
      <c r="J298" s="11" t="n">
        <f aca="false">I298-H298</f>
        <v>-16206911</v>
      </c>
      <c r="K298" s="9" t="n">
        <f aca="false">ROUND(J298/H298,4)</f>
        <v>-0.1197</v>
      </c>
      <c r="L298" s="7" t="s">
        <v>345</v>
      </c>
    </row>
    <row r="299" customFormat="false" ht="15" hidden="false" customHeight="false" outlineLevel="0" collapsed="false">
      <c r="A299" s="7" t="s">
        <v>2437</v>
      </c>
      <c r="B299" s="8" t="n">
        <v>45378</v>
      </c>
      <c r="C299" s="7" t="s">
        <v>37</v>
      </c>
      <c r="D299" s="7" t="s">
        <v>83</v>
      </c>
      <c r="E299" s="7" t="s">
        <v>2019</v>
      </c>
      <c r="F299" s="7"/>
      <c r="G299" s="7" t="s">
        <v>2364</v>
      </c>
      <c r="H299" s="11" t="n">
        <v>122187631</v>
      </c>
      <c r="I299" s="11" t="n">
        <v>125116702</v>
      </c>
      <c r="J299" s="11" t="n">
        <f aca="false">I299-H299</f>
        <v>2929071</v>
      </c>
      <c r="K299" s="9" t="n">
        <f aca="false">ROUND(J299/H299,4)</f>
        <v>0.024</v>
      </c>
      <c r="L299" s="7" t="s">
        <v>335</v>
      </c>
    </row>
    <row r="300" customFormat="false" ht="15" hidden="false" customHeight="false" outlineLevel="0" collapsed="false">
      <c r="A300" s="7" t="s">
        <v>2438</v>
      </c>
      <c r="B300" s="8" t="n">
        <v>45509</v>
      </c>
      <c r="C300" s="7" t="s">
        <v>49</v>
      </c>
      <c r="D300" s="7" t="s">
        <v>60</v>
      </c>
      <c r="E300" s="7" t="s">
        <v>2014</v>
      </c>
      <c r="F300" s="7" t="s">
        <v>113</v>
      </c>
      <c r="G300" s="7" t="s">
        <v>2439</v>
      </c>
      <c r="H300" s="11" t="n">
        <v>236435210</v>
      </c>
      <c r="I300" s="11" t="n">
        <v>252963059</v>
      </c>
      <c r="J300" s="11" t="n">
        <f aca="false">I300-H300</f>
        <v>16527849</v>
      </c>
      <c r="K300" s="9" t="n">
        <f aca="false">ROUND(J300/H300,4)</f>
        <v>0.0699</v>
      </c>
      <c r="L300" s="7" t="s">
        <v>355</v>
      </c>
    </row>
    <row r="301" customFormat="false" ht="15" hidden="false" customHeight="false" outlineLevel="0" collapsed="false">
      <c r="A301" s="7" t="s">
        <v>2440</v>
      </c>
      <c r="B301" s="8" t="n">
        <v>45541</v>
      </c>
      <c r="C301" s="7" t="s">
        <v>37</v>
      </c>
      <c r="D301" s="7" t="s">
        <v>65</v>
      </c>
      <c r="E301" s="7" t="s">
        <v>2055</v>
      </c>
      <c r="F301" s="7"/>
      <c r="G301" s="7" t="s">
        <v>2071</v>
      </c>
      <c r="H301" s="11" t="n">
        <v>206267384</v>
      </c>
      <c r="I301" s="11" t="n">
        <v>200813130</v>
      </c>
      <c r="J301" s="11" t="n">
        <f aca="false">I301-H301</f>
        <v>-5454254</v>
      </c>
      <c r="K301" s="9" t="n">
        <f aca="false">ROUND(J301/H301,4)</f>
        <v>-0.0264</v>
      </c>
      <c r="L301" s="7" t="s">
        <v>341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1"/>
    <col collapsed="false" customWidth="true" hidden="false" outlineLevel="0" max="4" min="4" style="0" width="9"/>
    <col collapsed="false" customWidth="true" hidden="false" outlineLevel="0" max="5" min="5" style="0" width="10"/>
    <col collapsed="false" customWidth="true" hidden="false" outlineLevel="0" max="6" min="6" style="0" width="20"/>
    <col collapsed="false" customWidth="true" hidden="false" outlineLevel="0" max="7" min="7" style="0" width="13"/>
    <col collapsed="false" customWidth="true" hidden="false" outlineLevel="0" max="8" min="8" style="0" width="15"/>
    <col collapsed="false" customWidth="true" hidden="false" outlineLevel="0" max="9" min="9" style="0" width="18"/>
    <col collapsed="false" customWidth="true" hidden="false" outlineLevel="0" max="10" min="10" style="0" width="16"/>
    <col collapsed="false" customWidth="true" hidden="false" outlineLevel="0" max="11" min="11" style="0" width="13"/>
  </cols>
  <sheetData>
    <row r="1" customFormat="false" ht="23.85" hidden="false" customHeight="false" outlineLevel="0" collapsed="false">
      <c r="A1" s="6" t="s">
        <v>2441</v>
      </c>
      <c r="B1" s="6" t="s">
        <v>444</v>
      </c>
      <c r="C1" s="6" t="s">
        <v>118</v>
      </c>
      <c r="D1" s="6" t="s">
        <v>21</v>
      </c>
      <c r="E1" s="6" t="s">
        <v>55</v>
      </c>
      <c r="F1" s="6" t="s">
        <v>2442</v>
      </c>
      <c r="G1" s="6" t="s">
        <v>2443</v>
      </c>
      <c r="H1" s="6" t="s">
        <v>2444</v>
      </c>
      <c r="I1" s="6" t="s">
        <v>2445</v>
      </c>
      <c r="J1" s="6" t="s">
        <v>2446</v>
      </c>
      <c r="K1" s="6" t="s">
        <v>2447</v>
      </c>
    </row>
    <row r="2" customFormat="false" ht="15" hidden="false" customHeight="false" outlineLevel="0" collapsed="false">
      <c r="A2" s="7" t="s">
        <v>2448</v>
      </c>
      <c r="B2" s="8" t="n">
        <v>45658</v>
      </c>
      <c r="C2" s="7" t="s">
        <v>367</v>
      </c>
      <c r="D2" s="7" t="s">
        <v>46</v>
      </c>
      <c r="E2" s="7" t="s">
        <v>65</v>
      </c>
      <c r="F2" s="7" t="s">
        <v>2449</v>
      </c>
      <c r="G2" s="7" t="n">
        <v>40</v>
      </c>
      <c r="H2" s="7" t="n">
        <v>134880</v>
      </c>
      <c r="I2" s="7" t="n">
        <v>2</v>
      </c>
      <c r="J2" s="7" t="n">
        <v>24</v>
      </c>
      <c r="K2" s="7" t="s">
        <v>1005</v>
      </c>
    </row>
    <row r="3" customFormat="false" ht="15" hidden="false" customHeight="false" outlineLevel="0" collapsed="false">
      <c r="A3" s="7" t="s">
        <v>2450</v>
      </c>
      <c r="B3" s="8" t="n">
        <v>45723</v>
      </c>
      <c r="C3" s="7" t="s">
        <v>273</v>
      </c>
      <c r="D3" s="7" t="s">
        <v>37</v>
      </c>
      <c r="E3" s="7" t="s">
        <v>83</v>
      </c>
      <c r="F3" s="7" t="s">
        <v>2451</v>
      </c>
      <c r="G3" s="7" t="n">
        <v>8</v>
      </c>
      <c r="H3" s="7" t="n">
        <v>56856</v>
      </c>
      <c r="I3" s="7" t="n">
        <v>5</v>
      </c>
      <c r="J3" s="7" t="n">
        <v>9</v>
      </c>
      <c r="K3" s="7" t="s">
        <v>1005</v>
      </c>
    </row>
    <row r="4" customFormat="false" ht="15" hidden="false" customHeight="false" outlineLevel="0" collapsed="false">
      <c r="A4" s="7" t="s">
        <v>2452</v>
      </c>
      <c r="B4" s="8" t="n">
        <v>45601</v>
      </c>
      <c r="C4" s="7" t="s">
        <v>245</v>
      </c>
      <c r="D4" s="7" t="s">
        <v>34</v>
      </c>
      <c r="E4" s="7" t="s">
        <v>60</v>
      </c>
      <c r="F4" s="7" t="s">
        <v>2453</v>
      </c>
      <c r="G4" s="7" t="n">
        <v>4</v>
      </c>
      <c r="H4" s="7" t="n">
        <v>43532</v>
      </c>
      <c r="I4" s="7" t="n">
        <v>2</v>
      </c>
      <c r="J4" s="7" t="n">
        <v>4</v>
      </c>
      <c r="K4" s="7" t="s">
        <v>1005</v>
      </c>
    </row>
    <row r="5" customFormat="false" ht="15" hidden="false" customHeight="false" outlineLevel="0" collapsed="false">
      <c r="A5" s="7" t="s">
        <v>2454</v>
      </c>
      <c r="B5" s="8" t="n">
        <v>45577</v>
      </c>
      <c r="C5" s="7" t="s">
        <v>316</v>
      </c>
      <c r="D5" s="7" t="s">
        <v>40</v>
      </c>
      <c r="E5" s="7" t="s">
        <v>83</v>
      </c>
      <c r="F5" s="7" t="s">
        <v>2453</v>
      </c>
      <c r="G5" s="7" t="n">
        <v>24</v>
      </c>
      <c r="H5" s="7" t="n">
        <v>267672</v>
      </c>
      <c r="I5" s="7" t="n">
        <v>4</v>
      </c>
      <c r="J5" s="7" t="n">
        <v>23</v>
      </c>
      <c r="K5" s="7" t="s">
        <v>1005</v>
      </c>
    </row>
    <row r="6" customFormat="false" ht="15" hidden="false" customHeight="false" outlineLevel="0" collapsed="false">
      <c r="A6" s="7" t="s">
        <v>2455</v>
      </c>
      <c r="B6" s="8" t="n">
        <v>45879</v>
      </c>
      <c r="C6" s="7" t="s">
        <v>387</v>
      </c>
      <c r="D6" s="7" t="s">
        <v>49</v>
      </c>
      <c r="E6" s="7" t="s">
        <v>65</v>
      </c>
      <c r="F6" s="7" t="s">
        <v>2449</v>
      </c>
      <c r="G6" s="7" t="n">
        <v>16</v>
      </c>
      <c r="H6" s="7" t="n">
        <v>117680</v>
      </c>
      <c r="I6" s="7" t="n">
        <v>4</v>
      </c>
      <c r="J6" s="7" t="n">
        <v>16</v>
      </c>
      <c r="K6" s="7" t="s">
        <v>1005</v>
      </c>
    </row>
    <row r="7" customFormat="false" ht="15" hidden="false" customHeight="false" outlineLevel="0" collapsed="false">
      <c r="A7" s="7" t="s">
        <v>2456</v>
      </c>
      <c r="B7" s="8" t="n">
        <v>45873</v>
      </c>
      <c r="C7" s="7" t="s">
        <v>369</v>
      </c>
      <c r="D7" s="7" t="s">
        <v>46</v>
      </c>
      <c r="E7" s="7" t="s">
        <v>68</v>
      </c>
      <c r="F7" s="7" t="s">
        <v>2449</v>
      </c>
      <c r="G7" s="7" t="n">
        <v>24</v>
      </c>
      <c r="H7" s="7" t="n">
        <v>280296</v>
      </c>
      <c r="I7" s="7" t="n">
        <v>5</v>
      </c>
      <c r="J7" s="7" t="n">
        <v>15</v>
      </c>
      <c r="K7" s="7" t="s">
        <v>1005</v>
      </c>
    </row>
    <row r="8" customFormat="false" ht="15" hidden="false" customHeight="false" outlineLevel="0" collapsed="false">
      <c r="A8" s="7" t="s">
        <v>2457</v>
      </c>
      <c r="B8" s="8" t="n">
        <v>45774</v>
      </c>
      <c r="C8" s="7" t="s">
        <v>331</v>
      </c>
      <c r="D8" s="7" t="s">
        <v>43</v>
      </c>
      <c r="E8" s="7" t="s">
        <v>83</v>
      </c>
      <c r="F8" s="7" t="s">
        <v>2458</v>
      </c>
      <c r="G8" s="7" t="n">
        <v>4</v>
      </c>
      <c r="H8" s="7" t="n">
        <v>25224</v>
      </c>
      <c r="I8" s="7" t="n">
        <v>2</v>
      </c>
      <c r="J8" s="7" t="n">
        <v>16</v>
      </c>
      <c r="K8" s="7" t="s">
        <v>1005</v>
      </c>
    </row>
    <row r="9" customFormat="false" ht="15" hidden="false" customHeight="false" outlineLevel="0" collapsed="false">
      <c r="A9" s="7" t="s">
        <v>2459</v>
      </c>
      <c r="B9" s="8" t="n">
        <v>45566</v>
      </c>
      <c r="C9" s="7" t="s">
        <v>341</v>
      </c>
      <c r="D9" s="7" t="s">
        <v>43</v>
      </c>
      <c r="E9" s="7" t="s">
        <v>87</v>
      </c>
      <c r="F9" s="7" t="s">
        <v>2460</v>
      </c>
      <c r="G9" s="7" t="n">
        <v>8</v>
      </c>
      <c r="H9" s="7" t="n">
        <v>47320</v>
      </c>
      <c r="I9" s="7" t="n">
        <v>5</v>
      </c>
      <c r="J9" s="7" t="n">
        <v>7</v>
      </c>
      <c r="K9" s="7" t="s">
        <v>1005</v>
      </c>
    </row>
    <row r="10" customFormat="false" ht="15" hidden="false" customHeight="false" outlineLevel="0" collapsed="false">
      <c r="A10" s="7" t="s">
        <v>2461</v>
      </c>
      <c r="B10" s="8" t="n">
        <v>45734</v>
      </c>
      <c r="C10" s="7" t="s">
        <v>194</v>
      </c>
      <c r="D10" s="7" t="s">
        <v>28</v>
      </c>
      <c r="E10" s="7" t="s">
        <v>65</v>
      </c>
      <c r="F10" s="7" t="s">
        <v>2453</v>
      </c>
      <c r="G10" s="7" t="n">
        <v>16</v>
      </c>
      <c r="H10" s="7" t="n">
        <v>189552</v>
      </c>
      <c r="I10" s="7" t="n">
        <v>3</v>
      </c>
      <c r="J10" s="7" t="n">
        <v>14</v>
      </c>
      <c r="K10" s="7" t="s">
        <v>1005</v>
      </c>
    </row>
    <row r="11" customFormat="false" ht="15" hidden="false" customHeight="false" outlineLevel="0" collapsed="false">
      <c r="A11" s="7" t="s">
        <v>2462</v>
      </c>
      <c r="B11" s="8" t="n">
        <v>45321</v>
      </c>
      <c r="C11" s="7" t="s">
        <v>310</v>
      </c>
      <c r="D11" s="7" t="s">
        <v>40</v>
      </c>
      <c r="E11" s="7" t="s">
        <v>71</v>
      </c>
      <c r="F11" s="7" t="s">
        <v>2463</v>
      </c>
      <c r="G11" s="7" t="n">
        <v>16</v>
      </c>
      <c r="H11" s="7" t="n">
        <v>106672</v>
      </c>
      <c r="I11" s="7" t="n">
        <v>3</v>
      </c>
      <c r="J11" s="7" t="n">
        <v>4</v>
      </c>
      <c r="K11" s="7" t="s">
        <v>1005</v>
      </c>
    </row>
    <row r="12" customFormat="false" ht="15" hidden="false" customHeight="false" outlineLevel="0" collapsed="false">
      <c r="A12" s="7" t="s">
        <v>2464</v>
      </c>
      <c r="B12" s="8" t="n">
        <v>45941</v>
      </c>
      <c r="C12" s="7" t="s">
        <v>306</v>
      </c>
      <c r="D12" s="7" t="s">
        <v>40</v>
      </c>
      <c r="E12" s="7" t="s">
        <v>60</v>
      </c>
      <c r="F12" s="7" t="s">
        <v>2465</v>
      </c>
      <c r="G12" s="7" t="n">
        <v>16</v>
      </c>
      <c r="H12" s="7" t="n">
        <v>173232</v>
      </c>
      <c r="I12" s="7" t="n">
        <v>2</v>
      </c>
      <c r="J12" s="7" t="n">
        <v>2</v>
      </c>
      <c r="K12" s="7" t="s">
        <v>1005</v>
      </c>
    </row>
    <row r="13" customFormat="false" ht="15" hidden="false" customHeight="false" outlineLevel="0" collapsed="false">
      <c r="A13" s="7" t="s">
        <v>2466</v>
      </c>
      <c r="B13" s="8" t="n">
        <v>45565</v>
      </c>
      <c r="C13" s="7" t="s">
        <v>249</v>
      </c>
      <c r="D13" s="7" t="s">
        <v>34</v>
      </c>
      <c r="E13" s="7" t="s">
        <v>65</v>
      </c>
      <c r="F13" s="7" t="s">
        <v>2453</v>
      </c>
      <c r="G13" s="7" t="n">
        <v>8</v>
      </c>
      <c r="H13" s="7" t="n">
        <v>52672</v>
      </c>
      <c r="I13" s="7" t="n">
        <v>2</v>
      </c>
      <c r="J13" s="7" t="n">
        <v>24</v>
      </c>
      <c r="K13" s="7" t="s">
        <v>1005</v>
      </c>
    </row>
    <row r="14" customFormat="false" ht="15" hidden="false" customHeight="false" outlineLevel="0" collapsed="false">
      <c r="A14" s="7" t="s">
        <v>2467</v>
      </c>
      <c r="B14" s="8" t="n">
        <v>45641</v>
      </c>
      <c r="C14" s="7" t="s">
        <v>345</v>
      </c>
      <c r="D14" s="7" t="s">
        <v>43</v>
      </c>
      <c r="E14" s="7" t="s">
        <v>83</v>
      </c>
      <c r="F14" s="7" t="s">
        <v>2451</v>
      </c>
      <c r="G14" s="7" t="n">
        <v>40</v>
      </c>
      <c r="H14" s="7" t="n">
        <v>166720</v>
      </c>
      <c r="I14" s="7" t="n">
        <v>4</v>
      </c>
      <c r="J14" s="7" t="n">
        <v>21</v>
      </c>
      <c r="K14" s="7" t="s">
        <v>1005</v>
      </c>
    </row>
    <row r="15" customFormat="false" ht="15" hidden="false" customHeight="false" outlineLevel="0" collapsed="false">
      <c r="A15" s="7" t="s">
        <v>2468</v>
      </c>
      <c r="B15" s="8" t="n">
        <v>45894</v>
      </c>
      <c r="C15" s="7" t="s">
        <v>209</v>
      </c>
      <c r="D15" s="7" t="s">
        <v>31</v>
      </c>
      <c r="E15" s="7" t="s">
        <v>83</v>
      </c>
      <c r="F15" s="7" t="s">
        <v>2460</v>
      </c>
      <c r="G15" s="7" t="n">
        <v>16</v>
      </c>
      <c r="H15" s="7" t="n">
        <v>85072</v>
      </c>
      <c r="I15" s="7" t="n">
        <v>4</v>
      </c>
      <c r="J15" s="7" t="n">
        <v>0</v>
      </c>
      <c r="K15" s="7" t="s">
        <v>1005</v>
      </c>
    </row>
    <row r="16" customFormat="false" ht="15" hidden="false" customHeight="false" outlineLevel="0" collapsed="false">
      <c r="A16" s="7" t="s">
        <v>2469</v>
      </c>
      <c r="B16" s="8" t="n">
        <v>45702</v>
      </c>
      <c r="C16" s="7" t="s">
        <v>327</v>
      </c>
      <c r="D16" s="7" t="s">
        <v>40</v>
      </c>
      <c r="E16" s="7" t="s">
        <v>75</v>
      </c>
      <c r="F16" s="7" t="s">
        <v>2460</v>
      </c>
      <c r="G16" s="7" t="n">
        <v>16</v>
      </c>
      <c r="H16" s="7" t="n">
        <v>143440</v>
      </c>
      <c r="I16" s="7" t="n">
        <v>4</v>
      </c>
      <c r="J16" s="7" t="n">
        <v>4</v>
      </c>
      <c r="K16" s="7" t="s">
        <v>1005</v>
      </c>
    </row>
    <row r="17" customFormat="false" ht="15" hidden="false" customHeight="false" outlineLevel="0" collapsed="false">
      <c r="A17" s="7" t="s">
        <v>2470</v>
      </c>
      <c r="B17" s="8" t="n">
        <v>45939</v>
      </c>
      <c r="C17" s="7" t="s">
        <v>302</v>
      </c>
      <c r="D17" s="7" t="s">
        <v>40</v>
      </c>
      <c r="E17" s="7" t="s">
        <v>68</v>
      </c>
      <c r="F17" s="7" t="s">
        <v>2463</v>
      </c>
      <c r="G17" s="7" t="n">
        <v>24</v>
      </c>
      <c r="H17" s="7" t="n">
        <v>256080</v>
      </c>
      <c r="I17" s="7" t="n">
        <v>2</v>
      </c>
      <c r="J17" s="7" t="n">
        <v>18</v>
      </c>
      <c r="K17" s="7" t="s">
        <v>1005</v>
      </c>
    </row>
    <row r="18" customFormat="false" ht="15" hidden="false" customHeight="false" outlineLevel="0" collapsed="false">
      <c r="A18" s="7" t="s">
        <v>2471</v>
      </c>
      <c r="B18" s="8" t="n">
        <v>45548</v>
      </c>
      <c r="C18" s="7" t="s">
        <v>145</v>
      </c>
      <c r="D18" s="7" t="s">
        <v>25</v>
      </c>
      <c r="E18" s="7" t="s">
        <v>87</v>
      </c>
      <c r="F18" s="7" t="s">
        <v>2460</v>
      </c>
      <c r="G18" s="7" t="n">
        <v>24</v>
      </c>
      <c r="H18" s="7" t="n">
        <v>236784</v>
      </c>
      <c r="I18" s="7" t="n">
        <v>4</v>
      </c>
      <c r="J18" s="7" t="n">
        <v>11</v>
      </c>
      <c r="K18" s="7" t="s">
        <v>1005</v>
      </c>
    </row>
    <row r="19" customFormat="false" ht="15" hidden="false" customHeight="false" outlineLevel="0" collapsed="false">
      <c r="A19" s="7" t="s">
        <v>2472</v>
      </c>
      <c r="B19" s="8" t="n">
        <v>45589</v>
      </c>
      <c r="C19" s="7" t="s">
        <v>385</v>
      </c>
      <c r="D19" s="7" t="s">
        <v>46</v>
      </c>
      <c r="E19" s="7" t="s">
        <v>60</v>
      </c>
      <c r="F19" s="7" t="s">
        <v>2453</v>
      </c>
      <c r="G19" s="7" t="n">
        <v>4</v>
      </c>
      <c r="H19" s="7" t="n">
        <v>15416</v>
      </c>
      <c r="I19" s="7" t="n">
        <v>4</v>
      </c>
      <c r="J19" s="7" t="n">
        <v>4</v>
      </c>
      <c r="K19" s="7" t="s">
        <v>1005</v>
      </c>
    </row>
    <row r="20" customFormat="false" ht="15" hidden="false" customHeight="false" outlineLevel="0" collapsed="false">
      <c r="A20" s="7" t="s">
        <v>2473</v>
      </c>
      <c r="B20" s="8" t="n">
        <v>45641</v>
      </c>
      <c r="C20" s="7" t="s">
        <v>301</v>
      </c>
      <c r="D20" s="7" t="s">
        <v>40</v>
      </c>
      <c r="E20" s="7" t="s">
        <v>79</v>
      </c>
      <c r="F20" s="7" t="s">
        <v>2451</v>
      </c>
      <c r="G20" s="7" t="n">
        <v>16</v>
      </c>
      <c r="H20" s="7" t="n">
        <v>118400</v>
      </c>
      <c r="I20" s="7" t="n">
        <v>3</v>
      </c>
      <c r="J20" s="7" t="n">
        <v>4</v>
      </c>
      <c r="K20" s="7" t="s">
        <v>1005</v>
      </c>
    </row>
    <row r="21" customFormat="false" ht="15" hidden="false" customHeight="false" outlineLevel="0" collapsed="false">
      <c r="A21" s="7" t="s">
        <v>2474</v>
      </c>
      <c r="B21" s="8" t="n">
        <v>45720</v>
      </c>
      <c r="C21" s="7" t="s">
        <v>321</v>
      </c>
      <c r="D21" s="7" t="s">
        <v>40</v>
      </c>
      <c r="E21" s="7" t="s">
        <v>79</v>
      </c>
      <c r="F21" s="7" t="s">
        <v>2453</v>
      </c>
      <c r="G21" s="7" t="n">
        <v>24</v>
      </c>
      <c r="H21" s="7" t="n">
        <v>235968</v>
      </c>
      <c r="I21" s="7" t="n">
        <v>4</v>
      </c>
      <c r="J21" s="7" t="n">
        <v>9</v>
      </c>
      <c r="K21" s="7" t="s">
        <v>1005</v>
      </c>
    </row>
    <row r="22" customFormat="false" ht="15" hidden="false" customHeight="false" outlineLevel="0" collapsed="false">
      <c r="A22" s="7" t="s">
        <v>2475</v>
      </c>
      <c r="B22" s="8" t="n">
        <v>45616</v>
      </c>
      <c r="C22" s="7" t="s">
        <v>263</v>
      </c>
      <c r="D22" s="7" t="s">
        <v>37</v>
      </c>
      <c r="E22" s="7" t="s">
        <v>60</v>
      </c>
      <c r="F22" s="7" t="s">
        <v>2453</v>
      </c>
      <c r="G22" s="7" t="n">
        <v>40</v>
      </c>
      <c r="H22" s="7" t="n">
        <v>401880</v>
      </c>
      <c r="I22" s="7" t="n">
        <v>3</v>
      </c>
      <c r="J22" s="7" t="n">
        <v>12</v>
      </c>
      <c r="K22" s="7" t="s">
        <v>1005</v>
      </c>
    </row>
    <row r="23" customFormat="false" ht="15" hidden="false" customHeight="false" outlineLevel="0" collapsed="false">
      <c r="A23" s="7" t="s">
        <v>2476</v>
      </c>
      <c r="B23" s="8" t="n">
        <v>45683</v>
      </c>
      <c r="C23" s="7" t="s">
        <v>418</v>
      </c>
      <c r="D23" s="7" t="s">
        <v>52</v>
      </c>
      <c r="E23" s="7" t="s">
        <v>87</v>
      </c>
      <c r="F23" s="7" t="s">
        <v>2458</v>
      </c>
      <c r="G23" s="7" t="n">
        <v>24</v>
      </c>
      <c r="H23" s="7" t="n">
        <v>230328</v>
      </c>
      <c r="I23" s="7" t="n">
        <v>1</v>
      </c>
      <c r="J23" s="7" t="n">
        <v>11</v>
      </c>
      <c r="K23" s="7" t="s">
        <v>1005</v>
      </c>
    </row>
    <row r="24" customFormat="false" ht="15" hidden="false" customHeight="false" outlineLevel="0" collapsed="false">
      <c r="A24" s="7" t="s">
        <v>2477</v>
      </c>
      <c r="B24" s="8" t="n">
        <v>45835</v>
      </c>
      <c r="C24" s="7" t="s">
        <v>194</v>
      </c>
      <c r="D24" s="7" t="s">
        <v>28</v>
      </c>
      <c r="E24" s="7" t="s">
        <v>65</v>
      </c>
      <c r="F24" s="7" t="s">
        <v>2453</v>
      </c>
      <c r="G24" s="7" t="n">
        <v>8</v>
      </c>
      <c r="H24" s="7" t="n">
        <v>68936</v>
      </c>
      <c r="I24" s="7" t="n">
        <v>1</v>
      </c>
      <c r="J24" s="7" t="n">
        <v>22</v>
      </c>
      <c r="K24" s="7" t="s">
        <v>1005</v>
      </c>
    </row>
    <row r="25" customFormat="false" ht="15" hidden="false" customHeight="false" outlineLevel="0" collapsed="false">
      <c r="A25" s="7" t="s">
        <v>2478</v>
      </c>
      <c r="B25" s="8" t="n">
        <v>45759</v>
      </c>
      <c r="C25" s="7" t="s">
        <v>229</v>
      </c>
      <c r="D25" s="7" t="s">
        <v>31</v>
      </c>
      <c r="E25" s="7" t="s">
        <v>79</v>
      </c>
      <c r="F25" s="7" t="s">
        <v>2463</v>
      </c>
      <c r="G25" s="7" t="n">
        <v>24</v>
      </c>
      <c r="H25" s="7" t="n">
        <v>275544</v>
      </c>
      <c r="I25" s="7" t="n">
        <v>4</v>
      </c>
      <c r="J25" s="7" t="n">
        <v>1</v>
      </c>
      <c r="K25" s="7" t="s">
        <v>1005</v>
      </c>
    </row>
    <row r="26" customFormat="false" ht="15" hidden="false" customHeight="false" outlineLevel="0" collapsed="false">
      <c r="A26" s="7" t="s">
        <v>2479</v>
      </c>
      <c r="B26" s="8" t="n">
        <v>45702</v>
      </c>
      <c r="C26" s="7" t="s">
        <v>440</v>
      </c>
      <c r="D26" s="7" t="s">
        <v>52</v>
      </c>
      <c r="E26" s="7" t="s">
        <v>83</v>
      </c>
      <c r="F26" s="7" t="s">
        <v>2453</v>
      </c>
      <c r="G26" s="7" t="n">
        <v>24</v>
      </c>
      <c r="H26" s="7" t="n">
        <v>287928</v>
      </c>
      <c r="I26" s="7" t="n">
        <v>3</v>
      </c>
      <c r="J26" s="7" t="n">
        <v>1</v>
      </c>
      <c r="K26" s="7" t="s">
        <v>1005</v>
      </c>
    </row>
    <row r="27" customFormat="false" ht="15" hidden="false" customHeight="false" outlineLevel="0" collapsed="false">
      <c r="A27" s="7" t="s">
        <v>2480</v>
      </c>
      <c r="B27" s="8" t="n">
        <v>45314</v>
      </c>
      <c r="C27" s="7" t="s">
        <v>406</v>
      </c>
      <c r="D27" s="7" t="s">
        <v>49</v>
      </c>
      <c r="E27" s="7" t="s">
        <v>87</v>
      </c>
      <c r="F27" s="7" t="s">
        <v>2465</v>
      </c>
      <c r="G27" s="7" t="n">
        <v>40</v>
      </c>
      <c r="H27" s="7" t="n">
        <v>440920</v>
      </c>
      <c r="I27" s="7" t="n">
        <v>4</v>
      </c>
      <c r="J27" s="7" t="n">
        <v>22</v>
      </c>
      <c r="K27" s="7" t="s">
        <v>1005</v>
      </c>
    </row>
    <row r="28" customFormat="false" ht="15" hidden="false" customHeight="false" outlineLevel="0" collapsed="false">
      <c r="A28" s="7" t="s">
        <v>2481</v>
      </c>
      <c r="B28" s="8" t="n">
        <v>45763</v>
      </c>
      <c r="C28" s="7" t="s">
        <v>351</v>
      </c>
      <c r="D28" s="7" t="s">
        <v>43</v>
      </c>
      <c r="E28" s="7" t="s">
        <v>71</v>
      </c>
      <c r="F28" s="7" t="s">
        <v>2449</v>
      </c>
      <c r="G28" s="7" t="n">
        <v>40</v>
      </c>
      <c r="H28" s="7" t="n">
        <v>303000</v>
      </c>
      <c r="I28" s="7" t="n">
        <v>2</v>
      </c>
      <c r="J28" s="7" t="n">
        <v>17</v>
      </c>
      <c r="K28" s="7" t="s">
        <v>1005</v>
      </c>
    </row>
    <row r="29" customFormat="false" ht="15" hidden="false" customHeight="false" outlineLevel="0" collapsed="false">
      <c r="A29" s="7" t="s">
        <v>2482</v>
      </c>
      <c r="B29" s="8" t="n">
        <v>45817</v>
      </c>
      <c r="C29" s="7" t="s">
        <v>431</v>
      </c>
      <c r="D29" s="7" t="s">
        <v>52</v>
      </c>
      <c r="E29" s="7" t="s">
        <v>83</v>
      </c>
      <c r="F29" s="7" t="s">
        <v>2460</v>
      </c>
      <c r="G29" s="7" t="n">
        <v>4</v>
      </c>
      <c r="H29" s="7" t="n">
        <v>31088</v>
      </c>
      <c r="I29" s="7" t="n">
        <v>5</v>
      </c>
      <c r="J29" s="7" t="n">
        <v>8</v>
      </c>
      <c r="K29" s="7" t="s">
        <v>1005</v>
      </c>
    </row>
    <row r="30" customFormat="false" ht="15" hidden="false" customHeight="false" outlineLevel="0" collapsed="false">
      <c r="A30" s="7" t="s">
        <v>2483</v>
      </c>
      <c r="B30" s="8" t="n">
        <v>46008</v>
      </c>
      <c r="C30" s="7" t="s">
        <v>219</v>
      </c>
      <c r="D30" s="7" t="s">
        <v>31</v>
      </c>
      <c r="E30" s="7" t="s">
        <v>65</v>
      </c>
      <c r="F30" s="7" t="s">
        <v>2453</v>
      </c>
      <c r="G30" s="7" t="n">
        <v>40</v>
      </c>
      <c r="H30" s="7" t="n">
        <v>151240</v>
      </c>
      <c r="I30" s="7" t="n">
        <v>3</v>
      </c>
      <c r="J30" s="7" t="n">
        <v>17</v>
      </c>
      <c r="K30" s="7" t="s">
        <v>1005</v>
      </c>
    </row>
    <row r="31" customFormat="false" ht="15" hidden="false" customHeight="false" outlineLevel="0" collapsed="false">
      <c r="A31" s="7" t="s">
        <v>2484</v>
      </c>
      <c r="B31" s="8" t="n">
        <v>45687</v>
      </c>
      <c r="C31" s="7" t="s">
        <v>301</v>
      </c>
      <c r="D31" s="7" t="s">
        <v>40</v>
      </c>
      <c r="E31" s="7" t="s">
        <v>79</v>
      </c>
      <c r="F31" s="7" t="s">
        <v>2465</v>
      </c>
      <c r="G31" s="7" t="n">
        <v>24</v>
      </c>
      <c r="H31" s="7" t="n">
        <v>107760</v>
      </c>
      <c r="I31" s="7" t="n">
        <v>3</v>
      </c>
      <c r="J31" s="7" t="n">
        <v>13</v>
      </c>
      <c r="K31" s="7" t="s">
        <v>1005</v>
      </c>
    </row>
    <row r="32" customFormat="false" ht="15" hidden="false" customHeight="false" outlineLevel="0" collapsed="false">
      <c r="A32" s="7" t="s">
        <v>2485</v>
      </c>
      <c r="B32" s="8" t="n">
        <v>45961</v>
      </c>
      <c r="C32" s="7" t="s">
        <v>217</v>
      </c>
      <c r="D32" s="7" t="s">
        <v>31</v>
      </c>
      <c r="E32" s="7" t="s">
        <v>68</v>
      </c>
      <c r="F32" s="7" t="s">
        <v>2458</v>
      </c>
      <c r="G32" s="7" t="n">
        <v>40</v>
      </c>
      <c r="H32" s="7" t="n">
        <v>182360</v>
      </c>
      <c r="I32" s="7" t="n">
        <v>1</v>
      </c>
      <c r="J32" s="7" t="n">
        <v>22</v>
      </c>
      <c r="K32" s="7" t="s">
        <v>1005</v>
      </c>
    </row>
    <row r="33" customFormat="false" ht="15" hidden="false" customHeight="false" outlineLevel="0" collapsed="false">
      <c r="A33" s="7" t="s">
        <v>2486</v>
      </c>
      <c r="B33" s="8" t="n">
        <v>45908</v>
      </c>
      <c r="C33" s="7" t="s">
        <v>154</v>
      </c>
      <c r="D33" s="7" t="s">
        <v>25</v>
      </c>
      <c r="E33" s="7" t="s">
        <v>65</v>
      </c>
      <c r="F33" s="7" t="s">
        <v>2463</v>
      </c>
      <c r="G33" s="7" t="n">
        <v>16</v>
      </c>
      <c r="H33" s="7" t="n">
        <v>95184</v>
      </c>
      <c r="I33" s="7" t="n">
        <v>4</v>
      </c>
      <c r="J33" s="7" t="n">
        <v>3</v>
      </c>
      <c r="K33" s="7" t="s">
        <v>1005</v>
      </c>
    </row>
    <row r="34" customFormat="false" ht="15" hidden="false" customHeight="false" outlineLevel="0" collapsed="false">
      <c r="A34" s="7" t="s">
        <v>2487</v>
      </c>
      <c r="B34" s="8" t="n">
        <v>45706</v>
      </c>
      <c r="C34" s="7" t="s">
        <v>406</v>
      </c>
      <c r="D34" s="7" t="s">
        <v>49</v>
      </c>
      <c r="E34" s="7" t="s">
        <v>87</v>
      </c>
      <c r="F34" s="7" t="s">
        <v>2465</v>
      </c>
      <c r="G34" s="7" t="n">
        <v>16</v>
      </c>
      <c r="H34" s="7" t="n">
        <v>138272</v>
      </c>
      <c r="I34" s="7" t="n">
        <v>5</v>
      </c>
      <c r="J34" s="7" t="n">
        <v>0</v>
      </c>
      <c r="K34" s="7" t="s">
        <v>1005</v>
      </c>
    </row>
    <row r="35" customFormat="false" ht="15" hidden="false" customHeight="false" outlineLevel="0" collapsed="false">
      <c r="A35" s="7" t="s">
        <v>2488</v>
      </c>
      <c r="B35" s="8" t="n">
        <v>45491</v>
      </c>
      <c r="C35" s="7" t="s">
        <v>148</v>
      </c>
      <c r="D35" s="7" t="s">
        <v>25</v>
      </c>
      <c r="E35" s="7" t="s">
        <v>79</v>
      </c>
      <c r="F35" s="7" t="s">
        <v>2460</v>
      </c>
      <c r="G35" s="7" t="n">
        <v>24</v>
      </c>
      <c r="H35" s="7" t="n">
        <v>183576</v>
      </c>
      <c r="I35" s="7" t="n">
        <v>5</v>
      </c>
      <c r="J35" s="7" t="n">
        <v>9</v>
      </c>
      <c r="K35" s="7" t="s">
        <v>1005</v>
      </c>
    </row>
    <row r="36" customFormat="false" ht="15" hidden="false" customHeight="false" outlineLevel="0" collapsed="false">
      <c r="A36" s="7" t="s">
        <v>2489</v>
      </c>
      <c r="B36" s="8" t="n">
        <v>45786</v>
      </c>
      <c r="C36" s="7" t="s">
        <v>420</v>
      </c>
      <c r="D36" s="7" t="s">
        <v>52</v>
      </c>
      <c r="E36" s="7" t="s">
        <v>83</v>
      </c>
      <c r="F36" s="7" t="s">
        <v>2451</v>
      </c>
      <c r="G36" s="7" t="n">
        <v>24</v>
      </c>
      <c r="H36" s="7" t="n">
        <v>211608</v>
      </c>
      <c r="I36" s="7" t="n">
        <v>4</v>
      </c>
      <c r="J36" s="7" t="n">
        <v>15</v>
      </c>
      <c r="K36" s="7" t="s">
        <v>1005</v>
      </c>
    </row>
    <row r="37" customFormat="false" ht="15" hidden="false" customHeight="false" outlineLevel="0" collapsed="false">
      <c r="A37" s="7" t="s">
        <v>2490</v>
      </c>
      <c r="B37" s="8" t="n">
        <v>45455</v>
      </c>
      <c r="C37" s="7" t="s">
        <v>389</v>
      </c>
      <c r="D37" s="7" t="s">
        <v>49</v>
      </c>
      <c r="E37" s="7" t="s">
        <v>87</v>
      </c>
      <c r="F37" s="7" t="s">
        <v>2451</v>
      </c>
      <c r="G37" s="7" t="n">
        <v>4</v>
      </c>
      <c r="H37" s="7" t="n">
        <v>13008</v>
      </c>
      <c r="I37" s="7" t="n">
        <v>3</v>
      </c>
      <c r="J37" s="7" t="n">
        <v>23</v>
      </c>
      <c r="K37" s="7" t="s">
        <v>1005</v>
      </c>
    </row>
    <row r="38" customFormat="false" ht="15" hidden="false" customHeight="false" outlineLevel="0" collapsed="false">
      <c r="A38" s="7" t="s">
        <v>2491</v>
      </c>
      <c r="B38" s="8" t="n">
        <v>45803</v>
      </c>
      <c r="C38" s="7" t="s">
        <v>337</v>
      </c>
      <c r="D38" s="7" t="s">
        <v>43</v>
      </c>
      <c r="E38" s="7" t="s">
        <v>87</v>
      </c>
      <c r="F38" s="7" t="s">
        <v>2460</v>
      </c>
      <c r="G38" s="7" t="n">
        <v>4</v>
      </c>
      <c r="H38" s="7" t="n">
        <v>22280</v>
      </c>
      <c r="I38" s="7" t="n">
        <v>3</v>
      </c>
      <c r="J38" s="7" t="n">
        <v>20</v>
      </c>
      <c r="K38" s="7" t="s">
        <v>1005</v>
      </c>
    </row>
    <row r="39" customFormat="false" ht="15" hidden="false" customHeight="false" outlineLevel="0" collapsed="false">
      <c r="A39" s="7" t="s">
        <v>2492</v>
      </c>
      <c r="B39" s="8" t="n">
        <v>45379</v>
      </c>
      <c r="C39" s="7" t="s">
        <v>237</v>
      </c>
      <c r="D39" s="7" t="s">
        <v>31</v>
      </c>
      <c r="E39" s="7" t="s">
        <v>75</v>
      </c>
      <c r="F39" s="7" t="s">
        <v>2465</v>
      </c>
      <c r="G39" s="7" t="n">
        <v>16</v>
      </c>
      <c r="H39" s="7" t="n">
        <v>151952</v>
      </c>
      <c r="I39" s="7" t="n">
        <v>4</v>
      </c>
      <c r="J39" s="7" t="n">
        <v>20</v>
      </c>
      <c r="K39" s="7" t="s">
        <v>1005</v>
      </c>
    </row>
    <row r="40" customFormat="false" ht="15" hidden="false" customHeight="false" outlineLevel="0" collapsed="false">
      <c r="A40" s="7" t="s">
        <v>2493</v>
      </c>
      <c r="B40" s="8" t="n">
        <v>45506</v>
      </c>
      <c r="C40" s="7" t="s">
        <v>273</v>
      </c>
      <c r="D40" s="7" t="s">
        <v>37</v>
      </c>
      <c r="E40" s="7" t="s">
        <v>83</v>
      </c>
      <c r="F40" s="7" t="s">
        <v>2463</v>
      </c>
      <c r="G40" s="7" t="n">
        <v>8</v>
      </c>
      <c r="H40" s="7" t="n">
        <v>68728</v>
      </c>
      <c r="I40" s="7" t="n">
        <v>5</v>
      </c>
      <c r="J40" s="7" t="n">
        <v>8</v>
      </c>
      <c r="K40" s="7" t="s">
        <v>1005</v>
      </c>
    </row>
    <row r="41" customFormat="false" ht="15" hidden="false" customHeight="false" outlineLevel="0" collapsed="false">
      <c r="A41" s="7" t="s">
        <v>2494</v>
      </c>
      <c r="B41" s="8" t="n">
        <v>45529</v>
      </c>
      <c r="C41" s="7" t="s">
        <v>337</v>
      </c>
      <c r="D41" s="7" t="s">
        <v>43</v>
      </c>
      <c r="E41" s="7" t="s">
        <v>87</v>
      </c>
      <c r="F41" s="7" t="s">
        <v>2463</v>
      </c>
      <c r="G41" s="7" t="n">
        <v>16</v>
      </c>
      <c r="H41" s="7" t="n">
        <v>185616</v>
      </c>
      <c r="I41" s="7" t="n">
        <v>4</v>
      </c>
      <c r="J41" s="7" t="n">
        <v>6</v>
      </c>
      <c r="K41" s="7" t="s">
        <v>1005</v>
      </c>
    </row>
    <row r="42" customFormat="false" ht="15" hidden="false" customHeight="false" outlineLevel="0" collapsed="false">
      <c r="A42" s="7" t="s">
        <v>2495</v>
      </c>
      <c r="B42" s="8" t="n">
        <v>45559</v>
      </c>
      <c r="C42" s="7" t="s">
        <v>219</v>
      </c>
      <c r="D42" s="7" t="s">
        <v>31</v>
      </c>
      <c r="E42" s="7" t="s">
        <v>65</v>
      </c>
      <c r="F42" s="7" t="s">
        <v>2449</v>
      </c>
      <c r="G42" s="7" t="n">
        <v>16</v>
      </c>
      <c r="H42" s="7" t="n">
        <v>60800</v>
      </c>
      <c r="I42" s="7" t="n">
        <v>3</v>
      </c>
      <c r="J42" s="7" t="n">
        <v>11</v>
      </c>
      <c r="K42" s="7" t="s">
        <v>1012</v>
      </c>
    </row>
    <row r="43" customFormat="false" ht="15" hidden="false" customHeight="false" outlineLevel="0" collapsed="false">
      <c r="A43" s="7" t="s">
        <v>2496</v>
      </c>
      <c r="B43" s="8" t="n">
        <v>45911</v>
      </c>
      <c r="C43" s="7" t="s">
        <v>253</v>
      </c>
      <c r="D43" s="7" t="s">
        <v>34</v>
      </c>
      <c r="E43" s="7" t="s">
        <v>68</v>
      </c>
      <c r="F43" s="7" t="s">
        <v>2460</v>
      </c>
      <c r="G43" s="7" t="n">
        <v>8</v>
      </c>
      <c r="H43" s="7" t="n">
        <v>76968</v>
      </c>
      <c r="I43" s="7" t="n">
        <v>3</v>
      </c>
      <c r="J43" s="7" t="n">
        <v>0</v>
      </c>
      <c r="K43" s="7" t="s">
        <v>1005</v>
      </c>
    </row>
    <row r="44" customFormat="false" ht="15" hidden="false" customHeight="false" outlineLevel="0" collapsed="false">
      <c r="A44" s="7" t="s">
        <v>2497</v>
      </c>
      <c r="B44" s="8" t="n">
        <v>45617</v>
      </c>
      <c r="C44" s="7" t="s">
        <v>395</v>
      </c>
      <c r="D44" s="7" t="s">
        <v>49</v>
      </c>
      <c r="E44" s="7" t="s">
        <v>87</v>
      </c>
      <c r="F44" s="7" t="s">
        <v>2465</v>
      </c>
      <c r="G44" s="7" t="n">
        <v>8</v>
      </c>
      <c r="H44" s="7" t="n">
        <v>85320</v>
      </c>
      <c r="I44" s="7" t="n">
        <v>2</v>
      </c>
      <c r="J44" s="7" t="n">
        <v>24</v>
      </c>
      <c r="K44" s="7" t="s">
        <v>1005</v>
      </c>
    </row>
    <row r="45" customFormat="false" ht="15" hidden="false" customHeight="false" outlineLevel="0" collapsed="false">
      <c r="A45" s="7" t="s">
        <v>2498</v>
      </c>
      <c r="B45" s="8" t="n">
        <v>45517</v>
      </c>
      <c r="C45" s="7" t="s">
        <v>140</v>
      </c>
      <c r="D45" s="7" t="s">
        <v>25</v>
      </c>
      <c r="E45" s="7" t="s">
        <v>75</v>
      </c>
      <c r="F45" s="7" t="s">
        <v>2449</v>
      </c>
      <c r="G45" s="7" t="n">
        <v>40</v>
      </c>
      <c r="H45" s="7" t="n">
        <v>474600</v>
      </c>
      <c r="I45" s="7" t="n">
        <v>4</v>
      </c>
      <c r="J45" s="7" t="n">
        <v>16</v>
      </c>
      <c r="K45" s="7" t="s">
        <v>1005</v>
      </c>
    </row>
    <row r="46" customFormat="false" ht="15" hidden="false" customHeight="false" outlineLevel="0" collapsed="false">
      <c r="A46" s="7" t="s">
        <v>2499</v>
      </c>
      <c r="B46" s="8" t="n">
        <v>45904</v>
      </c>
      <c r="C46" s="7" t="s">
        <v>383</v>
      </c>
      <c r="D46" s="7" t="s">
        <v>46</v>
      </c>
      <c r="E46" s="7" t="s">
        <v>65</v>
      </c>
      <c r="F46" s="7" t="s">
        <v>2458</v>
      </c>
      <c r="G46" s="7" t="n">
        <v>16</v>
      </c>
      <c r="H46" s="7" t="n">
        <v>69936</v>
      </c>
      <c r="I46" s="7" t="n">
        <v>4</v>
      </c>
      <c r="J46" s="7" t="n">
        <v>0</v>
      </c>
      <c r="K46" s="7" t="s">
        <v>1012</v>
      </c>
    </row>
    <row r="47" customFormat="false" ht="15" hidden="false" customHeight="false" outlineLevel="0" collapsed="false">
      <c r="A47" s="7" t="s">
        <v>2500</v>
      </c>
      <c r="B47" s="8" t="n">
        <v>45357</v>
      </c>
      <c r="C47" s="7" t="s">
        <v>366</v>
      </c>
      <c r="D47" s="7" t="s">
        <v>46</v>
      </c>
      <c r="E47" s="7" t="s">
        <v>79</v>
      </c>
      <c r="F47" s="7" t="s">
        <v>2465</v>
      </c>
      <c r="G47" s="7" t="n">
        <v>24</v>
      </c>
      <c r="H47" s="7" t="n">
        <v>154992</v>
      </c>
      <c r="I47" s="7" t="n">
        <v>3</v>
      </c>
      <c r="J47" s="7" t="n">
        <v>3</v>
      </c>
      <c r="K47" s="7" t="s">
        <v>1012</v>
      </c>
    </row>
    <row r="48" customFormat="false" ht="15" hidden="false" customHeight="false" outlineLevel="0" collapsed="false">
      <c r="A48" s="7" t="s">
        <v>2501</v>
      </c>
      <c r="B48" s="8" t="n">
        <v>45371</v>
      </c>
      <c r="C48" s="7" t="s">
        <v>359</v>
      </c>
      <c r="D48" s="7" t="s">
        <v>43</v>
      </c>
      <c r="E48" s="7" t="s">
        <v>65</v>
      </c>
      <c r="F48" s="7" t="s">
        <v>2451</v>
      </c>
      <c r="G48" s="7" t="n">
        <v>8</v>
      </c>
      <c r="H48" s="7" t="n">
        <v>73192</v>
      </c>
      <c r="I48" s="7" t="n">
        <v>5</v>
      </c>
      <c r="J48" s="7" t="n">
        <v>11</v>
      </c>
      <c r="K48" s="7" t="s">
        <v>1005</v>
      </c>
    </row>
    <row r="49" customFormat="false" ht="15" hidden="false" customHeight="false" outlineLevel="0" collapsed="false">
      <c r="A49" s="7" t="s">
        <v>2502</v>
      </c>
      <c r="B49" s="8" t="n">
        <v>45372</v>
      </c>
      <c r="C49" s="7" t="s">
        <v>257</v>
      </c>
      <c r="D49" s="7" t="s">
        <v>34</v>
      </c>
      <c r="E49" s="7" t="s">
        <v>71</v>
      </c>
      <c r="F49" s="7" t="s">
        <v>2460</v>
      </c>
      <c r="G49" s="7" t="n">
        <v>40</v>
      </c>
      <c r="H49" s="7" t="n">
        <v>143480</v>
      </c>
      <c r="I49" s="7" t="n">
        <v>3</v>
      </c>
      <c r="J49" s="7" t="n">
        <v>23</v>
      </c>
      <c r="K49" s="7" t="s">
        <v>1005</v>
      </c>
    </row>
    <row r="50" customFormat="false" ht="15" hidden="false" customHeight="false" outlineLevel="0" collapsed="false">
      <c r="A50" s="7" t="s">
        <v>2503</v>
      </c>
      <c r="B50" s="8" t="n">
        <v>45578</v>
      </c>
      <c r="C50" s="7" t="s">
        <v>434</v>
      </c>
      <c r="D50" s="7" t="s">
        <v>52</v>
      </c>
      <c r="E50" s="7" t="s">
        <v>75</v>
      </c>
      <c r="F50" s="7" t="s">
        <v>2463</v>
      </c>
      <c r="G50" s="7" t="n">
        <v>4</v>
      </c>
      <c r="H50" s="7" t="n">
        <v>39508</v>
      </c>
      <c r="I50" s="7" t="n">
        <v>4</v>
      </c>
      <c r="J50" s="7" t="n">
        <v>12</v>
      </c>
      <c r="K50" s="7" t="s">
        <v>1005</v>
      </c>
    </row>
    <row r="51" customFormat="false" ht="15" hidden="false" customHeight="false" outlineLevel="0" collapsed="false">
      <c r="A51" s="7" t="s">
        <v>2504</v>
      </c>
      <c r="B51" s="8" t="n">
        <v>45401</v>
      </c>
      <c r="C51" s="7" t="s">
        <v>229</v>
      </c>
      <c r="D51" s="7" t="s">
        <v>31</v>
      </c>
      <c r="E51" s="7" t="s">
        <v>79</v>
      </c>
      <c r="F51" s="7" t="s">
        <v>2460</v>
      </c>
      <c r="G51" s="7" t="n">
        <v>4</v>
      </c>
      <c r="H51" s="7" t="n">
        <v>27384</v>
      </c>
      <c r="I51" s="7" t="n">
        <v>3</v>
      </c>
      <c r="J51" s="7" t="n">
        <v>13</v>
      </c>
      <c r="K51" s="7" t="s">
        <v>1005</v>
      </c>
    </row>
    <row r="52" customFormat="false" ht="15" hidden="false" customHeight="false" outlineLevel="0" collapsed="false">
      <c r="A52" s="7" t="s">
        <v>2505</v>
      </c>
      <c r="B52" s="8" t="n">
        <v>45304</v>
      </c>
      <c r="C52" s="7" t="s">
        <v>285</v>
      </c>
      <c r="D52" s="7" t="s">
        <v>37</v>
      </c>
      <c r="E52" s="7" t="s">
        <v>60</v>
      </c>
      <c r="F52" s="7" t="s">
        <v>2453</v>
      </c>
      <c r="G52" s="7" t="n">
        <v>8</v>
      </c>
      <c r="H52" s="7" t="n">
        <v>43376</v>
      </c>
      <c r="I52" s="7" t="n">
        <v>4</v>
      </c>
      <c r="J52" s="7" t="n">
        <v>5</v>
      </c>
      <c r="K52" s="7" t="s">
        <v>1005</v>
      </c>
    </row>
    <row r="53" customFormat="false" ht="15" hidden="false" customHeight="false" outlineLevel="0" collapsed="false">
      <c r="A53" s="7" t="s">
        <v>2506</v>
      </c>
      <c r="B53" s="8" t="n">
        <v>45326</v>
      </c>
      <c r="C53" s="7" t="s">
        <v>126</v>
      </c>
      <c r="D53" s="7" t="s">
        <v>25</v>
      </c>
      <c r="E53" s="7" t="s">
        <v>75</v>
      </c>
      <c r="F53" s="7" t="s">
        <v>2453</v>
      </c>
      <c r="G53" s="7" t="n">
        <v>8</v>
      </c>
      <c r="H53" s="7" t="n">
        <v>74384</v>
      </c>
      <c r="I53" s="7" t="n">
        <v>2</v>
      </c>
      <c r="J53" s="7" t="n">
        <v>24</v>
      </c>
      <c r="K53" s="7" t="s">
        <v>1005</v>
      </c>
    </row>
    <row r="54" customFormat="false" ht="15" hidden="false" customHeight="false" outlineLevel="0" collapsed="false">
      <c r="A54" s="7" t="s">
        <v>2507</v>
      </c>
      <c r="B54" s="8" t="n">
        <v>45699</v>
      </c>
      <c r="C54" s="7" t="s">
        <v>287</v>
      </c>
      <c r="D54" s="7" t="s">
        <v>37</v>
      </c>
      <c r="E54" s="7" t="s">
        <v>83</v>
      </c>
      <c r="F54" s="7" t="s">
        <v>2465</v>
      </c>
      <c r="G54" s="7" t="n">
        <v>40</v>
      </c>
      <c r="H54" s="7" t="n">
        <v>424640</v>
      </c>
      <c r="I54" s="7" t="n">
        <v>3</v>
      </c>
      <c r="J54" s="7" t="n">
        <v>12</v>
      </c>
      <c r="K54" s="7" t="s">
        <v>1005</v>
      </c>
    </row>
    <row r="55" customFormat="false" ht="15" hidden="false" customHeight="false" outlineLevel="0" collapsed="false">
      <c r="A55" s="7" t="s">
        <v>2508</v>
      </c>
      <c r="B55" s="8" t="n">
        <v>45792</v>
      </c>
      <c r="C55" s="7" t="s">
        <v>411</v>
      </c>
      <c r="D55" s="7" t="s">
        <v>49</v>
      </c>
      <c r="E55" s="7" t="s">
        <v>75</v>
      </c>
      <c r="F55" s="7" t="s">
        <v>2463</v>
      </c>
      <c r="G55" s="7" t="n">
        <v>4</v>
      </c>
      <c r="H55" s="7" t="n">
        <v>35228</v>
      </c>
      <c r="I55" s="7" t="n">
        <v>4</v>
      </c>
      <c r="J55" s="7" t="n">
        <v>7</v>
      </c>
      <c r="K55" s="7" t="s">
        <v>1005</v>
      </c>
    </row>
    <row r="56" customFormat="false" ht="15" hidden="false" customHeight="false" outlineLevel="0" collapsed="false">
      <c r="A56" s="7" t="s">
        <v>2509</v>
      </c>
      <c r="B56" s="8" t="n">
        <v>45608</v>
      </c>
      <c r="C56" s="7" t="s">
        <v>306</v>
      </c>
      <c r="D56" s="7" t="s">
        <v>40</v>
      </c>
      <c r="E56" s="7" t="s">
        <v>60</v>
      </c>
      <c r="F56" s="7" t="s">
        <v>2453</v>
      </c>
      <c r="G56" s="7" t="n">
        <v>16</v>
      </c>
      <c r="H56" s="7" t="n">
        <v>120880</v>
      </c>
      <c r="I56" s="7" t="n">
        <v>4</v>
      </c>
      <c r="J56" s="7" t="n">
        <v>19</v>
      </c>
      <c r="K56" s="7" t="s">
        <v>1012</v>
      </c>
    </row>
    <row r="57" customFormat="false" ht="15" hidden="false" customHeight="false" outlineLevel="0" collapsed="false">
      <c r="A57" s="7" t="s">
        <v>2510</v>
      </c>
      <c r="B57" s="8" t="n">
        <v>45451</v>
      </c>
      <c r="C57" s="7" t="s">
        <v>213</v>
      </c>
      <c r="D57" s="7" t="s">
        <v>31</v>
      </c>
      <c r="E57" s="7" t="s">
        <v>83</v>
      </c>
      <c r="F57" s="7" t="s">
        <v>2458</v>
      </c>
      <c r="G57" s="7" t="n">
        <v>16</v>
      </c>
      <c r="H57" s="7" t="n">
        <v>70480</v>
      </c>
      <c r="I57" s="7" t="n">
        <v>4</v>
      </c>
      <c r="J57" s="7" t="n">
        <v>19</v>
      </c>
      <c r="K57" s="7" t="s">
        <v>1005</v>
      </c>
    </row>
    <row r="58" customFormat="false" ht="15" hidden="false" customHeight="false" outlineLevel="0" collapsed="false">
      <c r="A58" s="7" t="s">
        <v>2511</v>
      </c>
      <c r="B58" s="8" t="n">
        <v>45876</v>
      </c>
      <c r="C58" s="7" t="s">
        <v>209</v>
      </c>
      <c r="D58" s="7" t="s">
        <v>31</v>
      </c>
      <c r="E58" s="7" t="s">
        <v>83</v>
      </c>
      <c r="F58" s="7" t="s">
        <v>2449</v>
      </c>
      <c r="G58" s="7" t="n">
        <v>40</v>
      </c>
      <c r="H58" s="7" t="n">
        <v>363800</v>
      </c>
      <c r="I58" s="7" t="n">
        <v>3</v>
      </c>
      <c r="J58" s="7" t="n">
        <v>0</v>
      </c>
      <c r="K58" s="7" t="s">
        <v>1005</v>
      </c>
    </row>
    <row r="59" customFormat="false" ht="15" hidden="false" customHeight="false" outlineLevel="0" collapsed="false">
      <c r="A59" s="7" t="s">
        <v>2512</v>
      </c>
      <c r="B59" s="8" t="n">
        <v>46006</v>
      </c>
      <c r="C59" s="7" t="s">
        <v>182</v>
      </c>
      <c r="D59" s="7" t="s">
        <v>28</v>
      </c>
      <c r="E59" s="7" t="s">
        <v>75</v>
      </c>
      <c r="F59" s="7" t="s">
        <v>2465</v>
      </c>
      <c r="G59" s="7" t="n">
        <v>40</v>
      </c>
      <c r="H59" s="7" t="n">
        <v>266160</v>
      </c>
      <c r="I59" s="7" t="n">
        <v>5</v>
      </c>
      <c r="J59" s="7" t="n">
        <v>2</v>
      </c>
      <c r="K59" s="7" t="s">
        <v>1005</v>
      </c>
    </row>
    <row r="60" customFormat="false" ht="15" hidden="false" customHeight="false" outlineLevel="0" collapsed="false">
      <c r="A60" s="7" t="s">
        <v>2513</v>
      </c>
      <c r="B60" s="8" t="n">
        <v>45369</v>
      </c>
      <c r="C60" s="7" t="s">
        <v>221</v>
      </c>
      <c r="D60" s="7" t="s">
        <v>31</v>
      </c>
      <c r="E60" s="7" t="s">
        <v>60</v>
      </c>
      <c r="F60" s="7" t="s">
        <v>2453</v>
      </c>
      <c r="G60" s="7" t="n">
        <v>8</v>
      </c>
      <c r="H60" s="7" t="n">
        <v>71640</v>
      </c>
      <c r="I60" s="7" t="n">
        <v>4</v>
      </c>
      <c r="J60" s="7" t="n">
        <v>18</v>
      </c>
      <c r="K60" s="7" t="s">
        <v>1005</v>
      </c>
    </row>
    <row r="61" customFormat="false" ht="15" hidden="false" customHeight="false" outlineLevel="0" collapsed="false">
      <c r="A61" s="7" t="s">
        <v>2514</v>
      </c>
      <c r="B61" s="8" t="n">
        <v>45341</v>
      </c>
      <c r="C61" s="7" t="s">
        <v>391</v>
      </c>
      <c r="D61" s="7" t="s">
        <v>49</v>
      </c>
      <c r="E61" s="7" t="s">
        <v>79</v>
      </c>
      <c r="F61" s="7" t="s">
        <v>2449</v>
      </c>
      <c r="G61" s="7" t="n">
        <v>8</v>
      </c>
      <c r="H61" s="7" t="n">
        <v>53480</v>
      </c>
      <c r="I61" s="7" t="n">
        <v>3</v>
      </c>
      <c r="J61" s="7" t="n">
        <v>24</v>
      </c>
      <c r="K61" s="7" t="s">
        <v>1005</v>
      </c>
    </row>
    <row r="62" customFormat="false" ht="15" hidden="false" customHeight="false" outlineLevel="0" collapsed="false">
      <c r="A62" s="7" t="s">
        <v>2515</v>
      </c>
      <c r="B62" s="8" t="n">
        <v>45575</v>
      </c>
      <c r="C62" s="7" t="s">
        <v>261</v>
      </c>
      <c r="D62" s="7" t="s">
        <v>34</v>
      </c>
      <c r="E62" s="7" t="s">
        <v>75</v>
      </c>
      <c r="F62" s="7" t="s">
        <v>2465</v>
      </c>
      <c r="G62" s="7" t="n">
        <v>16</v>
      </c>
      <c r="H62" s="7" t="n">
        <v>164096</v>
      </c>
      <c r="I62" s="7" t="n">
        <v>4</v>
      </c>
      <c r="J62" s="7" t="n">
        <v>18</v>
      </c>
      <c r="K62" s="7" t="s">
        <v>1005</v>
      </c>
    </row>
    <row r="63" customFormat="false" ht="15" hidden="false" customHeight="false" outlineLevel="0" collapsed="false">
      <c r="A63" s="7" t="s">
        <v>2516</v>
      </c>
      <c r="B63" s="8" t="n">
        <v>46003</v>
      </c>
      <c r="C63" s="7" t="s">
        <v>411</v>
      </c>
      <c r="D63" s="7" t="s">
        <v>49</v>
      </c>
      <c r="E63" s="7" t="s">
        <v>75</v>
      </c>
      <c r="F63" s="7" t="s">
        <v>2449</v>
      </c>
      <c r="G63" s="7" t="n">
        <v>16</v>
      </c>
      <c r="H63" s="7" t="n">
        <v>55104</v>
      </c>
      <c r="I63" s="7" t="n">
        <v>5</v>
      </c>
      <c r="J63" s="7" t="n">
        <v>20</v>
      </c>
      <c r="K63" s="7" t="s">
        <v>1005</v>
      </c>
    </row>
    <row r="64" customFormat="false" ht="15" hidden="false" customHeight="false" outlineLevel="0" collapsed="false">
      <c r="A64" s="7" t="s">
        <v>2517</v>
      </c>
      <c r="B64" s="8" t="n">
        <v>45784</v>
      </c>
      <c r="C64" s="7" t="s">
        <v>295</v>
      </c>
      <c r="D64" s="7" t="s">
        <v>37</v>
      </c>
      <c r="E64" s="7" t="s">
        <v>87</v>
      </c>
      <c r="F64" s="7" t="s">
        <v>2449</v>
      </c>
      <c r="G64" s="7" t="n">
        <v>24</v>
      </c>
      <c r="H64" s="7" t="n">
        <v>89256</v>
      </c>
      <c r="I64" s="7" t="n">
        <v>4</v>
      </c>
      <c r="J64" s="7" t="n">
        <v>10</v>
      </c>
      <c r="K64" s="7" t="s">
        <v>1005</v>
      </c>
    </row>
    <row r="65" customFormat="false" ht="15" hidden="false" customHeight="false" outlineLevel="0" collapsed="false">
      <c r="A65" s="7" t="s">
        <v>2518</v>
      </c>
      <c r="B65" s="8" t="n">
        <v>45993</v>
      </c>
      <c r="C65" s="7" t="s">
        <v>355</v>
      </c>
      <c r="D65" s="7" t="s">
        <v>43</v>
      </c>
      <c r="E65" s="7" t="s">
        <v>87</v>
      </c>
      <c r="F65" s="7" t="s">
        <v>2458</v>
      </c>
      <c r="G65" s="7" t="n">
        <v>4</v>
      </c>
      <c r="H65" s="7" t="n">
        <v>17528</v>
      </c>
      <c r="I65" s="7" t="n">
        <v>4</v>
      </c>
      <c r="J65" s="7" t="n">
        <v>15</v>
      </c>
      <c r="K65" s="7" t="s">
        <v>1005</v>
      </c>
    </row>
    <row r="66" customFormat="false" ht="15" hidden="false" customHeight="false" outlineLevel="0" collapsed="false">
      <c r="A66" s="7" t="s">
        <v>2519</v>
      </c>
      <c r="B66" s="8" t="n">
        <v>45900</v>
      </c>
      <c r="C66" s="7" t="s">
        <v>335</v>
      </c>
      <c r="D66" s="7" t="s">
        <v>43</v>
      </c>
      <c r="E66" s="7" t="s">
        <v>79</v>
      </c>
      <c r="F66" s="7" t="s">
        <v>2460</v>
      </c>
      <c r="G66" s="7" t="n">
        <v>4</v>
      </c>
      <c r="H66" s="7" t="n">
        <v>15952</v>
      </c>
      <c r="I66" s="7" t="n">
        <v>4</v>
      </c>
      <c r="J66" s="7" t="n">
        <v>3</v>
      </c>
      <c r="K66" s="7" t="s">
        <v>1005</v>
      </c>
    </row>
    <row r="67" customFormat="false" ht="15" hidden="false" customHeight="false" outlineLevel="0" collapsed="false">
      <c r="A67" s="7" t="s">
        <v>2520</v>
      </c>
      <c r="B67" s="8" t="n">
        <v>45694</v>
      </c>
      <c r="C67" s="7" t="s">
        <v>131</v>
      </c>
      <c r="D67" s="7" t="s">
        <v>25</v>
      </c>
      <c r="E67" s="7" t="s">
        <v>83</v>
      </c>
      <c r="F67" s="7" t="s">
        <v>2465</v>
      </c>
      <c r="G67" s="7" t="n">
        <v>24</v>
      </c>
      <c r="H67" s="7" t="n">
        <v>190512</v>
      </c>
      <c r="I67" s="7" t="n">
        <v>4</v>
      </c>
      <c r="J67" s="7" t="n">
        <v>17</v>
      </c>
      <c r="K67" s="7" t="s">
        <v>1005</v>
      </c>
    </row>
    <row r="68" customFormat="false" ht="15" hidden="false" customHeight="false" outlineLevel="0" collapsed="false">
      <c r="A68" s="7" t="s">
        <v>2521</v>
      </c>
      <c r="B68" s="8" t="n">
        <v>45362</v>
      </c>
      <c r="C68" s="7" t="s">
        <v>341</v>
      </c>
      <c r="D68" s="7" t="s">
        <v>43</v>
      </c>
      <c r="E68" s="7" t="s">
        <v>87</v>
      </c>
      <c r="F68" s="7" t="s">
        <v>2465</v>
      </c>
      <c r="G68" s="7" t="n">
        <v>40</v>
      </c>
      <c r="H68" s="7" t="n">
        <v>158720</v>
      </c>
      <c r="I68" s="7" t="n">
        <v>3</v>
      </c>
      <c r="J68" s="7" t="n">
        <v>18</v>
      </c>
      <c r="K68" s="7" t="s">
        <v>1005</v>
      </c>
    </row>
    <row r="69" customFormat="false" ht="15" hidden="false" customHeight="false" outlineLevel="0" collapsed="false">
      <c r="A69" s="7" t="s">
        <v>2522</v>
      </c>
      <c r="B69" s="8" t="n">
        <v>45927</v>
      </c>
      <c r="C69" s="7" t="s">
        <v>291</v>
      </c>
      <c r="D69" s="7" t="s">
        <v>37</v>
      </c>
      <c r="E69" s="7" t="s">
        <v>87</v>
      </c>
      <c r="F69" s="7" t="s">
        <v>2449</v>
      </c>
      <c r="G69" s="7" t="n">
        <v>8</v>
      </c>
      <c r="H69" s="7" t="n">
        <v>48400</v>
      </c>
      <c r="I69" s="7" t="n">
        <v>4</v>
      </c>
      <c r="J69" s="7" t="n">
        <v>8</v>
      </c>
      <c r="K69" s="7" t="s">
        <v>1005</v>
      </c>
    </row>
    <row r="70" customFormat="false" ht="15" hidden="false" customHeight="false" outlineLevel="0" collapsed="false">
      <c r="A70" s="7" t="s">
        <v>2523</v>
      </c>
      <c r="B70" s="8" t="n">
        <v>45379</v>
      </c>
      <c r="C70" s="7" t="s">
        <v>285</v>
      </c>
      <c r="D70" s="7" t="s">
        <v>37</v>
      </c>
      <c r="E70" s="7" t="s">
        <v>60</v>
      </c>
      <c r="F70" s="7" t="s">
        <v>2465</v>
      </c>
      <c r="G70" s="7" t="n">
        <v>24</v>
      </c>
      <c r="H70" s="7" t="n">
        <v>112992</v>
      </c>
      <c r="I70" s="7" t="n">
        <v>1</v>
      </c>
      <c r="J70" s="7" t="n">
        <v>7</v>
      </c>
      <c r="K70" s="7" t="s">
        <v>1005</v>
      </c>
    </row>
    <row r="71" customFormat="false" ht="15" hidden="false" customHeight="false" outlineLevel="0" collapsed="false">
      <c r="A71" s="7" t="s">
        <v>2524</v>
      </c>
      <c r="B71" s="8" t="n">
        <v>45540</v>
      </c>
      <c r="C71" s="7" t="s">
        <v>329</v>
      </c>
      <c r="D71" s="7" t="s">
        <v>43</v>
      </c>
      <c r="E71" s="7" t="s">
        <v>68</v>
      </c>
      <c r="F71" s="7" t="s">
        <v>2458</v>
      </c>
      <c r="G71" s="7" t="n">
        <v>40</v>
      </c>
      <c r="H71" s="7" t="n">
        <v>326600</v>
      </c>
      <c r="I71" s="7" t="n">
        <v>4</v>
      </c>
      <c r="J71" s="7" t="n">
        <v>17</v>
      </c>
      <c r="K71" s="7" t="s">
        <v>1005</v>
      </c>
    </row>
    <row r="72" customFormat="false" ht="15" hidden="false" customHeight="false" outlineLevel="0" collapsed="false">
      <c r="A72" s="7" t="s">
        <v>2525</v>
      </c>
      <c r="B72" s="8" t="n">
        <v>45435</v>
      </c>
      <c r="C72" s="7" t="s">
        <v>150</v>
      </c>
      <c r="D72" s="7" t="s">
        <v>25</v>
      </c>
      <c r="E72" s="7" t="s">
        <v>75</v>
      </c>
      <c r="F72" s="7" t="s">
        <v>2451</v>
      </c>
      <c r="G72" s="7" t="n">
        <v>40</v>
      </c>
      <c r="H72" s="7" t="n">
        <v>461920</v>
      </c>
      <c r="I72" s="7" t="n">
        <v>4</v>
      </c>
      <c r="J72" s="7" t="n">
        <v>16</v>
      </c>
      <c r="K72" s="7" t="s">
        <v>1005</v>
      </c>
    </row>
    <row r="73" customFormat="false" ht="15" hidden="false" customHeight="false" outlineLevel="0" collapsed="false">
      <c r="A73" s="7" t="s">
        <v>2526</v>
      </c>
      <c r="B73" s="8" t="n">
        <v>45698</v>
      </c>
      <c r="C73" s="7" t="s">
        <v>407</v>
      </c>
      <c r="D73" s="7" t="s">
        <v>49</v>
      </c>
      <c r="E73" s="7" t="s">
        <v>68</v>
      </c>
      <c r="F73" s="7" t="s">
        <v>2449</v>
      </c>
      <c r="G73" s="7" t="n">
        <v>8</v>
      </c>
      <c r="H73" s="7" t="n">
        <v>51952</v>
      </c>
      <c r="I73" s="7" t="n">
        <v>5</v>
      </c>
      <c r="J73" s="7" t="n">
        <v>15</v>
      </c>
      <c r="K73" s="7" t="s">
        <v>1005</v>
      </c>
    </row>
    <row r="74" customFormat="false" ht="15" hidden="false" customHeight="false" outlineLevel="0" collapsed="false">
      <c r="A74" s="7" t="s">
        <v>2527</v>
      </c>
      <c r="B74" s="8" t="n">
        <v>45536</v>
      </c>
      <c r="C74" s="7" t="s">
        <v>137</v>
      </c>
      <c r="D74" s="7" t="s">
        <v>25</v>
      </c>
      <c r="E74" s="7" t="s">
        <v>87</v>
      </c>
      <c r="F74" s="7" t="s">
        <v>2463</v>
      </c>
      <c r="G74" s="7" t="n">
        <v>40</v>
      </c>
      <c r="H74" s="7" t="n">
        <v>447400</v>
      </c>
      <c r="I74" s="7" t="n">
        <v>2</v>
      </c>
      <c r="J74" s="7" t="n">
        <v>19</v>
      </c>
      <c r="K74" s="7" t="s">
        <v>1005</v>
      </c>
    </row>
    <row r="75" customFormat="false" ht="15" hidden="false" customHeight="false" outlineLevel="0" collapsed="false">
      <c r="A75" s="7" t="s">
        <v>2528</v>
      </c>
      <c r="B75" s="8" t="n">
        <v>45717</v>
      </c>
      <c r="C75" s="7" t="s">
        <v>203</v>
      </c>
      <c r="D75" s="7" t="s">
        <v>31</v>
      </c>
      <c r="E75" s="7" t="s">
        <v>71</v>
      </c>
      <c r="F75" s="7" t="s">
        <v>2465</v>
      </c>
      <c r="G75" s="7" t="n">
        <v>24</v>
      </c>
      <c r="H75" s="7" t="n">
        <v>159624</v>
      </c>
      <c r="I75" s="7" t="n">
        <v>3</v>
      </c>
      <c r="J75" s="7" t="n">
        <v>4</v>
      </c>
      <c r="K75" s="7" t="s">
        <v>1005</v>
      </c>
    </row>
    <row r="76" customFormat="false" ht="15" hidden="false" customHeight="false" outlineLevel="0" collapsed="false">
      <c r="A76" s="7" t="s">
        <v>2529</v>
      </c>
      <c r="B76" s="8" t="n">
        <v>45855</v>
      </c>
      <c r="C76" s="7" t="s">
        <v>373</v>
      </c>
      <c r="D76" s="7" t="s">
        <v>46</v>
      </c>
      <c r="E76" s="7" t="s">
        <v>75</v>
      </c>
      <c r="F76" s="7" t="s">
        <v>2449</v>
      </c>
      <c r="G76" s="7" t="n">
        <v>4</v>
      </c>
      <c r="H76" s="7" t="n">
        <v>30576</v>
      </c>
      <c r="I76" s="7" t="n">
        <v>5</v>
      </c>
      <c r="J76" s="7" t="n">
        <v>11</v>
      </c>
      <c r="K76" s="7" t="s">
        <v>1005</v>
      </c>
    </row>
    <row r="77" customFormat="false" ht="15" hidden="false" customHeight="false" outlineLevel="0" collapsed="false">
      <c r="A77" s="7" t="s">
        <v>2530</v>
      </c>
      <c r="B77" s="8" t="n">
        <v>45871</v>
      </c>
      <c r="C77" s="7" t="s">
        <v>285</v>
      </c>
      <c r="D77" s="7" t="s">
        <v>37</v>
      </c>
      <c r="E77" s="7" t="s">
        <v>60</v>
      </c>
      <c r="F77" s="7" t="s">
        <v>2458</v>
      </c>
      <c r="G77" s="7" t="n">
        <v>16</v>
      </c>
      <c r="H77" s="7" t="n">
        <v>157488</v>
      </c>
      <c r="I77" s="7" t="n">
        <v>3</v>
      </c>
      <c r="J77" s="7" t="n">
        <v>19</v>
      </c>
      <c r="K77" s="7" t="s">
        <v>1005</v>
      </c>
    </row>
    <row r="78" customFormat="false" ht="15" hidden="false" customHeight="false" outlineLevel="0" collapsed="false">
      <c r="A78" s="7" t="s">
        <v>2531</v>
      </c>
      <c r="B78" s="8" t="n">
        <v>45359</v>
      </c>
      <c r="C78" s="7" t="s">
        <v>239</v>
      </c>
      <c r="D78" s="7" t="s">
        <v>34</v>
      </c>
      <c r="E78" s="7" t="s">
        <v>83</v>
      </c>
      <c r="F78" s="7" t="s">
        <v>2463</v>
      </c>
      <c r="G78" s="7" t="n">
        <v>8</v>
      </c>
      <c r="H78" s="7" t="n">
        <v>47528</v>
      </c>
      <c r="I78" s="7" t="n">
        <v>2</v>
      </c>
      <c r="J78" s="7" t="n">
        <v>21</v>
      </c>
      <c r="K78" s="7" t="s">
        <v>1005</v>
      </c>
    </row>
    <row r="79" customFormat="false" ht="15" hidden="false" customHeight="false" outlineLevel="0" collapsed="false">
      <c r="A79" s="7" t="s">
        <v>2532</v>
      </c>
      <c r="B79" s="8" t="n">
        <v>45541</v>
      </c>
      <c r="C79" s="7" t="s">
        <v>297</v>
      </c>
      <c r="D79" s="7" t="s">
        <v>37</v>
      </c>
      <c r="E79" s="7" t="s">
        <v>75</v>
      </c>
      <c r="F79" s="7" t="s">
        <v>2449</v>
      </c>
      <c r="G79" s="7" t="n">
        <v>24</v>
      </c>
      <c r="H79" s="7" t="n">
        <v>150528</v>
      </c>
      <c r="I79" s="7" t="n">
        <v>3</v>
      </c>
      <c r="J79" s="7" t="n">
        <v>12</v>
      </c>
      <c r="K79" s="7" t="s">
        <v>1005</v>
      </c>
    </row>
    <row r="80" customFormat="false" ht="15" hidden="false" customHeight="false" outlineLevel="0" collapsed="false">
      <c r="A80" s="7" t="s">
        <v>2533</v>
      </c>
      <c r="B80" s="8" t="n">
        <v>45970</v>
      </c>
      <c r="C80" s="7" t="s">
        <v>371</v>
      </c>
      <c r="D80" s="7" t="s">
        <v>46</v>
      </c>
      <c r="E80" s="7" t="s">
        <v>71</v>
      </c>
      <c r="F80" s="7" t="s">
        <v>2453</v>
      </c>
      <c r="G80" s="7" t="n">
        <v>40</v>
      </c>
      <c r="H80" s="7" t="n">
        <v>373600</v>
      </c>
      <c r="I80" s="7" t="n">
        <v>4</v>
      </c>
      <c r="J80" s="7" t="n">
        <v>10</v>
      </c>
      <c r="K80" s="7" t="s">
        <v>1005</v>
      </c>
    </row>
    <row r="81" customFormat="false" ht="15" hidden="false" customHeight="false" outlineLevel="0" collapsed="false">
      <c r="A81" s="7" t="s">
        <v>2534</v>
      </c>
      <c r="B81" s="8" t="n">
        <v>45872</v>
      </c>
      <c r="C81" s="7" t="s">
        <v>271</v>
      </c>
      <c r="D81" s="7" t="s">
        <v>37</v>
      </c>
      <c r="E81" s="7" t="s">
        <v>79</v>
      </c>
      <c r="F81" s="7" t="s">
        <v>2451</v>
      </c>
      <c r="G81" s="7" t="n">
        <v>40</v>
      </c>
      <c r="H81" s="7" t="n">
        <v>388800</v>
      </c>
      <c r="I81" s="7" t="n">
        <v>3</v>
      </c>
      <c r="J81" s="7" t="n">
        <v>24</v>
      </c>
      <c r="K81" s="7" t="s">
        <v>1005</v>
      </c>
    </row>
    <row r="82" customFormat="false" ht="15" hidden="false" customHeight="false" outlineLevel="0" collapsed="false">
      <c r="A82" s="7" t="s">
        <v>2535</v>
      </c>
      <c r="B82" s="8" t="n">
        <v>45849</v>
      </c>
      <c r="C82" s="7" t="s">
        <v>299</v>
      </c>
      <c r="D82" s="7" t="s">
        <v>40</v>
      </c>
      <c r="E82" s="7" t="s">
        <v>71</v>
      </c>
      <c r="F82" s="7" t="s">
        <v>2458</v>
      </c>
      <c r="G82" s="7" t="n">
        <v>4</v>
      </c>
      <c r="H82" s="7" t="n">
        <v>19960</v>
      </c>
      <c r="I82" s="7" t="n">
        <v>4</v>
      </c>
      <c r="J82" s="7" t="n">
        <v>4</v>
      </c>
      <c r="K82" s="7" t="s">
        <v>1005</v>
      </c>
    </row>
    <row r="83" customFormat="false" ht="15" hidden="false" customHeight="false" outlineLevel="0" collapsed="false">
      <c r="A83" s="7" t="s">
        <v>2536</v>
      </c>
      <c r="B83" s="8" t="n">
        <v>45496</v>
      </c>
      <c r="C83" s="7" t="s">
        <v>377</v>
      </c>
      <c r="D83" s="7" t="s">
        <v>46</v>
      </c>
      <c r="E83" s="7" t="s">
        <v>65</v>
      </c>
      <c r="F83" s="7" t="s">
        <v>2449</v>
      </c>
      <c r="G83" s="7" t="n">
        <v>8</v>
      </c>
      <c r="H83" s="7" t="n">
        <v>51840</v>
      </c>
      <c r="I83" s="7" t="n">
        <v>3</v>
      </c>
      <c r="J83" s="7" t="n">
        <v>11</v>
      </c>
      <c r="K83" s="7" t="s">
        <v>1005</v>
      </c>
    </row>
    <row r="84" customFormat="false" ht="15" hidden="false" customHeight="false" outlineLevel="0" collapsed="false">
      <c r="A84" s="7" t="s">
        <v>2537</v>
      </c>
      <c r="B84" s="8" t="n">
        <v>45494</v>
      </c>
      <c r="C84" s="7" t="s">
        <v>302</v>
      </c>
      <c r="D84" s="7" t="s">
        <v>40</v>
      </c>
      <c r="E84" s="7" t="s">
        <v>68</v>
      </c>
      <c r="F84" s="7" t="s">
        <v>2451</v>
      </c>
      <c r="G84" s="7" t="n">
        <v>40</v>
      </c>
      <c r="H84" s="7" t="n">
        <v>352320</v>
      </c>
      <c r="I84" s="7" t="n">
        <v>5</v>
      </c>
      <c r="J84" s="7" t="n">
        <v>21</v>
      </c>
      <c r="K84" s="7" t="s">
        <v>1005</v>
      </c>
    </row>
    <row r="85" customFormat="false" ht="15" hidden="false" customHeight="false" outlineLevel="0" collapsed="false">
      <c r="A85" s="7" t="s">
        <v>2538</v>
      </c>
      <c r="B85" s="8" t="n">
        <v>45903</v>
      </c>
      <c r="C85" s="7" t="s">
        <v>361</v>
      </c>
      <c r="D85" s="7" t="s">
        <v>43</v>
      </c>
      <c r="E85" s="7" t="s">
        <v>75</v>
      </c>
      <c r="F85" s="7" t="s">
        <v>2449</v>
      </c>
      <c r="G85" s="7" t="n">
        <v>24</v>
      </c>
      <c r="H85" s="7" t="n">
        <v>256296</v>
      </c>
      <c r="I85" s="7" t="n">
        <v>3</v>
      </c>
      <c r="J85" s="7" t="n">
        <v>0</v>
      </c>
      <c r="K85" s="7" t="s">
        <v>1005</v>
      </c>
    </row>
    <row r="86" customFormat="false" ht="15" hidden="false" customHeight="false" outlineLevel="0" collapsed="false">
      <c r="A86" s="7" t="s">
        <v>2539</v>
      </c>
      <c r="B86" s="8" t="n">
        <v>46019</v>
      </c>
      <c r="C86" s="7" t="s">
        <v>190</v>
      </c>
      <c r="D86" s="7" t="s">
        <v>28</v>
      </c>
      <c r="E86" s="7" t="s">
        <v>87</v>
      </c>
      <c r="F86" s="7" t="s">
        <v>2460</v>
      </c>
      <c r="G86" s="7" t="n">
        <v>4</v>
      </c>
      <c r="H86" s="7" t="n">
        <v>28700</v>
      </c>
      <c r="I86" s="7" t="n">
        <v>4</v>
      </c>
      <c r="J86" s="7" t="n">
        <v>4</v>
      </c>
      <c r="K86" s="7" t="s">
        <v>1005</v>
      </c>
    </row>
    <row r="87" customFormat="false" ht="15" hidden="false" customHeight="false" outlineLevel="0" collapsed="false">
      <c r="A87" s="7" t="s">
        <v>2540</v>
      </c>
      <c r="B87" s="8" t="n">
        <v>45317</v>
      </c>
      <c r="C87" s="7" t="s">
        <v>418</v>
      </c>
      <c r="D87" s="7" t="s">
        <v>52</v>
      </c>
      <c r="E87" s="7" t="s">
        <v>87</v>
      </c>
      <c r="F87" s="7" t="s">
        <v>2453</v>
      </c>
      <c r="G87" s="7" t="n">
        <v>8</v>
      </c>
      <c r="H87" s="7" t="n">
        <v>33704</v>
      </c>
      <c r="I87" s="7" t="n">
        <v>4</v>
      </c>
      <c r="J87" s="7" t="n">
        <v>24</v>
      </c>
      <c r="K87" s="7" t="s">
        <v>1005</v>
      </c>
    </row>
    <row r="88" customFormat="false" ht="15" hidden="false" customHeight="false" outlineLevel="0" collapsed="false">
      <c r="A88" s="7" t="s">
        <v>2541</v>
      </c>
      <c r="B88" s="8" t="n">
        <v>45484</v>
      </c>
      <c r="C88" s="7" t="s">
        <v>357</v>
      </c>
      <c r="D88" s="7" t="s">
        <v>43</v>
      </c>
      <c r="E88" s="7" t="s">
        <v>87</v>
      </c>
      <c r="F88" s="7" t="s">
        <v>2458</v>
      </c>
      <c r="G88" s="7" t="n">
        <v>40</v>
      </c>
      <c r="H88" s="7" t="n">
        <v>364600</v>
      </c>
      <c r="I88" s="7" t="n">
        <v>4</v>
      </c>
      <c r="J88" s="7" t="n">
        <v>24</v>
      </c>
      <c r="K88" s="7" t="s">
        <v>1005</v>
      </c>
    </row>
    <row r="89" customFormat="false" ht="15" hidden="false" customHeight="false" outlineLevel="0" collapsed="false">
      <c r="A89" s="7" t="s">
        <v>2542</v>
      </c>
      <c r="B89" s="8" t="n">
        <v>45832</v>
      </c>
      <c r="C89" s="7" t="s">
        <v>373</v>
      </c>
      <c r="D89" s="7" t="s">
        <v>46</v>
      </c>
      <c r="E89" s="7" t="s">
        <v>75</v>
      </c>
      <c r="F89" s="7" t="s">
        <v>2451</v>
      </c>
      <c r="G89" s="7" t="n">
        <v>16</v>
      </c>
      <c r="H89" s="7" t="n">
        <v>99200</v>
      </c>
      <c r="I89" s="7" t="n">
        <v>4</v>
      </c>
      <c r="J89" s="7" t="n">
        <v>4</v>
      </c>
      <c r="K89" s="7" t="s">
        <v>1005</v>
      </c>
    </row>
    <row r="90" customFormat="false" ht="15" hidden="false" customHeight="false" outlineLevel="0" collapsed="false">
      <c r="A90" s="7" t="s">
        <v>2543</v>
      </c>
      <c r="B90" s="8" t="n">
        <v>45363</v>
      </c>
      <c r="C90" s="7" t="s">
        <v>261</v>
      </c>
      <c r="D90" s="7" t="s">
        <v>34</v>
      </c>
      <c r="E90" s="7" t="s">
        <v>75</v>
      </c>
      <c r="F90" s="7" t="s">
        <v>2451</v>
      </c>
      <c r="G90" s="7" t="n">
        <v>4</v>
      </c>
      <c r="H90" s="7" t="n">
        <v>26396</v>
      </c>
      <c r="I90" s="7" t="n">
        <v>4</v>
      </c>
      <c r="J90" s="7" t="n">
        <v>3</v>
      </c>
      <c r="K90" s="7" t="s">
        <v>1005</v>
      </c>
    </row>
    <row r="91" customFormat="false" ht="15" hidden="false" customHeight="false" outlineLevel="0" collapsed="false">
      <c r="A91" s="7" t="s">
        <v>2544</v>
      </c>
      <c r="B91" s="8" t="n">
        <v>45448</v>
      </c>
      <c r="C91" s="7" t="s">
        <v>359</v>
      </c>
      <c r="D91" s="7" t="s">
        <v>43</v>
      </c>
      <c r="E91" s="7" t="s">
        <v>65</v>
      </c>
      <c r="F91" s="7" t="s">
        <v>2453</v>
      </c>
      <c r="G91" s="7" t="n">
        <v>16</v>
      </c>
      <c r="H91" s="7" t="n">
        <v>149744</v>
      </c>
      <c r="I91" s="7" t="n">
        <v>3</v>
      </c>
      <c r="J91" s="7" t="n">
        <v>23</v>
      </c>
      <c r="K91" s="7" t="s">
        <v>1005</v>
      </c>
    </row>
    <row r="92" customFormat="false" ht="15" hidden="false" customHeight="false" outlineLevel="0" collapsed="false">
      <c r="A92" s="7" t="s">
        <v>2545</v>
      </c>
      <c r="B92" s="8" t="n">
        <v>45854</v>
      </c>
      <c r="C92" s="7" t="s">
        <v>333</v>
      </c>
      <c r="D92" s="7" t="s">
        <v>43</v>
      </c>
      <c r="E92" s="7" t="s">
        <v>75</v>
      </c>
      <c r="F92" s="7" t="s">
        <v>2460</v>
      </c>
      <c r="G92" s="7" t="n">
        <v>24</v>
      </c>
      <c r="H92" s="7" t="n">
        <v>138168</v>
      </c>
      <c r="I92" s="7" t="n">
        <v>5</v>
      </c>
      <c r="J92" s="7" t="n">
        <v>6</v>
      </c>
      <c r="K92" s="7" t="s">
        <v>1005</v>
      </c>
    </row>
    <row r="93" customFormat="false" ht="15" hidden="false" customHeight="false" outlineLevel="0" collapsed="false">
      <c r="A93" s="7" t="s">
        <v>2546</v>
      </c>
      <c r="B93" s="8" t="n">
        <v>45819</v>
      </c>
      <c r="C93" s="7" t="s">
        <v>345</v>
      </c>
      <c r="D93" s="7" t="s">
        <v>43</v>
      </c>
      <c r="E93" s="7" t="s">
        <v>83</v>
      </c>
      <c r="F93" s="7" t="s">
        <v>2449</v>
      </c>
      <c r="G93" s="7" t="n">
        <v>16</v>
      </c>
      <c r="H93" s="7" t="n">
        <v>97056</v>
      </c>
      <c r="I93" s="7" t="n">
        <v>5</v>
      </c>
      <c r="J93" s="7" t="n">
        <v>0</v>
      </c>
      <c r="K93" s="7" t="s">
        <v>1005</v>
      </c>
    </row>
    <row r="94" customFormat="false" ht="15" hidden="false" customHeight="false" outlineLevel="0" collapsed="false">
      <c r="A94" s="7" t="s">
        <v>2547</v>
      </c>
      <c r="B94" s="8" t="n">
        <v>45702</v>
      </c>
      <c r="C94" s="7" t="s">
        <v>142</v>
      </c>
      <c r="D94" s="7" t="s">
        <v>25</v>
      </c>
      <c r="E94" s="7" t="s">
        <v>65</v>
      </c>
      <c r="F94" s="7" t="s">
        <v>2465</v>
      </c>
      <c r="G94" s="7" t="n">
        <v>16</v>
      </c>
      <c r="H94" s="7" t="n">
        <v>94352</v>
      </c>
      <c r="I94" s="7" t="n">
        <v>4</v>
      </c>
      <c r="J94" s="7" t="n">
        <v>19</v>
      </c>
      <c r="K94" s="7" t="s">
        <v>1005</v>
      </c>
    </row>
    <row r="95" customFormat="false" ht="15" hidden="false" customHeight="false" outlineLevel="0" collapsed="false">
      <c r="A95" s="7" t="s">
        <v>2548</v>
      </c>
      <c r="B95" s="8" t="n">
        <v>45806</v>
      </c>
      <c r="C95" s="7" t="s">
        <v>323</v>
      </c>
      <c r="D95" s="7" t="s">
        <v>40</v>
      </c>
      <c r="E95" s="7" t="s">
        <v>60</v>
      </c>
      <c r="F95" s="7" t="s">
        <v>2458</v>
      </c>
      <c r="G95" s="7" t="n">
        <v>40</v>
      </c>
      <c r="H95" s="7" t="n">
        <v>285600</v>
      </c>
      <c r="I95" s="7" t="n">
        <v>4</v>
      </c>
      <c r="J95" s="7" t="n">
        <v>20</v>
      </c>
      <c r="K95" s="7" t="s">
        <v>1005</v>
      </c>
    </row>
    <row r="96" customFormat="false" ht="15" hidden="false" customHeight="false" outlineLevel="0" collapsed="false">
      <c r="A96" s="7" t="s">
        <v>2549</v>
      </c>
      <c r="B96" s="8" t="n">
        <v>45942</v>
      </c>
      <c r="C96" s="7" t="s">
        <v>225</v>
      </c>
      <c r="D96" s="7" t="s">
        <v>31</v>
      </c>
      <c r="E96" s="7" t="s">
        <v>68</v>
      </c>
      <c r="F96" s="7" t="s">
        <v>2465</v>
      </c>
      <c r="G96" s="7" t="n">
        <v>24</v>
      </c>
      <c r="H96" s="7" t="n">
        <v>97728</v>
      </c>
      <c r="I96" s="7" t="n">
        <v>2</v>
      </c>
      <c r="J96" s="7" t="n">
        <v>22</v>
      </c>
      <c r="K96" s="7" t="s">
        <v>1005</v>
      </c>
    </row>
    <row r="97" customFormat="false" ht="15" hidden="false" customHeight="false" outlineLevel="0" collapsed="false">
      <c r="A97" s="7" t="s">
        <v>2550</v>
      </c>
      <c r="B97" s="8" t="n">
        <v>45697</v>
      </c>
      <c r="C97" s="7" t="s">
        <v>432</v>
      </c>
      <c r="D97" s="7" t="s">
        <v>52</v>
      </c>
      <c r="E97" s="7" t="s">
        <v>79</v>
      </c>
      <c r="F97" s="7" t="s">
        <v>2458</v>
      </c>
      <c r="G97" s="7" t="n">
        <v>4</v>
      </c>
      <c r="H97" s="7" t="n">
        <v>34392</v>
      </c>
      <c r="I97" s="7" t="n">
        <v>4</v>
      </c>
      <c r="J97" s="7" t="n">
        <v>4</v>
      </c>
      <c r="K97" s="7" t="s">
        <v>1005</v>
      </c>
    </row>
    <row r="98" customFormat="false" ht="15" hidden="false" customHeight="false" outlineLevel="0" collapsed="false">
      <c r="A98" s="7" t="s">
        <v>2551</v>
      </c>
      <c r="B98" s="8" t="n">
        <v>45302</v>
      </c>
      <c r="C98" s="7" t="s">
        <v>353</v>
      </c>
      <c r="D98" s="7" t="s">
        <v>43</v>
      </c>
      <c r="E98" s="7" t="s">
        <v>75</v>
      </c>
      <c r="F98" s="7" t="s">
        <v>2449</v>
      </c>
      <c r="G98" s="7" t="n">
        <v>4</v>
      </c>
      <c r="H98" s="7" t="n">
        <v>32868</v>
      </c>
      <c r="I98" s="7" t="n">
        <v>3</v>
      </c>
      <c r="J98" s="7" t="n">
        <v>24</v>
      </c>
      <c r="K98" s="7" t="s">
        <v>1005</v>
      </c>
    </row>
    <row r="99" customFormat="false" ht="15" hidden="false" customHeight="false" outlineLevel="0" collapsed="false">
      <c r="A99" s="7" t="s">
        <v>2552</v>
      </c>
      <c r="B99" s="8" t="n">
        <v>45908</v>
      </c>
      <c r="C99" s="7" t="s">
        <v>145</v>
      </c>
      <c r="D99" s="7" t="s">
        <v>25</v>
      </c>
      <c r="E99" s="7" t="s">
        <v>87</v>
      </c>
      <c r="F99" s="7" t="s">
        <v>2453</v>
      </c>
      <c r="G99" s="7" t="n">
        <v>16</v>
      </c>
      <c r="H99" s="7" t="n">
        <v>146128</v>
      </c>
      <c r="I99" s="7" t="n">
        <v>2</v>
      </c>
      <c r="J99" s="7" t="n">
        <v>0</v>
      </c>
      <c r="K99" s="7" t="s">
        <v>1005</v>
      </c>
    </row>
    <row r="100" customFormat="false" ht="15" hidden="false" customHeight="false" outlineLevel="0" collapsed="false">
      <c r="A100" s="7" t="s">
        <v>2553</v>
      </c>
      <c r="B100" s="8" t="n">
        <v>45814</v>
      </c>
      <c r="C100" s="7" t="s">
        <v>418</v>
      </c>
      <c r="D100" s="7" t="s">
        <v>52</v>
      </c>
      <c r="E100" s="7" t="s">
        <v>87</v>
      </c>
      <c r="F100" s="7" t="s">
        <v>2465</v>
      </c>
      <c r="G100" s="7" t="n">
        <v>40</v>
      </c>
      <c r="H100" s="7" t="n">
        <v>134480</v>
      </c>
      <c r="I100" s="7" t="n">
        <v>4</v>
      </c>
      <c r="J100" s="7" t="n">
        <v>3</v>
      </c>
      <c r="K100" s="7" t="s">
        <v>1005</v>
      </c>
    </row>
    <row r="101" customFormat="false" ht="15" hidden="false" customHeight="false" outlineLevel="0" collapsed="false">
      <c r="A101" s="7" t="s">
        <v>2554</v>
      </c>
      <c r="B101" s="8" t="n">
        <v>45509</v>
      </c>
      <c r="C101" s="7" t="s">
        <v>377</v>
      </c>
      <c r="D101" s="7" t="s">
        <v>46</v>
      </c>
      <c r="E101" s="7" t="s">
        <v>65</v>
      </c>
      <c r="F101" s="7" t="s">
        <v>2453</v>
      </c>
      <c r="G101" s="7" t="n">
        <v>8</v>
      </c>
      <c r="H101" s="7" t="n">
        <v>78616</v>
      </c>
      <c r="I101" s="7" t="n">
        <v>4</v>
      </c>
      <c r="J101" s="7" t="n">
        <v>18</v>
      </c>
      <c r="K101" s="7" t="s">
        <v>1005</v>
      </c>
    </row>
    <row r="102" customFormat="false" ht="15" hidden="false" customHeight="false" outlineLevel="0" collapsed="false">
      <c r="A102" s="7" t="s">
        <v>2555</v>
      </c>
      <c r="B102" s="8" t="n">
        <v>45327</v>
      </c>
      <c r="C102" s="7" t="s">
        <v>165</v>
      </c>
      <c r="D102" s="7" t="s">
        <v>25</v>
      </c>
      <c r="E102" s="7" t="s">
        <v>83</v>
      </c>
      <c r="F102" s="7" t="s">
        <v>2451</v>
      </c>
      <c r="G102" s="7" t="n">
        <v>8</v>
      </c>
      <c r="H102" s="7" t="n">
        <v>49544</v>
      </c>
      <c r="I102" s="7" t="n">
        <v>4</v>
      </c>
      <c r="J102" s="7" t="n">
        <v>23</v>
      </c>
      <c r="K102" s="7" t="s">
        <v>1005</v>
      </c>
    </row>
    <row r="103" customFormat="false" ht="15" hidden="false" customHeight="false" outlineLevel="0" collapsed="false">
      <c r="A103" s="7" t="s">
        <v>2556</v>
      </c>
      <c r="B103" s="8" t="n">
        <v>45642</v>
      </c>
      <c r="C103" s="7" t="s">
        <v>312</v>
      </c>
      <c r="D103" s="7" t="s">
        <v>40</v>
      </c>
      <c r="E103" s="7" t="s">
        <v>79</v>
      </c>
      <c r="F103" s="7" t="s">
        <v>2451</v>
      </c>
      <c r="G103" s="7" t="n">
        <v>4</v>
      </c>
      <c r="H103" s="7" t="n">
        <v>40656</v>
      </c>
      <c r="I103" s="7" t="n">
        <v>3</v>
      </c>
      <c r="J103" s="7" t="n">
        <v>15</v>
      </c>
      <c r="K103" s="7" t="s">
        <v>1005</v>
      </c>
    </row>
    <row r="104" customFormat="false" ht="15" hidden="false" customHeight="false" outlineLevel="0" collapsed="false">
      <c r="A104" s="7" t="s">
        <v>2557</v>
      </c>
      <c r="B104" s="8" t="n">
        <v>45696</v>
      </c>
      <c r="C104" s="7" t="s">
        <v>357</v>
      </c>
      <c r="D104" s="7" t="s">
        <v>43</v>
      </c>
      <c r="E104" s="7" t="s">
        <v>87</v>
      </c>
      <c r="F104" s="7" t="s">
        <v>2465</v>
      </c>
      <c r="G104" s="7" t="n">
        <v>24</v>
      </c>
      <c r="H104" s="7" t="n">
        <v>140304</v>
      </c>
      <c r="I104" s="7" t="n">
        <v>4</v>
      </c>
      <c r="J104" s="7" t="n">
        <v>12</v>
      </c>
      <c r="K104" s="7" t="s">
        <v>1005</v>
      </c>
    </row>
    <row r="105" customFormat="false" ht="15" hidden="false" customHeight="false" outlineLevel="0" collapsed="false">
      <c r="A105" s="7" t="s">
        <v>2558</v>
      </c>
      <c r="B105" s="8" t="n">
        <v>45347</v>
      </c>
      <c r="C105" s="7" t="s">
        <v>413</v>
      </c>
      <c r="D105" s="7" t="s">
        <v>49</v>
      </c>
      <c r="E105" s="7" t="s">
        <v>87</v>
      </c>
      <c r="F105" s="7" t="s">
        <v>2449</v>
      </c>
      <c r="G105" s="7" t="n">
        <v>8</v>
      </c>
      <c r="H105" s="7" t="n">
        <v>43320</v>
      </c>
      <c r="I105" s="7" t="n">
        <v>5</v>
      </c>
      <c r="J105" s="7" t="n">
        <v>6</v>
      </c>
      <c r="K105" s="7" t="s">
        <v>1005</v>
      </c>
    </row>
    <row r="106" customFormat="false" ht="15" hidden="false" customHeight="false" outlineLevel="0" collapsed="false">
      <c r="A106" s="7" t="s">
        <v>2559</v>
      </c>
      <c r="B106" s="8" t="n">
        <v>45368</v>
      </c>
      <c r="C106" s="7" t="s">
        <v>347</v>
      </c>
      <c r="D106" s="7" t="s">
        <v>43</v>
      </c>
      <c r="E106" s="7" t="s">
        <v>71</v>
      </c>
      <c r="F106" s="7" t="s">
        <v>2449</v>
      </c>
      <c r="G106" s="7" t="n">
        <v>40</v>
      </c>
      <c r="H106" s="7" t="n">
        <v>254560</v>
      </c>
      <c r="I106" s="7" t="n">
        <v>5</v>
      </c>
      <c r="J106" s="7" t="n">
        <v>12</v>
      </c>
      <c r="K106" s="7" t="s">
        <v>1005</v>
      </c>
    </row>
    <row r="107" customFormat="false" ht="15" hidden="false" customHeight="false" outlineLevel="0" collapsed="false">
      <c r="A107" s="7" t="s">
        <v>2560</v>
      </c>
      <c r="B107" s="8" t="n">
        <v>45929</v>
      </c>
      <c r="C107" s="7" t="s">
        <v>355</v>
      </c>
      <c r="D107" s="7" t="s">
        <v>43</v>
      </c>
      <c r="E107" s="7" t="s">
        <v>87</v>
      </c>
      <c r="F107" s="7" t="s">
        <v>2451</v>
      </c>
      <c r="G107" s="7" t="n">
        <v>40</v>
      </c>
      <c r="H107" s="7" t="n">
        <v>336400</v>
      </c>
      <c r="I107" s="7" t="n">
        <v>3</v>
      </c>
      <c r="J107" s="7" t="n">
        <v>1</v>
      </c>
      <c r="K107" s="7" t="s">
        <v>1005</v>
      </c>
    </row>
    <row r="108" customFormat="false" ht="15" hidden="false" customHeight="false" outlineLevel="0" collapsed="false">
      <c r="A108" s="7" t="s">
        <v>2561</v>
      </c>
      <c r="B108" s="8" t="n">
        <v>45901</v>
      </c>
      <c r="C108" s="7" t="s">
        <v>165</v>
      </c>
      <c r="D108" s="7" t="s">
        <v>25</v>
      </c>
      <c r="E108" s="7" t="s">
        <v>83</v>
      </c>
      <c r="F108" s="7" t="s">
        <v>2465</v>
      </c>
      <c r="G108" s="7" t="n">
        <v>24</v>
      </c>
      <c r="H108" s="7" t="n">
        <v>145536</v>
      </c>
      <c r="I108" s="7" t="n">
        <v>2</v>
      </c>
      <c r="J108" s="7" t="n">
        <v>7</v>
      </c>
      <c r="K108" s="7" t="s">
        <v>1005</v>
      </c>
    </row>
    <row r="109" customFormat="false" ht="15" hidden="false" customHeight="false" outlineLevel="0" collapsed="false">
      <c r="A109" s="7" t="s">
        <v>2562</v>
      </c>
      <c r="B109" s="8" t="n">
        <v>45631</v>
      </c>
      <c r="C109" s="7" t="s">
        <v>163</v>
      </c>
      <c r="D109" s="7" t="s">
        <v>25</v>
      </c>
      <c r="E109" s="7" t="s">
        <v>75</v>
      </c>
      <c r="F109" s="7" t="s">
        <v>2463</v>
      </c>
      <c r="G109" s="7" t="n">
        <v>4</v>
      </c>
      <c r="H109" s="7" t="n">
        <v>37468</v>
      </c>
      <c r="I109" s="7" t="n">
        <v>5</v>
      </c>
      <c r="J109" s="7" t="n">
        <v>21</v>
      </c>
      <c r="K109" s="7" t="s">
        <v>1005</v>
      </c>
    </row>
    <row r="110" customFormat="false" ht="15" hidden="false" customHeight="false" outlineLevel="0" collapsed="false">
      <c r="A110" s="7" t="s">
        <v>2563</v>
      </c>
      <c r="B110" s="8" t="n">
        <v>45901</v>
      </c>
      <c r="C110" s="7" t="s">
        <v>440</v>
      </c>
      <c r="D110" s="7" t="s">
        <v>52</v>
      </c>
      <c r="E110" s="7" t="s">
        <v>83</v>
      </c>
      <c r="F110" s="7" t="s">
        <v>2449</v>
      </c>
      <c r="G110" s="7" t="n">
        <v>16</v>
      </c>
      <c r="H110" s="7" t="n">
        <v>191872</v>
      </c>
      <c r="I110" s="7" t="n">
        <v>4</v>
      </c>
      <c r="J110" s="7" t="n">
        <v>7</v>
      </c>
      <c r="K110" s="7" t="s">
        <v>1005</v>
      </c>
    </row>
    <row r="111" customFormat="false" ht="15" hidden="false" customHeight="false" outlineLevel="0" collapsed="false">
      <c r="A111" s="7" t="s">
        <v>2564</v>
      </c>
      <c r="B111" s="8" t="n">
        <v>46008</v>
      </c>
      <c r="C111" s="7" t="s">
        <v>201</v>
      </c>
      <c r="D111" s="7" t="s">
        <v>28</v>
      </c>
      <c r="E111" s="7" t="s">
        <v>65</v>
      </c>
      <c r="F111" s="7" t="s">
        <v>2449</v>
      </c>
      <c r="G111" s="7" t="n">
        <v>4</v>
      </c>
      <c r="H111" s="7" t="n">
        <v>20208</v>
      </c>
      <c r="I111" s="7" t="n">
        <v>4</v>
      </c>
      <c r="J111" s="7" t="n">
        <v>12</v>
      </c>
      <c r="K111" s="7" t="s">
        <v>1005</v>
      </c>
    </row>
    <row r="112" customFormat="false" ht="15" hidden="false" customHeight="false" outlineLevel="0" collapsed="false">
      <c r="A112" s="7" t="s">
        <v>2565</v>
      </c>
      <c r="B112" s="8" t="n">
        <v>45598</v>
      </c>
      <c r="C112" s="7" t="s">
        <v>251</v>
      </c>
      <c r="D112" s="7" t="s">
        <v>34</v>
      </c>
      <c r="E112" s="7" t="s">
        <v>68</v>
      </c>
      <c r="F112" s="7" t="s">
        <v>2458</v>
      </c>
      <c r="G112" s="7" t="n">
        <v>40</v>
      </c>
      <c r="H112" s="7" t="n">
        <v>237600</v>
      </c>
      <c r="I112" s="7" t="n">
        <v>3</v>
      </c>
      <c r="J112" s="7" t="n">
        <v>5</v>
      </c>
      <c r="K112" s="7" t="s">
        <v>1005</v>
      </c>
    </row>
    <row r="113" customFormat="false" ht="15" hidden="false" customHeight="false" outlineLevel="0" collapsed="false">
      <c r="A113" s="7" t="s">
        <v>2566</v>
      </c>
      <c r="B113" s="8" t="n">
        <v>45763</v>
      </c>
      <c r="C113" s="7" t="s">
        <v>331</v>
      </c>
      <c r="D113" s="7" t="s">
        <v>43</v>
      </c>
      <c r="E113" s="7" t="s">
        <v>83</v>
      </c>
      <c r="F113" s="7" t="s">
        <v>2449</v>
      </c>
      <c r="G113" s="7" t="n">
        <v>8</v>
      </c>
      <c r="H113" s="7" t="n">
        <v>40944</v>
      </c>
      <c r="I113" s="7" t="n">
        <v>4</v>
      </c>
      <c r="J113" s="7" t="n">
        <v>1</v>
      </c>
      <c r="K113" s="7" t="s">
        <v>1005</v>
      </c>
    </row>
    <row r="114" customFormat="false" ht="15" hidden="false" customHeight="false" outlineLevel="0" collapsed="false">
      <c r="A114" s="7" t="s">
        <v>2567</v>
      </c>
      <c r="B114" s="8" t="n">
        <v>45693</v>
      </c>
      <c r="C114" s="7" t="s">
        <v>154</v>
      </c>
      <c r="D114" s="7" t="s">
        <v>25</v>
      </c>
      <c r="E114" s="7" t="s">
        <v>65</v>
      </c>
      <c r="F114" s="7" t="s">
        <v>2453</v>
      </c>
      <c r="G114" s="7" t="n">
        <v>8</v>
      </c>
      <c r="H114" s="7" t="n">
        <v>36456</v>
      </c>
      <c r="I114" s="7" t="n">
        <v>5</v>
      </c>
      <c r="J114" s="7" t="n">
        <v>20</v>
      </c>
      <c r="K114" s="7" t="s">
        <v>1005</v>
      </c>
    </row>
    <row r="115" customFormat="false" ht="15" hidden="false" customHeight="false" outlineLevel="0" collapsed="false">
      <c r="A115" s="7" t="s">
        <v>2568</v>
      </c>
      <c r="B115" s="8" t="n">
        <v>45643</v>
      </c>
      <c r="C115" s="7" t="s">
        <v>211</v>
      </c>
      <c r="D115" s="7" t="s">
        <v>31</v>
      </c>
      <c r="E115" s="7" t="s">
        <v>83</v>
      </c>
      <c r="F115" s="7" t="s">
        <v>2463</v>
      </c>
      <c r="G115" s="7" t="n">
        <v>4</v>
      </c>
      <c r="H115" s="7" t="n">
        <v>35876</v>
      </c>
      <c r="I115" s="7" t="n">
        <v>4</v>
      </c>
      <c r="J115" s="7" t="n">
        <v>1</v>
      </c>
      <c r="K115" s="7" t="s">
        <v>1005</v>
      </c>
    </row>
    <row r="116" customFormat="false" ht="15" hidden="false" customHeight="false" outlineLevel="0" collapsed="false">
      <c r="A116" s="7" t="s">
        <v>2569</v>
      </c>
      <c r="B116" s="8" t="n">
        <v>45669</v>
      </c>
      <c r="C116" s="7" t="s">
        <v>375</v>
      </c>
      <c r="D116" s="7" t="s">
        <v>46</v>
      </c>
      <c r="E116" s="7" t="s">
        <v>71</v>
      </c>
      <c r="F116" s="7" t="s">
        <v>2460</v>
      </c>
      <c r="G116" s="7" t="n">
        <v>4</v>
      </c>
      <c r="H116" s="7" t="n">
        <v>35224</v>
      </c>
      <c r="I116" s="7" t="n">
        <v>5</v>
      </c>
      <c r="J116" s="7" t="n">
        <v>18</v>
      </c>
      <c r="K116" s="7" t="s">
        <v>1005</v>
      </c>
    </row>
    <row r="117" customFormat="false" ht="15" hidden="false" customHeight="false" outlineLevel="0" collapsed="false">
      <c r="A117" s="7" t="s">
        <v>2570</v>
      </c>
      <c r="B117" s="8" t="n">
        <v>45709</v>
      </c>
      <c r="C117" s="7" t="s">
        <v>418</v>
      </c>
      <c r="D117" s="7" t="s">
        <v>52</v>
      </c>
      <c r="E117" s="7" t="s">
        <v>87</v>
      </c>
      <c r="F117" s="7" t="s">
        <v>2451</v>
      </c>
      <c r="G117" s="7" t="n">
        <v>4</v>
      </c>
      <c r="H117" s="7" t="n">
        <v>44768</v>
      </c>
      <c r="I117" s="7" t="n">
        <v>3</v>
      </c>
      <c r="J117" s="7" t="n">
        <v>8</v>
      </c>
      <c r="K117" s="7" t="s">
        <v>1005</v>
      </c>
    </row>
    <row r="118" customFormat="false" ht="15" hidden="false" customHeight="false" outlineLevel="0" collapsed="false">
      <c r="A118" s="7" t="s">
        <v>2571</v>
      </c>
      <c r="B118" s="8" t="n">
        <v>45582</v>
      </c>
      <c r="C118" s="7" t="s">
        <v>299</v>
      </c>
      <c r="D118" s="7" t="s">
        <v>40</v>
      </c>
      <c r="E118" s="7" t="s">
        <v>71</v>
      </c>
      <c r="F118" s="7" t="s">
        <v>2453</v>
      </c>
      <c r="G118" s="7" t="n">
        <v>8</v>
      </c>
      <c r="H118" s="7" t="n">
        <v>58384</v>
      </c>
      <c r="I118" s="7" t="n">
        <v>4</v>
      </c>
      <c r="J118" s="7" t="n">
        <v>24</v>
      </c>
      <c r="K118" s="7" t="s">
        <v>1005</v>
      </c>
    </row>
    <row r="119" customFormat="false" ht="15" hidden="false" customHeight="false" outlineLevel="0" collapsed="false">
      <c r="A119" s="7" t="s">
        <v>2572</v>
      </c>
      <c r="B119" s="8" t="n">
        <v>45755</v>
      </c>
      <c r="C119" s="7" t="s">
        <v>345</v>
      </c>
      <c r="D119" s="7" t="s">
        <v>43</v>
      </c>
      <c r="E119" s="7" t="s">
        <v>83</v>
      </c>
      <c r="F119" s="7" t="s">
        <v>2449</v>
      </c>
      <c r="G119" s="7" t="n">
        <v>40</v>
      </c>
      <c r="H119" s="7" t="n">
        <v>236640</v>
      </c>
      <c r="I119" s="7" t="n">
        <v>4</v>
      </c>
      <c r="J119" s="7" t="n">
        <v>5</v>
      </c>
      <c r="K119" s="7" t="s">
        <v>1005</v>
      </c>
    </row>
    <row r="120" customFormat="false" ht="15" hidden="false" customHeight="false" outlineLevel="0" collapsed="false">
      <c r="A120" s="7" t="s">
        <v>2573</v>
      </c>
      <c r="B120" s="8" t="n">
        <v>45791</v>
      </c>
      <c r="C120" s="7" t="s">
        <v>387</v>
      </c>
      <c r="D120" s="7" t="s">
        <v>49</v>
      </c>
      <c r="E120" s="7" t="s">
        <v>65</v>
      </c>
      <c r="F120" s="7" t="s">
        <v>2460</v>
      </c>
      <c r="G120" s="7" t="n">
        <v>24</v>
      </c>
      <c r="H120" s="7" t="n">
        <v>206040</v>
      </c>
      <c r="I120" s="7" t="n">
        <v>4</v>
      </c>
      <c r="J120" s="7" t="n">
        <v>24</v>
      </c>
      <c r="K120" s="7" t="s">
        <v>1005</v>
      </c>
    </row>
    <row r="121" customFormat="false" ht="15" hidden="false" customHeight="false" outlineLevel="0" collapsed="false">
      <c r="A121" s="7" t="s">
        <v>2574</v>
      </c>
      <c r="B121" s="8" t="n">
        <v>45447</v>
      </c>
      <c r="C121" s="7" t="s">
        <v>201</v>
      </c>
      <c r="D121" s="7" t="s">
        <v>28</v>
      </c>
      <c r="E121" s="7" t="s">
        <v>65</v>
      </c>
      <c r="F121" s="7" t="s">
        <v>2465</v>
      </c>
      <c r="G121" s="7" t="n">
        <v>24</v>
      </c>
      <c r="H121" s="7" t="n">
        <v>135576</v>
      </c>
      <c r="I121" s="7" t="n">
        <v>1</v>
      </c>
      <c r="J121" s="7" t="n">
        <v>13</v>
      </c>
      <c r="K121" s="7" t="s">
        <v>1005</v>
      </c>
    </row>
    <row r="122" customFormat="false" ht="15" hidden="false" customHeight="false" outlineLevel="0" collapsed="false">
      <c r="A122" s="7" t="s">
        <v>2575</v>
      </c>
      <c r="B122" s="8" t="n">
        <v>45784</v>
      </c>
      <c r="C122" s="7" t="s">
        <v>199</v>
      </c>
      <c r="D122" s="7" t="s">
        <v>28</v>
      </c>
      <c r="E122" s="7" t="s">
        <v>83</v>
      </c>
      <c r="F122" s="7" t="s">
        <v>2460</v>
      </c>
      <c r="G122" s="7" t="n">
        <v>16</v>
      </c>
      <c r="H122" s="7" t="n">
        <v>141872</v>
      </c>
      <c r="I122" s="7" t="n">
        <v>5</v>
      </c>
      <c r="J122" s="7" t="n">
        <v>19</v>
      </c>
      <c r="K122" s="7" t="s">
        <v>1005</v>
      </c>
    </row>
    <row r="123" customFormat="false" ht="15" hidden="false" customHeight="false" outlineLevel="0" collapsed="false">
      <c r="A123" s="7" t="s">
        <v>2576</v>
      </c>
      <c r="B123" s="8" t="n">
        <v>45928</v>
      </c>
      <c r="C123" s="7" t="s">
        <v>277</v>
      </c>
      <c r="D123" s="7" t="s">
        <v>37</v>
      </c>
      <c r="E123" s="7" t="s">
        <v>75</v>
      </c>
      <c r="F123" s="7" t="s">
        <v>2451</v>
      </c>
      <c r="G123" s="7" t="n">
        <v>16</v>
      </c>
      <c r="H123" s="7" t="n">
        <v>48512</v>
      </c>
      <c r="I123" s="7" t="n">
        <v>3</v>
      </c>
      <c r="J123" s="7" t="n">
        <v>9</v>
      </c>
      <c r="K123" s="7" t="s">
        <v>1005</v>
      </c>
    </row>
    <row r="124" customFormat="false" ht="15" hidden="false" customHeight="false" outlineLevel="0" collapsed="false">
      <c r="A124" s="7" t="s">
        <v>2577</v>
      </c>
      <c r="B124" s="8" t="n">
        <v>45596</v>
      </c>
      <c r="C124" s="7" t="s">
        <v>281</v>
      </c>
      <c r="D124" s="7" t="s">
        <v>37</v>
      </c>
      <c r="E124" s="7" t="s">
        <v>87</v>
      </c>
      <c r="F124" s="7" t="s">
        <v>2453</v>
      </c>
      <c r="G124" s="7" t="n">
        <v>4</v>
      </c>
      <c r="H124" s="7" t="n">
        <v>45676</v>
      </c>
      <c r="I124" s="7" t="n">
        <v>4</v>
      </c>
      <c r="J124" s="7" t="n">
        <v>1</v>
      </c>
      <c r="K124" s="7" t="s">
        <v>1005</v>
      </c>
    </row>
    <row r="125" customFormat="false" ht="15" hidden="false" customHeight="false" outlineLevel="0" collapsed="false">
      <c r="A125" s="7" t="s">
        <v>2578</v>
      </c>
      <c r="B125" s="8" t="n">
        <v>45378</v>
      </c>
      <c r="C125" s="7" t="s">
        <v>359</v>
      </c>
      <c r="D125" s="7" t="s">
        <v>43</v>
      </c>
      <c r="E125" s="7" t="s">
        <v>65</v>
      </c>
      <c r="F125" s="7" t="s">
        <v>2460</v>
      </c>
      <c r="G125" s="7" t="n">
        <v>40</v>
      </c>
      <c r="H125" s="7" t="n">
        <v>265640</v>
      </c>
      <c r="I125" s="7" t="n">
        <v>5</v>
      </c>
      <c r="J125" s="7" t="n">
        <v>18</v>
      </c>
      <c r="K125" s="7" t="s">
        <v>1005</v>
      </c>
    </row>
    <row r="126" customFormat="false" ht="15" hidden="false" customHeight="false" outlineLevel="0" collapsed="false">
      <c r="A126" s="7" t="s">
        <v>2579</v>
      </c>
      <c r="B126" s="8" t="n">
        <v>45782</v>
      </c>
      <c r="C126" s="7" t="s">
        <v>406</v>
      </c>
      <c r="D126" s="7" t="s">
        <v>49</v>
      </c>
      <c r="E126" s="7" t="s">
        <v>87</v>
      </c>
      <c r="F126" s="7" t="s">
        <v>2453</v>
      </c>
      <c r="G126" s="7" t="n">
        <v>24</v>
      </c>
      <c r="H126" s="7" t="n">
        <v>219936</v>
      </c>
      <c r="I126" s="7" t="n">
        <v>4</v>
      </c>
      <c r="J126" s="7" t="n">
        <v>0</v>
      </c>
      <c r="K126" s="7" t="s">
        <v>1005</v>
      </c>
    </row>
    <row r="127" customFormat="false" ht="15" hidden="false" customHeight="false" outlineLevel="0" collapsed="false">
      <c r="A127" s="7" t="s">
        <v>2580</v>
      </c>
      <c r="B127" s="8" t="n">
        <v>45950</v>
      </c>
      <c r="C127" s="7" t="s">
        <v>142</v>
      </c>
      <c r="D127" s="7" t="s">
        <v>25</v>
      </c>
      <c r="E127" s="7" t="s">
        <v>65</v>
      </c>
      <c r="F127" s="7" t="s">
        <v>2465</v>
      </c>
      <c r="G127" s="7" t="n">
        <v>40</v>
      </c>
      <c r="H127" s="7" t="n">
        <v>466200</v>
      </c>
      <c r="I127" s="7" t="n">
        <v>5</v>
      </c>
      <c r="J127" s="7" t="n">
        <v>12</v>
      </c>
      <c r="K127" s="7" t="s">
        <v>1005</v>
      </c>
    </row>
    <row r="128" customFormat="false" ht="15" hidden="false" customHeight="false" outlineLevel="0" collapsed="false">
      <c r="A128" s="7" t="s">
        <v>2581</v>
      </c>
      <c r="B128" s="8" t="n">
        <v>45778</v>
      </c>
      <c r="C128" s="7" t="s">
        <v>319</v>
      </c>
      <c r="D128" s="7" t="s">
        <v>40</v>
      </c>
      <c r="E128" s="7" t="s">
        <v>83</v>
      </c>
      <c r="F128" s="7" t="s">
        <v>2460</v>
      </c>
      <c r="G128" s="7" t="n">
        <v>4</v>
      </c>
      <c r="H128" s="7" t="n">
        <v>25424</v>
      </c>
      <c r="I128" s="7" t="n">
        <v>5</v>
      </c>
      <c r="J128" s="7" t="n">
        <v>3</v>
      </c>
      <c r="K128" s="7" t="s">
        <v>1005</v>
      </c>
    </row>
    <row r="129" customFormat="false" ht="15" hidden="false" customHeight="false" outlineLevel="0" collapsed="false">
      <c r="A129" s="7" t="s">
        <v>2582</v>
      </c>
      <c r="B129" s="8" t="n">
        <v>45646</v>
      </c>
      <c r="C129" s="7" t="s">
        <v>366</v>
      </c>
      <c r="D129" s="7" t="s">
        <v>46</v>
      </c>
      <c r="E129" s="7" t="s">
        <v>79</v>
      </c>
      <c r="F129" s="7" t="s">
        <v>2449</v>
      </c>
      <c r="G129" s="7" t="n">
        <v>40</v>
      </c>
      <c r="H129" s="7" t="n">
        <v>293200</v>
      </c>
      <c r="I129" s="7" t="n">
        <v>3</v>
      </c>
      <c r="J129" s="7" t="n">
        <v>6</v>
      </c>
      <c r="K129" s="7" t="s">
        <v>1012</v>
      </c>
    </row>
    <row r="130" customFormat="false" ht="15" hidden="false" customHeight="false" outlineLevel="0" collapsed="false">
      <c r="A130" s="7" t="s">
        <v>2583</v>
      </c>
      <c r="B130" s="8" t="n">
        <v>45933</v>
      </c>
      <c r="C130" s="7" t="s">
        <v>227</v>
      </c>
      <c r="D130" s="7" t="s">
        <v>31</v>
      </c>
      <c r="E130" s="7" t="s">
        <v>87</v>
      </c>
      <c r="F130" s="7" t="s">
        <v>2453</v>
      </c>
      <c r="G130" s="7" t="n">
        <v>24</v>
      </c>
      <c r="H130" s="7" t="n">
        <v>132072</v>
      </c>
      <c r="I130" s="7" t="n">
        <v>5</v>
      </c>
      <c r="J130" s="7" t="n">
        <v>14</v>
      </c>
      <c r="K130" s="7" t="s">
        <v>1005</v>
      </c>
    </row>
    <row r="131" customFormat="false" ht="15" hidden="false" customHeight="false" outlineLevel="0" collapsed="false">
      <c r="A131" s="7" t="s">
        <v>2584</v>
      </c>
      <c r="B131" s="8" t="n">
        <v>45688</v>
      </c>
      <c r="C131" s="7" t="s">
        <v>359</v>
      </c>
      <c r="D131" s="7" t="s">
        <v>43</v>
      </c>
      <c r="E131" s="7" t="s">
        <v>65</v>
      </c>
      <c r="F131" s="7" t="s">
        <v>2465</v>
      </c>
      <c r="G131" s="7" t="n">
        <v>16</v>
      </c>
      <c r="H131" s="7" t="n">
        <v>74896</v>
      </c>
      <c r="I131" s="7" t="n">
        <v>3</v>
      </c>
      <c r="J131" s="7" t="n">
        <v>21</v>
      </c>
      <c r="K131" s="7" t="s">
        <v>1005</v>
      </c>
    </row>
    <row r="132" customFormat="false" ht="15" hidden="false" customHeight="false" outlineLevel="0" collapsed="false">
      <c r="A132" s="7" t="s">
        <v>2585</v>
      </c>
      <c r="B132" s="8" t="n">
        <v>45547</v>
      </c>
      <c r="C132" s="7" t="s">
        <v>172</v>
      </c>
      <c r="D132" s="7" t="s">
        <v>28</v>
      </c>
      <c r="E132" s="7" t="s">
        <v>75</v>
      </c>
      <c r="F132" s="7" t="s">
        <v>2465</v>
      </c>
      <c r="G132" s="7" t="n">
        <v>8</v>
      </c>
      <c r="H132" s="7" t="n">
        <v>74248</v>
      </c>
      <c r="I132" s="7" t="n">
        <v>3</v>
      </c>
      <c r="J132" s="7" t="n">
        <v>0</v>
      </c>
      <c r="K132" s="7" t="s">
        <v>1005</v>
      </c>
    </row>
    <row r="133" customFormat="false" ht="15" hidden="false" customHeight="false" outlineLevel="0" collapsed="false">
      <c r="A133" s="7" t="s">
        <v>2586</v>
      </c>
      <c r="B133" s="8" t="n">
        <v>46014</v>
      </c>
      <c r="C133" s="7" t="s">
        <v>299</v>
      </c>
      <c r="D133" s="7" t="s">
        <v>40</v>
      </c>
      <c r="E133" s="7" t="s">
        <v>71</v>
      </c>
      <c r="F133" s="7" t="s">
        <v>2465</v>
      </c>
      <c r="G133" s="7" t="n">
        <v>8</v>
      </c>
      <c r="H133" s="7" t="n">
        <v>87080</v>
      </c>
      <c r="I133" s="7" t="n">
        <v>4</v>
      </c>
      <c r="J133" s="7" t="n">
        <v>5</v>
      </c>
      <c r="K133" s="7" t="s">
        <v>1005</v>
      </c>
    </row>
    <row r="134" customFormat="false" ht="15" hidden="false" customHeight="false" outlineLevel="0" collapsed="false">
      <c r="A134" s="7" t="s">
        <v>2587</v>
      </c>
      <c r="B134" s="8" t="n">
        <v>45443</v>
      </c>
      <c r="C134" s="7" t="s">
        <v>312</v>
      </c>
      <c r="D134" s="7" t="s">
        <v>40</v>
      </c>
      <c r="E134" s="7" t="s">
        <v>79</v>
      </c>
      <c r="F134" s="7" t="s">
        <v>2458</v>
      </c>
      <c r="G134" s="7" t="n">
        <v>40</v>
      </c>
      <c r="H134" s="7" t="n">
        <v>147640</v>
      </c>
      <c r="I134" s="7" t="n">
        <v>3</v>
      </c>
      <c r="J134" s="7" t="n">
        <v>16</v>
      </c>
      <c r="K134" s="7" t="s">
        <v>1005</v>
      </c>
    </row>
    <row r="135" customFormat="false" ht="15" hidden="false" customHeight="false" outlineLevel="0" collapsed="false">
      <c r="A135" s="7" t="s">
        <v>2588</v>
      </c>
      <c r="B135" s="8" t="n">
        <v>45532</v>
      </c>
      <c r="C135" s="7" t="s">
        <v>363</v>
      </c>
      <c r="D135" s="7" t="s">
        <v>46</v>
      </c>
      <c r="E135" s="7" t="s">
        <v>68</v>
      </c>
      <c r="F135" s="7" t="s">
        <v>2449</v>
      </c>
      <c r="G135" s="7" t="n">
        <v>8</v>
      </c>
      <c r="H135" s="7" t="n">
        <v>92752</v>
      </c>
      <c r="I135" s="7" t="n">
        <v>3</v>
      </c>
      <c r="J135" s="7" t="n">
        <v>23</v>
      </c>
      <c r="K135" s="7" t="s">
        <v>1005</v>
      </c>
    </row>
    <row r="136" customFormat="false" ht="15" hidden="false" customHeight="false" outlineLevel="0" collapsed="false">
      <c r="A136" s="7" t="s">
        <v>2589</v>
      </c>
      <c r="B136" s="8" t="n">
        <v>45715</v>
      </c>
      <c r="C136" s="7" t="s">
        <v>229</v>
      </c>
      <c r="D136" s="7" t="s">
        <v>31</v>
      </c>
      <c r="E136" s="7" t="s">
        <v>79</v>
      </c>
      <c r="F136" s="7" t="s">
        <v>2460</v>
      </c>
      <c r="G136" s="7" t="n">
        <v>8</v>
      </c>
      <c r="H136" s="7" t="n">
        <v>68160</v>
      </c>
      <c r="I136" s="7" t="n">
        <v>3</v>
      </c>
      <c r="J136" s="7" t="n">
        <v>10</v>
      </c>
      <c r="K136" s="7" t="s">
        <v>1005</v>
      </c>
    </row>
    <row r="137" customFormat="false" ht="15" hidden="false" customHeight="false" outlineLevel="0" collapsed="false">
      <c r="A137" s="7" t="s">
        <v>2590</v>
      </c>
      <c r="B137" s="8" t="n">
        <v>45898</v>
      </c>
      <c r="C137" s="7" t="s">
        <v>291</v>
      </c>
      <c r="D137" s="7" t="s">
        <v>37</v>
      </c>
      <c r="E137" s="7" t="s">
        <v>87</v>
      </c>
      <c r="F137" s="7" t="s">
        <v>2465</v>
      </c>
      <c r="G137" s="7" t="n">
        <v>40</v>
      </c>
      <c r="H137" s="7" t="n">
        <v>120600</v>
      </c>
      <c r="I137" s="7" t="n">
        <v>4</v>
      </c>
      <c r="J137" s="7" t="n">
        <v>10</v>
      </c>
      <c r="K137" s="7" t="s">
        <v>1005</v>
      </c>
    </row>
    <row r="138" customFormat="false" ht="15" hidden="false" customHeight="false" outlineLevel="0" collapsed="false">
      <c r="A138" s="7" t="s">
        <v>2591</v>
      </c>
      <c r="B138" s="8" t="n">
        <v>45808</v>
      </c>
      <c r="C138" s="7" t="s">
        <v>317</v>
      </c>
      <c r="D138" s="7" t="s">
        <v>40</v>
      </c>
      <c r="E138" s="7" t="s">
        <v>71</v>
      </c>
      <c r="F138" s="7" t="s">
        <v>2463</v>
      </c>
      <c r="G138" s="7" t="n">
        <v>16</v>
      </c>
      <c r="H138" s="7" t="n">
        <v>132320</v>
      </c>
      <c r="I138" s="7" t="n">
        <v>4</v>
      </c>
      <c r="J138" s="7" t="n">
        <v>2</v>
      </c>
      <c r="K138" s="7" t="s">
        <v>1005</v>
      </c>
    </row>
    <row r="139" customFormat="false" ht="15" hidden="false" customHeight="false" outlineLevel="0" collapsed="false">
      <c r="A139" s="7" t="s">
        <v>2592</v>
      </c>
      <c r="B139" s="8" t="n">
        <v>45471</v>
      </c>
      <c r="C139" s="7" t="s">
        <v>229</v>
      </c>
      <c r="D139" s="7" t="s">
        <v>31</v>
      </c>
      <c r="E139" s="7" t="s">
        <v>79</v>
      </c>
      <c r="F139" s="7" t="s">
        <v>2458</v>
      </c>
      <c r="G139" s="7" t="n">
        <v>40</v>
      </c>
      <c r="H139" s="7" t="n">
        <v>433480</v>
      </c>
      <c r="I139" s="7" t="n">
        <v>3</v>
      </c>
      <c r="J139" s="7" t="n">
        <v>2</v>
      </c>
      <c r="K139" s="7" t="s">
        <v>1005</v>
      </c>
    </row>
    <row r="140" customFormat="false" ht="15" hidden="false" customHeight="false" outlineLevel="0" collapsed="false">
      <c r="A140" s="7" t="s">
        <v>2593</v>
      </c>
      <c r="B140" s="8" t="n">
        <v>45776</v>
      </c>
      <c r="C140" s="7" t="s">
        <v>211</v>
      </c>
      <c r="D140" s="7" t="s">
        <v>31</v>
      </c>
      <c r="E140" s="7" t="s">
        <v>83</v>
      </c>
      <c r="F140" s="7" t="s">
        <v>2458</v>
      </c>
      <c r="G140" s="7" t="n">
        <v>24</v>
      </c>
      <c r="H140" s="7" t="n">
        <v>190440</v>
      </c>
      <c r="I140" s="7" t="n">
        <v>4</v>
      </c>
      <c r="J140" s="7" t="n">
        <v>1</v>
      </c>
      <c r="K140" s="7" t="s">
        <v>1012</v>
      </c>
    </row>
    <row r="141" customFormat="false" ht="15" hidden="false" customHeight="false" outlineLevel="0" collapsed="false">
      <c r="A141" s="7" t="s">
        <v>2594</v>
      </c>
      <c r="B141" s="8" t="n">
        <v>45575</v>
      </c>
      <c r="C141" s="7" t="s">
        <v>293</v>
      </c>
      <c r="D141" s="7" t="s">
        <v>37</v>
      </c>
      <c r="E141" s="7" t="s">
        <v>68</v>
      </c>
      <c r="F141" s="7" t="s">
        <v>2465</v>
      </c>
      <c r="G141" s="7" t="n">
        <v>24</v>
      </c>
      <c r="H141" s="7" t="n">
        <v>263280</v>
      </c>
      <c r="I141" s="7" t="n">
        <v>4</v>
      </c>
      <c r="J141" s="7" t="n">
        <v>18</v>
      </c>
      <c r="K141" s="7" t="s">
        <v>1005</v>
      </c>
    </row>
    <row r="142" customFormat="false" ht="15" hidden="false" customHeight="false" outlineLevel="0" collapsed="false">
      <c r="A142" s="7" t="s">
        <v>2595</v>
      </c>
      <c r="B142" s="8" t="n">
        <v>45448</v>
      </c>
      <c r="C142" s="7" t="s">
        <v>308</v>
      </c>
      <c r="D142" s="7" t="s">
        <v>40</v>
      </c>
      <c r="E142" s="7" t="s">
        <v>83</v>
      </c>
      <c r="F142" s="7" t="s">
        <v>2463</v>
      </c>
      <c r="G142" s="7" t="n">
        <v>8</v>
      </c>
      <c r="H142" s="7" t="n">
        <v>66648</v>
      </c>
      <c r="I142" s="7" t="n">
        <v>2</v>
      </c>
      <c r="J142" s="7" t="n">
        <v>12</v>
      </c>
      <c r="K142" s="7" t="s">
        <v>1005</v>
      </c>
    </row>
    <row r="143" customFormat="false" ht="15" hidden="false" customHeight="false" outlineLevel="0" collapsed="false">
      <c r="A143" s="7" t="s">
        <v>2596</v>
      </c>
      <c r="B143" s="8" t="n">
        <v>46000</v>
      </c>
      <c r="C143" s="7" t="s">
        <v>319</v>
      </c>
      <c r="D143" s="7" t="s">
        <v>40</v>
      </c>
      <c r="E143" s="7" t="s">
        <v>83</v>
      </c>
      <c r="F143" s="7" t="s">
        <v>2463</v>
      </c>
      <c r="G143" s="7" t="n">
        <v>4</v>
      </c>
      <c r="H143" s="7" t="n">
        <v>39724</v>
      </c>
      <c r="I143" s="7" t="n">
        <v>3</v>
      </c>
      <c r="J143" s="7" t="n">
        <v>10</v>
      </c>
      <c r="K143" s="7" t="s">
        <v>1005</v>
      </c>
    </row>
    <row r="144" customFormat="false" ht="15" hidden="false" customHeight="false" outlineLevel="0" collapsed="false">
      <c r="A144" s="7" t="s">
        <v>2597</v>
      </c>
      <c r="B144" s="8" t="n">
        <v>45928</v>
      </c>
      <c r="C144" s="7" t="s">
        <v>395</v>
      </c>
      <c r="D144" s="7" t="s">
        <v>49</v>
      </c>
      <c r="E144" s="7" t="s">
        <v>87</v>
      </c>
      <c r="F144" s="7" t="s">
        <v>2458</v>
      </c>
      <c r="G144" s="7" t="n">
        <v>8</v>
      </c>
      <c r="H144" s="7" t="n">
        <v>52952</v>
      </c>
      <c r="I144" s="7" t="n">
        <v>4</v>
      </c>
      <c r="J144" s="7" t="n">
        <v>17</v>
      </c>
      <c r="K144" s="7" t="s">
        <v>1005</v>
      </c>
    </row>
    <row r="145" customFormat="false" ht="15" hidden="false" customHeight="false" outlineLevel="0" collapsed="false">
      <c r="A145" s="7" t="s">
        <v>2598</v>
      </c>
      <c r="B145" s="8" t="n">
        <v>45706</v>
      </c>
      <c r="C145" s="7" t="s">
        <v>413</v>
      </c>
      <c r="D145" s="7" t="s">
        <v>49</v>
      </c>
      <c r="E145" s="7" t="s">
        <v>87</v>
      </c>
      <c r="F145" s="7" t="s">
        <v>2460</v>
      </c>
      <c r="G145" s="7" t="n">
        <v>8</v>
      </c>
      <c r="H145" s="7" t="n">
        <v>71960</v>
      </c>
      <c r="I145" s="7" t="n">
        <v>3</v>
      </c>
      <c r="J145" s="7" t="n">
        <v>10</v>
      </c>
      <c r="K145" s="7" t="s">
        <v>1005</v>
      </c>
    </row>
    <row r="146" customFormat="false" ht="15" hidden="false" customHeight="false" outlineLevel="0" collapsed="false">
      <c r="A146" s="7" t="s">
        <v>2599</v>
      </c>
      <c r="B146" s="8" t="n">
        <v>45866</v>
      </c>
      <c r="C146" s="7" t="s">
        <v>253</v>
      </c>
      <c r="D146" s="7" t="s">
        <v>34</v>
      </c>
      <c r="E146" s="7" t="s">
        <v>68</v>
      </c>
      <c r="F146" s="7" t="s">
        <v>2458</v>
      </c>
      <c r="G146" s="7" t="n">
        <v>4</v>
      </c>
      <c r="H146" s="7" t="n">
        <v>44636</v>
      </c>
      <c r="I146" s="7" t="n">
        <v>5</v>
      </c>
      <c r="J146" s="7" t="n">
        <v>16</v>
      </c>
      <c r="K146" s="7" t="s">
        <v>1005</v>
      </c>
    </row>
    <row r="147" customFormat="false" ht="15" hidden="false" customHeight="false" outlineLevel="0" collapsed="false">
      <c r="A147" s="7" t="s">
        <v>2600</v>
      </c>
      <c r="B147" s="8" t="n">
        <v>45978</v>
      </c>
      <c r="C147" s="7" t="s">
        <v>438</v>
      </c>
      <c r="D147" s="7" t="s">
        <v>52</v>
      </c>
      <c r="E147" s="7" t="s">
        <v>79</v>
      </c>
      <c r="F147" s="7" t="s">
        <v>2451</v>
      </c>
      <c r="G147" s="7" t="n">
        <v>24</v>
      </c>
      <c r="H147" s="7" t="n">
        <v>205992</v>
      </c>
      <c r="I147" s="7" t="n">
        <v>5</v>
      </c>
      <c r="J147" s="7" t="n">
        <v>21</v>
      </c>
      <c r="K147" s="7" t="s">
        <v>1005</v>
      </c>
    </row>
    <row r="148" customFormat="false" ht="15" hidden="false" customHeight="false" outlineLevel="0" collapsed="false">
      <c r="A148" s="7" t="s">
        <v>2601</v>
      </c>
      <c r="B148" s="8" t="n">
        <v>45804</v>
      </c>
      <c r="C148" s="7" t="s">
        <v>304</v>
      </c>
      <c r="D148" s="7" t="s">
        <v>40</v>
      </c>
      <c r="E148" s="7" t="s">
        <v>83</v>
      </c>
      <c r="F148" s="7" t="s">
        <v>2460</v>
      </c>
      <c r="G148" s="7" t="n">
        <v>40</v>
      </c>
      <c r="H148" s="7" t="n">
        <v>456400</v>
      </c>
      <c r="I148" s="7" t="n">
        <v>4</v>
      </c>
      <c r="J148" s="7" t="n">
        <v>18</v>
      </c>
      <c r="K148" s="7" t="s">
        <v>1005</v>
      </c>
    </row>
    <row r="149" customFormat="false" ht="15" hidden="false" customHeight="false" outlineLevel="0" collapsed="false">
      <c r="A149" s="7" t="s">
        <v>2602</v>
      </c>
      <c r="B149" s="8" t="n">
        <v>45613</v>
      </c>
      <c r="C149" s="7" t="s">
        <v>407</v>
      </c>
      <c r="D149" s="7" t="s">
        <v>49</v>
      </c>
      <c r="E149" s="7" t="s">
        <v>68</v>
      </c>
      <c r="F149" s="7" t="s">
        <v>2451</v>
      </c>
      <c r="G149" s="7" t="n">
        <v>40</v>
      </c>
      <c r="H149" s="7" t="n">
        <v>165120</v>
      </c>
      <c r="I149" s="7" t="n">
        <v>4</v>
      </c>
      <c r="J149" s="7" t="n">
        <v>14</v>
      </c>
      <c r="K149" s="7" t="s">
        <v>1005</v>
      </c>
    </row>
    <row r="150" customFormat="false" ht="15" hidden="false" customHeight="false" outlineLevel="0" collapsed="false">
      <c r="A150" s="7" t="s">
        <v>2603</v>
      </c>
      <c r="B150" s="8" t="n">
        <v>45855</v>
      </c>
      <c r="C150" s="7" t="s">
        <v>255</v>
      </c>
      <c r="D150" s="7" t="s">
        <v>34</v>
      </c>
      <c r="E150" s="7" t="s">
        <v>68</v>
      </c>
      <c r="F150" s="7" t="s">
        <v>2453</v>
      </c>
      <c r="G150" s="7" t="n">
        <v>24</v>
      </c>
      <c r="H150" s="7" t="n">
        <v>261936</v>
      </c>
      <c r="I150" s="7" t="n">
        <v>3</v>
      </c>
      <c r="J150" s="7" t="n">
        <v>9</v>
      </c>
      <c r="K150" s="7" t="s">
        <v>1005</v>
      </c>
    </row>
    <row r="151" customFormat="false" ht="15" hidden="false" customHeight="false" outlineLevel="0" collapsed="false">
      <c r="A151" s="7" t="s">
        <v>2604</v>
      </c>
      <c r="B151" s="8" t="n">
        <v>45819</v>
      </c>
      <c r="C151" s="7" t="s">
        <v>157</v>
      </c>
      <c r="D151" s="7" t="s">
        <v>25</v>
      </c>
      <c r="E151" s="7" t="s">
        <v>75</v>
      </c>
      <c r="F151" s="7" t="s">
        <v>2460</v>
      </c>
      <c r="G151" s="7" t="n">
        <v>40</v>
      </c>
      <c r="H151" s="7" t="n">
        <v>458680</v>
      </c>
      <c r="I151" s="7" t="n">
        <v>4</v>
      </c>
      <c r="J151" s="7" t="n">
        <v>21</v>
      </c>
      <c r="K151" s="7" t="s">
        <v>1005</v>
      </c>
    </row>
    <row r="152" customFormat="false" ht="15" hidden="false" customHeight="false" outlineLevel="0" collapsed="false">
      <c r="A152" s="7" t="s">
        <v>2605</v>
      </c>
      <c r="B152" s="8" t="n">
        <v>45856</v>
      </c>
      <c r="C152" s="7" t="s">
        <v>411</v>
      </c>
      <c r="D152" s="7" t="s">
        <v>49</v>
      </c>
      <c r="E152" s="7" t="s">
        <v>75</v>
      </c>
      <c r="F152" s="7" t="s">
        <v>2449</v>
      </c>
      <c r="G152" s="7" t="n">
        <v>4</v>
      </c>
      <c r="H152" s="7" t="n">
        <v>13724</v>
      </c>
      <c r="I152" s="7" t="n">
        <v>5</v>
      </c>
      <c r="J152" s="7" t="n">
        <v>0</v>
      </c>
      <c r="K152" s="7" t="s">
        <v>1005</v>
      </c>
    </row>
    <row r="153" customFormat="false" ht="15" hidden="false" customHeight="false" outlineLevel="0" collapsed="false">
      <c r="A153" s="7" t="s">
        <v>2606</v>
      </c>
      <c r="B153" s="8" t="n">
        <v>45797</v>
      </c>
      <c r="C153" s="7" t="s">
        <v>192</v>
      </c>
      <c r="D153" s="7" t="s">
        <v>28</v>
      </c>
      <c r="E153" s="7" t="s">
        <v>71</v>
      </c>
      <c r="F153" s="7" t="s">
        <v>2449</v>
      </c>
      <c r="G153" s="7" t="n">
        <v>8</v>
      </c>
      <c r="H153" s="7" t="n">
        <v>37264</v>
      </c>
      <c r="I153" s="7" t="n">
        <v>3</v>
      </c>
      <c r="J153" s="7" t="n">
        <v>1</v>
      </c>
      <c r="K153" s="7" t="s">
        <v>1005</v>
      </c>
    </row>
    <row r="154" customFormat="false" ht="15" hidden="false" customHeight="false" outlineLevel="0" collapsed="false">
      <c r="A154" s="7" t="s">
        <v>2607</v>
      </c>
      <c r="B154" s="8" t="n">
        <v>45546</v>
      </c>
      <c r="C154" s="7" t="s">
        <v>215</v>
      </c>
      <c r="D154" s="7" t="s">
        <v>31</v>
      </c>
      <c r="E154" s="7" t="s">
        <v>60</v>
      </c>
      <c r="F154" s="7" t="s">
        <v>2449</v>
      </c>
      <c r="G154" s="7" t="n">
        <v>16</v>
      </c>
      <c r="H154" s="7" t="n">
        <v>168624</v>
      </c>
      <c r="I154" s="7" t="n">
        <v>5</v>
      </c>
      <c r="J154" s="7" t="n">
        <v>17</v>
      </c>
      <c r="K154" s="7" t="s">
        <v>1005</v>
      </c>
    </row>
    <row r="155" customFormat="false" ht="15" hidden="false" customHeight="false" outlineLevel="0" collapsed="false">
      <c r="A155" s="7" t="s">
        <v>2608</v>
      </c>
      <c r="B155" s="8" t="n">
        <v>45345</v>
      </c>
      <c r="C155" s="7" t="s">
        <v>267</v>
      </c>
      <c r="D155" s="7" t="s">
        <v>37</v>
      </c>
      <c r="E155" s="7" t="s">
        <v>65</v>
      </c>
      <c r="F155" s="7" t="s">
        <v>2458</v>
      </c>
      <c r="G155" s="7" t="n">
        <v>40</v>
      </c>
      <c r="H155" s="7" t="n">
        <v>352240</v>
      </c>
      <c r="I155" s="7" t="n">
        <v>3</v>
      </c>
      <c r="J155" s="7" t="n">
        <v>5</v>
      </c>
      <c r="K155" s="7" t="s">
        <v>1005</v>
      </c>
    </row>
    <row r="156" customFormat="false" ht="15" hidden="false" customHeight="false" outlineLevel="0" collapsed="false">
      <c r="A156" s="7" t="s">
        <v>2609</v>
      </c>
      <c r="B156" s="8" t="n">
        <v>45666</v>
      </c>
      <c r="C156" s="7" t="s">
        <v>411</v>
      </c>
      <c r="D156" s="7" t="s">
        <v>49</v>
      </c>
      <c r="E156" s="7" t="s">
        <v>75</v>
      </c>
      <c r="F156" s="7" t="s">
        <v>2465</v>
      </c>
      <c r="G156" s="7" t="n">
        <v>24</v>
      </c>
      <c r="H156" s="7" t="n">
        <v>119712</v>
      </c>
      <c r="I156" s="7" t="n">
        <v>5</v>
      </c>
      <c r="J156" s="7" t="n">
        <v>11</v>
      </c>
      <c r="K156" s="7" t="s">
        <v>1005</v>
      </c>
    </row>
    <row r="157" customFormat="false" ht="15" hidden="false" customHeight="false" outlineLevel="0" collapsed="false">
      <c r="A157" s="7" t="s">
        <v>2610</v>
      </c>
      <c r="B157" s="8" t="n">
        <v>45788</v>
      </c>
      <c r="C157" s="7" t="s">
        <v>211</v>
      </c>
      <c r="D157" s="7" t="s">
        <v>31</v>
      </c>
      <c r="E157" s="7" t="s">
        <v>83</v>
      </c>
      <c r="F157" s="7" t="s">
        <v>2458</v>
      </c>
      <c r="G157" s="7" t="n">
        <v>16</v>
      </c>
      <c r="H157" s="7" t="n">
        <v>141872</v>
      </c>
      <c r="I157" s="7" t="n">
        <v>3</v>
      </c>
      <c r="J157" s="7" t="n">
        <v>24</v>
      </c>
      <c r="K157" s="7" t="s">
        <v>1005</v>
      </c>
    </row>
    <row r="158" customFormat="false" ht="15" hidden="false" customHeight="false" outlineLevel="0" collapsed="false">
      <c r="A158" s="7" t="s">
        <v>2611</v>
      </c>
      <c r="B158" s="8" t="n">
        <v>45793</v>
      </c>
      <c r="C158" s="7" t="s">
        <v>293</v>
      </c>
      <c r="D158" s="7" t="s">
        <v>37</v>
      </c>
      <c r="E158" s="7" t="s">
        <v>68</v>
      </c>
      <c r="F158" s="7" t="s">
        <v>2463</v>
      </c>
      <c r="G158" s="7" t="n">
        <v>40</v>
      </c>
      <c r="H158" s="7" t="n">
        <v>469720</v>
      </c>
      <c r="I158" s="7" t="n">
        <v>5</v>
      </c>
      <c r="J158" s="7" t="n">
        <v>11</v>
      </c>
      <c r="K158" s="7" t="s">
        <v>1005</v>
      </c>
    </row>
    <row r="159" customFormat="false" ht="15" hidden="false" customHeight="false" outlineLevel="0" collapsed="false">
      <c r="A159" s="7" t="s">
        <v>2612</v>
      </c>
      <c r="B159" s="8" t="n">
        <v>45564</v>
      </c>
      <c r="C159" s="7" t="s">
        <v>341</v>
      </c>
      <c r="D159" s="7" t="s">
        <v>43</v>
      </c>
      <c r="E159" s="7" t="s">
        <v>87</v>
      </c>
      <c r="F159" s="7" t="s">
        <v>2463</v>
      </c>
      <c r="G159" s="7" t="n">
        <v>4</v>
      </c>
      <c r="H159" s="7" t="n">
        <v>23360</v>
      </c>
      <c r="I159" s="7" t="n">
        <v>3</v>
      </c>
      <c r="J159" s="7" t="n">
        <v>21</v>
      </c>
      <c r="K159" s="7" t="s">
        <v>1005</v>
      </c>
    </row>
    <row r="160" customFormat="false" ht="15" hidden="false" customHeight="false" outlineLevel="0" collapsed="false">
      <c r="A160" s="7" t="s">
        <v>2613</v>
      </c>
      <c r="B160" s="8" t="n">
        <v>45966</v>
      </c>
      <c r="C160" s="7" t="s">
        <v>321</v>
      </c>
      <c r="D160" s="7" t="s">
        <v>40</v>
      </c>
      <c r="E160" s="7" t="s">
        <v>79</v>
      </c>
      <c r="F160" s="7" t="s">
        <v>2465</v>
      </c>
      <c r="G160" s="7" t="n">
        <v>8</v>
      </c>
      <c r="H160" s="7" t="n">
        <v>46808</v>
      </c>
      <c r="I160" s="7" t="n">
        <v>5</v>
      </c>
      <c r="J160" s="7" t="n">
        <v>11</v>
      </c>
      <c r="K160" s="7" t="s">
        <v>1005</v>
      </c>
    </row>
    <row r="161" customFormat="false" ht="15" hidden="false" customHeight="false" outlineLevel="0" collapsed="false">
      <c r="A161" s="7" t="s">
        <v>2614</v>
      </c>
      <c r="B161" s="8" t="n">
        <v>45847</v>
      </c>
      <c r="C161" s="7" t="s">
        <v>406</v>
      </c>
      <c r="D161" s="7" t="s">
        <v>49</v>
      </c>
      <c r="E161" s="7" t="s">
        <v>87</v>
      </c>
      <c r="F161" s="7" t="s">
        <v>2463</v>
      </c>
      <c r="G161" s="7" t="n">
        <v>24</v>
      </c>
      <c r="H161" s="7" t="n">
        <v>127464</v>
      </c>
      <c r="I161" s="7" t="n">
        <v>5</v>
      </c>
      <c r="J161" s="7" t="n">
        <v>14</v>
      </c>
      <c r="K161" s="7" t="s">
        <v>1005</v>
      </c>
    </row>
    <row r="162" customFormat="false" ht="15" hidden="false" customHeight="false" outlineLevel="0" collapsed="false">
      <c r="A162" s="7" t="s">
        <v>2615</v>
      </c>
      <c r="B162" s="8" t="n">
        <v>45988</v>
      </c>
      <c r="C162" s="7" t="s">
        <v>289</v>
      </c>
      <c r="D162" s="7" t="s">
        <v>37</v>
      </c>
      <c r="E162" s="7" t="s">
        <v>68</v>
      </c>
      <c r="F162" s="7" t="s">
        <v>2460</v>
      </c>
      <c r="G162" s="7" t="n">
        <v>40</v>
      </c>
      <c r="H162" s="7" t="n">
        <v>370440</v>
      </c>
      <c r="I162" s="7" t="n">
        <v>4</v>
      </c>
      <c r="J162" s="7" t="n">
        <v>9</v>
      </c>
      <c r="K162" s="7" t="s">
        <v>1005</v>
      </c>
    </row>
    <row r="163" customFormat="false" ht="15" hidden="false" customHeight="false" outlineLevel="0" collapsed="false">
      <c r="A163" s="7" t="s">
        <v>2616</v>
      </c>
      <c r="B163" s="8" t="n">
        <v>45853</v>
      </c>
      <c r="C163" s="7" t="s">
        <v>273</v>
      </c>
      <c r="D163" s="7" t="s">
        <v>37</v>
      </c>
      <c r="E163" s="7" t="s">
        <v>83</v>
      </c>
      <c r="F163" s="7" t="s">
        <v>2453</v>
      </c>
      <c r="G163" s="7" t="n">
        <v>16</v>
      </c>
      <c r="H163" s="7" t="n">
        <v>103632</v>
      </c>
      <c r="I163" s="7" t="n">
        <v>4</v>
      </c>
      <c r="J163" s="7" t="n">
        <v>14</v>
      </c>
      <c r="K163" s="7" t="s">
        <v>1005</v>
      </c>
    </row>
    <row r="164" customFormat="false" ht="15" hidden="false" customHeight="false" outlineLevel="0" collapsed="false">
      <c r="A164" s="7" t="s">
        <v>2617</v>
      </c>
      <c r="B164" s="8" t="n">
        <v>45839</v>
      </c>
      <c r="C164" s="7" t="s">
        <v>431</v>
      </c>
      <c r="D164" s="7" t="s">
        <v>52</v>
      </c>
      <c r="E164" s="7" t="s">
        <v>83</v>
      </c>
      <c r="F164" s="7" t="s">
        <v>2460</v>
      </c>
      <c r="G164" s="7" t="n">
        <v>16</v>
      </c>
      <c r="H164" s="7" t="n">
        <v>104096</v>
      </c>
      <c r="I164" s="7" t="n">
        <v>4</v>
      </c>
      <c r="J164" s="7" t="n">
        <v>22</v>
      </c>
      <c r="K164" s="7" t="s">
        <v>1005</v>
      </c>
    </row>
    <row r="165" customFormat="false" ht="15" hidden="false" customHeight="false" outlineLevel="0" collapsed="false">
      <c r="A165" s="7" t="s">
        <v>2618</v>
      </c>
      <c r="B165" s="8" t="n">
        <v>46013</v>
      </c>
      <c r="C165" s="7" t="s">
        <v>195</v>
      </c>
      <c r="D165" s="7" t="s">
        <v>28</v>
      </c>
      <c r="E165" s="7" t="s">
        <v>87</v>
      </c>
      <c r="F165" s="7" t="s">
        <v>2449</v>
      </c>
      <c r="G165" s="7" t="n">
        <v>40</v>
      </c>
      <c r="H165" s="7" t="n">
        <v>199960</v>
      </c>
      <c r="I165" s="7" t="n">
        <v>3</v>
      </c>
      <c r="J165" s="7" t="n">
        <v>19</v>
      </c>
      <c r="K165" s="7" t="s">
        <v>1005</v>
      </c>
    </row>
    <row r="166" customFormat="false" ht="15" hidden="false" customHeight="false" outlineLevel="0" collapsed="false">
      <c r="A166" s="7" t="s">
        <v>2619</v>
      </c>
      <c r="B166" s="8" t="n">
        <v>45409</v>
      </c>
      <c r="C166" s="7" t="s">
        <v>199</v>
      </c>
      <c r="D166" s="7" t="s">
        <v>28</v>
      </c>
      <c r="E166" s="7" t="s">
        <v>83</v>
      </c>
      <c r="F166" s="7" t="s">
        <v>2458</v>
      </c>
      <c r="G166" s="7" t="n">
        <v>4</v>
      </c>
      <c r="H166" s="7" t="n">
        <v>20316</v>
      </c>
      <c r="I166" s="7" t="n">
        <v>5</v>
      </c>
      <c r="J166" s="7" t="n">
        <v>9</v>
      </c>
      <c r="K166" s="7" t="s">
        <v>1005</v>
      </c>
    </row>
    <row r="167" customFormat="false" ht="15" hidden="false" customHeight="false" outlineLevel="0" collapsed="false">
      <c r="A167" s="7" t="s">
        <v>2620</v>
      </c>
      <c r="B167" s="8" t="n">
        <v>45564</v>
      </c>
      <c r="C167" s="7" t="s">
        <v>389</v>
      </c>
      <c r="D167" s="7" t="s">
        <v>49</v>
      </c>
      <c r="E167" s="7" t="s">
        <v>87</v>
      </c>
      <c r="F167" s="7" t="s">
        <v>2465</v>
      </c>
      <c r="G167" s="7" t="n">
        <v>24</v>
      </c>
      <c r="H167" s="7" t="n">
        <v>174000</v>
      </c>
      <c r="I167" s="7" t="n">
        <v>5</v>
      </c>
      <c r="J167" s="7" t="n">
        <v>9</v>
      </c>
      <c r="K167" s="7" t="s">
        <v>1005</v>
      </c>
    </row>
    <row r="168" customFormat="false" ht="15" hidden="false" customHeight="false" outlineLevel="0" collapsed="false">
      <c r="A168" s="7" t="s">
        <v>2621</v>
      </c>
      <c r="B168" s="8" t="n">
        <v>45630</v>
      </c>
      <c r="C168" s="7" t="s">
        <v>194</v>
      </c>
      <c r="D168" s="7" t="s">
        <v>28</v>
      </c>
      <c r="E168" s="7" t="s">
        <v>65</v>
      </c>
      <c r="F168" s="7" t="s">
        <v>2463</v>
      </c>
      <c r="G168" s="7" t="n">
        <v>24</v>
      </c>
      <c r="H168" s="7" t="n">
        <v>222504</v>
      </c>
      <c r="I168" s="7" t="n">
        <v>4</v>
      </c>
      <c r="J168" s="7" t="n">
        <v>11</v>
      </c>
      <c r="K168" s="7" t="s">
        <v>1005</v>
      </c>
    </row>
    <row r="169" customFormat="false" ht="15" hidden="false" customHeight="false" outlineLevel="0" collapsed="false">
      <c r="A169" s="7" t="s">
        <v>2622</v>
      </c>
      <c r="B169" s="8" t="n">
        <v>45689</v>
      </c>
      <c r="C169" s="7" t="s">
        <v>174</v>
      </c>
      <c r="D169" s="7" t="s">
        <v>28</v>
      </c>
      <c r="E169" s="7" t="s">
        <v>75</v>
      </c>
      <c r="F169" s="7" t="s">
        <v>2451</v>
      </c>
      <c r="G169" s="7" t="n">
        <v>16</v>
      </c>
      <c r="H169" s="7" t="n">
        <v>156288</v>
      </c>
      <c r="I169" s="7" t="n">
        <v>3</v>
      </c>
      <c r="J169" s="7" t="n">
        <v>2</v>
      </c>
      <c r="K169" s="7" t="s">
        <v>1005</v>
      </c>
    </row>
    <row r="170" customFormat="false" ht="15" hidden="false" customHeight="false" outlineLevel="0" collapsed="false">
      <c r="A170" s="7" t="s">
        <v>2623</v>
      </c>
      <c r="B170" s="8" t="n">
        <v>45795</v>
      </c>
      <c r="C170" s="7" t="s">
        <v>241</v>
      </c>
      <c r="D170" s="7" t="s">
        <v>34</v>
      </c>
      <c r="E170" s="7" t="s">
        <v>75</v>
      </c>
      <c r="F170" s="7" t="s">
        <v>2449</v>
      </c>
      <c r="G170" s="7" t="n">
        <v>40</v>
      </c>
      <c r="H170" s="7" t="n">
        <v>203480</v>
      </c>
      <c r="I170" s="7" t="n">
        <v>2</v>
      </c>
      <c r="J170" s="7" t="n">
        <v>3</v>
      </c>
      <c r="K170" s="7" t="s">
        <v>1005</v>
      </c>
    </row>
    <row r="171" customFormat="false" ht="15" hidden="false" customHeight="false" outlineLevel="0" collapsed="false">
      <c r="A171" s="7" t="s">
        <v>2624</v>
      </c>
      <c r="B171" s="8" t="n">
        <v>45896</v>
      </c>
      <c r="C171" s="7" t="s">
        <v>163</v>
      </c>
      <c r="D171" s="7" t="s">
        <v>25</v>
      </c>
      <c r="E171" s="7" t="s">
        <v>75</v>
      </c>
      <c r="F171" s="7" t="s">
        <v>2458</v>
      </c>
      <c r="G171" s="7" t="n">
        <v>40</v>
      </c>
      <c r="H171" s="7" t="n">
        <v>137720</v>
      </c>
      <c r="I171" s="7" t="n">
        <v>3</v>
      </c>
      <c r="J171" s="7" t="n">
        <v>21</v>
      </c>
      <c r="K171" s="7" t="s">
        <v>1005</v>
      </c>
    </row>
    <row r="172" customFormat="false" ht="15" hidden="false" customHeight="false" outlineLevel="0" collapsed="false">
      <c r="A172" s="7" t="s">
        <v>2625</v>
      </c>
      <c r="B172" s="8" t="n">
        <v>45534</v>
      </c>
      <c r="C172" s="7" t="s">
        <v>152</v>
      </c>
      <c r="D172" s="7" t="s">
        <v>25</v>
      </c>
      <c r="E172" s="7" t="s">
        <v>79</v>
      </c>
      <c r="F172" s="7" t="s">
        <v>2460</v>
      </c>
      <c r="G172" s="7" t="n">
        <v>24</v>
      </c>
      <c r="H172" s="7" t="n">
        <v>159216</v>
      </c>
      <c r="I172" s="7" t="n">
        <v>3</v>
      </c>
      <c r="J172" s="7" t="n">
        <v>11</v>
      </c>
      <c r="K172" s="7" t="s">
        <v>1005</v>
      </c>
    </row>
    <row r="173" customFormat="false" ht="15" hidden="false" customHeight="false" outlineLevel="0" collapsed="false">
      <c r="A173" s="7" t="s">
        <v>2626</v>
      </c>
      <c r="B173" s="8" t="n">
        <v>45486</v>
      </c>
      <c r="C173" s="7" t="s">
        <v>383</v>
      </c>
      <c r="D173" s="7" t="s">
        <v>46</v>
      </c>
      <c r="E173" s="7" t="s">
        <v>65</v>
      </c>
      <c r="F173" s="7" t="s">
        <v>2453</v>
      </c>
      <c r="G173" s="7" t="n">
        <v>16</v>
      </c>
      <c r="H173" s="7" t="n">
        <v>85248</v>
      </c>
      <c r="I173" s="7" t="n">
        <v>4</v>
      </c>
      <c r="J173" s="7" t="n">
        <v>23</v>
      </c>
      <c r="K173" s="7" t="s">
        <v>1005</v>
      </c>
    </row>
    <row r="174" customFormat="false" ht="15" hidden="false" customHeight="false" outlineLevel="0" collapsed="false">
      <c r="A174" s="7" t="s">
        <v>2627</v>
      </c>
      <c r="B174" s="8" t="n">
        <v>45389</v>
      </c>
      <c r="C174" s="7" t="s">
        <v>377</v>
      </c>
      <c r="D174" s="7" t="s">
        <v>46</v>
      </c>
      <c r="E174" s="7" t="s">
        <v>65</v>
      </c>
      <c r="F174" s="7" t="s">
        <v>2458</v>
      </c>
      <c r="G174" s="7" t="n">
        <v>40</v>
      </c>
      <c r="H174" s="7" t="n">
        <v>299400</v>
      </c>
      <c r="I174" s="7" t="n">
        <v>5</v>
      </c>
      <c r="J174" s="7" t="n">
        <v>19</v>
      </c>
      <c r="K174" s="7" t="s">
        <v>1005</v>
      </c>
    </row>
    <row r="175" customFormat="false" ht="15" hidden="false" customHeight="false" outlineLevel="0" collapsed="false">
      <c r="A175" s="7" t="s">
        <v>2628</v>
      </c>
      <c r="B175" s="8" t="n">
        <v>45703</v>
      </c>
      <c r="C175" s="7" t="s">
        <v>316</v>
      </c>
      <c r="D175" s="7" t="s">
        <v>40</v>
      </c>
      <c r="E175" s="7" t="s">
        <v>83</v>
      </c>
      <c r="F175" s="7" t="s">
        <v>2451</v>
      </c>
      <c r="G175" s="7" t="n">
        <v>24</v>
      </c>
      <c r="H175" s="7" t="n">
        <v>98784</v>
      </c>
      <c r="I175" s="7" t="n">
        <v>5</v>
      </c>
      <c r="J175" s="7" t="n">
        <v>0</v>
      </c>
      <c r="K175" s="7" t="s">
        <v>1005</v>
      </c>
    </row>
    <row r="176" customFormat="false" ht="15" hidden="false" customHeight="false" outlineLevel="0" collapsed="false">
      <c r="A176" s="7" t="s">
        <v>2629</v>
      </c>
      <c r="B176" s="8" t="n">
        <v>45909</v>
      </c>
      <c r="C176" s="7" t="s">
        <v>195</v>
      </c>
      <c r="D176" s="7" t="s">
        <v>28</v>
      </c>
      <c r="E176" s="7" t="s">
        <v>87</v>
      </c>
      <c r="F176" s="7" t="s">
        <v>2453</v>
      </c>
      <c r="G176" s="7" t="n">
        <v>4</v>
      </c>
      <c r="H176" s="7" t="n">
        <v>44840</v>
      </c>
      <c r="I176" s="7" t="n">
        <v>5</v>
      </c>
      <c r="J176" s="7" t="n">
        <v>11</v>
      </c>
      <c r="K176" s="7" t="s">
        <v>1005</v>
      </c>
    </row>
    <row r="177" customFormat="false" ht="15" hidden="false" customHeight="false" outlineLevel="0" collapsed="false">
      <c r="A177" s="7" t="s">
        <v>2630</v>
      </c>
      <c r="B177" s="8" t="n">
        <v>45768</v>
      </c>
      <c r="C177" s="7" t="s">
        <v>180</v>
      </c>
      <c r="D177" s="7" t="s">
        <v>28</v>
      </c>
      <c r="E177" s="7" t="s">
        <v>60</v>
      </c>
      <c r="F177" s="7" t="s">
        <v>2453</v>
      </c>
      <c r="G177" s="7" t="n">
        <v>16</v>
      </c>
      <c r="H177" s="7" t="n">
        <v>184352</v>
      </c>
      <c r="I177" s="7" t="n">
        <v>5</v>
      </c>
      <c r="J177" s="7" t="n">
        <v>7</v>
      </c>
      <c r="K177" s="7" t="s">
        <v>1005</v>
      </c>
    </row>
    <row r="178" customFormat="false" ht="15" hidden="false" customHeight="false" outlineLevel="0" collapsed="false">
      <c r="A178" s="7" t="s">
        <v>2631</v>
      </c>
      <c r="B178" s="8" t="n">
        <v>45349</v>
      </c>
      <c r="C178" s="7" t="s">
        <v>126</v>
      </c>
      <c r="D178" s="7" t="s">
        <v>25</v>
      </c>
      <c r="E178" s="7" t="s">
        <v>75</v>
      </c>
      <c r="F178" s="7" t="s">
        <v>2451</v>
      </c>
      <c r="G178" s="7" t="n">
        <v>4</v>
      </c>
      <c r="H178" s="7" t="n">
        <v>44996</v>
      </c>
      <c r="I178" s="7" t="n">
        <v>1</v>
      </c>
      <c r="J178" s="7" t="n">
        <v>14</v>
      </c>
      <c r="K178" s="7" t="s">
        <v>1005</v>
      </c>
    </row>
    <row r="179" customFormat="false" ht="15" hidden="false" customHeight="false" outlineLevel="0" collapsed="false">
      <c r="A179" s="7" t="s">
        <v>2632</v>
      </c>
      <c r="B179" s="8" t="n">
        <v>45537</v>
      </c>
      <c r="C179" s="7" t="s">
        <v>140</v>
      </c>
      <c r="D179" s="7" t="s">
        <v>25</v>
      </c>
      <c r="E179" s="7" t="s">
        <v>75</v>
      </c>
      <c r="F179" s="7" t="s">
        <v>2449</v>
      </c>
      <c r="G179" s="7" t="n">
        <v>40</v>
      </c>
      <c r="H179" s="7" t="n">
        <v>333120</v>
      </c>
      <c r="I179" s="7" t="n">
        <v>2</v>
      </c>
      <c r="J179" s="7" t="n">
        <v>8</v>
      </c>
      <c r="K179" s="7" t="s">
        <v>1005</v>
      </c>
    </row>
    <row r="180" customFormat="false" ht="15" hidden="false" customHeight="false" outlineLevel="0" collapsed="false">
      <c r="A180" s="7" t="s">
        <v>2633</v>
      </c>
      <c r="B180" s="8" t="n">
        <v>45821</v>
      </c>
      <c r="C180" s="7" t="s">
        <v>251</v>
      </c>
      <c r="D180" s="7" t="s">
        <v>34</v>
      </c>
      <c r="E180" s="7" t="s">
        <v>68</v>
      </c>
      <c r="F180" s="7" t="s">
        <v>2449</v>
      </c>
      <c r="G180" s="7" t="n">
        <v>16</v>
      </c>
      <c r="H180" s="7" t="n">
        <v>52048</v>
      </c>
      <c r="I180" s="7" t="n">
        <v>4</v>
      </c>
      <c r="J180" s="7" t="n">
        <v>17</v>
      </c>
      <c r="K180" s="7" t="s">
        <v>1005</v>
      </c>
    </row>
    <row r="181" customFormat="false" ht="15" hidden="false" customHeight="false" outlineLevel="0" collapsed="false">
      <c r="A181" s="7" t="s">
        <v>2634</v>
      </c>
      <c r="B181" s="8" t="n">
        <v>45427</v>
      </c>
      <c r="C181" s="7" t="s">
        <v>441</v>
      </c>
      <c r="D181" s="7" t="s">
        <v>52</v>
      </c>
      <c r="E181" s="7" t="s">
        <v>71</v>
      </c>
      <c r="F181" s="7" t="s">
        <v>2460</v>
      </c>
      <c r="G181" s="7" t="n">
        <v>4</v>
      </c>
      <c r="H181" s="7" t="n">
        <v>16500</v>
      </c>
      <c r="I181" s="7" t="n">
        <v>3</v>
      </c>
      <c r="J181" s="7" t="n">
        <v>8</v>
      </c>
      <c r="K181" s="7" t="s">
        <v>1005</v>
      </c>
    </row>
    <row r="182" customFormat="false" ht="15" hidden="false" customHeight="false" outlineLevel="0" collapsed="false">
      <c r="A182" s="7" t="s">
        <v>2635</v>
      </c>
      <c r="B182" s="8" t="n">
        <v>45522</v>
      </c>
      <c r="C182" s="7" t="s">
        <v>165</v>
      </c>
      <c r="D182" s="7" t="s">
        <v>25</v>
      </c>
      <c r="E182" s="7" t="s">
        <v>83</v>
      </c>
      <c r="F182" s="7" t="s">
        <v>2458</v>
      </c>
      <c r="G182" s="7" t="n">
        <v>24</v>
      </c>
      <c r="H182" s="7" t="n">
        <v>235920</v>
      </c>
      <c r="I182" s="7" t="n">
        <v>4</v>
      </c>
      <c r="J182" s="7" t="n">
        <v>7</v>
      </c>
      <c r="K182" s="7" t="s">
        <v>1005</v>
      </c>
    </row>
    <row r="183" customFormat="false" ht="15" hidden="false" customHeight="false" outlineLevel="0" collapsed="false">
      <c r="A183" s="7" t="s">
        <v>2636</v>
      </c>
      <c r="B183" s="8" t="n">
        <v>45969</v>
      </c>
      <c r="C183" s="7" t="s">
        <v>190</v>
      </c>
      <c r="D183" s="7" t="s">
        <v>28</v>
      </c>
      <c r="E183" s="7" t="s">
        <v>87</v>
      </c>
      <c r="F183" s="7" t="s">
        <v>2465</v>
      </c>
      <c r="G183" s="7" t="n">
        <v>24</v>
      </c>
      <c r="H183" s="7" t="n">
        <v>140928</v>
      </c>
      <c r="I183" s="7" t="n">
        <v>5</v>
      </c>
      <c r="J183" s="7" t="n">
        <v>1</v>
      </c>
      <c r="K183" s="7" t="s">
        <v>1005</v>
      </c>
    </row>
    <row r="184" customFormat="false" ht="15" hidden="false" customHeight="false" outlineLevel="0" collapsed="false">
      <c r="A184" s="7" t="s">
        <v>2637</v>
      </c>
      <c r="B184" s="8" t="n">
        <v>45749</v>
      </c>
      <c r="C184" s="7" t="s">
        <v>215</v>
      </c>
      <c r="D184" s="7" t="s">
        <v>31</v>
      </c>
      <c r="E184" s="7" t="s">
        <v>60</v>
      </c>
      <c r="F184" s="7" t="s">
        <v>2449</v>
      </c>
      <c r="G184" s="7" t="n">
        <v>4</v>
      </c>
      <c r="H184" s="7" t="n">
        <v>42300</v>
      </c>
      <c r="I184" s="7" t="n">
        <v>5</v>
      </c>
      <c r="J184" s="7" t="n">
        <v>8</v>
      </c>
      <c r="K184" s="7" t="s">
        <v>1005</v>
      </c>
    </row>
    <row r="185" customFormat="false" ht="15" hidden="false" customHeight="false" outlineLevel="0" collapsed="false">
      <c r="A185" s="7" t="s">
        <v>2638</v>
      </c>
      <c r="B185" s="8" t="n">
        <v>45652</v>
      </c>
      <c r="C185" s="7" t="s">
        <v>295</v>
      </c>
      <c r="D185" s="7" t="s">
        <v>37</v>
      </c>
      <c r="E185" s="7" t="s">
        <v>87</v>
      </c>
      <c r="F185" s="7" t="s">
        <v>2449</v>
      </c>
      <c r="G185" s="7" t="n">
        <v>8</v>
      </c>
      <c r="H185" s="7" t="n">
        <v>63824</v>
      </c>
      <c r="I185" s="7" t="n">
        <v>4</v>
      </c>
      <c r="J185" s="7" t="n">
        <v>20</v>
      </c>
      <c r="K185" s="7" t="s">
        <v>1005</v>
      </c>
    </row>
    <row r="186" customFormat="false" ht="15" hidden="false" customHeight="false" outlineLevel="0" collapsed="false">
      <c r="A186" s="7" t="s">
        <v>2639</v>
      </c>
      <c r="B186" s="8" t="n">
        <v>45647</v>
      </c>
      <c r="C186" s="7" t="s">
        <v>203</v>
      </c>
      <c r="D186" s="7" t="s">
        <v>31</v>
      </c>
      <c r="E186" s="7" t="s">
        <v>71</v>
      </c>
      <c r="F186" s="7" t="s">
        <v>2460</v>
      </c>
      <c r="G186" s="7" t="n">
        <v>4</v>
      </c>
      <c r="H186" s="7" t="n">
        <v>32036</v>
      </c>
      <c r="I186" s="7" t="n">
        <v>4</v>
      </c>
      <c r="J186" s="7" t="n">
        <v>19</v>
      </c>
      <c r="K186" s="7" t="s">
        <v>1005</v>
      </c>
    </row>
    <row r="187" customFormat="false" ht="15" hidden="false" customHeight="false" outlineLevel="0" collapsed="false">
      <c r="A187" s="7" t="s">
        <v>2640</v>
      </c>
      <c r="B187" s="8" t="n">
        <v>45922</v>
      </c>
      <c r="C187" s="7" t="s">
        <v>428</v>
      </c>
      <c r="D187" s="7" t="s">
        <v>52</v>
      </c>
      <c r="E187" s="7" t="s">
        <v>87</v>
      </c>
      <c r="F187" s="7" t="s">
        <v>2449</v>
      </c>
      <c r="G187" s="7" t="n">
        <v>16</v>
      </c>
      <c r="H187" s="7" t="n">
        <v>101184</v>
      </c>
      <c r="I187" s="7" t="n">
        <v>3</v>
      </c>
      <c r="J187" s="7" t="n">
        <v>4</v>
      </c>
      <c r="K187" s="7" t="s">
        <v>1005</v>
      </c>
    </row>
    <row r="188" customFormat="false" ht="15" hidden="false" customHeight="false" outlineLevel="0" collapsed="false">
      <c r="A188" s="7" t="s">
        <v>2641</v>
      </c>
      <c r="B188" s="8" t="n">
        <v>45855</v>
      </c>
      <c r="C188" s="7" t="s">
        <v>306</v>
      </c>
      <c r="D188" s="7" t="s">
        <v>40</v>
      </c>
      <c r="E188" s="7" t="s">
        <v>60</v>
      </c>
      <c r="F188" s="7" t="s">
        <v>2463</v>
      </c>
      <c r="G188" s="7" t="n">
        <v>8</v>
      </c>
      <c r="H188" s="7" t="n">
        <v>68528</v>
      </c>
      <c r="I188" s="7" t="n">
        <v>4</v>
      </c>
      <c r="J188" s="7" t="n">
        <v>19</v>
      </c>
      <c r="K188" s="7" t="s">
        <v>1012</v>
      </c>
    </row>
    <row r="189" customFormat="false" ht="15" hidden="false" customHeight="false" outlineLevel="0" collapsed="false">
      <c r="A189" s="7" t="s">
        <v>2642</v>
      </c>
      <c r="B189" s="8" t="n">
        <v>45372</v>
      </c>
      <c r="C189" s="7" t="s">
        <v>389</v>
      </c>
      <c r="D189" s="7" t="s">
        <v>49</v>
      </c>
      <c r="E189" s="7" t="s">
        <v>87</v>
      </c>
      <c r="F189" s="7" t="s">
        <v>2458</v>
      </c>
      <c r="G189" s="7" t="n">
        <v>24</v>
      </c>
      <c r="H189" s="7" t="n">
        <v>168528</v>
      </c>
      <c r="I189" s="7" t="n">
        <v>3</v>
      </c>
      <c r="J189" s="7" t="n">
        <v>7</v>
      </c>
      <c r="K189" s="7" t="s">
        <v>1005</v>
      </c>
    </row>
    <row r="190" customFormat="false" ht="15" hidden="false" customHeight="false" outlineLevel="0" collapsed="false">
      <c r="A190" s="7" t="s">
        <v>2643</v>
      </c>
      <c r="B190" s="8" t="n">
        <v>45904</v>
      </c>
      <c r="C190" s="7" t="s">
        <v>406</v>
      </c>
      <c r="D190" s="7" t="s">
        <v>49</v>
      </c>
      <c r="E190" s="7" t="s">
        <v>87</v>
      </c>
      <c r="F190" s="7" t="s">
        <v>2451</v>
      </c>
      <c r="G190" s="7" t="n">
        <v>40</v>
      </c>
      <c r="H190" s="7" t="n">
        <v>124760</v>
      </c>
      <c r="I190" s="7" t="n">
        <v>2</v>
      </c>
      <c r="J190" s="7" t="n">
        <v>20</v>
      </c>
      <c r="K190" s="7" t="s">
        <v>1005</v>
      </c>
    </row>
    <row r="191" customFormat="false" ht="15" hidden="false" customHeight="false" outlineLevel="0" collapsed="false">
      <c r="A191" s="7" t="s">
        <v>2644</v>
      </c>
      <c r="B191" s="8" t="n">
        <v>45673</v>
      </c>
      <c r="C191" s="7" t="s">
        <v>255</v>
      </c>
      <c r="D191" s="7" t="s">
        <v>34</v>
      </c>
      <c r="E191" s="7" t="s">
        <v>68</v>
      </c>
      <c r="F191" s="7" t="s">
        <v>2460</v>
      </c>
      <c r="G191" s="7" t="n">
        <v>8</v>
      </c>
      <c r="H191" s="7" t="n">
        <v>41736</v>
      </c>
      <c r="I191" s="7" t="n">
        <v>5</v>
      </c>
      <c r="J191" s="7" t="n">
        <v>21</v>
      </c>
      <c r="K191" s="7" t="s">
        <v>1005</v>
      </c>
    </row>
    <row r="192" customFormat="false" ht="15" hidden="false" customHeight="false" outlineLevel="0" collapsed="false">
      <c r="A192" s="7" t="s">
        <v>2645</v>
      </c>
      <c r="B192" s="8" t="n">
        <v>45718</v>
      </c>
      <c r="C192" s="7" t="s">
        <v>312</v>
      </c>
      <c r="D192" s="7" t="s">
        <v>40</v>
      </c>
      <c r="E192" s="7" t="s">
        <v>79</v>
      </c>
      <c r="F192" s="7" t="s">
        <v>2465</v>
      </c>
      <c r="G192" s="7" t="n">
        <v>24</v>
      </c>
      <c r="H192" s="7" t="n">
        <v>160008</v>
      </c>
      <c r="I192" s="7" t="n">
        <v>4</v>
      </c>
      <c r="J192" s="7" t="n">
        <v>10</v>
      </c>
      <c r="K192" s="7" t="s">
        <v>1005</v>
      </c>
    </row>
    <row r="193" customFormat="false" ht="15" hidden="false" customHeight="false" outlineLevel="0" collapsed="false">
      <c r="A193" s="7" t="s">
        <v>2646</v>
      </c>
      <c r="B193" s="8" t="n">
        <v>45414</v>
      </c>
      <c r="C193" s="7" t="s">
        <v>253</v>
      </c>
      <c r="D193" s="7" t="s">
        <v>34</v>
      </c>
      <c r="E193" s="7" t="s">
        <v>68</v>
      </c>
      <c r="F193" s="7" t="s">
        <v>2463</v>
      </c>
      <c r="G193" s="7" t="n">
        <v>24</v>
      </c>
      <c r="H193" s="7" t="n">
        <v>193152</v>
      </c>
      <c r="I193" s="7" t="n">
        <v>3</v>
      </c>
      <c r="J193" s="7" t="n">
        <v>10</v>
      </c>
      <c r="K193" s="7" t="s">
        <v>1005</v>
      </c>
    </row>
    <row r="194" customFormat="false" ht="15" hidden="false" customHeight="false" outlineLevel="0" collapsed="false">
      <c r="A194" s="7" t="s">
        <v>2647</v>
      </c>
      <c r="B194" s="8" t="n">
        <v>45541</v>
      </c>
      <c r="C194" s="7" t="s">
        <v>227</v>
      </c>
      <c r="D194" s="7" t="s">
        <v>31</v>
      </c>
      <c r="E194" s="7" t="s">
        <v>87</v>
      </c>
      <c r="F194" s="7" t="s">
        <v>2463</v>
      </c>
      <c r="G194" s="7" t="n">
        <v>24</v>
      </c>
      <c r="H194" s="7" t="n">
        <v>105000</v>
      </c>
      <c r="I194" s="7" t="n">
        <v>4</v>
      </c>
      <c r="J194" s="7" t="n">
        <v>3</v>
      </c>
      <c r="K194" s="7" t="s">
        <v>1005</v>
      </c>
    </row>
    <row r="195" customFormat="false" ht="15" hidden="false" customHeight="false" outlineLevel="0" collapsed="false">
      <c r="A195" s="7" t="s">
        <v>2648</v>
      </c>
      <c r="B195" s="8" t="n">
        <v>45982</v>
      </c>
      <c r="C195" s="7" t="s">
        <v>411</v>
      </c>
      <c r="D195" s="7" t="s">
        <v>49</v>
      </c>
      <c r="E195" s="7" t="s">
        <v>75</v>
      </c>
      <c r="F195" s="7" t="s">
        <v>2465</v>
      </c>
      <c r="G195" s="7" t="n">
        <v>4</v>
      </c>
      <c r="H195" s="7" t="n">
        <v>34196</v>
      </c>
      <c r="I195" s="7" t="n">
        <v>3</v>
      </c>
      <c r="J195" s="7" t="n">
        <v>5</v>
      </c>
      <c r="K195" s="7" t="s">
        <v>1005</v>
      </c>
    </row>
    <row r="196" customFormat="false" ht="15" hidden="false" customHeight="false" outlineLevel="0" collapsed="false">
      <c r="A196" s="7" t="s">
        <v>2649</v>
      </c>
      <c r="B196" s="8" t="n">
        <v>45476</v>
      </c>
      <c r="C196" s="7" t="s">
        <v>409</v>
      </c>
      <c r="D196" s="7" t="s">
        <v>49</v>
      </c>
      <c r="E196" s="7" t="s">
        <v>65</v>
      </c>
      <c r="F196" s="7" t="s">
        <v>2453</v>
      </c>
      <c r="G196" s="7" t="n">
        <v>40</v>
      </c>
      <c r="H196" s="7" t="n">
        <v>374880</v>
      </c>
      <c r="I196" s="7" t="n">
        <v>5</v>
      </c>
      <c r="J196" s="7" t="n">
        <v>1</v>
      </c>
      <c r="K196" s="7" t="s">
        <v>1005</v>
      </c>
    </row>
    <row r="197" customFormat="false" ht="15" hidden="false" customHeight="false" outlineLevel="0" collapsed="false">
      <c r="A197" s="7" t="s">
        <v>2650</v>
      </c>
      <c r="B197" s="8" t="n">
        <v>45731</v>
      </c>
      <c r="C197" s="7" t="s">
        <v>217</v>
      </c>
      <c r="D197" s="7" t="s">
        <v>31</v>
      </c>
      <c r="E197" s="7" t="s">
        <v>68</v>
      </c>
      <c r="F197" s="7" t="s">
        <v>2451</v>
      </c>
      <c r="G197" s="7" t="n">
        <v>16</v>
      </c>
      <c r="H197" s="7" t="n">
        <v>164544</v>
      </c>
      <c r="I197" s="7" t="n">
        <v>4</v>
      </c>
      <c r="J197" s="7" t="n">
        <v>9</v>
      </c>
      <c r="K197" s="7" t="s">
        <v>1005</v>
      </c>
    </row>
    <row r="198" customFormat="false" ht="15" hidden="false" customHeight="false" outlineLevel="0" collapsed="false">
      <c r="A198" s="7" t="s">
        <v>2651</v>
      </c>
      <c r="B198" s="8" t="n">
        <v>45565</v>
      </c>
      <c r="C198" s="7" t="s">
        <v>261</v>
      </c>
      <c r="D198" s="7" t="s">
        <v>34</v>
      </c>
      <c r="E198" s="7" t="s">
        <v>75</v>
      </c>
      <c r="F198" s="7" t="s">
        <v>2465</v>
      </c>
      <c r="G198" s="7" t="n">
        <v>24</v>
      </c>
      <c r="H198" s="7" t="n">
        <v>252744</v>
      </c>
      <c r="I198" s="7" t="n">
        <v>4</v>
      </c>
      <c r="J198" s="7" t="n">
        <v>13</v>
      </c>
      <c r="K198" s="7" t="s">
        <v>1005</v>
      </c>
    </row>
    <row r="199" customFormat="false" ht="15" hidden="false" customHeight="false" outlineLevel="0" collapsed="false">
      <c r="A199" s="7" t="s">
        <v>2652</v>
      </c>
      <c r="B199" s="8" t="n">
        <v>45589</v>
      </c>
      <c r="C199" s="7" t="s">
        <v>186</v>
      </c>
      <c r="D199" s="7" t="s">
        <v>28</v>
      </c>
      <c r="E199" s="7" t="s">
        <v>68</v>
      </c>
      <c r="F199" s="7" t="s">
        <v>2449</v>
      </c>
      <c r="G199" s="7" t="n">
        <v>24</v>
      </c>
      <c r="H199" s="7" t="n">
        <v>85080</v>
      </c>
      <c r="I199" s="7" t="n">
        <v>2</v>
      </c>
      <c r="J199" s="7" t="n">
        <v>13</v>
      </c>
      <c r="K199" s="7" t="s">
        <v>1005</v>
      </c>
    </row>
    <row r="200" customFormat="false" ht="15" hidden="false" customHeight="false" outlineLevel="0" collapsed="false">
      <c r="A200" s="7" t="s">
        <v>2653</v>
      </c>
      <c r="B200" s="8" t="n">
        <v>45404</v>
      </c>
      <c r="C200" s="7" t="s">
        <v>192</v>
      </c>
      <c r="D200" s="7" t="s">
        <v>28</v>
      </c>
      <c r="E200" s="7" t="s">
        <v>71</v>
      </c>
      <c r="F200" s="7" t="s">
        <v>2458</v>
      </c>
      <c r="G200" s="7" t="n">
        <v>8</v>
      </c>
      <c r="H200" s="7" t="n">
        <v>67608</v>
      </c>
      <c r="I200" s="7" t="n">
        <v>3</v>
      </c>
      <c r="J200" s="7" t="n">
        <v>13</v>
      </c>
      <c r="K200" s="7" t="s">
        <v>1005</v>
      </c>
    </row>
    <row r="201" customFormat="false" ht="15" hidden="false" customHeight="false" outlineLevel="0" collapsed="false">
      <c r="A201" s="7" t="s">
        <v>2654</v>
      </c>
      <c r="B201" s="8" t="n">
        <v>45909</v>
      </c>
      <c r="C201" s="7" t="s">
        <v>245</v>
      </c>
      <c r="D201" s="7" t="s">
        <v>34</v>
      </c>
      <c r="E201" s="7" t="s">
        <v>60</v>
      </c>
      <c r="F201" s="7" t="s">
        <v>2463</v>
      </c>
      <c r="G201" s="7" t="n">
        <v>8</v>
      </c>
      <c r="H201" s="7" t="n">
        <v>78664</v>
      </c>
      <c r="I201" s="7" t="n">
        <v>5</v>
      </c>
      <c r="J201" s="7" t="n">
        <v>14</v>
      </c>
      <c r="K201" s="7" t="s">
        <v>1005</v>
      </c>
    </row>
    <row r="202" customFormat="false" ht="15" hidden="false" customHeight="false" outlineLevel="0" collapsed="false">
      <c r="A202" s="7" t="s">
        <v>2655</v>
      </c>
      <c r="B202" s="8" t="n">
        <v>45822</v>
      </c>
      <c r="C202" s="7" t="s">
        <v>327</v>
      </c>
      <c r="D202" s="7" t="s">
        <v>40</v>
      </c>
      <c r="E202" s="7" t="s">
        <v>75</v>
      </c>
      <c r="F202" s="7" t="s">
        <v>2449</v>
      </c>
      <c r="G202" s="7" t="n">
        <v>24</v>
      </c>
      <c r="H202" s="7" t="n">
        <v>270480</v>
      </c>
      <c r="I202" s="7" t="n">
        <v>3</v>
      </c>
      <c r="J202" s="7" t="n">
        <v>21</v>
      </c>
      <c r="K202" s="7" t="s">
        <v>1005</v>
      </c>
    </row>
    <row r="203" customFormat="false" ht="15" hidden="false" customHeight="false" outlineLevel="0" collapsed="false">
      <c r="A203" s="7" t="s">
        <v>2656</v>
      </c>
      <c r="B203" s="8" t="n">
        <v>45316</v>
      </c>
      <c r="C203" s="7" t="s">
        <v>299</v>
      </c>
      <c r="D203" s="7" t="s">
        <v>40</v>
      </c>
      <c r="E203" s="7" t="s">
        <v>71</v>
      </c>
      <c r="F203" s="7" t="s">
        <v>2453</v>
      </c>
      <c r="G203" s="7" t="n">
        <v>16</v>
      </c>
      <c r="H203" s="7" t="n">
        <v>103984</v>
      </c>
      <c r="I203" s="7" t="n">
        <v>5</v>
      </c>
      <c r="J203" s="7" t="n">
        <v>9</v>
      </c>
      <c r="K203" s="7" t="s">
        <v>1005</v>
      </c>
    </row>
    <row r="204" customFormat="false" ht="15" hidden="false" customHeight="false" outlineLevel="0" collapsed="false">
      <c r="A204" s="7" t="s">
        <v>2657</v>
      </c>
      <c r="B204" s="8" t="n">
        <v>45652</v>
      </c>
      <c r="C204" s="7" t="s">
        <v>225</v>
      </c>
      <c r="D204" s="7" t="s">
        <v>31</v>
      </c>
      <c r="E204" s="7" t="s">
        <v>68</v>
      </c>
      <c r="F204" s="7" t="s">
        <v>2451</v>
      </c>
      <c r="G204" s="7" t="n">
        <v>40</v>
      </c>
      <c r="H204" s="7" t="n">
        <v>241840</v>
      </c>
      <c r="I204" s="7" t="n">
        <v>3</v>
      </c>
      <c r="J204" s="7" t="n">
        <v>20</v>
      </c>
      <c r="K204" s="7" t="s">
        <v>1012</v>
      </c>
    </row>
    <row r="205" customFormat="false" ht="15" hidden="false" customHeight="false" outlineLevel="0" collapsed="false">
      <c r="A205" s="7" t="s">
        <v>2658</v>
      </c>
      <c r="B205" s="8" t="n">
        <v>45353</v>
      </c>
      <c r="C205" s="7" t="s">
        <v>211</v>
      </c>
      <c r="D205" s="7" t="s">
        <v>31</v>
      </c>
      <c r="E205" s="7" t="s">
        <v>83</v>
      </c>
      <c r="F205" s="7" t="s">
        <v>2463</v>
      </c>
      <c r="G205" s="7" t="n">
        <v>40</v>
      </c>
      <c r="H205" s="7" t="n">
        <v>120640</v>
      </c>
      <c r="I205" s="7" t="n">
        <v>5</v>
      </c>
      <c r="J205" s="7" t="n">
        <v>10</v>
      </c>
      <c r="K205" s="7" t="s">
        <v>1005</v>
      </c>
    </row>
    <row r="206" customFormat="false" ht="15" hidden="false" customHeight="false" outlineLevel="0" collapsed="false">
      <c r="A206" s="7" t="s">
        <v>2659</v>
      </c>
      <c r="B206" s="8" t="n">
        <v>45959</v>
      </c>
      <c r="C206" s="7" t="s">
        <v>188</v>
      </c>
      <c r="D206" s="7" t="s">
        <v>28</v>
      </c>
      <c r="E206" s="7" t="s">
        <v>71</v>
      </c>
      <c r="F206" s="7" t="s">
        <v>2465</v>
      </c>
      <c r="G206" s="7" t="n">
        <v>24</v>
      </c>
      <c r="H206" s="7" t="n">
        <v>190200</v>
      </c>
      <c r="I206" s="7" t="n">
        <v>4</v>
      </c>
      <c r="J206" s="7" t="n">
        <v>16</v>
      </c>
      <c r="K206" s="7" t="s">
        <v>1005</v>
      </c>
    </row>
    <row r="207" customFormat="false" ht="15" hidden="false" customHeight="false" outlineLevel="0" collapsed="false">
      <c r="A207" s="7" t="s">
        <v>2660</v>
      </c>
      <c r="B207" s="8" t="n">
        <v>45694</v>
      </c>
      <c r="C207" s="7" t="s">
        <v>257</v>
      </c>
      <c r="D207" s="7" t="s">
        <v>34</v>
      </c>
      <c r="E207" s="7" t="s">
        <v>71</v>
      </c>
      <c r="F207" s="7" t="s">
        <v>2449</v>
      </c>
      <c r="G207" s="7" t="n">
        <v>4</v>
      </c>
      <c r="H207" s="7" t="n">
        <v>30868</v>
      </c>
      <c r="I207" s="7" t="n">
        <v>4</v>
      </c>
      <c r="J207" s="7" t="n">
        <v>13</v>
      </c>
      <c r="K207" s="7" t="s">
        <v>1005</v>
      </c>
    </row>
    <row r="208" customFormat="false" ht="15" hidden="false" customHeight="false" outlineLevel="0" collapsed="false">
      <c r="A208" s="7" t="s">
        <v>2661</v>
      </c>
      <c r="B208" s="8" t="n">
        <v>46001</v>
      </c>
      <c r="C208" s="7" t="s">
        <v>150</v>
      </c>
      <c r="D208" s="7" t="s">
        <v>25</v>
      </c>
      <c r="E208" s="7" t="s">
        <v>75</v>
      </c>
      <c r="F208" s="7" t="s">
        <v>2465</v>
      </c>
      <c r="G208" s="7" t="n">
        <v>16</v>
      </c>
      <c r="H208" s="7" t="n">
        <v>182064</v>
      </c>
      <c r="I208" s="7" t="n">
        <v>4</v>
      </c>
      <c r="J208" s="7" t="n">
        <v>7</v>
      </c>
      <c r="K208" s="7" t="s">
        <v>1005</v>
      </c>
    </row>
    <row r="209" customFormat="false" ht="15" hidden="false" customHeight="false" outlineLevel="0" collapsed="false">
      <c r="A209" s="7" t="s">
        <v>2662</v>
      </c>
      <c r="B209" s="8" t="n">
        <v>45827</v>
      </c>
      <c r="C209" s="7" t="s">
        <v>345</v>
      </c>
      <c r="D209" s="7" t="s">
        <v>43</v>
      </c>
      <c r="E209" s="7" t="s">
        <v>83</v>
      </c>
      <c r="F209" s="7" t="s">
        <v>2451</v>
      </c>
      <c r="G209" s="7" t="n">
        <v>40</v>
      </c>
      <c r="H209" s="7" t="n">
        <v>329200</v>
      </c>
      <c r="I209" s="7" t="n">
        <v>3</v>
      </c>
      <c r="J209" s="7" t="n">
        <v>12</v>
      </c>
      <c r="K209" s="7" t="s">
        <v>1005</v>
      </c>
    </row>
    <row r="210" customFormat="false" ht="15" hidden="false" customHeight="false" outlineLevel="0" collapsed="false">
      <c r="A210" s="7" t="s">
        <v>2663</v>
      </c>
      <c r="B210" s="8" t="n">
        <v>45923</v>
      </c>
      <c r="C210" s="7" t="s">
        <v>217</v>
      </c>
      <c r="D210" s="7" t="s">
        <v>31</v>
      </c>
      <c r="E210" s="7" t="s">
        <v>68</v>
      </c>
      <c r="F210" s="7" t="s">
        <v>2463</v>
      </c>
      <c r="G210" s="7" t="n">
        <v>40</v>
      </c>
      <c r="H210" s="7" t="n">
        <v>269720</v>
      </c>
      <c r="I210" s="7" t="n">
        <v>4</v>
      </c>
      <c r="J210" s="7" t="n">
        <v>14</v>
      </c>
      <c r="K210" s="7" t="s">
        <v>1005</v>
      </c>
    </row>
    <row r="211" customFormat="false" ht="15" hidden="false" customHeight="false" outlineLevel="0" collapsed="false">
      <c r="A211" s="7" t="s">
        <v>2664</v>
      </c>
      <c r="B211" s="8" t="n">
        <v>45783</v>
      </c>
      <c r="C211" s="7" t="s">
        <v>331</v>
      </c>
      <c r="D211" s="7" t="s">
        <v>43</v>
      </c>
      <c r="E211" s="7" t="s">
        <v>83</v>
      </c>
      <c r="F211" s="7" t="s">
        <v>2453</v>
      </c>
      <c r="G211" s="7" t="n">
        <v>4</v>
      </c>
      <c r="H211" s="7" t="n">
        <v>14424</v>
      </c>
      <c r="I211" s="7" t="n">
        <v>3</v>
      </c>
      <c r="J211" s="7" t="n">
        <v>4</v>
      </c>
      <c r="K211" s="7" t="s">
        <v>1005</v>
      </c>
    </row>
    <row r="212" customFormat="false" ht="15" hidden="false" customHeight="false" outlineLevel="0" collapsed="false">
      <c r="A212" s="7" t="s">
        <v>2665</v>
      </c>
      <c r="B212" s="8" t="n">
        <v>45339</v>
      </c>
      <c r="C212" s="7" t="s">
        <v>279</v>
      </c>
      <c r="D212" s="7" t="s">
        <v>37</v>
      </c>
      <c r="E212" s="7" t="s">
        <v>83</v>
      </c>
      <c r="F212" s="7" t="s">
        <v>2453</v>
      </c>
      <c r="G212" s="7" t="n">
        <v>8</v>
      </c>
      <c r="H212" s="7" t="n">
        <v>74456</v>
      </c>
      <c r="I212" s="7" t="n">
        <v>4</v>
      </c>
      <c r="J212" s="7" t="n">
        <v>15</v>
      </c>
      <c r="K212" s="7" t="s">
        <v>1005</v>
      </c>
    </row>
    <row r="213" customFormat="false" ht="15" hidden="false" customHeight="false" outlineLevel="0" collapsed="false">
      <c r="A213" s="7" t="s">
        <v>2666</v>
      </c>
      <c r="B213" s="8" t="n">
        <v>45950</v>
      </c>
      <c r="C213" s="7" t="s">
        <v>249</v>
      </c>
      <c r="D213" s="7" t="s">
        <v>34</v>
      </c>
      <c r="E213" s="7" t="s">
        <v>65</v>
      </c>
      <c r="F213" s="7" t="s">
        <v>2458</v>
      </c>
      <c r="G213" s="7" t="n">
        <v>24</v>
      </c>
      <c r="H213" s="7" t="n">
        <v>204000</v>
      </c>
      <c r="I213" s="7" t="n">
        <v>2</v>
      </c>
      <c r="J213" s="7" t="n">
        <v>13</v>
      </c>
      <c r="K213" s="7" t="s">
        <v>1005</v>
      </c>
    </row>
    <row r="214" customFormat="false" ht="15" hidden="false" customHeight="false" outlineLevel="0" collapsed="false">
      <c r="A214" s="7" t="s">
        <v>2667</v>
      </c>
      <c r="B214" s="8" t="n">
        <v>45796</v>
      </c>
      <c r="C214" s="7" t="s">
        <v>441</v>
      </c>
      <c r="D214" s="7" t="s">
        <v>52</v>
      </c>
      <c r="E214" s="7" t="s">
        <v>71</v>
      </c>
      <c r="F214" s="7" t="s">
        <v>2460</v>
      </c>
      <c r="G214" s="7" t="n">
        <v>4</v>
      </c>
      <c r="H214" s="7" t="n">
        <v>20540</v>
      </c>
      <c r="I214" s="7" t="n">
        <v>3</v>
      </c>
      <c r="J214" s="7" t="n">
        <v>13</v>
      </c>
      <c r="K214" s="7" t="s">
        <v>1005</v>
      </c>
    </row>
    <row r="215" customFormat="false" ht="15" hidden="false" customHeight="false" outlineLevel="0" collapsed="false">
      <c r="A215" s="7" t="s">
        <v>2668</v>
      </c>
      <c r="B215" s="8" t="n">
        <v>45630</v>
      </c>
      <c r="C215" s="7" t="s">
        <v>157</v>
      </c>
      <c r="D215" s="7" t="s">
        <v>25</v>
      </c>
      <c r="E215" s="7" t="s">
        <v>75</v>
      </c>
      <c r="F215" s="7" t="s">
        <v>2458</v>
      </c>
      <c r="G215" s="7" t="n">
        <v>24</v>
      </c>
      <c r="H215" s="7" t="n">
        <v>115680</v>
      </c>
      <c r="I215" s="7" t="n">
        <v>5</v>
      </c>
      <c r="J215" s="7" t="n">
        <v>18</v>
      </c>
      <c r="K215" s="7" t="s">
        <v>1005</v>
      </c>
    </row>
    <row r="216" customFormat="false" ht="15" hidden="false" customHeight="false" outlineLevel="0" collapsed="false">
      <c r="A216" s="7" t="s">
        <v>2669</v>
      </c>
      <c r="B216" s="8" t="n">
        <v>45787</v>
      </c>
      <c r="C216" s="7" t="s">
        <v>257</v>
      </c>
      <c r="D216" s="7" t="s">
        <v>34</v>
      </c>
      <c r="E216" s="7" t="s">
        <v>71</v>
      </c>
      <c r="F216" s="7" t="s">
        <v>2460</v>
      </c>
      <c r="G216" s="7" t="n">
        <v>24</v>
      </c>
      <c r="H216" s="7" t="n">
        <v>176616</v>
      </c>
      <c r="I216" s="7" t="n">
        <v>4</v>
      </c>
      <c r="J216" s="7" t="n">
        <v>11</v>
      </c>
      <c r="K216" s="7" t="s">
        <v>1005</v>
      </c>
    </row>
    <row r="217" customFormat="false" ht="15" hidden="false" customHeight="false" outlineLevel="0" collapsed="false">
      <c r="A217" s="7" t="s">
        <v>2670</v>
      </c>
      <c r="B217" s="8" t="n">
        <v>45703</v>
      </c>
      <c r="C217" s="7" t="s">
        <v>277</v>
      </c>
      <c r="D217" s="7" t="s">
        <v>37</v>
      </c>
      <c r="E217" s="7" t="s">
        <v>75</v>
      </c>
      <c r="F217" s="7" t="s">
        <v>2451</v>
      </c>
      <c r="G217" s="7" t="n">
        <v>8</v>
      </c>
      <c r="H217" s="7" t="n">
        <v>29192</v>
      </c>
      <c r="I217" s="7" t="n">
        <v>4</v>
      </c>
      <c r="J217" s="7" t="n">
        <v>5</v>
      </c>
      <c r="K217" s="7" t="s">
        <v>1005</v>
      </c>
    </row>
    <row r="218" customFormat="false" ht="15" hidden="false" customHeight="false" outlineLevel="0" collapsed="false">
      <c r="A218" s="7" t="s">
        <v>2671</v>
      </c>
      <c r="B218" s="8" t="n">
        <v>46009</v>
      </c>
      <c r="C218" s="7" t="s">
        <v>395</v>
      </c>
      <c r="D218" s="7" t="s">
        <v>49</v>
      </c>
      <c r="E218" s="7" t="s">
        <v>87</v>
      </c>
      <c r="F218" s="7" t="s">
        <v>2463</v>
      </c>
      <c r="G218" s="7" t="n">
        <v>8</v>
      </c>
      <c r="H218" s="7" t="n">
        <v>91968</v>
      </c>
      <c r="I218" s="7" t="n">
        <v>3</v>
      </c>
      <c r="J218" s="7" t="n">
        <v>22</v>
      </c>
      <c r="K218" s="7" t="s">
        <v>1005</v>
      </c>
    </row>
    <row r="219" customFormat="false" ht="15" hidden="false" customHeight="false" outlineLevel="0" collapsed="false">
      <c r="A219" s="7" t="s">
        <v>2672</v>
      </c>
      <c r="B219" s="8" t="n">
        <v>45797</v>
      </c>
      <c r="C219" s="7" t="s">
        <v>331</v>
      </c>
      <c r="D219" s="7" t="s">
        <v>43</v>
      </c>
      <c r="E219" s="7" t="s">
        <v>83</v>
      </c>
      <c r="F219" s="7" t="s">
        <v>2458</v>
      </c>
      <c r="G219" s="7" t="n">
        <v>24</v>
      </c>
      <c r="H219" s="7" t="n">
        <v>276000</v>
      </c>
      <c r="I219" s="7" t="n">
        <v>3</v>
      </c>
      <c r="J219" s="7" t="n">
        <v>0</v>
      </c>
      <c r="K219" s="7" t="s">
        <v>1005</v>
      </c>
    </row>
    <row r="220" customFormat="false" ht="15" hidden="false" customHeight="false" outlineLevel="0" collapsed="false">
      <c r="A220" s="7" t="s">
        <v>2673</v>
      </c>
      <c r="B220" s="8" t="n">
        <v>45687</v>
      </c>
      <c r="C220" s="7" t="s">
        <v>217</v>
      </c>
      <c r="D220" s="7" t="s">
        <v>31</v>
      </c>
      <c r="E220" s="7" t="s">
        <v>68</v>
      </c>
      <c r="F220" s="7" t="s">
        <v>2453</v>
      </c>
      <c r="G220" s="7" t="n">
        <v>4</v>
      </c>
      <c r="H220" s="7" t="n">
        <v>34184</v>
      </c>
      <c r="I220" s="7" t="n">
        <v>3</v>
      </c>
      <c r="J220" s="7" t="n">
        <v>12</v>
      </c>
      <c r="K220" s="7" t="s">
        <v>1005</v>
      </c>
    </row>
    <row r="221" customFormat="false" ht="15" hidden="false" customHeight="false" outlineLevel="0" collapsed="false">
      <c r="A221" s="7" t="s">
        <v>2674</v>
      </c>
      <c r="B221" s="8" t="n">
        <v>45937</v>
      </c>
      <c r="C221" s="7" t="s">
        <v>283</v>
      </c>
      <c r="D221" s="7" t="s">
        <v>37</v>
      </c>
      <c r="E221" s="7" t="s">
        <v>65</v>
      </c>
      <c r="F221" s="7" t="s">
        <v>2460</v>
      </c>
      <c r="G221" s="7" t="n">
        <v>16</v>
      </c>
      <c r="H221" s="7" t="n">
        <v>106400</v>
      </c>
      <c r="I221" s="7" t="n">
        <v>3</v>
      </c>
      <c r="J221" s="7" t="n">
        <v>23</v>
      </c>
      <c r="K221" s="7" t="s">
        <v>1005</v>
      </c>
    </row>
    <row r="222" customFormat="false" ht="15" hidden="false" customHeight="false" outlineLevel="0" collapsed="false">
      <c r="A222" s="7" t="s">
        <v>2675</v>
      </c>
      <c r="B222" s="8" t="n">
        <v>45476</v>
      </c>
      <c r="C222" s="7" t="s">
        <v>385</v>
      </c>
      <c r="D222" s="7" t="s">
        <v>46</v>
      </c>
      <c r="E222" s="7" t="s">
        <v>60</v>
      </c>
      <c r="F222" s="7" t="s">
        <v>2465</v>
      </c>
      <c r="G222" s="7" t="n">
        <v>40</v>
      </c>
      <c r="H222" s="7" t="n">
        <v>155720</v>
      </c>
      <c r="I222" s="7" t="n">
        <v>1</v>
      </c>
      <c r="J222" s="7" t="n">
        <v>2</v>
      </c>
      <c r="K222" s="7" t="s">
        <v>1005</v>
      </c>
    </row>
    <row r="223" customFormat="false" ht="15" hidden="false" customHeight="false" outlineLevel="0" collapsed="false">
      <c r="A223" s="7" t="s">
        <v>2676</v>
      </c>
      <c r="B223" s="8" t="n">
        <v>45644</v>
      </c>
      <c r="C223" s="7" t="s">
        <v>239</v>
      </c>
      <c r="D223" s="7" t="s">
        <v>34</v>
      </c>
      <c r="E223" s="7" t="s">
        <v>83</v>
      </c>
      <c r="F223" s="7" t="s">
        <v>2463</v>
      </c>
      <c r="G223" s="7" t="n">
        <v>24</v>
      </c>
      <c r="H223" s="7" t="n">
        <v>256176</v>
      </c>
      <c r="I223" s="7" t="n">
        <v>5</v>
      </c>
      <c r="J223" s="7" t="n">
        <v>1</v>
      </c>
      <c r="K223" s="7" t="s">
        <v>1005</v>
      </c>
    </row>
    <row r="224" customFormat="false" ht="15" hidden="false" customHeight="false" outlineLevel="0" collapsed="false">
      <c r="A224" s="7" t="s">
        <v>2677</v>
      </c>
      <c r="B224" s="8" t="n">
        <v>45444</v>
      </c>
      <c r="C224" s="7" t="s">
        <v>194</v>
      </c>
      <c r="D224" s="7" t="s">
        <v>28</v>
      </c>
      <c r="E224" s="7" t="s">
        <v>65</v>
      </c>
      <c r="F224" s="7" t="s">
        <v>2458</v>
      </c>
      <c r="G224" s="7" t="n">
        <v>40</v>
      </c>
      <c r="H224" s="7" t="n">
        <v>374440</v>
      </c>
      <c r="I224" s="7" t="n">
        <v>4</v>
      </c>
      <c r="J224" s="7" t="n">
        <v>18</v>
      </c>
      <c r="K224" s="7" t="s">
        <v>1005</v>
      </c>
    </row>
    <row r="225" customFormat="false" ht="15" hidden="false" customHeight="false" outlineLevel="0" collapsed="false">
      <c r="A225" s="7" t="s">
        <v>2678</v>
      </c>
      <c r="B225" s="8" t="n">
        <v>45928</v>
      </c>
      <c r="C225" s="7" t="s">
        <v>209</v>
      </c>
      <c r="D225" s="7" t="s">
        <v>31</v>
      </c>
      <c r="E225" s="7" t="s">
        <v>83</v>
      </c>
      <c r="F225" s="7" t="s">
        <v>2460</v>
      </c>
      <c r="G225" s="7" t="n">
        <v>40</v>
      </c>
      <c r="H225" s="7" t="n">
        <v>291000</v>
      </c>
      <c r="I225" s="7" t="n">
        <v>1</v>
      </c>
      <c r="J225" s="7" t="n">
        <v>13</v>
      </c>
      <c r="K225" s="7" t="s">
        <v>1005</v>
      </c>
    </row>
    <row r="226" customFormat="false" ht="15" hidden="false" customHeight="false" outlineLevel="0" collapsed="false">
      <c r="A226" s="7" t="s">
        <v>2679</v>
      </c>
      <c r="B226" s="8" t="n">
        <v>45775</v>
      </c>
      <c r="C226" s="7" t="s">
        <v>190</v>
      </c>
      <c r="D226" s="7" t="s">
        <v>28</v>
      </c>
      <c r="E226" s="7" t="s">
        <v>87</v>
      </c>
      <c r="F226" s="7" t="s">
        <v>2465</v>
      </c>
      <c r="G226" s="7" t="n">
        <v>24</v>
      </c>
      <c r="H226" s="7" t="n">
        <v>252720</v>
      </c>
      <c r="I226" s="7" t="n">
        <v>3</v>
      </c>
      <c r="J226" s="7" t="n">
        <v>23</v>
      </c>
      <c r="K226" s="7" t="s">
        <v>1005</v>
      </c>
    </row>
    <row r="227" customFormat="false" ht="15" hidden="false" customHeight="false" outlineLevel="0" collapsed="false">
      <c r="A227" s="7" t="s">
        <v>2680</v>
      </c>
      <c r="B227" s="8" t="n">
        <v>45690</v>
      </c>
      <c r="C227" s="7" t="s">
        <v>243</v>
      </c>
      <c r="D227" s="7" t="s">
        <v>34</v>
      </c>
      <c r="E227" s="7" t="s">
        <v>60</v>
      </c>
      <c r="F227" s="7" t="s">
        <v>2449</v>
      </c>
      <c r="G227" s="7" t="n">
        <v>24</v>
      </c>
      <c r="H227" s="7" t="n">
        <v>277872</v>
      </c>
      <c r="I227" s="7" t="n">
        <v>4</v>
      </c>
      <c r="J227" s="7" t="n">
        <v>18</v>
      </c>
      <c r="K227" s="7" t="s">
        <v>1005</v>
      </c>
    </row>
    <row r="228" customFormat="false" ht="15" hidden="false" customHeight="false" outlineLevel="0" collapsed="false">
      <c r="A228" s="7" t="s">
        <v>2681</v>
      </c>
      <c r="B228" s="8" t="n">
        <v>45702</v>
      </c>
      <c r="C228" s="7" t="s">
        <v>411</v>
      </c>
      <c r="D228" s="7" t="s">
        <v>49</v>
      </c>
      <c r="E228" s="7" t="s">
        <v>75</v>
      </c>
      <c r="F228" s="7" t="s">
        <v>2460</v>
      </c>
      <c r="G228" s="7" t="n">
        <v>4</v>
      </c>
      <c r="H228" s="7" t="n">
        <v>43840</v>
      </c>
      <c r="I228" s="7" t="n">
        <v>4</v>
      </c>
      <c r="J228" s="7" t="n">
        <v>6</v>
      </c>
      <c r="K228" s="7" t="s">
        <v>1005</v>
      </c>
    </row>
    <row r="229" customFormat="false" ht="15" hidden="false" customHeight="false" outlineLevel="0" collapsed="false">
      <c r="A229" s="7" t="s">
        <v>2682</v>
      </c>
      <c r="B229" s="8" t="n">
        <v>45852</v>
      </c>
      <c r="C229" s="7" t="s">
        <v>389</v>
      </c>
      <c r="D229" s="7" t="s">
        <v>49</v>
      </c>
      <c r="E229" s="7" t="s">
        <v>87</v>
      </c>
      <c r="F229" s="7" t="s">
        <v>2463</v>
      </c>
      <c r="G229" s="7" t="n">
        <v>8</v>
      </c>
      <c r="H229" s="7" t="n">
        <v>63584</v>
      </c>
      <c r="I229" s="7" t="n">
        <v>4</v>
      </c>
      <c r="J229" s="7" t="n">
        <v>3</v>
      </c>
      <c r="K229" s="7" t="s">
        <v>1005</v>
      </c>
    </row>
    <row r="230" customFormat="false" ht="15" hidden="false" customHeight="false" outlineLevel="0" collapsed="false">
      <c r="A230" s="7" t="s">
        <v>2683</v>
      </c>
      <c r="B230" s="8" t="n">
        <v>45430</v>
      </c>
      <c r="C230" s="7" t="s">
        <v>295</v>
      </c>
      <c r="D230" s="7" t="s">
        <v>37</v>
      </c>
      <c r="E230" s="7" t="s">
        <v>87</v>
      </c>
      <c r="F230" s="7" t="s">
        <v>2463</v>
      </c>
      <c r="G230" s="7" t="n">
        <v>40</v>
      </c>
      <c r="H230" s="7" t="n">
        <v>416040</v>
      </c>
      <c r="I230" s="7" t="n">
        <v>3</v>
      </c>
      <c r="J230" s="7" t="n">
        <v>4</v>
      </c>
      <c r="K230" s="7" t="s">
        <v>1005</v>
      </c>
    </row>
    <row r="231" customFormat="false" ht="15" hidden="false" customHeight="false" outlineLevel="0" collapsed="false">
      <c r="A231" s="7" t="s">
        <v>2684</v>
      </c>
      <c r="B231" s="8" t="n">
        <v>45863</v>
      </c>
      <c r="C231" s="7" t="s">
        <v>170</v>
      </c>
      <c r="D231" s="7" t="s">
        <v>28</v>
      </c>
      <c r="E231" s="7" t="s">
        <v>83</v>
      </c>
      <c r="F231" s="7" t="s">
        <v>2465</v>
      </c>
      <c r="G231" s="7" t="n">
        <v>8</v>
      </c>
      <c r="H231" s="7" t="n">
        <v>24408</v>
      </c>
      <c r="I231" s="7" t="n">
        <v>4</v>
      </c>
      <c r="J231" s="7" t="n">
        <v>18</v>
      </c>
      <c r="K231" s="7" t="s">
        <v>1005</v>
      </c>
    </row>
    <row r="232" customFormat="false" ht="15" hidden="false" customHeight="false" outlineLevel="0" collapsed="false">
      <c r="A232" s="7" t="s">
        <v>2685</v>
      </c>
      <c r="B232" s="8" t="n">
        <v>45504</v>
      </c>
      <c r="C232" s="7" t="s">
        <v>249</v>
      </c>
      <c r="D232" s="7" t="s">
        <v>34</v>
      </c>
      <c r="E232" s="7" t="s">
        <v>65</v>
      </c>
      <c r="F232" s="7" t="s">
        <v>2451</v>
      </c>
      <c r="G232" s="7" t="n">
        <v>8</v>
      </c>
      <c r="H232" s="7" t="n">
        <v>91672</v>
      </c>
      <c r="I232" s="7" t="n">
        <v>3</v>
      </c>
      <c r="J232" s="7" t="n">
        <v>17</v>
      </c>
      <c r="K232" s="7" t="s">
        <v>1005</v>
      </c>
    </row>
    <row r="233" customFormat="false" ht="15" hidden="false" customHeight="false" outlineLevel="0" collapsed="false">
      <c r="A233" s="7" t="s">
        <v>2686</v>
      </c>
      <c r="B233" s="8" t="n">
        <v>45925</v>
      </c>
      <c r="C233" s="7" t="s">
        <v>188</v>
      </c>
      <c r="D233" s="7" t="s">
        <v>28</v>
      </c>
      <c r="E233" s="7" t="s">
        <v>71</v>
      </c>
      <c r="F233" s="7" t="s">
        <v>2465</v>
      </c>
      <c r="G233" s="7" t="n">
        <v>16</v>
      </c>
      <c r="H233" s="7" t="n">
        <v>119216</v>
      </c>
      <c r="I233" s="7" t="n">
        <v>3</v>
      </c>
      <c r="J233" s="7" t="n">
        <v>21</v>
      </c>
      <c r="K233" s="7" t="s">
        <v>1005</v>
      </c>
    </row>
    <row r="234" customFormat="false" ht="15" hidden="false" customHeight="false" outlineLevel="0" collapsed="false">
      <c r="A234" s="7" t="s">
        <v>2687</v>
      </c>
      <c r="B234" s="8" t="n">
        <v>45321</v>
      </c>
      <c r="C234" s="7" t="s">
        <v>373</v>
      </c>
      <c r="D234" s="7" t="s">
        <v>46</v>
      </c>
      <c r="E234" s="7" t="s">
        <v>75</v>
      </c>
      <c r="F234" s="7" t="s">
        <v>2458</v>
      </c>
      <c r="G234" s="7" t="n">
        <v>24</v>
      </c>
      <c r="H234" s="7" t="n">
        <v>146352</v>
      </c>
      <c r="I234" s="7" t="n">
        <v>3</v>
      </c>
      <c r="J234" s="7" t="n">
        <v>18</v>
      </c>
      <c r="K234" s="7" t="s">
        <v>1005</v>
      </c>
    </row>
    <row r="235" customFormat="false" ht="15" hidden="false" customHeight="false" outlineLevel="0" collapsed="false">
      <c r="A235" s="7" t="s">
        <v>2688</v>
      </c>
      <c r="B235" s="8" t="n">
        <v>45406</v>
      </c>
      <c r="C235" s="7" t="s">
        <v>275</v>
      </c>
      <c r="D235" s="7" t="s">
        <v>37</v>
      </c>
      <c r="E235" s="7" t="s">
        <v>83</v>
      </c>
      <c r="F235" s="7" t="s">
        <v>2458</v>
      </c>
      <c r="G235" s="7" t="n">
        <v>8</v>
      </c>
      <c r="H235" s="7" t="n">
        <v>27336</v>
      </c>
      <c r="I235" s="7" t="n">
        <v>3</v>
      </c>
      <c r="J235" s="7" t="n">
        <v>8</v>
      </c>
      <c r="K235" s="7" t="s">
        <v>1012</v>
      </c>
    </row>
    <row r="236" customFormat="false" ht="15" hidden="false" customHeight="false" outlineLevel="0" collapsed="false">
      <c r="A236" s="7" t="s">
        <v>2689</v>
      </c>
      <c r="B236" s="8" t="n">
        <v>45631</v>
      </c>
      <c r="C236" s="7" t="s">
        <v>391</v>
      </c>
      <c r="D236" s="7" t="s">
        <v>49</v>
      </c>
      <c r="E236" s="7" t="s">
        <v>79</v>
      </c>
      <c r="F236" s="7" t="s">
        <v>2453</v>
      </c>
      <c r="G236" s="7" t="n">
        <v>4</v>
      </c>
      <c r="H236" s="7" t="n">
        <v>38736</v>
      </c>
      <c r="I236" s="7" t="n">
        <v>5</v>
      </c>
      <c r="J236" s="7" t="n">
        <v>10</v>
      </c>
      <c r="K236" s="7" t="s">
        <v>1005</v>
      </c>
    </row>
    <row r="237" customFormat="false" ht="15" hidden="false" customHeight="false" outlineLevel="0" collapsed="false">
      <c r="A237" s="7" t="s">
        <v>2690</v>
      </c>
      <c r="B237" s="8" t="n">
        <v>45415</v>
      </c>
      <c r="C237" s="7" t="s">
        <v>195</v>
      </c>
      <c r="D237" s="7" t="s">
        <v>28</v>
      </c>
      <c r="E237" s="7" t="s">
        <v>87</v>
      </c>
      <c r="F237" s="7" t="s">
        <v>2453</v>
      </c>
      <c r="G237" s="7" t="n">
        <v>40</v>
      </c>
      <c r="H237" s="7" t="n">
        <v>449280</v>
      </c>
      <c r="I237" s="7" t="n">
        <v>5</v>
      </c>
      <c r="J237" s="7" t="n">
        <v>14</v>
      </c>
      <c r="K237" s="7" t="s">
        <v>1005</v>
      </c>
    </row>
    <row r="238" customFormat="false" ht="15" hidden="false" customHeight="false" outlineLevel="0" collapsed="false">
      <c r="A238" s="7" t="s">
        <v>2691</v>
      </c>
      <c r="B238" s="8" t="n">
        <v>45451</v>
      </c>
      <c r="C238" s="7" t="s">
        <v>145</v>
      </c>
      <c r="D238" s="7" t="s">
        <v>25</v>
      </c>
      <c r="E238" s="7" t="s">
        <v>87</v>
      </c>
      <c r="F238" s="7" t="s">
        <v>2465</v>
      </c>
      <c r="G238" s="7" t="n">
        <v>24</v>
      </c>
      <c r="H238" s="7" t="n">
        <v>98616</v>
      </c>
      <c r="I238" s="7" t="n">
        <v>3</v>
      </c>
      <c r="J238" s="7" t="n">
        <v>12</v>
      </c>
      <c r="K238" s="7" t="s">
        <v>1005</v>
      </c>
    </row>
    <row r="239" customFormat="false" ht="15" hidden="false" customHeight="false" outlineLevel="0" collapsed="false">
      <c r="A239" s="7" t="s">
        <v>2692</v>
      </c>
      <c r="B239" s="8" t="n">
        <v>45826</v>
      </c>
      <c r="C239" s="7" t="s">
        <v>295</v>
      </c>
      <c r="D239" s="7" t="s">
        <v>37</v>
      </c>
      <c r="E239" s="7" t="s">
        <v>87</v>
      </c>
      <c r="F239" s="7" t="s">
        <v>2453</v>
      </c>
      <c r="G239" s="7" t="n">
        <v>40</v>
      </c>
      <c r="H239" s="7" t="n">
        <v>356160</v>
      </c>
      <c r="I239" s="7" t="n">
        <v>3</v>
      </c>
      <c r="J239" s="7" t="n">
        <v>23</v>
      </c>
      <c r="K239" s="7" t="s">
        <v>1005</v>
      </c>
    </row>
    <row r="240" customFormat="false" ht="15" hidden="false" customHeight="false" outlineLevel="0" collapsed="false">
      <c r="A240" s="7" t="s">
        <v>2693</v>
      </c>
      <c r="B240" s="8" t="n">
        <v>45332</v>
      </c>
      <c r="C240" s="7" t="s">
        <v>253</v>
      </c>
      <c r="D240" s="7" t="s">
        <v>34</v>
      </c>
      <c r="E240" s="7" t="s">
        <v>68</v>
      </c>
      <c r="F240" s="7" t="s">
        <v>2460</v>
      </c>
      <c r="G240" s="7" t="n">
        <v>16</v>
      </c>
      <c r="H240" s="7" t="n">
        <v>149504</v>
      </c>
      <c r="I240" s="7" t="n">
        <v>2</v>
      </c>
      <c r="J240" s="7" t="n">
        <v>2</v>
      </c>
      <c r="K240" s="7" t="s">
        <v>1005</v>
      </c>
    </row>
    <row r="241" customFormat="false" ht="15" hidden="false" customHeight="false" outlineLevel="0" collapsed="false">
      <c r="A241" s="7" t="s">
        <v>2694</v>
      </c>
      <c r="B241" s="8" t="n">
        <v>45442</v>
      </c>
      <c r="C241" s="7" t="s">
        <v>385</v>
      </c>
      <c r="D241" s="7" t="s">
        <v>46</v>
      </c>
      <c r="E241" s="7" t="s">
        <v>60</v>
      </c>
      <c r="F241" s="7" t="s">
        <v>2460</v>
      </c>
      <c r="G241" s="7" t="n">
        <v>16</v>
      </c>
      <c r="H241" s="7" t="n">
        <v>162064</v>
      </c>
      <c r="I241" s="7" t="n">
        <v>4</v>
      </c>
      <c r="J241" s="7" t="n">
        <v>23</v>
      </c>
      <c r="K241" s="7" t="s">
        <v>1005</v>
      </c>
    </row>
    <row r="242" customFormat="false" ht="15" hidden="false" customHeight="false" outlineLevel="0" collapsed="false">
      <c r="A242" s="7" t="s">
        <v>2695</v>
      </c>
      <c r="B242" s="8" t="n">
        <v>45413</v>
      </c>
      <c r="C242" s="7" t="s">
        <v>271</v>
      </c>
      <c r="D242" s="7" t="s">
        <v>37</v>
      </c>
      <c r="E242" s="7" t="s">
        <v>79</v>
      </c>
      <c r="F242" s="7" t="s">
        <v>2451</v>
      </c>
      <c r="G242" s="7" t="n">
        <v>8</v>
      </c>
      <c r="H242" s="7" t="n">
        <v>47344</v>
      </c>
      <c r="I242" s="7" t="n">
        <v>3</v>
      </c>
      <c r="J242" s="7" t="n">
        <v>24</v>
      </c>
      <c r="K242" s="7" t="s">
        <v>1005</v>
      </c>
    </row>
    <row r="243" customFormat="false" ht="15" hidden="false" customHeight="false" outlineLevel="0" collapsed="false">
      <c r="A243" s="7" t="s">
        <v>2696</v>
      </c>
      <c r="B243" s="8" t="n">
        <v>45633</v>
      </c>
      <c r="C243" s="7" t="s">
        <v>327</v>
      </c>
      <c r="D243" s="7" t="s">
        <v>40</v>
      </c>
      <c r="E243" s="7" t="s">
        <v>75</v>
      </c>
      <c r="F243" s="7" t="s">
        <v>2453</v>
      </c>
      <c r="G243" s="7" t="n">
        <v>8</v>
      </c>
      <c r="H243" s="7" t="n">
        <v>46840</v>
      </c>
      <c r="I243" s="7" t="n">
        <v>3</v>
      </c>
      <c r="J243" s="7" t="n">
        <v>9</v>
      </c>
      <c r="K243" s="7" t="s">
        <v>1005</v>
      </c>
    </row>
    <row r="244" customFormat="false" ht="15" hidden="false" customHeight="false" outlineLevel="0" collapsed="false">
      <c r="A244" s="7" t="s">
        <v>2697</v>
      </c>
      <c r="B244" s="8" t="n">
        <v>45974</v>
      </c>
      <c r="C244" s="7" t="s">
        <v>428</v>
      </c>
      <c r="D244" s="7" t="s">
        <v>52</v>
      </c>
      <c r="E244" s="7" t="s">
        <v>87</v>
      </c>
      <c r="F244" s="7" t="s">
        <v>2451</v>
      </c>
      <c r="G244" s="7" t="n">
        <v>40</v>
      </c>
      <c r="H244" s="7" t="n">
        <v>259320</v>
      </c>
      <c r="I244" s="7" t="n">
        <v>5</v>
      </c>
      <c r="J244" s="7" t="n">
        <v>15</v>
      </c>
      <c r="K244" s="7" t="s">
        <v>1005</v>
      </c>
    </row>
    <row r="245" customFormat="false" ht="15" hidden="false" customHeight="false" outlineLevel="0" collapsed="false">
      <c r="A245" s="7" t="s">
        <v>2698</v>
      </c>
      <c r="B245" s="8" t="n">
        <v>45428</v>
      </c>
      <c r="C245" s="7" t="s">
        <v>414</v>
      </c>
      <c r="D245" s="7" t="s">
        <v>52</v>
      </c>
      <c r="E245" s="7" t="s">
        <v>65</v>
      </c>
      <c r="F245" s="7" t="s">
        <v>2451</v>
      </c>
      <c r="G245" s="7" t="n">
        <v>4</v>
      </c>
      <c r="H245" s="7" t="n">
        <v>30476</v>
      </c>
      <c r="I245" s="7" t="n">
        <v>3</v>
      </c>
      <c r="J245" s="7" t="n">
        <v>0</v>
      </c>
      <c r="K245" s="7" t="s">
        <v>1005</v>
      </c>
    </row>
    <row r="246" customFormat="false" ht="15" hidden="false" customHeight="false" outlineLevel="0" collapsed="false">
      <c r="A246" s="7" t="s">
        <v>2699</v>
      </c>
      <c r="B246" s="8" t="n">
        <v>45538</v>
      </c>
      <c r="C246" s="7" t="s">
        <v>357</v>
      </c>
      <c r="D246" s="7" t="s">
        <v>43</v>
      </c>
      <c r="E246" s="7" t="s">
        <v>87</v>
      </c>
      <c r="F246" s="7" t="s">
        <v>2458</v>
      </c>
      <c r="G246" s="7" t="n">
        <v>4</v>
      </c>
      <c r="H246" s="7" t="n">
        <v>22648</v>
      </c>
      <c r="I246" s="7" t="n">
        <v>5</v>
      </c>
      <c r="J246" s="7" t="n">
        <v>15</v>
      </c>
      <c r="K246" s="7" t="s">
        <v>1005</v>
      </c>
    </row>
    <row r="247" customFormat="false" ht="15" hidden="false" customHeight="false" outlineLevel="0" collapsed="false">
      <c r="A247" s="7" t="s">
        <v>2700</v>
      </c>
      <c r="B247" s="8" t="n">
        <v>45420</v>
      </c>
      <c r="C247" s="7" t="s">
        <v>194</v>
      </c>
      <c r="D247" s="7" t="s">
        <v>28</v>
      </c>
      <c r="E247" s="7" t="s">
        <v>65</v>
      </c>
      <c r="F247" s="7" t="s">
        <v>2460</v>
      </c>
      <c r="G247" s="7" t="n">
        <v>40</v>
      </c>
      <c r="H247" s="7" t="n">
        <v>379720</v>
      </c>
      <c r="I247" s="7" t="n">
        <v>4</v>
      </c>
      <c r="J247" s="7" t="n">
        <v>11</v>
      </c>
      <c r="K247" s="7" t="s">
        <v>1005</v>
      </c>
    </row>
    <row r="248" customFormat="false" ht="15" hidden="false" customHeight="false" outlineLevel="0" collapsed="false">
      <c r="A248" s="7" t="s">
        <v>2701</v>
      </c>
      <c r="B248" s="8" t="n">
        <v>45758</v>
      </c>
      <c r="C248" s="7" t="s">
        <v>397</v>
      </c>
      <c r="D248" s="7" t="s">
        <v>49</v>
      </c>
      <c r="E248" s="7" t="s">
        <v>68</v>
      </c>
      <c r="F248" s="7" t="s">
        <v>2451</v>
      </c>
      <c r="G248" s="7" t="n">
        <v>4</v>
      </c>
      <c r="H248" s="7" t="n">
        <v>17320</v>
      </c>
      <c r="I248" s="7" t="n">
        <v>4</v>
      </c>
      <c r="J248" s="7" t="n">
        <v>2</v>
      </c>
      <c r="K248" s="7" t="s">
        <v>1005</v>
      </c>
    </row>
    <row r="249" customFormat="false" ht="15" hidden="false" customHeight="false" outlineLevel="0" collapsed="false">
      <c r="A249" s="7" t="s">
        <v>2702</v>
      </c>
      <c r="B249" s="8" t="n">
        <v>45668</v>
      </c>
      <c r="C249" s="7" t="s">
        <v>188</v>
      </c>
      <c r="D249" s="7" t="s">
        <v>28</v>
      </c>
      <c r="E249" s="7" t="s">
        <v>71</v>
      </c>
      <c r="F249" s="7" t="s">
        <v>2458</v>
      </c>
      <c r="G249" s="7" t="n">
        <v>4</v>
      </c>
      <c r="H249" s="7" t="n">
        <v>40388</v>
      </c>
      <c r="I249" s="7" t="n">
        <v>5</v>
      </c>
      <c r="J249" s="7" t="n">
        <v>14</v>
      </c>
      <c r="K249" s="7" t="s">
        <v>1005</v>
      </c>
    </row>
    <row r="250" customFormat="false" ht="15" hidden="false" customHeight="false" outlineLevel="0" collapsed="false">
      <c r="A250" s="7" t="s">
        <v>2703</v>
      </c>
      <c r="B250" s="8" t="n">
        <v>45445</v>
      </c>
      <c r="C250" s="7" t="s">
        <v>434</v>
      </c>
      <c r="D250" s="7" t="s">
        <v>52</v>
      </c>
      <c r="E250" s="7" t="s">
        <v>75</v>
      </c>
      <c r="F250" s="7" t="s">
        <v>2451</v>
      </c>
      <c r="G250" s="7" t="n">
        <v>24</v>
      </c>
      <c r="H250" s="7" t="n">
        <v>176904</v>
      </c>
      <c r="I250" s="7" t="n">
        <v>3</v>
      </c>
      <c r="J250" s="7" t="n">
        <v>22</v>
      </c>
      <c r="K250" s="7" t="s">
        <v>1005</v>
      </c>
    </row>
    <row r="251" customFormat="false" ht="15" hidden="false" customHeight="false" outlineLevel="0" collapsed="false">
      <c r="A251" s="7" t="s">
        <v>2704</v>
      </c>
      <c r="B251" s="8" t="n">
        <v>45509</v>
      </c>
      <c r="C251" s="7" t="s">
        <v>219</v>
      </c>
      <c r="D251" s="7" t="s">
        <v>31</v>
      </c>
      <c r="E251" s="7" t="s">
        <v>65</v>
      </c>
      <c r="F251" s="7" t="s">
        <v>2451</v>
      </c>
      <c r="G251" s="7" t="n">
        <v>16</v>
      </c>
      <c r="H251" s="7" t="n">
        <v>182672</v>
      </c>
      <c r="I251" s="7" t="n">
        <v>5</v>
      </c>
      <c r="J251" s="7" t="n">
        <v>8</v>
      </c>
      <c r="K251" s="7" t="s">
        <v>1005</v>
      </c>
    </row>
    <row r="252" customFormat="false" ht="15" hidden="false" customHeight="false" outlineLevel="0" collapsed="false">
      <c r="A252" s="7" t="s">
        <v>2705</v>
      </c>
      <c r="B252" s="8" t="n">
        <v>45353</v>
      </c>
      <c r="C252" s="7" t="s">
        <v>163</v>
      </c>
      <c r="D252" s="7" t="s">
        <v>25</v>
      </c>
      <c r="E252" s="7" t="s">
        <v>75</v>
      </c>
      <c r="F252" s="7" t="s">
        <v>2451</v>
      </c>
      <c r="G252" s="7" t="n">
        <v>24</v>
      </c>
      <c r="H252" s="7" t="n">
        <v>126912</v>
      </c>
      <c r="I252" s="7" t="n">
        <v>3</v>
      </c>
      <c r="J252" s="7" t="n">
        <v>6</v>
      </c>
      <c r="K252" s="7" t="s">
        <v>1005</v>
      </c>
    </row>
    <row r="253" customFormat="false" ht="15" hidden="false" customHeight="false" outlineLevel="0" collapsed="false">
      <c r="A253" s="7" t="s">
        <v>2706</v>
      </c>
      <c r="B253" s="8" t="n">
        <v>45604</v>
      </c>
      <c r="C253" s="7" t="s">
        <v>217</v>
      </c>
      <c r="D253" s="7" t="s">
        <v>31</v>
      </c>
      <c r="E253" s="7" t="s">
        <v>68</v>
      </c>
      <c r="F253" s="7" t="s">
        <v>2453</v>
      </c>
      <c r="G253" s="7" t="n">
        <v>40</v>
      </c>
      <c r="H253" s="7" t="n">
        <v>344080</v>
      </c>
      <c r="I253" s="7" t="n">
        <v>3</v>
      </c>
      <c r="J253" s="7" t="n">
        <v>13</v>
      </c>
      <c r="K253" s="7" t="s">
        <v>1005</v>
      </c>
    </row>
    <row r="254" customFormat="false" ht="15" hidden="false" customHeight="false" outlineLevel="0" collapsed="false">
      <c r="A254" s="7" t="s">
        <v>2707</v>
      </c>
      <c r="B254" s="8" t="n">
        <v>45979</v>
      </c>
      <c r="C254" s="7" t="s">
        <v>301</v>
      </c>
      <c r="D254" s="7" t="s">
        <v>40</v>
      </c>
      <c r="E254" s="7" t="s">
        <v>79</v>
      </c>
      <c r="F254" s="7" t="s">
        <v>2458</v>
      </c>
      <c r="G254" s="7" t="n">
        <v>4</v>
      </c>
      <c r="H254" s="7" t="n">
        <v>32116</v>
      </c>
      <c r="I254" s="7" t="n">
        <v>4</v>
      </c>
      <c r="J254" s="7" t="n">
        <v>22</v>
      </c>
      <c r="K254" s="7" t="s">
        <v>1005</v>
      </c>
    </row>
    <row r="255" customFormat="false" ht="15" hidden="false" customHeight="false" outlineLevel="0" collapsed="false">
      <c r="A255" s="7" t="s">
        <v>2708</v>
      </c>
      <c r="B255" s="8" t="n">
        <v>45661</v>
      </c>
      <c r="C255" s="7" t="s">
        <v>323</v>
      </c>
      <c r="D255" s="7" t="s">
        <v>40</v>
      </c>
      <c r="E255" s="7" t="s">
        <v>60</v>
      </c>
      <c r="F255" s="7" t="s">
        <v>2463</v>
      </c>
      <c r="G255" s="7" t="n">
        <v>40</v>
      </c>
      <c r="H255" s="7" t="n">
        <v>370800</v>
      </c>
      <c r="I255" s="7" t="n">
        <v>4</v>
      </c>
      <c r="J255" s="7" t="n">
        <v>19</v>
      </c>
      <c r="K255" s="7" t="s">
        <v>1005</v>
      </c>
    </row>
    <row r="256" customFormat="false" ht="15" hidden="false" customHeight="false" outlineLevel="0" collapsed="false">
      <c r="A256" s="7" t="s">
        <v>2709</v>
      </c>
      <c r="B256" s="8" t="n">
        <v>45714</v>
      </c>
      <c r="C256" s="7" t="s">
        <v>367</v>
      </c>
      <c r="D256" s="7" t="s">
        <v>46</v>
      </c>
      <c r="E256" s="7" t="s">
        <v>65</v>
      </c>
      <c r="F256" s="7" t="s">
        <v>2460</v>
      </c>
      <c r="G256" s="7" t="n">
        <v>24</v>
      </c>
      <c r="H256" s="7" t="n">
        <v>218112</v>
      </c>
      <c r="I256" s="7" t="n">
        <v>3</v>
      </c>
      <c r="J256" s="7" t="n">
        <v>17</v>
      </c>
      <c r="K256" s="7" t="s">
        <v>1005</v>
      </c>
    </row>
    <row r="257" customFormat="false" ht="15" hidden="false" customHeight="false" outlineLevel="0" collapsed="false">
      <c r="A257" s="7" t="s">
        <v>2710</v>
      </c>
      <c r="B257" s="8" t="n">
        <v>45680</v>
      </c>
      <c r="C257" s="7" t="s">
        <v>184</v>
      </c>
      <c r="D257" s="7" t="s">
        <v>28</v>
      </c>
      <c r="E257" s="7" t="s">
        <v>87</v>
      </c>
      <c r="F257" s="7" t="s">
        <v>2465</v>
      </c>
      <c r="G257" s="7" t="n">
        <v>40</v>
      </c>
      <c r="H257" s="7" t="n">
        <v>243920</v>
      </c>
      <c r="I257" s="7" t="n">
        <v>1</v>
      </c>
      <c r="J257" s="7" t="n">
        <v>16</v>
      </c>
      <c r="K257" s="7" t="s">
        <v>1005</v>
      </c>
    </row>
    <row r="258" customFormat="false" ht="15" hidden="false" customHeight="false" outlineLevel="0" collapsed="false">
      <c r="A258" s="7" t="s">
        <v>2711</v>
      </c>
      <c r="B258" s="8" t="n">
        <v>45967</v>
      </c>
      <c r="C258" s="7" t="s">
        <v>159</v>
      </c>
      <c r="D258" s="7" t="s">
        <v>25</v>
      </c>
      <c r="E258" s="7" t="s">
        <v>60</v>
      </c>
      <c r="F258" s="7" t="s">
        <v>2451</v>
      </c>
      <c r="G258" s="7" t="n">
        <v>24</v>
      </c>
      <c r="H258" s="7" t="n">
        <v>189648</v>
      </c>
      <c r="I258" s="7" t="n">
        <v>4</v>
      </c>
      <c r="J258" s="7" t="n">
        <v>10</v>
      </c>
      <c r="K258" s="7" t="s">
        <v>1005</v>
      </c>
    </row>
    <row r="259" customFormat="false" ht="15" hidden="false" customHeight="false" outlineLevel="0" collapsed="false">
      <c r="A259" s="7" t="s">
        <v>2712</v>
      </c>
      <c r="B259" s="8" t="n">
        <v>45627</v>
      </c>
      <c r="C259" s="7" t="s">
        <v>394</v>
      </c>
      <c r="D259" s="7" t="s">
        <v>49</v>
      </c>
      <c r="E259" s="7" t="s">
        <v>87</v>
      </c>
      <c r="F259" s="7" t="s">
        <v>2449</v>
      </c>
      <c r="G259" s="7" t="n">
        <v>8</v>
      </c>
      <c r="H259" s="7" t="n">
        <v>36400</v>
      </c>
      <c r="I259" s="7" t="n">
        <v>4</v>
      </c>
      <c r="J259" s="7" t="n">
        <v>24</v>
      </c>
      <c r="K259" s="7" t="s">
        <v>1005</v>
      </c>
    </row>
    <row r="260" customFormat="false" ht="15" hidden="false" customHeight="false" outlineLevel="0" collapsed="false">
      <c r="A260" s="7" t="s">
        <v>2713</v>
      </c>
      <c r="B260" s="8" t="n">
        <v>45931</v>
      </c>
      <c r="C260" s="7" t="s">
        <v>335</v>
      </c>
      <c r="D260" s="7" t="s">
        <v>43</v>
      </c>
      <c r="E260" s="7" t="s">
        <v>79</v>
      </c>
      <c r="F260" s="7" t="s">
        <v>2465</v>
      </c>
      <c r="G260" s="7" t="n">
        <v>40</v>
      </c>
      <c r="H260" s="7" t="n">
        <v>295440</v>
      </c>
      <c r="I260" s="7" t="n">
        <v>4</v>
      </c>
      <c r="J260" s="7" t="n">
        <v>1</v>
      </c>
      <c r="K260" s="7" t="s">
        <v>1005</v>
      </c>
    </row>
    <row r="261" customFormat="false" ht="15" hidden="false" customHeight="false" outlineLevel="0" collapsed="false">
      <c r="A261" s="7" t="s">
        <v>2714</v>
      </c>
      <c r="B261" s="8" t="n">
        <v>45795</v>
      </c>
      <c r="C261" s="7" t="s">
        <v>223</v>
      </c>
      <c r="D261" s="7" t="s">
        <v>31</v>
      </c>
      <c r="E261" s="7" t="s">
        <v>75</v>
      </c>
      <c r="F261" s="7" t="s">
        <v>2465</v>
      </c>
      <c r="G261" s="7" t="n">
        <v>40</v>
      </c>
      <c r="H261" s="7" t="n">
        <v>357360</v>
      </c>
      <c r="I261" s="7" t="n">
        <v>2</v>
      </c>
      <c r="J261" s="7" t="n">
        <v>14</v>
      </c>
      <c r="K261" s="7" t="s">
        <v>1005</v>
      </c>
    </row>
    <row r="262" customFormat="false" ht="15" hidden="false" customHeight="false" outlineLevel="0" collapsed="false">
      <c r="A262" s="7" t="s">
        <v>2715</v>
      </c>
      <c r="B262" s="8" t="n">
        <v>45874</v>
      </c>
      <c r="C262" s="7" t="s">
        <v>293</v>
      </c>
      <c r="D262" s="7" t="s">
        <v>37</v>
      </c>
      <c r="E262" s="7" t="s">
        <v>68</v>
      </c>
      <c r="F262" s="7" t="s">
        <v>2451</v>
      </c>
      <c r="G262" s="7" t="n">
        <v>24</v>
      </c>
      <c r="H262" s="7" t="n">
        <v>216552</v>
      </c>
      <c r="I262" s="7" t="n">
        <v>5</v>
      </c>
      <c r="J262" s="7" t="n">
        <v>24</v>
      </c>
      <c r="K262" s="7" t="s">
        <v>1005</v>
      </c>
    </row>
    <row r="263" customFormat="false" ht="15" hidden="false" customHeight="false" outlineLevel="0" collapsed="false">
      <c r="A263" s="7" t="s">
        <v>2716</v>
      </c>
      <c r="B263" s="8" t="n">
        <v>45984</v>
      </c>
      <c r="C263" s="7" t="s">
        <v>269</v>
      </c>
      <c r="D263" s="7" t="s">
        <v>37</v>
      </c>
      <c r="E263" s="7" t="s">
        <v>71</v>
      </c>
      <c r="F263" s="7" t="s">
        <v>2453</v>
      </c>
      <c r="G263" s="7" t="n">
        <v>16</v>
      </c>
      <c r="H263" s="7" t="n">
        <v>168112</v>
      </c>
      <c r="I263" s="7" t="n">
        <v>5</v>
      </c>
      <c r="J263" s="7" t="n">
        <v>17</v>
      </c>
      <c r="K263" s="7" t="s">
        <v>1005</v>
      </c>
    </row>
    <row r="264" customFormat="false" ht="15" hidden="false" customHeight="false" outlineLevel="0" collapsed="false">
      <c r="A264" s="7" t="s">
        <v>2717</v>
      </c>
      <c r="B264" s="8" t="n">
        <v>45698</v>
      </c>
      <c r="C264" s="7" t="s">
        <v>233</v>
      </c>
      <c r="D264" s="7" t="s">
        <v>31</v>
      </c>
      <c r="E264" s="7" t="s">
        <v>68</v>
      </c>
      <c r="F264" s="7" t="s">
        <v>2458</v>
      </c>
      <c r="G264" s="7" t="n">
        <v>40</v>
      </c>
      <c r="H264" s="7" t="n">
        <v>320760</v>
      </c>
      <c r="I264" s="7" t="n">
        <v>4</v>
      </c>
      <c r="J264" s="7" t="n">
        <v>16</v>
      </c>
      <c r="K264" s="7" t="s">
        <v>1005</v>
      </c>
    </row>
    <row r="265" customFormat="false" ht="15" hidden="false" customHeight="false" outlineLevel="0" collapsed="false">
      <c r="A265" s="7" t="s">
        <v>2718</v>
      </c>
      <c r="B265" s="8" t="n">
        <v>45786</v>
      </c>
      <c r="C265" s="7" t="s">
        <v>347</v>
      </c>
      <c r="D265" s="7" t="s">
        <v>43</v>
      </c>
      <c r="E265" s="7" t="s">
        <v>71</v>
      </c>
      <c r="F265" s="7" t="s">
        <v>2453</v>
      </c>
      <c r="G265" s="7" t="n">
        <v>16</v>
      </c>
      <c r="H265" s="7" t="n">
        <v>65888</v>
      </c>
      <c r="I265" s="7" t="n">
        <v>4</v>
      </c>
      <c r="J265" s="7" t="n">
        <v>20</v>
      </c>
      <c r="K265" s="7" t="s">
        <v>1005</v>
      </c>
    </row>
    <row r="266" customFormat="false" ht="15" hidden="false" customHeight="false" outlineLevel="0" collapsed="false">
      <c r="A266" s="7" t="s">
        <v>2719</v>
      </c>
      <c r="B266" s="8" t="n">
        <v>45786</v>
      </c>
      <c r="C266" s="7" t="s">
        <v>285</v>
      </c>
      <c r="D266" s="7" t="s">
        <v>37</v>
      </c>
      <c r="E266" s="7" t="s">
        <v>60</v>
      </c>
      <c r="F266" s="7" t="s">
        <v>2460</v>
      </c>
      <c r="G266" s="7" t="n">
        <v>40</v>
      </c>
      <c r="H266" s="7" t="n">
        <v>180400</v>
      </c>
      <c r="I266" s="7" t="n">
        <v>1</v>
      </c>
      <c r="J266" s="7" t="n">
        <v>18</v>
      </c>
      <c r="K266" s="7" t="s">
        <v>1005</v>
      </c>
    </row>
    <row r="267" customFormat="false" ht="15" hidden="false" customHeight="false" outlineLevel="0" collapsed="false">
      <c r="A267" s="7" t="s">
        <v>2720</v>
      </c>
      <c r="B267" s="8" t="n">
        <v>45845</v>
      </c>
      <c r="C267" s="7" t="s">
        <v>209</v>
      </c>
      <c r="D267" s="7" t="s">
        <v>31</v>
      </c>
      <c r="E267" s="7" t="s">
        <v>83</v>
      </c>
      <c r="F267" s="7" t="s">
        <v>2463</v>
      </c>
      <c r="G267" s="7" t="n">
        <v>16</v>
      </c>
      <c r="H267" s="7" t="n">
        <v>110816</v>
      </c>
      <c r="I267" s="7" t="n">
        <v>3</v>
      </c>
      <c r="J267" s="7" t="n">
        <v>20</v>
      </c>
      <c r="K267" s="7" t="s">
        <v>1005</v>
      </c>
    </row>
    <row r="268" customFormat="false" ht="15" hidden="false" customHeight="false" outlineLevel="0" collapsed="false">
      <c r="A268" s="7" t="s">
        <v>2721</v>
      </c>
      <c r="B268" s="8" t="n">
        <v>45781</v>
      </c>
      <c r="C268" s="7" t="s">
        <v>391</v>
      </c>
      <c r="D268" s="7" t="s">
        <v>49</v>
      </c>
      <c r="E268" s="7" t="s">
        <v>79</v>
      </c>
      <c r="F268" s="7" t="s">
        <v>2449</v>
      </c>
      <c r="G268" s="7" t="n">
        <v>40</v>
      </c>
      <c r="H268" s="7" t="n">
        <v>358400</v>
      </c>
      <c r="I268" s="7" t="n">
        <v>3</v>
      </c>
      <c r="J268" s="7" t="n">
        <v>20</v>
      </c>
      <c r="K268" s="7" t="s">
        <v>1005</v>
      </c>
    </row>
    <row r="269" customFormat="false" ht="15" hidden="false" customHeight="false" outlineLevel="0" collapsed="false">
      <c r="A269" s="7" t="s">
        <v>2722</v>
      </c>
      <c r="B269" s="8" t="n">
        <v>45938</v>
      </c>
      <c r="C269" s="7" t="s">
        <v>150</v>
      </c>
      <c r="D269" s="7" t="s">
        <v>25</v>
      </c>
      <c r="E269" s="7" t="s">
        <v>75</v>
      </c>
      <c r="F269" s="7" t="s">
        <v>2458</v>
      </c>
      <c r="G269" s="7" t="n">
        <v>40</v>
      </c>
      <c r="H269" s="7" t="n">
        <v>219240</v>
      </c>
      <c r="I269" s="7" t="n">
        <v>5</v>
      </c>
      <c r="J269" s="7" t="n">
        <v>15</v>
      </c>
      <c r="K269" s="7" t="s">
        <v>1005</v>
      </c>
    </row>
    <row r="270" customFormat="false" ht="15" hidden="false" customHeight="false" outlineLevel="0" collapsed="false">
      <c r="A270" s="7" t="s">
        <v>2723</v>
      </c>
      <c r="B270" s="8" t="n">
        <v>45774</v>
      </c>
      <c r="C270" s="7" t="s">
        <v>150</v>
      </c>
      <c r="D270" s="7" t="s">
        <v>25</v>
      </c>
      <c r="E270" s="7" t="s">
        <v>75</v>
      </c>
      <c r="F270" s="7" t="s">
        <v>2465</v>
      </c>
      <c r="G270" s="7" t="n">
        <v>8</v>
      </c>
      <c r="H270" s="7" t="n">
        <v>40056</v>
      </c>
      <c r="I270" s="7" t="n">
        <v>4</v>
      </c>
      <c r="J270" s="7" t="n">
        <v>17</v>
      </c>
      <c r="K270" s="7" t="s">
        <v>1005</v>
      </c>
    </row>
    <row r="271" customFormat="false" ht="15" hidden="false" customHeight="false" outlineLevel="0" collapsed="false">
      <c r="A271" s="7" t="s">
        <v>2724</v>
      </c>
      <c r="B271" s="8" t="n">
        <v>45704</v>
      </c>
      <c r="C271" s="7" t="s">
        <v>367</v>
      </c>
      <c r="D271" s="7" t="s">
        <v>46</v>
      </c>
      <c r="E271" s="7" t="s">
        <v>65</v>
      </c>
      <c r="F271" s="7" t="s">
        <v>2458</v>
      </c>
      <c r="G271" s="7" t="n">
        <v>8</v>
      </c>
      <c r="H271" s="7" t="n">
        <v>42696</v>
      </c>
      <c r="I271" s="7" t="n">
        <v>4</v>
      </c>
      <c r="J271" s="7" t="n">
        <v>18</v>
      </c>
      <c r="K271" s="7" t="s">
        <v>1005</v>
      </c>
    </row>
    <row r="272" customFormat="false" ht="15" hidden="false" customHeight="false" outlineLevel="0" collapsed="false">
      <c r="A272" s="7" t="s">
        <v>2725</v>
      </c>
      <c r="B272" s="8" t="n">
        <v>45680</v>
      </c>
      <c r="C272" s="7" t="s">
        <v>235</v>
      </c>
      <c r="D272" s="7" t="s">
        <v>31</v>
      </c>
      <c r="E272" s="7" t="s">
        <v>75</v>
      </c>
      <c r="F272" s="7" t="s">
        <v>2453</v>
      </c>
      <c r="G272" s="7" t="n">
        <v>4</v>
      </c>
      <c r="H272" s="7" t="n">
        <v>25744</v>
      </c>
      <c r="I272" s="7" t="n">
        <v>4</v>
      </c>
      <c r="J272" s="7" t="n">
        <v>15</v>
      </c>
      <c r="K272" s="7" t="s">
        <v>1005</v>
      </c>
    </row>
    <row r="273" customFormat="false" ht="15" hidden="false" customHeight="false" outlineLevel="0" collapsed="false">
      <c r="A273" s="7" t="s">
        <v>2726</v>
      </c>
      <c r="B273" s="8" t="n">
        <v>45315</v>
      </c>
      <c r="C273" s="7" t="s">
        <v>275</v>
      </c>
      <c r="D273" s="7" t="s">
        <v>37</v>
      </c>
      <c r="E273" s="7" t="s">
        <v>83</v>
      </c>
      <c r="F273" s="7" t="s">
        <v>2458</v>
      </c>
      <c r="G273" s="7" t="n">
        <v>8</v>
      </c>
      <c r="H273" s="7" t="n">
        <v>63744</v>
      </c>
      <c r="I273" s="7" t="n">
        <v>3</v>
      </c>
      <c r="J273" s="7" t="n">
        <v>4</v>
      </c>
      <c r="K273" s="7" t="s">
        <v>1012</v>
      </c>
    </row>
    <row r="274" customFormat="false" ht="15" hidden="false" customHeight="false" outlineLevel="0" collapsed="false">
      <c r="A274" s="7" t="s">
        <v>2727</v>
      </c>
      <c r="B274" s="8" t="n">
        <v>45870</v>
      </c>
      <c r="C274" s="7" t="s">
        <v>407</v>
      </c>
      <c r="D274" s="7" t="s">
        <v>49</v>
      </c>
      <c r="E274" s="7" t="s">
        <v>68</v>
      </c>
      <c r="F274" s="7" t="s">
        <v>2458</v>
      </c>
      <c r="G274" s="7" t="n">
        <v>24</v>
      </c>
      <c r="H274" s="7" t="n">
        <v>284736</v>
      </c>
      <c r="I274" s="7" t="n">
        <v>4</v>
      </c>
      <c r="J274" s="7" t="n">
        <v>18</v>
      </c>
      <c r="K274" s="7" t="s">
        <v>1005</v>
      </c>
    </row>
    <row r="275" customFormat="false" ht="15" hidden="false" customHeight="false" outlineLevel="0" collapsed="false">
      <c r="A275" s="7" t="s">
        <v>2728</v>
      </c>
      <c r="B275" s="8" t="n">
        <v>45642</v>
      </c>
      <c r="C275" s="7" t="s">
        <v>323</v>
      </c>
      <c r="D275" s="7" t="s">
        <v>40</v>
      </c>
      <c r="E275" s="7" t="s">
        <v>60</v>
      </c>
      <c r="F275" s="7" t="s">
        <v>2451</v>
      </c>
      <c r="G275" s="7" t="n">
        <v>24</v>
      </c>
      <c r="H275" s="7" t="n">
        <v>165120</v>
      </c>
      <c r="I275" s="7" t="n">
        <v>5</v>
      </c>
      <c r="J275" s="7" t="n">
        <v>12</v>
      </c>
      <c r="K275" s="7" t="s">
        <v>1005</v>
      </c>
    </row>
    <row r="276" customFormat="false" ht="15" hidden="false" customHeight="false" outlineLevel="0" collapsed="false">
      <c r="A276" s="7" t="s">
        <v>2729</v>
      </c>
      <c r="B276" s="8" t="n">
        <v>45581</v>
      </c>
      <c r="C276" s="7" t="s">
        <v>316</v>
      </c>
      <c r="D276" s="7" t="s">
        <v>40</v>
      </c>
      <c r="E276" s="7" t="s">
        <v>83</v>
      </c>
      <c r="F276" s="7" t="s">
        <v>2458</v>
      </c>
      <c r="G276" s="7" t="n">
        <v>40</v>
      </c>
      <c r="H276" s="7" t="n">
        <v>221720</v>
      </c>
      <c r="I276" s="7" t="n">
        <v>5</v>
      </c>
      <c r="J276" s="7" t="n">
        <v>21</v>
      </c>
      <c r="K276" s="7" t="s">
        <v>1005</v>
      </c>
    </row>
    <row r="277" customFormat="false" ht="15" hidden="false" customHeight="false" outlineLevel="0" collapsed="false">
      <c r="A277" s="7" t="s">
        <v>2730</v>
      </c>
      <c r="B277" s="8" t="n">
        <v>45718</v>
      </c>
      <c r="C277" s="7" t="s">
        <v>402</v>
      </c>
      <c r="D277" s="7" t="s">
        <v>49</v>
      </c>
      <c r="E277" s="7" t="s">
        <v>71</v>
      </c>
      <c r="F277" s="7" t="s">
        <v>2449</v>
      </c>
      <c r="G277" s="7" t="n">
        <v>8</v>
      </c>
      <c r="H277" s="7" t="n">
        <v>67992</v>
      </c>
      <c r="I277" s="7" t="n">
        <v>5</v>
      </c>
      <c r="J277" s="7" t="n">
        <v>9</v>
      </c>
      <c r="K277" s="7" t="s">
        <v>1005</v>
      </c>
    </row>
    <row r="278" customFormat="false" ht="15" hidden="false" customHeight="false" outlineLevel="0" collapsed="false">
      <c r="A278" s="7" t="s">
        <v>2731</v>
      </c>
      <c r="B278" s="8" t="n">
        <v>45458</v>
      </c>
      <c r="C278" s="7" t="s">
        <v>413</v>
      </c>
      <c r="D278" s="7" t="s">
        <v>49</v>
      </c>
      <c r="E278" s="7" t="s">
        <v>87</v>
      </c>
      <c r="F278" s="7" t="s">
        <v>2451</v>
      </c>
      <c r="G278" s="7" t="n">
        <v>4</v>
      </c>
      <c r="H278" s="7" t="n">
        <v>26472</v>
      </c>
      <c r="I278" s="7" t="n">
        <v>3</v>
      </c>
      <c r="J278" s="7" t="n">
        <v>6</v>
      </c>
      <c r="K278" s="7" t="s">
        <v>1005</v>
      </c>
    </row>
    <row r="279" customFormat="false" ht="15" hidden="false" customHeight="false" outlineLevel="0" collapsed="false">
      <c r="A279" s="7" t="s">
        <v>2732</v>
      </c>
      <c r="B279" s="8" t="n">
        <v>45724</v>
      </c>
      <c r="C279" s="7" t="s">
        <v>351</v>
      </c>
      <c r="D279" s="7" t="s">
        <v>43</v>
      </c>
      <c r="E279" s="7" t="s">
        <v>71</v>
      </c>
      <c r="F279" s="7" t="s">
        <v>2460</v>
      </c>
      <c r="G279" s="7" t="n">
        <v>16</v>
      </c>
      <c r="H279" s="7" t="n">
        <v>53776</v>
      </c>
      <c r="I279" s="7" t="n">
        <v>4</v>
      </c>
      <c r="J279" s="7" t="n">
        <v>1</v>
      </c>
      <c r="K279" s="7" t="s">
        <v>1005</v>
      </c>
    </row>
    <row r="280" customFormat="false" ht="15" hidden="false" customHeight="false" outlineLevel="0" collapsed="false">
      <c r="A280" s="7" t="s">
        <v>2733</v>
      </c>
      <c r="B280" s="8" t="n">
        <v>45732</v>
      </c>
      <c r="C280" s="7" t="s">
        <v>438</v>
      </c>
      <c r="D280" s="7" t="s">
        <v>52</v>
      </c>
      <c r="E280" s="7" t="s">
        <v>79</v>
      </c>
      <c r="F280" s="7" t="s">
        <v>2449</v>
      </c>
      <c r="G280" s="7" t="n">
        <v>4</v>
      </c>
      <c r="H280" s="7" t="n">
        <v>46992</v>
      </c>
      <c r="I280" s="7" t="n">
        <v>1</v>
      </c>
      <c r="J280" s="7" t="n">
        <v>24</v>
      </c>
      <c r="K280" s="7" t="s">
        <v>1005</v>
      </c>
    </row>
    <row r="281" customFormat="false" ht="15" hidden="false" customHeight="false" outlineLevel="0" collapsed="false">
      <c r="A281" s="7" t="s">
        <v>2734</v>
      </c>
      <c r="B281" s="8" t="n">
        <v>45304</v>
      </c>
      <c r="C281" s="7" t="s">
        <v>431</v>
      </c>
      <c r="D281" s="7" t="s">
        <v>52</v>
      </c>
      <c r="E281" s="7" t="s">
        <v>83</v>
      </c>
      <c r="F281" s="7" t="s">
        <v>2449</v>
      </c>
      <c r="G281" s="7" t="n">
        <v>40</v>
      </c>
      <c r="H281" s="7" t="n">
        <v>306920</v>
      </c>
      <c r="I281" s="7" t="n">
        <v>2</v>
      </c>
      <c r="J281" s="7" t="n">
        <v>9</v>
      </c>
      <c r="K281" s="7" t="s">
        <v>1005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4"/>
    <col collapsed="false" customWidth="true" hidden="false" outlineLevel="0" max="4" min="4" style="0" width="10"/>
    <col collapsed="false" customWidth="true" hidden="false" outlineLevel="0" max="5" min="5" style="0" width="20"/>
    <col collapsed="false" customWidth="true" hidden="false" outlineLevel="0" max="6" min="6" style="0" width="26"/>
    <col collapsed="false" customWidth="true" hidden="false" outlineLevel="0" max="7" min="7" style="0" width="10"/>
    <col collapsed="false" customWidth="true" hidden="false" outlineLevel="0" max="8" min="8" style="0" width="16"/>
    <col collapsed="false" customWidth="true" hidden="false" outlineLevel="0" max="9" min="9" style="0" width="12"/>
    <col collapsed="false" customWidth="true" hidden="false" outlineLevel="0" max="10" min="10" style="0" width="16"/>
    <col collapsed="false" customWidth="true" hidden="false" outlineLevel="0" max="11" min="11" style="0" width="14"/>
  </cols>
  <sheetData>
    <row r="1" customFormat="false" ht="23.85" hidden="false" customHeight="false" outlineLevel="0" collapsed="false">
      <c r="A1" s="6" t="s">
        <v>2735</v>
      </c>
      <c r="B1" s="6" t="s">
        <v>444</v>
      </c>
      <c r="C1" s="6" t="s">
        <v>2736</v>
      </c>
      <c r="D1" s="6" t="s">
        <v>55</v>
      </c>
      <c r="E1" s="6" t="s">
        <v>2737</v>
      </c>
      <c r="F1" s="6" t="s">
        <v>2738</v>
      </c>
      <c r="G1" s="6" t="s">
        <v>2739</v>
      </c>
      <c r="H1" s="6" t="s">
        <v>2740</v>
      </c>
      <c r="I1" s="6" t="s">
        <v>999</v>
      </c>
      <c r="J1" s="6" t="s">
        <v>2741</v>
      </c>
      <c r="K1" s="6" t="s">
        <v>2742</v>
      </c>
    </row>
    <row r="2" customFormat="false" ht="15" hidden="false" customHeight="false" outlineLevel="0" collapsed="false">
      <c r="A2" s="7" t="s">
        <v>2743</v>
      </c>
      <c r="B2" s="8" t="n">
        <v>45664</v>
      </c>
      <c r="C2" s="7" t="s">
        <v>37</v>
      </c>
      <c r="D2" s="7" t="s">
        <v>71</v>
      </c>
      <c r="E2" s="7" t="s">
        <v>2744</v>
      </c>
      <c r="F2" s="7" t="s">
        <v>2745</v>
      </c>
      <c r="G2" s="7" t="s">
        <v>1004</v>
      </c>
      <c r="H2" s="7" t="s">
        <v>397</v>
      </c>
      <c r="I2" s="7" t="s">
        <v>1006</v>
      </c>
      <c r="J2" s="8" t="n">
        <v>45683</v>
      </c>
      <c r="K2" s="7" t="n">
        <f aca="false">J2-B2</f>
        <v>19</v>
      </c>
    </row>
    <row r="3" customFormat="false" ht="15" hidden="false" customHeight="false" outlineLevel="0" collapsed="false">
      <c r="A3" s="7" t="s">
        <v>2746</v>
      </c>
      <c r="B3" s="8" t="n">
        <v>45358</v>
      </c>
      <c r="C3" s="7" t="s">
        <v>25</v>
      </c>
      <c r="D3" s="7" t="s">
        <v>79</v>
      </c>
      <c r="E3" s="7" t="s">
        <v>2747</v>
      </c>
      <c r="F3" s="7" t="s">
        <v>2748</v>
      </c>
      <c r="G3" s="7" t="s">
        <v>1009</v>
      </c>
      <c r="H3" s="7" t="s">
        <v>401</v>
      </c>
      <c r="I3" s="7" t="s">
        <v>1006</v>
      </c>
      <c r="J3" s="8" t="n">
        <v>45430</v>
      </c>
      <c r="K3" s="7" t="n">
        <f aca="false">J3-B3</f>
        <v>72</v>
      </c>
    </row>
    <row r="4" customFormat="false" ht="15" hidden="false" customHeight="false" outlineLevel="0" collapsed="false">
      <c r="A4" s="7" t="s">
        <v>2749</v>
      </c>
      <c r="B4" s="8" t="n">
        <v>45422</v>
      </c>
      <c r="C4" s="7" t="s">
        <v>31</v>
      </c>
      <c r="D4" s="7" t="s">
        <v>60</v>
      </c>
      <c r="E4" s="7" t="s">
        <v>2750</v>
      </c>
      <c r="F4" s="7" t="s">
        <v>2751</v>
      </c>
      <c r="G4" s="7" t="s">
        <v>467</v>
      </c>
      <c r="H4" s="7" t="s">
        <v>404</v>
      </c>
      <c r="I4" s="7" t="s">
        <v>1006</v>
      </c>
      <c r="J4" s="8" t="n">
        <v>45510</v>
      </c>
      <c r="K4" s="7" t="n">
        <f aca="false">J4-B4</f>
        <v>88</v>
      </c>
    </row>
    <row r="5" customFormat="false" ht="15" hidden="false" customHeight="false" outlineLevel="0" collapsed="false">
      <c r="A5" s="7" t="s">
        <v>2752</v>
      </c>
      <c r="B5" s="8" t="n">
        <v>45734</v>
      </c>
      <c r="C5" s="7" t="s">
        <v>37</v>
      </c>
      <c r="D5" s="7" t="s">
        <v>65</v>
      </c>
      <c r="E5" s="7" t="s">
        <v>2753</v>
      </c>
      <c r="F5" s="7" t="s">
        <v>2754</v>
      </c>
      <c r="G5" s="7" t="s">
        <v>1009</v>
      </c>
      <c r="H5" s="7" t="s">
        <v>409</v>
      </c>
      <c r="I5" s="7" t="s">
        <v>1006</v>
      </c>
      <c r="J5" s="8" t="n">
        <v>45786</v>
      </c>
      <c r="K5" s="7" t="n">
        <f aca="false">J5-B5</f>
        <v>52</v>
      </c>
    </row>
    <row r="6" customFormat="false" ht="15" hidden="false" customHeight="false" outlineLevel="0" collapsed="false">
      <c r="A6" s="7" t="s">
        <v>2755</v>
      </c>
      <c r="B6" s="8" t="n">
        <v>45664</v>
      </c>
      <c r="C6" s="7" t="s">
        <v>34</v>
      </c>
      <c r="D6" s="7" t="s">
        <v>60</v>
      </c>
      <c r="E6" s="7" t="s">
        <v>2744</v>
      </c>
      <c r="F6" s="7" t="s">
        <v>2756</v>
      </c>
      <c r="G6" s="7" t="s">
        <v>1004</v>
      </c>
      <c r="H6" s="7" t="s">
        <v>402</v>
      </c>
      <c r="I6" s="7" t="s">
        <v>1006</v>
      </c>
      <c r="J6" s="8" t="n">
        <v>45734</v>
      </c>
      <c r="K6" s="7" t="n">
        <f aca="false">J6-B6</f>
        <v>70</v>
      </c>
    </row>
    <row r="7" customFormat="false" ht="15" hidden="false" customHeight="false" outlineLevel="0" collapsed="false">
      <c r="A7" s="7" t="s">
        <v>2757</v>
      </c>
      <c r="B7" s="8" t="n">
        <v>45577</v>
      </c>
      <c r="C7" s="7" t="s">
        <v>43</v>
      </c>
      <c r="D7" s="7" t="s">
        <v>65</v>
      </c>
      <c r="E7" s="7" t="s">
        <v>2747</v>
      </c>
      <c r="F7" s="7" t="s">
        <v>2756</v>
      </c>
      <c r="G7" s="7" t="s">
        <v>1009</v>
      </c>
      <c r="H7" s="7" t="s">
        <v>406</v>
      </c>
      <c r="I7" s="7" t="s">
        <v>2758</v>
      </c>
      <c r="J7" s="8" t="n">
        <v>45592</v>
      </c>
      <c r="K7" s="7" t="n">
        <f aca="false">J7-B7</f>
        <v>15</v>
      </c>
    </row>
    <row r="8" customFormat="false" ht="15" hidden="false" customHeight="false" outlineLevel="0" collapsed="false">
      <c r="A8" s="7" t="s">
        <v>2759</v>
      </c>
      <c r="B8" s="8" t="n">
        <v>45487</v>
      </c>
      <c r="C8" s="7" t="s">
        <v>34</v>
      </c>
      <c r="D8" s="7" t="s">
        <v>79</v>
      </c>
      <c r="E8" s="7" t="s">
        <v>2760</v>
      </c>
      <c r="F8" s="7" t="s">
        <v>2751</v>
      </c>
      <c r="G8" s="7" t="s">
        <v>467</v>
      </c>
      <c r="H8" s="7" t="s">
        <v>389</v>
      </c>
      <c r="I8" s="7" t="s">
        <v>2758</v>
      </c>
      <c r="J8" s="8" t="n">
        <v>45557</v>
      </c>
      <c r="K8" s="7" t="n">
        <f aca="false">J8-B8</f>
        <v>70</v>
      </c>
    </row>
    <row r="9" customFormat="false" ht="15" hidden="false" customHeight="false" outlineLevel="0" collapsed="false">
      <c r="A9" s="7" t="s">
        <v>2761</v>
      </c>
      <c r="B9" s="8" t="n">
        <v>45617</v>
      </c>
      <c r="C9" s="7" t="s">
        <v>34</v>
      </c>
      <c r="D9" s="7" t="s">
        <v>60</v>
      </c>
      <c r="E9" s="7" t="s">
        <v>2747</v>
      </c>
      <c r="F9" s="7" t="s">
        <v>2751</v>
      </c>
      <c r="G9" s="7" t="s">
        <v>467</v>
      </c>
      <c r="H9" s="7" t="s">
        <v>411</v>
      </c>
      <c r="I9" s="7" t="s">
        <v>2758</v>
      </c>
      <c r="J9" s="8" t="n">
        <v>45669</v>
      </c>
      <c r="K9" s="7" t="n">
        <f aca="false">J9-B9</f>
        <v>52</v>
      </c>
    </row>
    <row r="10" customFormat="false" ht="15" hidden="false" customHeight="false" outlineLevel="0" collapsed="false">
      <c r="A10" s="7" t="s">
        <v>2762</v>
      </c>
      <c r="B10" s="8" t="n">
        <v>45720</v>
      </c>
      <c r="C10" s="7" t="s">
        <v>52</v>
      </c>
      <c r="D10" s="7" t="s">
        <v>87</v>
      </c>
      <c r="E10" s="7" t="s">
        <v>2763</v>
      </c>
      <c r="F10" s="7" t="s">
        <v>2745</v>
      </c>
      <c r="G10" s="7" t="s">
        <v>1009</v>
      </c>
      <c r="H10" s="7" t="s">
        <v>413</v>
      </c>
      <c r="I10" s="7" t="s">
        <v>1006</v>
      </c>
      <c r="J10" s="8" t="n">
        <v>45772</v>
      </c>
      <c r="K10" s="7" t="n">
        <f aca="false">J10-B10</f>
        <v>52</v>
      </c>
    </row>
    <row r="11" customFormat="false" ht="15" hidden="false" customHeight="false" outlineLevel="0" collapsed="false">
      <c r="A11" s="7" t="s">
        <v>2764</v>
      </c>
      <c r="B11" s="8" t="n">
        <v>45822</v>
      </c>
      <c r="C11" s="7" t="s">
        <v>52</v>
      </c>
      <c r="D11" s="7" t="s">
        <v>68</v>
      </c>
      <c r="E11" s="7" t="s">
        <v>2753</v>
      </c>
      <c r="F11" s="7" t="s">
        <v>2745</v>
      </c>
      <c r="G11" s="7" t="s">
        <v>1009</v>
      </c>
      <c r="H11" s="7" t="s">
        <v>404</v>
      </c>
      <c r="I11" s="7" t="s">
        <v>1006</v>
      </c>
      <c r="J11" s="8" t="n">
        <v>45881</v>
      </c>
      <c r="K11" s="7" t="n">
        <f aca="false">J11-B11</f>
        <v>59</v>
      </c>
    </row>
    <row r="12" customFormat="false" ht="15" hidden="false" customHeight="false" outlineLevel="0" collapsed="false">
      <c r="A12" s="7" t="s">
        <v>2765</v>
      </c>
      <c r="B12" s="8" t="n">
        <v>45551</v>
      </c>
      <c r="C12" s="7" t="s">
        <v>46</v>
      </c>
      <c r="D12" s="7" t="s">
        <v>71</v>
      </c>
      <c r="E12" s="7" t="s">
        <v>2753</v>
      </c>
      <c r="F12" s="7" t="s">
        <v>2754</v>
      </c>
      <c r="G12" s="7" t="s">
        <v>1026</v>
      </c>
      <c r="H12" s="7" t="s">
        <v>393</v>
      </c>
      <c r="I12" s="7" t="s">
        <v>2758</v>
      </c>
      <c r="J12" s="8" t="n">
        <v>45632</v>
      </c>
      <c r="K12" s="7" t="n">
        <f aca="false">J12-B12</f>
        <v>81</v>
      </c>
    </row>
    <row r="13" customFormat="false" ht="15" hidden="false" customHeight="false" outlineLevel="0" collapsed="false">
      <c r="A13" s="7" t="s">
        <v>2766</v>
      </c>
      <c r="B13" s="8" t="n">
        <v>45331</v>
      </c>
      <c r="C13" s="7" t="s">
        <v>40</v>
      </c>
      <c r="D13" s="7" t="s">
        <v>71</v>
      </c>
      <c r="E13" s="7" t="s">
        <v>2767</v>
      </c>
      <c r="F13" s="7" t="s">
        <v>2768</v>
      </c>
      <c r="G13" s="7" t="s">
        <v>1009</v>
      </c>
      <c r="H13" s="7" t="s">
        <v>407</v>
      </c>
      <c r="I13" s="7" t="s">
        <v>2758</v>
      </c>
      <c r="J13" s="8" t="n">
        <v>45393</v>
      </c>
      <c r="K13" s="7" t="n">
        <f aca="false">J13-B13</f>
        <v>62</v>
      </c>
    </row>
    <row r="14" customFormat="false" ht="15" hidden="false" customHeight="false" outlineLevel="0" collapsed="false">
      <c r="A14" s="7" t="s">
        <v>2769</v>
      </c>
      <c r="B14" s="8" t="n">
        <v>45925</v>
      </c>
      <c r="C14" s="7" t="s">
        <v>37</v>
      </c>
      <c r="D14" s="7" t="s">
        <v>68</v>
      </c>
      <c r="E14" s="7" t="s">
        <v>2750</v>
      </c>
      <c r="F14" s="7" t="s">
        <v>2754</v>
      </c>
      <c r="G14" s="7" t="s">
        <v>1004</v>
      </c>
      <c r="H14" s="7" t="s">
        <v>407</v>
      </c>
      <c r="I14" s="7" t="s">
        <v>2770</v>
      </c>
      <c r="J14" s="8" t="n">
        <v>45945</v>
      </c>
      <c r="K14" s="7" t="n">
        <f aca="false">J14-B14</f>
        <v>20</v>
      </c>
    </row>
    <row r="15" customFormat="false" ht="15" hidden="false" customHeight="false" outlineLevel="0" collapsed="false">
      <c r="A15" s="7" t="s">
        <v>2771</v>
      </c>
      <c r="B15" s="8" t="n">
        <v>46002</v>
      </c>
      <c r="C15" s="7" t="s">
        <v>46</v>
      </c>
      <c r="D15" s="7" t="s">
        <v>60</v>
      </c>
      <c r="E15" s="7" t="s">
        <v>2763</v>
      </c>
      <c r="F15" s="7" t="s">
        <v>2768</v>
      </c>
      <c r="G15" s="7" t="s">
        <v>1026</v>
      </c>
      <c r="H15" s="7" t="s">
        <v>397</v>
      </c>
      <c r="I15" s="7" t="s">
        <v>1006</v>
      </c>
      <c r="J15" s="8" t="n">
        <v>46069</v>
      </c>
      <c r="K15" s="7" t="n">
        <f aca="false">J15-B15</f>
        <v>67</v>
      </c>
    </row>
    <row r="16" customFormat="false" ht="15" hidden="false" customHeight="false" outlineLevel="0" collapsed="false">
      <c r="A16" s="7" t="s">
        <v>2772</v>
      </c>
      <c r="B16" s="8" t="n">
        <v>45483</v>
      </c>
      <c r="C16" s="7" t="s">
        <v>37</v>
      </c>
      <c r="D16" s="7" t="s">
        <v>79</v>
      </c>
      <c r="E16" s="7" t="s">
        <v>2747</v>
      </c>
      <c r="F16" s="7" t="s">
        <v>2754</v>
      </c>
      <c r="G16" s="7" t="s">
        <v>1009</v>
      </c>
      <c r="H16" s="7" t="s">
        <v>387</v>
      </c>
      <c r="I16" s="7" t="s">
        <v>1006</v>
      </c>
      <c r="J16" s="8" t="n">
        <v>45569</v>
      </c>
      <c r="K16" s="7" t="n">
        <f aca="false">J16-B16</f>
        <v>86</v>
      </c>
    </row>
    <row r="17" customFormat="false" ht="15" hidden="false" customHeight="false" outlineLevel="0" collapsed="false">
      <c r="A17" s="7" t="s">
        <v>2773</v>
      </c>
      <c r="B17" s="8" t="n">
        <v>45397</v>
      </c>
      <c r="C17" s="7" t="s">
        <v>43</v>
      </c>
      <c r="D17" s="7" t="s">
        <v>60</v>
      </c>
      <c r="E17" s="7" t="s">
        <v>2774</v>
      </c>
      <c r="F17" s="7" t="s">
        <v>2754</v>
      </c>
      <c r="G17" s="7" t="s">
        <v>1009</v>
      </c>
      <c r="H17" s="7" t="s">
        <v>389</v>
      </c>
      <c r="I17" s="7" t="s">
        <v>1006</v>
      </c>
      <c r="J17" s="8" t="n">
        <v>45459</v>
      </c>
      <c r="K17" s="7" t="n">
        <f aca="false">J17-B17</f>
        <v>62</v>
      </c>
    </row>
    <row r="18" customFormat="false" ht="15" hidden="false" customHeight="false" outlineLevel="0" collapsed="false">
      <c r="A18" s="7" t="s">
        <v>2775</v>
      </c>
      <c r="B18" s="8" t="n">
        <v>45374</v>
      </c>
      <c r="C18" s="7" t="s">
        <v>43</v>
      </c>
      <c r="D18" s="7" t="s">
        <v>71</v>
      </c>
      <c r="E18" s="7" t="s">
        <v>2767</v>
      </c>
      <c r="F18" s="7" t="s">
        <v>2768</v>
      </c>
      <c r="G18" s="7" t="s">
        <v>1026</v>
      </c>
      <c r="H18" s="7" t="s">
        <v>393</v>
      </c>
      <c r="I18" s="7" t="s">
        <v>2758</v>
      </c>
      <c r="J18" s="8" t="n">
        <v>45420</v>
      </c>
      <c r="K18" s="7" t="n">
        <f aca="false">J18-B18</f>
        <v>46</v>
      </c>
    </row>
    <row r="19" customFormat="false" ht="15" hidden="false" customHeight="false" outlineLevel="0" collapsed="false">
      <c r="A19" s="7" t="s">
        <v>2776</v>
      </c>
      <c r="B19" s="8" t="n">
        <v>45616</v>
      </c>
      <c r="C19" s="7" t="s">
        <v>40</v>
      </c>
      <c r="D19" s="7" t="s">
        <v>65</v>
      </c>
      <c r="E19" s="7" t="s">
        <v>2744</v>
      </c>
      <c r="F19" s="7" t="s">
        <v>2751</v>
      </c>
      <c r="G19" s="7" t="s">
        <v>467</v>
      </c>
      <c r="H19" s="7" t="s">
        <v>401</v>
      </c>
      <c r="I19" s="7" t="s">
        <v>2770</v>
      </c>
      <c r="J19" s="8" t="n">
        <v>45637</v>
      </c>
      <c r="K19" s="7" t="n">
        <f aca="false">J19-B19</f>
        <v>21</v>
      </c>
    </row>
    <row r="20" customFormat="false" ht="15" hidden="false" customHeight="false" outlineLevel="0" collapsed="false">
      <c r="A20" s="7" t="s">
        <v>2777</v>
      </c>
      <c r="B20" s="8" t="n">
        <v>45337</v>
      </c>
      <c r="C20" s="7" t="s">
        <v>52</v>
      </c>
      <c r="D20" s="7" t="s">
        <v>71</v>
      </c>
      <c r="E20" s="7" t="s">
        <v>2747</v>
      </c>
      <c r="F20" s="7" t="s">
        <v>2756</v>
      </c>
      <c r="G20" s="7" t="s">
        <v>1009</v>
      </c>
      <c r="H20" s="7" t="s">
        <v>406</v>
      </c>
      <c r="I20" s="7" t="s">
        <v>1006</v>
      </c>
      <c r="J20" s="8" t="n">
        <v>45408</v>
      </c>
      <c r="K20" s="7" t="n">
        <f aca="false">J20-B20</f>
        <v>71</v>
      </c>
    </row>
    <row r="21" customFormat="false" ht="15" hidden="false" customHeight="false" outlineLevel="0" collapsed="false">
      <c r="A21" s="7" t="s">
        <v>2778</v>
      </c>
      <c r="B21" s="8" t="n">
        <v>45598</v>
      </c>
      <c r="C21" s="7" t="s">
        <v>31</v>
      </c>
      <c r="D21" s="7" t="s">
        <v>68</v>
      </c>
      <c r="E21" s="7" t="s">
        <v>2747</v>
      </c>
      <c r="F21" s="7" t="s">
        <v>2745</v>
      </c>
      <c r="G21" s="7" t="s">
        <v>1009</v>
      </c>
      <c r="H21" s="7" t="s">
        <v>389</v>
      </c>
      <c r="I21" s="7" t="s">
        <v>1006</v>
      </c>
      <c r="J21" s="8" t="n">
        <v>45614</v>
      </c>
      <c r="K21" s="7" t="n">
        <f aca="false">J21-B21</f>
        <v>16</v>
      </c>
    </row>
    <row r="22" customFormat="false" ht="15" hidden="false" customHeight="false" outlineLevel="0" collapsed="false">
      <c r="A22" s="7" t="s">
        <v>2779</v>
      </c>
      <c r="B22" s="8" t="n">
        <v>45838</v>
      </c>
      <c r="C22" s="7" t="s">
        <v>46</v>
      </c>
      <c r="D22" s="7" t="s">
        <v>60</v>
      </c>
      <c r="E22" s="7" t="s">
        <v>2750</v>
      </c>
      <c r="F22" s="7" t="s">
        <v>2745</v>
      </c>
      <c r="G22" s="7" t="s">
        <v>1004</v>
      </c>
      <c r="H22" s="7" t="s">
        <v>401</v>
      </c>
      <c r="I22" s="7" t="s">
        <v>1006</v>
      </c>
      <c r="J22" s="8" t="n">
        <v>45860</v>
      </c>
      <c r="K22" s="7" t="n">
        <f aca="false">J22-B22</f>
        <v>22</v>
      </c>
    </row>
    <row r="23" customFormat="false" ht="15" hidden="false" customHeight="false" outlineLevel="0" collapsed="false">
      <c r="A23" s="7" t="s">
        <v>2780</v>
      </c>
      <c r="B23" s="8" t="n">
        <v>45946</v>
      </c>
      <c r="C23" s="7" t="s">
        <v>31</v>
      </c>
      <c r="D23" s="7" t="s">
        <v>65</v>
      </c>
      <c r="E23" s="7" t="s">
        <v>2744</v>
      </c>
      <c r="F23" s="7" t="s">
        <v>2748</v>
      </c>
      <c r="G23" s="7" t="s">
        <v>1026</v>
      </c>
      <c r="H23" s="7" t="s">
        <v>394</v>
      </c>
      <c r="I23" s="7" t="s">
        <v>1006</v>
      </c>
      <c r="J23" s="8" t="n">
        <v>46012</v>
      </c>
      <c r="K23" s="7" t="n">
        <f aca="false">J23-B23</f>
        <v>66</v>
      </c>
    </row>
    <row r="24" customFormat="false" ht="15" hidden="false" customHeight="false" outlineLevel="0" collapsed="false">
      <c r="A24" s="7" t="s">
        <v>2781</v>
      </c>
      <c r="B24" s="8" t="n">
        <v>45426</v>
      </c>
      <c r="C24" s="7" t="s">
        <v>37</v>
      </c>
      <c r="D24" s="7" t="s">
        <v>83</v>
      </c>
      <c r="E24" s="7" t="s">
        <v>2753</v>
      </c>
      <c r="F24" s="7" t="s">
        <v>2751</v>
      </c>
      <c r="G24" s="7" t="s">
        <v>467</v>
      </c>
      <c r="H24" s="7" t="s">
        <v>391</v>
      </c>
      <c r="I24" s="7" t="s">
        <v>2758</v>
      </c>
      <c r="J24" s="8" t="n">
        <v>45444</v>
      </c>
      <c r="K24" s="7" t="n">
        <f aca="false">J24-B24</f>
        <v>18</v>
      </c>
    </row>
    <row r="25" customFormat="false" ht="15" hidden="false" customHeight="false" outlineLevel="0" collapsed="false">
      <c r="A25" s="7" t="s">
        <v>2782</v>
      </c>
      <c r="B25" s="8" t="n">
        <v>45969</v>
      </c>
      <c r="C25" s="7" t="s">
        <v>37</v>
      </c>
      <c r="D25" s="7" t="s">
        <v>87</v>
      </c>
      <c r="E25" s="7" t="s">
        <v>2774</v>
      </c>
      <c r="F25" s="7" t="s">
        <v>2754</v>
      </c>
      <c r="G25" s="7" t="s">
        <v>1009</v>
      </c>
      <c r="H25" s="7" t="s">
        <v>407</v>
      </c>
      <c r="I25" s="7" t="s">
        <v>2758</v>
      </c>
      <c r="J25" s="8" t="n">
        <v>46055</v>
      </c>
      <c r="K25" s="7" t="n">
        <f aca="false">J25-B25</f>
        <v>86</v>
      </c>
    </row>
    <row r="26" customFormat="false" ht="15" hidden="false" customHeight="false" outlineLevel="0" collapsed="false">
      <c r="A26" s="7" t="s">
        <v>2783</v>
      </c>
      <c r="B26" s="8" t="n">
        <v>45407</v>
      </c>
      <c r="C26" s="7" t="s">
        <v>25</v>
      </c>
      <c r="D26" s="7" t="s">
        <v>79</v>
      </c>
      <c r="E26" s="7" t="s">
        <v>2747</v>
      </c>
      <c r="F26" s="7" t="s">
        <v>2748</v>
      </c>
      <c r="G26" s="7" t="s">
        <v>1009</v>
      </c>
      <c r="H26" s="7" t="s">
        <v>399</v>
      </c>
      <c r="I26" s="7" t="s">
        <v>1006</v>
      </c>
      <c r="J26" s="8" t="n">
        <v>45477</v>
      </c>
      <c r="K26" s="7" t="n">
        <f aca="false">J26-B26</f>
        <v>70</v>
      </c>
    </row>
    <row r="27" customFormat="false" ht="15" hidden="false" customHeight="false" outlineLevel="0" collapsed="false">
      <c r="A27" s="7" t="s">
        <v>2784</v>
      </c>
      <c r="B27" s="8" t="n">
        <v>45905</v>
      </c>
      <c r="C27" s="7" t="s">
        <v>37</v>
      </c>
      <c r="D27" s="7" t="s">
        <v>75</v>
      </c>
      <c r="E27" s="7" t="s">
        <v>2774</v>
      </c>
      <c r="F27" s="7" t="s">
        <v>2748</v>
      </c>
      <c r="G27" s="7" t="s">
        <v>1009</v>
      </c>
      <c r="H27" s="7" t="s">
        <v>406</v>
      </c>
      <c r="I27" s="7" t="s">
        <v>2758</v>
      </c>
      <c r="J27" s="8" t="n">
        <v>45926</v>
      </c>
      <c r="K27" s="7" t="n">
        <f aca="false">J27-B27</f>
        <v>21</v>
      </c>
    </row>
    <row r="28" customFormat="false" ht="15" hidden="false" customHeight="false" outlineLevel="0" collapsed="false">
      <c r="A28" s="7" t="s">
        <v>2785</v>
      </c>
      <c r="B28" s="8" t="n">
        <v>45498</v>
      </c>
      <c r="C28" s="7" t="s">
        <v>46</v>
      </c>
      <c r="D28" s="7" t="s">
        <v>79</v>
      </c>
      <c r="E28" s="7" t="s">
        <v>2744</v>
      </c>
      <c r="F28" s="7" t="s">
        <v>2754</v>
      </c>
      <c r="G28" s="7" t="s">
        <v>1009</v>
      </c>
      <c r="H28" s="7" t="s">
        <v>406</v>
      </c>
      <c r="I28" s="7" t="s">
        <v>2758</v>
      </c>
      <c r="J28" s="8" t="n">
        <v>45558</v>
      </c>
      <c r="K28" s="7" t="n">
        <f aca="false">J28-B28</f>
        <v>60</v>
      </c>
    </row>
    <row r="29" customFormat="false" ht="15" hidden="false" customHeight="false" outlineLevel="0" collapsed="false">
      <c r="A29" s="7" t="s">
        <v>2786</v>
      </c>
      <c r="B29" s="8" t="n">
        <v>45817</v>
      </c>
      <c r="C29" s="7" t="s">
        <v>34</v>
      </c>
      <c r="D29" s="7" t="s">
        <v>60</v>
      </c>
      <c r="E29" s="7" t="s">
        <v>2750</v>
      </c>
      <c r="F29" s="7" t="s">
        <v>2748</v>
      </c>
      <c r="G29" s="7" t="s">
        <v>1004</v>
      </c>
      <c r="H29" s="7" t="s">
        <v>399</v>
      </c>
      <c r="I29" s="7" t="s">
        <v>2758</v>
      </c>
      <c r="J29" s="8" t="n">
        <v>45847</v>
      </c>
      <c r="K29" s="7" t="n">
        <f aca="false">J29-B29</f>
        <v>30</v>
      </c>
    </row>
    <row r="30" customFormat="false" ht="15" hidden="false" customHeight="false" outlineLevel="0" collapsed="false">
      <c r="A30" s="7" t="s">
        <v>2787</v>
      </c>
      <c r="B30" s="8" t="n">
        <v>45452</v>
      </c>
      <c r="C30" s="7" t="s">
        <v>37</v>
      </c>
      <c r="D30" s="7" t="s">
        <v>65</v>
      </c>
      <c r="E30" s="7" t="s">
        <v>2774</v>
      </c>
      <c r="F30" s="7" t="s">
        <v>2754</v>
      </c>
      <c r="G30" s="7" t="s">
        <v>1004</v>
      </c>
      <c r="H30" s="7" t="s">
        <v>401</v>
      </c>
      <c r="I30" s="7" t="s">
        <v>2770</v>
      </c>
      <c r="J30" s="8" t="n">
        <v>45486</v>
      </c>
      <c r="K30" s="7" t="n">
        <f aca="false">J30-B30</f>
        <v>34</v>
      </c>
    </row>
    <row r="31" customFormat="false" ht="15" hidden="false" customHeight="false" outlineLevel="0" collapsed="false">
      <c r="A31" s="7" t="s">
        <v>2788</v>
      </c>
      <c r="B31" s="8" t="n">
        <v>45321</v>
      </c>
      <c r="C31" s="7" t="s">
        <v>34</v>
      </c>
      <c r="D31" s="7" t="s">
        <v>68</v>
      </c>
      <c r="E31" s="7" t="s">
        <v>2767</v>
      </c>
      <c r="F31" s="7" t="s">
        <v>2768</v>
      </c>
      <c r="G31" s="7" t="s">
        <v>1026</v>
      </c>
      <c r="H31" s="7" t="s">
        <v>402</v>
      </c>
      <c r="I31" s="7" t="s">
        <v>2758</v>
      </c>
      <c r="J31" s="8" t="n">
        <v>45378</v>
      </c>
      <c r="K31" s="7" t="n">
        <f aca="false">J31-B31</f>
        <v>57</v>
      </c>
    </row>
    <row r="32" customFormat="false" ht="15" hidden="false" customHeight="false" outlineLevel="0" collapsed="false">
      <c r="A32" s="7" t="s">
        <v>2789</v>
      </c>
      <c r="B32" s="8" t="n">
        <v>45881</v>
      </c>
      <c r="C32" s="7" t="s">
        <v>31</v>
      </c>
      <c r="D32" s="7" t="s">
        <v>60</v>
      </c>
      <c r="E32" s="7" t="s">
        <v>2753</v>
      </c>
      <c r="F32" s="7" t="s">
        <v>2748</v>
      </c>
      <c r="G32" s="7" t="s">
        <v>1009</v>
      </c>
      <c r="H32" s="7" t="s">
        <v>413</v>
      </c>
      <c r="I32" s="7" t="s">
        <v>1006</v>
      </c>
      <c r="J32" s="8" t="n">
        <v>45903</v>
      </c>
      <c r="K32" s="7" t="n">
        <f aca="false">J32-B32</f>
        <v>22</v>
      </c>
    </row>
    <row r="33" customFormat="false" ht="15" hidden="false" customHeight="false" outlineLevel="0" collapsed="false">
      <c r="A33" s="7" t="s">
        <v>2790</v>
      </c>
      <c r="B33" s="8" t="n">
        <v>45741</v>
      </c>
      <c r="C33" s="7" t="s">
        <v>37</v>
      </c>
      <c r="D33" s="7" t="s">
        <v>68</v>
      </c>
      <c r="E33" s="7" t="s">
        <v>2747</v>
      </c>
      <c r="F33" s="7" t="s">
        <v>2748</v>
      </c>
      <c r="G33" s="7" t="s">
        <v>1009</v>
      </c>
      <c r="H33" s="7" t="s">
        <v>409</v>
      </c>
      <c r="I33" s="7" t="s">
        <v>2758</v>
      </c>
      <c r="J33" s="8" t="n">
        <v>45798</v>
      </c>
      <c r="K33" s="7" t="n">
        <f aca="false">J33-B33</f>
        <v>57</v>
      </c>
    </row>
    <row r="34" customFormat="false" ht="15" hidden="false" customHeight="false" outlineLevel="0" collapsed="false">
      <c r="A34" s="7" t="s">
        <v>2791</v>
      </c>
      <c r="B34" s="8" t="n">
        <v>45751</v>
      </c>
      <c r="C34" s="7" t="s">
        <v>43</v>
      </c>
      <c r="D34" s="7" t="s">
        <v>87</v>
      </c>
      <c r="E34" s="7" t="s">
        <v>2747</v>
      </c>
      <c r="F34" s="7" t="s">
        <v>2751</v>
      </c>
      <c r="G34" s="7" t="s">
        <v>467</v>
      </c>
      <c r="H34" s="7" t="s">
        <v>402</v>
      </c>
      <c r="I34" s="7" t="s">
        <v>1006</v>
      </c>
      <c r="J34" s="8" t="n">
        <v>45806</v>
      </c>
      <c r="K34" s="7" t="n">
        <f aca="false">J34-B34</f>
        <v>55</v>
      </c>
    </row>
    <row r="35" customFormat="false" ht="15" hidden="false" customHeight="false" outlineLevel="0" collapsed="false">
      <c r="A35" s="7" t="s">
        <v>2792</v>
      </c>
      <c r="B35" s="8" t="n">
        <v>45892</v>
      </c>
      <c r="C35" s="7" t="s">
        <v>49</v>
      </c>
      <c r="D35" s="7" t="s">
        <v>60</v>
      </c>
      <c r="E35" s="7" t="s">
        <v>2747</v>
      </c>
      <c r="F35" s="7" t="s">
        <v>2768</v>
      </c>
      <c r="G35" s="7" t="s">
        <v>1004</v>
      </c>
      <c r="H35" s="7" t="s">
        <v>402</v>
      </c>
      <c r="I35" s="7" t="s">
        <v>2758</v>
      </c>
      <c r="J35" s="8" t="n">
        <v>45945</v>
      </c>
      <c r="K35" s="7" t="n">
        <f aca="false">J35-B35</f>
        <v>53</v>
      </c>
    </row>
    <row r="36" customFormat="false" ht="15" hidden="false" customHeight="false" outlineLevel="0" collapsed="false">
      <c r="A36" s="7" t="s">
        <v>2793</v>
      </c>
      <c r="B36" s="8" t="n">
        <v>45519</v>
      </c>
      <c r="C36" s="7" t="s">
        <v>49</v>
      </c>
      <c r="D36" s="7" t="s">
        <v>83</v>
      </c>
      <c r="E36" s="7" t="s">
        <v>2753</v>
      </c>
      <c r="F36" s="7" t="s">
        <v>2751</v>
      </c>
      <c r="G36" s="7" t="s">
        <v>467</v>
      </c>
      <c r="H36" s="7" t="s">
        <v>411</v>
      </c>
      <c r="I36" s="7" t="s">
        <v>1006</v>
      </c>
      <c r="J36" s="8" t="n">
        <v>45555</v>
      </c>
      <c r="K36" s="7" t="n">
        <f aca="false">J36-B36</f>
        <v>36</v>
      </c>
    </row>
    <row r="37" customFormat="false" ht="15" hidden="false" customHeight="false" outlineLevel="0" collapsed="false">
      <c r="A37" s="7" t="s">
        <v>2794</v>
      </c>
      <c r="B37" s="8" t="n">
        <v>45584</v>
      </c>
      <c r="C37" s="7" t="s">
        <v>40</v>
      </c>
      <c r="D37" s="7" t="s">
        <v>75</v>
      </c>
      <c r="E37" s="7" t="s">
        <v>2774</v>
      </c>
      <c r="F37" s="7" t="s">
        <v>2745</v>
      </c>
      <c r="G37" s="7" t="s">
        <v>1009</v>
      </c>
      <c r="H37" s="7" t="s">
        <v>397</v>
      </c>
      <c r="I37" s="7" t="s">
        <v>1006</v>
      </c>
      <c r="J37" s="8" t="n">
        <v>45607</v>
      </c>
      <c r="K37" s="7" t="n">
        <f aca="false">J37-B37</f>
        <v>23</v>
      </c>
    </row>
    <row r="38" customFormat="false" ht="15" hidden="false" customHeight="false" outlineLevel="0" collapsed="false">
      <c r="A38" s="7" t="s">
        <v>2795</v>
      </c>
      <c r="B38" s="8" t="n">
        <v>45301</v>
      </c>
      <c r="C38" s="7" t="s">
        <v>40</v>
      </c>
      <c r="D38" s="7" t="s">
        <v>87</v>
      </c>
      <c r="E38" s="7" t="s">
        <v>2750</v>
      </c>
      <c r="F38" s="7" t="s">
        <v>2756</v>
      </c>
      <c r="G38" s="7" t="s">
        <v>1004</v>
      </c>
      <c r="H38" s="7" t="s">
        <v>394</v>
      </c>
      <c r="I38" s="7" t="s">
        <v>1006</v>
      </c>
      <c r="J38" s="8" t="n">
        <v>45344</v>
      </c>
      <c r="K38" s="7" t="n">
        <f aca="false">J38-B38</f>
        <v>43</v>
      </c>
    </row>
    <row r="39" customFormat="false" ht="15" hidden="false" customHeight="false" outlineLevel="0" collapsed="false">
      <c r="A39" s="7" t="s">
        <v>2796</v>
      </c>
      <c r="B39" s="8" t="n">
        <v>45369</v>
      </c>
      <c r="C39" s="7" t="s">
        <v>25</v>
      </c>
      <c r="D39" s="7" t="s">
        <v>75</v>
      </c>
      <c r="E39" s="7" t="s">
        <v>2774</v>
      </c>
      <c r="F39" s="7" t="s">
        <v>2751</v>
      </c>
      <c r="G39" s="7" t="s">
        <v>467</v>
      </c>
      <c r="H39" s="7" t="s">
        <v>401</v>
      </c>
      <c r="I39" s="7" t="s">
        <v>1006</v>
      </c>
      <c r="J39" s="8" t="n">
        <v>45439</v>
      </c>
      <c r="K39" s="7" t="n">
        <f aca="false">J39-B39</f>
        <v>70</v>
      </c>
    </row>
    <row r="40" customFormat="false" ht="15" hidden="false" customHeight="false" outlineLevel="0" collapsed="false">
      <c r="A40" s="7" t="s">
        <v>2797</v>
      </c>
      <c r="B40" s="8" t="n">
        <v>45900</v>
      </c>
      <c r="C40" s="7" t="s">
        <v>43</v>
      </c>
      <c r="D40" s="7" t="s">
        <v>68</v>
      </c>
      <c r="E40" s="7" t="s">
        <v>2744</v>
      </c>
      <c r="F40" s="7" t="s">
        <v>2754</v>
      </c>
      <c r="G40" s="7" t="s">
        <v>1004</v>
      </c>
      <c r="H40" s="7" t="s">
        <v>397</v>
      </c>
      <c r="I40" s="7" t="s">
        <v>1006</v>
      </c>
      <c r="J40" s="8" t="n">
        <v>45926</v>
      </c>
      <c r="K40" s="7" t="n">
        <f aca="false">J40-B40</f>
        <v>26</v>
      </c>
    </row>
    <row r="41" customFormat="false" ht="15" hidden="false" customHeight="false" outlineLevel="0" collapsed="false">
      <c r="A41" s="7" t="s">
        <v>2798</v>
      </c>
      <c r="B41" s="8" t="n">
        <v>45916</v>
      </c>
      <c r="C41" s="7" t="s">
        <v>25</v>
      </c>
      <c r="D41" s="7" t="s">
        <v>87</v>
      </c>
      <c r="E41" s="7" t="s">
        <v>2767</v>
      </c>
      <c r="F41" s="7" t="s">
        <v>2748</v>
      </c>
      <c r="G41" s="7" t="s">
        <v>1009</v>
      </c>
      <c r="H41" s="7" t="s">
        <v>409</v>
      </c>
      <c r="I41" s="7" t="s">
        <v>2770</v>
      </c>
      <c r="J41" s="8" t="n">
        <v>45991</v>
      </c>
      <c r="K41" s="7" t="n">
        <f aca="false">J41-B41</f>
        <v>75</v>
      </c>
    </row>
    <row r="42" customFormat="false" ht="15" hidden="false" customHeight="false" outlineLevel="0" collapsed="false">
      <c r="A42" s="7" t="s">
        <v>2799</v>
      </c>
      <c r="B42" s="8" t="n">
        <v>45698</v>
      </c>
      <c r="C42" s="7" t="s">
        <v>37</v>
      </c>
      <c r="D42" s="7" t="s">
        <v>87</v>
      </c>
      <c r="E42" s="7" t="s">
        <v>2753</v>
      </c>
      <c r="F42" s="7" t="s">
        <v>2768</v>
      </c>
      <c r="G42" s="7" t="s">
        <v>1009</v>
      </c>
      <c r="H42" s="7" t="s">
        <v>389</v>
      </c>
      <c r="I42" s="7" t="s">
        <v>1006</v>
      </c>
      <c r="J42" s="8" t="n">
        <v>45713</v>
      </c>
      <c r="K42" s="7" t="n">
        <f aca="false">J42-B42</f>
        <v>15</v>
      </c>
    </row>
    <row r="43" customFormat="false" ht="15" hidden="false" customHeight="false" outlineLevel="0" collapsed="false">
      <c r="A43" s="7" t="s">
        <v>2800</v>
      </c>
      <c r="B43" s="8" t="n">
        <v>45294</v>
      </c>
      <c r="C43" s="7" t="s">
        <v>52</v>
      </c>
      <c r="D43" s="7" t="s">
        <v>75</v>
      </c>
      <c r="E43" s="7" t="s">
        <v>2753</v>
      </c>
      <c r="F43" s="7" t="s">
        <v>2754</v>
      </c>
      <c r="G43" s="7" t="s">
        <v>1009</v>
      </c>
      <c r="H43" s="7" t="s">
        <v>402</v>
      </c>
      <c r="I43" s="7" t="s">
        <v>1006</v>
      </c>
      <c r="J43" s="8" t="n">
        <v>45332</v>
      </c>
      <c r="K43" s="7" t="n">
        <f aca="false">J43-B43</f>
        <v>38</v>
      </c>
    </row>
    <row r="44" customFormat="false" ht="15" hidden="false" customHeight="false" outlineLevel="0" collapsed="false">
      <c r="A44" s="7" t="s">
        <v>2801</v>
      </c>
      <c r="B44" s="8" t="n">
        <v>45958</v>
      </c>
      <c r="C44" s="7" t="s">
        <v>31</v>
      </c>
      <c r="D44" s="7" t="s">
        <v>87</v>
      </c>
      <c r="E44" s="7" t="s">
        <v>2753</v>
      </c>
      <c r="F44" s="7" t="s">
        <v>2748</v>
      </c>
      <c r="G44" s="7" t="s">
        <v>1026</v>
      </c>
      <c r="H44" s="7" t="s">
        <v>394</v>
      </c>
      <c r="I44" s="7" t="s">
        <v>2758</v>
      </c>
      <c r="J44" s="8" t="n">
        <v>46014</v>
      </c>
      <c r="K44" s="7" t="n">
        <f aca="false">J44-B44</f>
        <v>56</v>
      </c>
    </row>
    <row r="45" customFormat="false" ht="15" hidden="false" customHeight="false" outlineLevel="0" collapsed="false">
      <c r="A45" s="7" t="s">
        <v>2802</v>
      </c>
      <c r="B45" s="8" t="n">
        <v>45665</v>
      </c>
      <c r="C45" s="7" t="s">
        <v>34</v>
      </c>
      <c r="D45" s="7" t="s">
        <v>79</v>
      </c>
      <c r="E45" s="7" t="s">
        <v>2774</v>
      </c>
      <c r="F45" s="7" t="s">
        <v>2751</v>
      </c>
      <c r="G45" s="7" t="s">
        <v>467</v>
      </c>
      <c r="H45" s="7" t="s">
        <v>389</v>
      </c>
      <c r="I45" s="7" t="s">
        <v>1006</v>
      </c>
      <c r="J45" s="8" t="n">
        <v>45699</v>
      </c>
      <c r="K45" s="7" t="n">
        <f aca="false">J45-B45</f>
        <v>34</v>
      </c>
    </row>
    <row r="46" customFormat="false" ht="15" hidden="false" customHeight="false" outlineLevel="0" collapsed="false">
      <c r="A46" s="7" t="s">
        <v>2803</v>
      </c>
      <c r="B46" s="8" t="n">
        <v>45293</v>
      </c>
      <c r="C46" s="7" t="s">
        <v>40</v>
      </c>
      <c r="D46" s="7" t="s">
        <v>75</v>
      </c>
      <c r="E46" s="7" t="s">
        <v>2767</v>
      </c>
      <c r="F46" s="7" t="s">
        <v>2756</v>
      </c>
      <c r="G46" s="7" t="s">
        <v>1026</v>
      </c>
      <c r="H46" s="7" t="s">
        <v>413</v>
      </c>
      <c r="I46" s="7" t="s">
        <v>2758</v>
      </c>
      <c r="J46" s="8" t="n">
        <v>45319</v>
      </c>
      <c r="K46" s="7" t="n">
        <f aca="false">J46-B46</f>
        <v>26</v>
      </c>
    </row>
    <row r="47" customFormat="false" ht="15" hidden="false" customHeight="false" outlineLevel="0" collapsed="false">
      <c r="A47" s="7" t="s">
        <v>2804</v>
      </c>
      <c r="B47" s="8" t="n">
        <v>45987</v>
      </c>
      <c r="C47" s="7" t="s">
        <v>31</v>
      </c>
      <c r="D47" s="7" t="s">
        <v>71</v>
      </c>
      <c r="E47" s="7" t="s">
        <v>2747</v>
      </c>
      <c r="F47" s="7" t="s">
        <v>2754</v>
      </c>
      <c r="G47" s="7" t="s">
        <v>1026</v>
      </c>
      <c r="H47" s="7" t="s">
        <v>413</v>
      </c>
      <c r="I47" s="7" t="s">
        <v>1006</v>
      </c>
      <c r="J47" s="8" t="n">
        <v>46029</v>
      </c>
      <c r="K47" s="7" t="n">
        <f aca="false">J47-B47</f>
        <v>42</v>
      </c>
    </row>
    <row r="48" customFormat="false" ht="15" hidden="false" customHeight="false" outlineLevel="0" collapsed="false">
      <c r="A48" s="7" t="s">
        <v>2805</v>
      </c>
      <c r="B48" s="8" t="n">
        <v>45383</v>
      </c>
      <c r="C48" s="7" t="s">
        <v>34</v>
      </c>
      <c r="D48" s="7" t="s">
        <v>65</v>
      </c>
      <c r="E48" s="7" t="s">
        <v>2753</v>
      </c>
      <c r="F48" s="7" t="s">
        <v>2754</v>
      </c>
      <c r="G48" s="7" t="s">
        <v>1026</v>
      </c>
      <c r="H48" s="7" t="s">
        <v>387</v>
      </c>
      <c r="I48" s="7" t="s">
        <v>2758</v>
      </c>
      <c r="J48" s="8" t="n">
        <v>45456</v>
      </c>
      <c r="K48" s="7" t="n">
        <f aca="false">J48-B48</f>
        <v>73</v>
      </c>
    </row>
    <row r="49" customFormat="false" ht="15" hidden="false" customHeight="false" outlineLevel="0" collapsed="false">
      <c r="A49" s="7" t="s">
        <v>2806</v>
      </c>
      <c r="B49" s="8" t="n">
        <v>45446</v>
      </c>
      <c r="C49" s="7" t="s">
        <v>49</v>
      </c>
      <c r="D49" s="7" t="s">
        <v>75</v>
      </c>
      <c r="E49" s="7" t="s">
        <v>2760</v>
      </c>
      <c r="F49" s="7" t="s">
        <v>2745</v>
      </c>
      <c r="G49" s="7" t="s">
        <v>1026</v>
      </c>
      <c r="H49" s="7" t="s">
        <v>397</v>
      </c>
      <c r="I49" s="7" t="s">
        <v>2770</v>
      </c>
      <c r="J49" s="8" t="n">
        <v>45536</v>
      </c>
      <c r="K49" s="7" t="n">
        <f aca="false">J49-B49</f>
        <v>90</v>
      </c>
    </row>
    <row r="50" customFormat="false" ht="15" hidden="false" customHeight="false" outlineLevel="0" collapsed="false">
      <c r="A50" s="7" t="s">
        <v>2807</v>
      </c>
      <c r="B50" s="8" t="n">
        <v>45543</v>
      </c>
      <c r="C50" s="7" t="s">
        <v>46</v>
      </c>
      <c r="D50" s="7" t="s">
        <v>75</v>
      </c>
      <c r="E50" s="7" t="s">
        <v>2763</v>
      </c>
      <c r="F50" s="7" t="s">
        <v>2745</v>
      </c>
      <c r="G50" s="7" t="s">
        <v>1026</v>
      </c>
      <c r="H50" s="7" t="s">
        <v>393</v>
      </c>
      <c r="I50" s="7" t="s">
        <v>1006</v>
      </c>
      <c r="J50" s="8" t="n">
        <v>45575</v>
      </c>
      <c r="K50" s="7" t="n">
        <f aca="false">J50-B50</f>
        <v>32</v>
      </c>
    </row>
    <row r="51" customFormat="false" ht="15" hidden="false" customHeight="false" outlineLevel="0" collapsed="false">
      <c r="A51" s="7" t="s">
        <v>2808</v>
      </c>
      <c r="B51" s="8" t="n">
        <v>46001</v>
      </c>
      <c r="C51" s="7" t="s">
        <v>52</v>
      </c>
      <c r="D51" s="7" t="s">
        <v>75</v>
      </c>
      <c r="E51" s="7" t="s">
        <v>2753</v>
      </c>
      <c r="F51" s="7" t="s">
        <v>2768</v>
      </c>
      <c r="G51" s="7" t="s">
        <v>1026</v>
      </c>
      <c r="H51" s="7" t="s">
        <v>406</v>
      </c>
      <c r="I51" s="7" t="s">
        <v>1006</v>
      </c>
      <c r="J51" s="8" t="n">
        <v>46021</v>
      </c>
      <c r="K51" s="7" t="n">
        <f aca="false">J51-B51</f>
        <v>20</v>
      </c>
    </row>
    <row r="52" customFormat="false" ht="15" hidden="false" customHeight="false" outlineLevel="0" collapsed="false">
      <c r="A52" s="7" t="s">
        <v>2809</v>
      </c>
      <c r="B52" s="8" t="n">
        <v>46017</v>
      </c>
      <c r="C52" s="7" t="s">
        <v>46</v>
      </c>
      <c r="D52" s="7" t="s">
        <v>83</v>
      </c>
      <c r="E52" s="7" t="s">
        <v>2760</v>
      </c>
      <c r="F52" s="7" t="s">
        <v>2751</v>
      </c>
      <c r="G52" s="7" t="s">
        <v>467</v>
      </c>
      <c r="H52" s="7" t="s">
        <v>402</v>
      </c>
      <c r="I52" s="7" t="s">
        <v>1006</v>
      </c>
      <c r="J52" s="8" t="n">
        <v>46040</v>
      </c>
      <c r="K52" s="7" t="n">
        <f aca="false">J52-B52</f>
        <v>23</v>
      </c>
    </row>
    <row r="53" customFormat="false" ht="15" hidden="false" customHeight="false" outlineLevel="0" collapsed="false">
      <c r="A53" s="7" t="s">
        <v>2810</v>
      </c>
      <c r="B53" s="8" t="n">
        <v>45436</v>
      </c>
      <c r="C53" s="7" t="s">
        <v>25</v>
      </c>
      <c r="D53" s="7" t="s">
        <v>83</v>
      </c>
      <c r="E53" s="7" t="s">
        <v>2763</v>
      </c>
      <c r="F53" s="7" t="s">
        <v>2754</v>
      </c>
      <c r="G53" s="7" t="s">
        <v>1004</v>
      </c>
      <c r="H53" s="7" t="s">
        <v>406</v>
      </c>
      <c r="I53" s="7" t="s">
        <v>1006</v>
      </c>
      <c r="J53" s="8" t="n">
        <v>45474</v>
      </c>
      <c r="K53" s="7" t="n">
        <f aca="false">J53-B53</f>
        <v>38</v>
      </c>
    </row>
    <row r="54" customFormat="false" ht="15" hidden="false" customHeight="false" outlineLevel="0" collapsed="false">
      <c r="A54" s="7" t="s">
        <v>2811</v>
      </c>
      <c r="B54" s="8" t="n">
        <v>45803</v>
      </c>
      <c r="C54" s="7" t="s">
        <v>34</v>
      </c>
      <c r="D54" s="7" t="s">
        <v>75</v>
      </c>
      <c r="E54" s="7" t="s">
        <v>2750</v>
      </c>
      <c r="F54" s="7" t="s">
        <v>2754</v>
      </c>
      <c r="G54" s="7" t="s">
        <v>1004</v>
      </c>
      <c r="H54" s="7" t="s">
        <v>395</v>
      </c>
      <c r="I54" s="7" t="s">
        <v>1006</v>
      </c>
      <c r="J54" s="8" t="n">
        <v>45862</v>
      </c>
      <c r="K54" s="7" t="n">
        <f aca="false">J54-B54</f>
        <v>59</v>
      </c>
    </row>
    <row r="55" customFormat="false" ht="15" hidden="false" customHeight="false" outlineLevel="0" collapsed="false">
      <c r="A55" s="7" t="s">
        <v>2812</v>
      </c>
      <c r="B55" s="8" t="n">
        <v>45671</v>
      </c>
      <c r="C55" s="7" t="s">
        <v>34</v>
      </c>
      <c r="D55" s="7" t="s">
        <v>60</v>
      </c>
      <c r="E55" s="7" t="s">
        <v>2760</v>
      </c>
      <c r="F55" s="7" t="s">
        <v>2768</v>
      </c>
      <c r="G55" s="7" t="s">
        <v>1004</v>
      </c>
      <c r="H55" s="7" t="s">
        <v>387</v>
      </c>
      <c r="I55" s="7" t="s">
        <v>2758</v>
      </c>
      <c r="J55" s="8" t="n">
        <v>45738</v>
      </c>
      <c r="K55" s="7" t="n">
        <f aca="false">J55-B55</f>
        <v>67</v>
      </c>
    </row>
    <row r="56" customFormat="false" ht="15" hidden="false" customHeight="false" outlineLevel="0" collapsed="false">
      <c r="A56" s="7" t="s">
        <v>2813</v>
      </c>
      <c r="B56" s="8" t="n">
        <v>45814</v>
      </c>
      <c r="C56" s="7" t="s">
        <v>43</v>
      </c>
      <c r="D56" s="7" t="s">
        <v>83</v>
      </c>
      <c r="E56" s="7" t="s">
        <v>2767</v>
      </c>
      <c r="F56" s="7" t="s">
        <v>2745</v>
      </c>
      <c r="G56" s="7" t="s">
        <v>1004</v>
      </c>
      <c r="H56" s="7" t="s">
        <v>391</v>
      </c>
      <c r="I56" s="7" t="s">
        <v>2770</v>
      </c>
      <c r="J56" s="8" t="n">
        <v>45885</v>
      </c>
      <c r="K56" s="7" t="n">
        <f aca="false">J56-B56</f>
        <v>71</v>
      </c>
    </row>
    <row r="57" customFormat="false" ht="15" hidden="false" customHeight="false" outlineLevel="0" collapsed="false">
      <c r="A57" s="7" t="s">
        <v>2814</v>
      </c>
      <c r="B57" s="8" t="n">
        <v>45654</v>
      </c>
      <c r="C57" s="7" t="s">
        <v>40</v>
      </c>
      <c r="D57" s="7" t="s">
        <v>65</v>
      </c>
      <c r="E57" s="7" t="s">
        <v>2750</v>
      </c>
      <c r="F57" s="7" t="s">
        <v>2756</v>
      </c>
      <c r="G57" s="7" t="s">
        <v>1004</v>
      </c>
      <c r="H57" s="7" t="s">
        <v>409</v>
      </c>
      <c r="I57" s="7" t="s">
        <v>1006</v>
      </c>
      <c r="J57" s="8" t="n">
        <v>45716</v>
      </c>
      <c r="K57" s="7" t="n">
        <f aca="false">J57-B57</f>
        <v>62</v>
      </c>
    </row>
    <row r="58" customFormat="false" ht="15" hidden="false" customHeight="false" outlineLevel="0" collapsed="false">
      <c r="A58" s="7" t="s">
        <v>2815</v>
      </c>
      <c r="B58" s="8" t="n">
        <v>45890</v>
      </c>
      <c r="C58" s="7" t="s">
        <v>49</v>
      </c>
      <c r="D58" s="7" t="s">
        <v>75</v>
      </c>
      <c r="E58" s="7" t="s">
        <v>2763</v>
      </c>
      <c r="F58" s="7" t="s">
        <v>2748</v>
      </c>
      <c r="G58" s="7" t="s">
        <v>1026</v>
      </c>
      <c r="H58" s="7" t="s">
        <v>387</v>
      </c>
      <c r="I58" s="7" t="s">
        <v>1006</v>
      </c>
      <c r="J58" s="8" t="n">
        <v>45920</v>
      </c>
      <c r="K58" s="7" t="n">
        <f aca="false">J58-B58</f>
        <v>30</v>
      </c>
    </row>
    <row r="59" customFormat="false" ht="15" hidden="false" customHeight="false" outlineLevel="0" collapsed="false">
      <c r="A59" s="7" t="s">
        <v>2816</v>
      </c>
      <c r="B59" s="8" t="n">
        <v>45437</v>
      </c>
      <c r="C59" s="7" t="s">
        <v>25</v>
      </c>
      <c r="D59" s="7" t="s">
        <v>75</v>
      </c>
      <c r="E59" s="7" t="s">
        <v>2753</v>
      </c>
      <c r="F59" s="7" t="s">
        <v>2756</v>
      </c>
      <c r="G59" s="7" t="s">
        <v>1009</v>
      </c>
      <c r="H59" s="7" t="s">
        <v>404</v>
      </c>
      <c r="I59" s="7" t="s">
        <v>1006</v>
      </c>
      <c r="J59" s="8" t="n">
        <v>45515</v>
      </c>
      <c r="K59" s="7" t="n">
        <f aca="false">J59-B59</f>
        <v>78</v>
      </c>
    </row>
    <row r="60" customFormat="false" ht="15" hidden="false" customHeight="false" outlineLevel="0" collapsed="false">
      <c r="A60" s="7" t="s">
        <v>2817</v>
      </c>
      <c r="B60" s="8" t="n">
        <v>45506</v>
      </c>
      <c r="C60" s="7" t="s">
        <v>31</v>
      </c>
      <c r="D60" s="7" t="s">
        <v>83</v>
      </c>
      <c r="E60" s="7" t="s">
        <v>2774</v>
      </c>
      <c r="F60" s="7" t="s">
        <v>2768</v>
      </c>
      <c r="G60" s="7" t="s">
        <v>1009</v>
      </c>
      <c r="H60" s="7" t="s">
        <v>391</v>
      </c>
      <c r="I60" s="7" t="s">
        <v>1006</v>
      </c>
      <c r="J60" s="8" t="n">
        <v>45559</v>
      </c>
      <c r="K60" s="7" t="n">
        <f aca="false">J60-B60</f>
        <v>53</v>
      </c>
    </row>
    <row r="61" customFormat="false" ht="15" hidden="false" customHeight="false" outlineLevel="0" collapsed="false">
      <c r="A61" s="7" t="s">
        <v>2818</v>
      </c>
      <c r="B61" s="8" t="n">
        <v>45618</v>
      </c>
      <c r="C61" s="7" t="s">
        <v>46</v>
      </c>
      <c r="D61" s="7" t="s">
        <v>68</v>
      </c>
      <c r="E61" s="7" t="s">
        <v>2753</v>
      </c>
      <c r="F61" s="7" t="s">
        <v>2768</v>
      </c>
      <c r="G61" s="7" t="s">
        <v>1026</v>
      </c>
      <c r="H61" s="7" t="s">
        <v>411</v>
      </c>
      <c r="I61" s="7" t="s">
        <v>1006</v>
      </c>
      <c r="J61" s="8" t="n">
        <v>45643</v>
      </c>
      <c r="K61" s="7" t="n">
        <f aca="false">J61-B61</f>
        <v>25</v>
      </c>
    </row>
    <row r="62" customFormat="false" ht="15" hidden="false" customHeight="false" outlineLevel="0" collapsed="false">
      <c r="A62" s="7" t="s">
        <v>2819</v>
      </c>
      <c r="B62" s="8" t="n">
        <v>45583</v>
      </c>
      <c r="C62" s="7" t="s">
        <v>37</v>
      </c>
      <c r="D62" s="7" t="s">
        <v>71</v>
      </c>
      <c r="E62" s="7" t="s">
        <v>2763</v>
      </c>
      <c r="F62" s="7" t="s">
        <v>2756</v>
      </c>
      <c r="G62" s="7" t="s">
        <v>1026</v>
      </c>
      <c r="H62" s="7" t="s">
        <v>402</v>
      </c>
      <c r="I62" s="7" t="s">
        <v>2770</v>
      </c>
      <c r="J62" s="8" t="n">
        <v>45664</v>
      </c>
      <c r="K62" s="7" t="n">
        <f aca="false">J62-B62</f>
        <v>81</v>
      </c>
    </row>
    <row r="63" customFormat="false" ht="15" hidden="false" customHeight="false" outlineLevel="0" collapsed="false">
      <c r="A63" s="7" t="s">
        <v>2820</v>
      </c>
      <c r="B63" s="8" t="n">
        <v>45783</v>
      </c>
      <c r="C63" s="7" t="s">
        <v>37</v>
      </c>
      <c r="D63" s="7" t="s">
        <v>87</v>
      </c>
      <c r="E63" s="7" t="s">
        <v>2774</v>
      </c>
      <c r="F63" s="7" t="s">
        <v>2754</v>
      </c>
      <c r="G63" s="7" t="s">
        <v>1004</v>
      </c>
      <c r="H63" s="7" t="s">
        <v>399</v>
      </c>
      <c r="I63" s="7" t="s">
        <v>1006</v>
      </c>
      <c r="J63" s="8" t="n">
        <v>45803</v>
      </c>
      <c r="K63" s="7" t="n">
        <f aca="false">J63-B63</f>
        <v>20</v>
      </c>
    </row>
    <row r="64" customFormat="false" ht="15" hidden="false" customHeight="false" outlineLevel="0" collapsed="false">
      <c r="A64" s="7" t="s">
        <v>2821</v>
      </c>
      <c r="B64" s="8" t="n">
        <v>45667</v>
      </c>
      <c r="C64" s="7" t="s">
        <v>40</v>
      </c>
      <c r="D64" s="7" t="s">
        <v>71</v>
      </c>
      <c r="E64" s="7" t="s">
        <v>2767</v>
      </c>
      <c r="F64" s="7" t="s">
        <v>2745</v>
      </c>
      <c r="G64" s="7" t="s">
        <v>1009</v>
      </c>
      <c r="H64" s="7" t="s">
        <v>406</v>
      </c>
      <c r="I64" s="7" t="s">
        <v>2758</v>
      </c>
      <c r="J64" s="8" t="n">
        <v>45754</v>
      </c>
      <c r="K64" s="7" t="n">
        <f aca="false">J64-B64</f>
        <v>87</v>
      </c>
    </row>
    <row r="65" customFormat="false" ht="15" hidden="false" customHeight="false" outlineLevel="0" collapsed="false">
      <c r="A65" s="7" t="s">
        <v>2822</v>
      </c>
      <c r="B65" s="8" t="n">
        <v>45948</v>
      </c>
      <c r="C65" s="7" t="s">
        <v>40</v>
      </c>
      <c r="D65" s="7" t="s">
        <v>65</v>
      </c>
      <c r="E65" s="7" t="s">
        <v>2760</v>
      </c>
      <c r="F65" s="7" t="s">
        <v>2748</v>
      </c>
      <c r="G65" s="7" t="s">
        <v>1004</v>
      </c>
      <c r="H65" s="7" t="s">
        <v>402</v>
      </c>
      <c r="I65" s="7" t="s">
        <v>2758</v>
      </c>
      <c r="J65" s="8" t="n">
        <v>46011</v>
      </c>
      <c r="K65" s="7" t="n">
        <f aca="false">J65-B65</f>
        <v>63</v>
      </c>
    </row>
    <row r="66" customFormat="false" ht="15" hidden="false" customHeight="false" outlineLevel="0" collapsed="false">
      <c r="A66" s="7" t="s">
        <v>2823</v>
      </c>
      <c r="B66" s="8" t="n">
        <v>46009</v>
      </c>
      <c r="C66" s="7" t="s">
        <v>52</v>
      </c>
      <c r="D66" s="7" t="s">
        <v>71</v>
      </c>
      <c r="E66" s="7" t="s">
        <v>2774</v>
      </c>
      <c r="F66" s="7" t="s">
        <v>2751</v>
      </c>
      <c r="G66" s="7" t="s">
        <v>467</v>
      </c>
      <c r="H66" s="7" t="s">
        <v>404</v>
      </c>
      <c r="I66" s="7" t="s">
        <v>1006</v>
      </c>
      <c r="J66" s="8" t="n">
        <v>46044</v>
      </c>
      <c r="K66" s="7" t="n">
        <f aca="false">J66-B66</f>
        <v>35</v>
      </c>
    </row>
    <row r="67" customFormat="false" ht="15" hidden="false" customHeight="false" outlineLevel="0" collapsed="false">
      <c r="A67" s="7" t="s">
        <v>2824</v>
      </c>
      <c r="B67" s="8" t="n">
        <v>45499</v>
      </c>
      <c r="C67" s="7" t="s">
        <v>31</v>
      </c>
      <c r="D67" s="7" t="s">
        <v>87</v>
      </c>
      <c r="E67" s="7" t="s">
        <v>2747</v>
      </c>
      <c r="F67" s="7" t="s">
        <v>2754</v>
      </c>
      <c r="G67" s="7" t="s">
        <v>1004</v>
      </c>
      <c r="H67" s="7" t="s">
        <v>399</v>
      </c>
      <c r="I67" s="7" t="s">
        <v>1006</v>
      </c>
      <c r="J67" s="8" t="n">
        <v>45541</v>
      </c>
      <c r="K67" s="7" t="n">
        <f aca="false">J67-B67</f>
        <v>42</v>
      </c>
    </row>
    <row r="68" customFormat="false" ht="15" hidden="false" customHeight="false" outlineLevel="0" collapsed="false">
      <c r="A68" s="7" t="s">
        <v>2825</v>
      </c>
      <c r="B68" s="8" t="n">
        <v>45335</v>
      </c>
      <c r="C68" s="7" t="s">
        <v>37</v>
      </c>
      <c r="D68" s="7" t="s">
        <v>75</v>
      </c>
      <c r="E68" s="7" t="s">
        <v>2774</v>
      </c>
      <c r="F68" s="7" t="s">
        <v>2748</v>
      </c>
      <c r="G68" s="7" t="s">
        <v>1026</v>
      </c>
      <c r="H68" s="7" t="s">
        <v>401</v>
      </c>
      <c r="I68" s="7" t="s">
        <v>2758</v>
      </c>
      <c r="J68" s="8" t="n">
        <v>45395</v>
      </c>
      <c r="K68" s="7" t="n">
        <f aca="false">J68-B68</f>
        <v>60</v>
      </c>
    </row>
    <row r="69" customFormat="false" ht="15" hidden="false" customHeight="false" outlineLevel="0" collapsed="false">
      <c r="A69" s="7" t="s">
        <v>2826</v>
      </c>
      <c r="B69" s="8" t="n">
        <v>45584</v>
      </c>
      <c r="C69" s="7" t="s">
        <v>43</v>
      </c>
      <c r="D69" s="7" t="s">
        <v>79</v>
      </c>
      <c r="E69" s="7" t="s">
        <v>2747</v>
      </c>
      <c r="F69" s="7" t="s">
        <v>2751</v>
      </c>
      <c r="G69" s="7" t="s">
        <v>467</v>
      </c>
      <c r="H69" s="7" t="s">
        <v>406</v>
      </c>
      <c r="I69" s="7" t="s">
        <v>2758</v>
      </c>
      <c r="J69" s="8" t="n">
        <v>45650</v>
      </c>
      <c r="K69" s="7" t="n">
        <f aca="false">J69-B69</f>
        <v>66</v>
      </c>
    </row>
    <row r="70" customFormat="false" ht="15" hidden="false" customHeight="false" outlineLevel="0" collapsed="false">
      <c r="A70" s="7" t="s">
        <v>2827</v>
      </c>
      <c r="B70" s="8" t="n">
        <v>45852</v>
      </c>
      <c r="C70" s="7" t="s">
        <v>49</v>
      </c>
      <c r="D70" s="7" t="s">
        <v>71</v>
      </c>
      <c r="E70" s="7" t="s">
        <v>2747</v>
      </c>
      <c r="F70" s="7" t="s">
        <v>2745</v>
      </c>
      <c r="G70" s="7" t="s">
        <v>1026</v>
      </c>
      <c r="H70" s="7" t="s">
        <v>407</v>
      </c>
      <c r="I70" s="7" t="s">
        <v>1006</v>
      </c>
      <c r="J70" s="8" t="n">
        <v>45877</v>
      </c>
      <c r="K70" s="7" t="n">
        <f aca="false">J70-B70</f>
        <v>25</v>
      </c>
    </row>
    <row r="71" customFormat="false" ht="15" hidden="false" customHeight="false" outlineLevel="0" collapsed="false">
      <c r="A71" s="7" t="s">
        <v>2828</v>
      </c>
      <c r="B71" s="8" t="n">
        <v>45617</v>
      </c>
      <c r="C71" s="7" t="s">
        <v>43</v>
      </c>
      <c r="D71" s="7" t="s">
        <v>87</v>
      </c>
      <c r="E71" s="7" t="s">
        <v>2753</v>
      </c>
      <c r="F71" s="7" t="s">
        <v>2745</v>
      </c>
      <c r="G71" s="7" t="s">
        <v>1026</v>
      </c>
      <c r="H71" s="7" t="s">
        <v>394</v>
      </c>
      <c r="I71" s="7" t="s">
        <v>1006</v>
      </c>
      <c r="J71" s="8" t="n">
        <v>45636</v>
      </c>
      <c r="K71" s="7" t="n">
        <f aca="false">J71-B71</f>
        <v>19</v>
      </c>
    </row>
    <row r="72" customFormat="false" ht="15" hidden="false" customHeight="false" outlineLevel="0" collapsed="false">
      <c r="A72" s="7" t="s">
        <v>2829</v>
      </c>
      <c r="B72" s="8" t="n">
        <v>45872</v>
      </c>
      <c r="C72" s="7" t="s">
        <v>25</v>
      </c>
      <c r="D72" s="7" t="s">
        <v>79</v>
      </c>
      <c r="E72" s="7" t="s">
        <v>2774</v>
      </c>
      <c r="F72" s="7" t="s">
        <v>2754</v>
      </c>
      <c r="G72" s="7" t="s">
        <v>1004</v>
      </c>
      <c r="H72" s="7" t="s">
        <v>389</v>
      </c>
      <c r="I72" s="7" t="s">
        <v>2758</v>
      </c>
      <c r="J72" s="8" t="n">
        <v>45890</v>
      </c>
      <c r="K72" s="7" t="n">
        <f aca="false">J72-B72</f>
        <v>18</v>
      </c>
    </row>
    <row r="73" customFormat="false" ht="15" hidden="false" customHeight="false" outlineLevel="0" collapsed="false">
      <c r="A73" s="7" t="s">
        <v>2830</v>
      </c>
      <c r="B73" s="8" t="n">
        <v>45503</v>
      </c>
      <c r="C73" s="7" t="s">
        <v>49</v>
      </c>
      <c r="D73" s="7" t="s">
        <v>71</v>
      </c>
      <c r="E73" s="7" t="s">
        <v>2763</v>
      </c>
      <c r="F73" s="7" t="s">
        <v>2751</v>
      </c>
      <c r="G73" s="7" t="s">
        <v>467</v>
      </c>
      <c r="H73" s="7" t="s">
        <v>402</v>
      </c>
      <c r="I73" s="7" t="s">
        <v>1006</v>
      </c>
      <c r="J73" s="8" t="n">
        <v>45533</v>
      </c>
      <c r="K73" s="7" t="n">
        <f aca="false">J73-B73</f>
        <v>30</v>
      </c>
    </row>
    <row r="74" customFormat="false" ht="15" hidden="false" customHeight="false" outlineLevel="0" collapsed="false">
      <c r="A74" s="7" t="s">
        <v>2831</v>
      </c>
      <c r="B74" s="8" t="n">
        <v>45783</v>
      </c>
      <c r="C74" s="7" t="s">
        <v>52</v>
      </c>
      <c r="D74" s="7" t="s">
        <v>75</v>
      </c>
      <c r="E74" s="7" t="s">
        <v>2774</v>
      </c>
      <c r="F74" s="7" t="s">
        <v>2745</v>
      </c>
      <c r="G74" s="7" t="s">
        <v>1004</v>
      </c>
      <c r="H74" s="7" t="s">
        <v>404</v>
      </c>
      <c r="I74" s="7" t="s">
        <v>1006</v>
      </c>
      <c r="J74" s="8" t="n">
        <v>45832</v>
      </c>
      <c r="K74" s="7" t="n">
        <f aca="false">J74-B74</f>
        <v>49</v>
      </c>
    </row>
    <row r="75" customFormat="false" ht="15" hidden="false" customHeight="false" outlineLevel="0" collapsed="false">
      <c r="A75" s="7" t="s">
        <v>2832</v>
      </c>
      <c r="B75" s="8" t="n">
        <v>45851</v>
      </c>
      <c r="C75" s="7" t="s">
        <v>52</v>
      </c>
      <c r="D75" s="7" t="s">
        <v>65</v>
      </c>
      <c r="E75" s="7" t="s">
        <v>2760</v>
      </c>
      <c r="F75" s="7" t="s">
        <v>2748</v>
      </c>
      <c r="G75" s="7" t="s">
        <v>1026</v>
      </c>
      <c r="H75" s="7" t="s">
        <v>401</v>
      </c>
      <c r="I75" s="7" t="s">
        <v>2770</v>
      </c>
      <c r="J75" s="8" t="n">
        <v>45874</v>
      </c>
      <c r="K75" s="7" t="n">
        <f aca="false">J75-B75</f>
        <v>23</v>
      </c>
    </row>
    <row r="76" customFormat="false" ht="15" hidden="false" customHeight="false" outlineLevel="0" collapsed="false">
      <c r="A76" s="7" t="s">
        <v>2833</v>
      </c>
      <c r="B76" s="8" t="n">
        <v>45849</v>
      </c>
      <c r="C76" s="7" t="s">
        <v>52</v>
      </c>
      <c r="D76" s="7" t="s">
        <v>87</v>
      </c>
      <c r="E76" s="7" t="s">
        <v>2767</v>
      </c>
      <c r="F76" s="7" t="s">
        <v>2768</v>
      </c>
      <c r="G76" s="7" t="s">
        <v>1004</v>
      </c>
      <c r="H76" s="7" t="s">
        <v>395</v>
      </c>
      <c r="I76" s="7" t="s">
        <v>1006</v>
      </c>
      <c r="J76" s="8" t="n">
        <v>45871</v>
      </c>
      <c r="K76" s="7" t="n">
        <f aca="false">J76-B76</f>
        <v>22</v>
      </c>
    </row>
    <row r="77" customFormat="false" ht="15" hidden="false" customHeight="false" outlineLevel="0" collapsed="false">
      <c r="A77" s="7" t="s">
        <v>2834</v>
      </c>
      <c r="B77" s="8" t="n">
        <v>45726</v>
      </c>
      <c r="C77" s="7" t="s">
        <v>34</v>
      </c>
      <c r="D77" s="7" t="s">
        <v>65</v>
      </c>
      <c r="E77" s="7" t="s">
        <v>2750</v>
      </c>
      <c r="F77" s="7" t="s">
        <v>2756</v>
      </c>
      <c r="G77" s="7" t="s">
        <v>1026</v>
      </c>
      <c r="H77" s="7" t="s">
        <v>413</v>
      </c>
      <c r="I77" s="7" t="s">
        <v>2758</v>
      </c>
      <c r="J77" s="8" t="n">
        <v>45784</v>
      </c>
      <c r="K77" s="7" t="n">
        <f aca="false">J77-B77</f>
        <v>58</v>
      </c>
    </row>
    <row r="78" customFormat="false" ht="15" hidden="false" customHeight="false" outlineLevel="0" collapsed="false">
      <c r="A78" s="7" t="s">
        <v>2835</v>
      </c>
      <c r="B78" s="8" t="n">
        <v>45409</v>
      </c>
      <c r="C78" s="7" t="s">
        <v>34</v>
      </c>
      <c r="D78" s="7" t="s">
        <v>71</v>
      </c>
      <c r="E78" s="7" t="s">
        <v>2774</v>
      </c>
      <c r="F78" s="7" t="s">
        <v>2754</v>
      </c>
      <c r="G78" s="7" t="s">
        <v>1026</v>
      </c>
      <c r="H78" s="7" t="s">
        <v>406</v>
      </c>
      <c r="I78" s="7" t="s">
        <v>2758</v>
      </c>
      <c r="J78" s="8" t="n">
        <v>45458</v>
      </c>
      <c r="K78" s="7" t="n">
        <f aca="false">J78-B78</f>
        <v>49</v>
      </c>
    </row>
    <row r="79" customFormat="false" ht="15" hidden="false" customHeight="false" outlineLevel="0" collapsed="false">
      <c r="A79" s="7" t="s">
        <v>2836</v>
      </c>
      <c r="B79" s="8" t="n">
        <v>45506</v>
      </c>
      <c r="C79" s="7" t="s">
        <v>25</v>
      </c>
      <c r="D79" s="7" t="s">
        <v>71</v>
      </c>
      <c r="E79" s="7" t="s">
        <v>2744</v>
      </c>
      <c r="F79" s="7" t="s">
        <v>2768</v>
      </c>
      <c r="G79" s="7" t="s">
        <v>1004</v>
      </c>
      <c r="H79" s="7" t="s">
        <v>413</v>
      </c>
      <c r="I79" s="7" t="s">
        <v>1006</v>
      </c>
      <c r="J79" s="8" t="n">
        <v>45575</v>
      </c>
      <c r="K79" s="7" t="n">
        <f aca="false">J79-B79</f>
        <v>69</v>
      </c>
    </row>
    <row r="80" customFormat="false" ht="15" hidden="false" customHeight="false" outlineLevel="0" collapsed="false">
      <c r="A80" s="7" t="s">
        <v>2837</v>
      </c>
      <c r="B80" s="8" t="n">
        <v>45855</v>
      </c>
      <c r="C80" s="7" t="s">
        <v>52</v>
      </c>
      <c r="D80" s="7" t="s">
        <v>71</v>
      </c>
      <c r="E80" s="7" t="s">
        <v>2747</v>
      </c>
      <c r="F80" s="7" t="s">
        <v>2751</v>
      </c>
      <c r="G80" s="7" t="s">
        <v>467</v>
      </c>
      <c r="H80" s="7" t="s">
        <v>397</v>
      </c>
      <c r="I80" s="7" t="s">
        <v>2758</v>
      </c>
      <c r="J80" s="8" t="n">
        <v>45913</v>
      </c>
      <c r="K80" s="7" t="n">
        <f aca="false">J80-B80</f>
        <v>58</v>
      </c>
    </row>
    <row r="81" customFormat="false" ht="15" hidden="false" customHeight="false" outlineLevel="0" collapsed="false">
      <c r="A81" s="7" t="s">
        <v>2838</v>
      </c>
      <c r="B81" s="8" t="n">
        <v>45367</v>
      </c>
      <c r="C81" s="7" t="s">
        <v>49</v>
      </c>
      <c r="D81" s="7" t="s">
        <v>71</v>
      </c>
      <c r="E81" s="7" t="s">
        <v>2747</v>
      </c>
      <c r="F81" s="7" t="s">
        <v>2754</v>
      </c>
      <c r="G81" s="7" t="s">
        <v>1009</v>
      </c>
      <c r="H81" s="7" t="s">
        <v>402</v>
      </c>
      <c r="I81" s="7" t="s">
        <v>2758</v>
      </c>
      <c r="J81" s="8" t="n">
        <v>45395</v>
      </c>
      <c r="K81" s="7" t="n">
        <f aca="false">J81-B81</f>
        <v>28</v>
      </c>
    </row>
    <row r="82" customFormat="false" ht="15" hidden="false" customHeight="false" outlineLevel="0" collapsed="false">
      <c r="A82" s="7" t="s">
        <v>2839</v>
      </c>
      <c r="B82" s="8" t="n">
        <v>45927</v>
      </c>
      <c r="C82" s="7" t="s">
        <v>43</v>
      </c>
      <c r="D82" s="7" t="s">
        <v>83</v>
      </c>
      <c r="E82" s="7" t="s">
        <v>2760</v>
      </c>
      <c r="F82" s="7" t="s">
        <v>2754</v>
      </c>
      <c r="G82" s="7" t="s">
        <v>1004</v>
      </c>
      <c r="H82" s="7" t="s">
        <v>399</v>
      </c>
      <c r="I82" s="7" t="s">
        <v>2770</v>
      </c>
      <c r="J82" s="8" t="n">
        <v>45990</v>
      </c>
      <c r="K82" s="7" t="n">
        <f aca="false">J82-B82</f>
        <v>63</v>
      </c>
    </row>
    <row r="83" customFormat="false" ht="15" hidden="false" customHeight="false" outlineLevel="0" collapsed="false">
      <c r="A83" s="7" t="s">
        <v>2840</v>
      </c>
      <c r="B83" s="8" t="n">
        <v>45443</v>
      </c>
      <c r="C83" s="7" t="s">
        <v>40</v>
      </c>
      <c r="D83" s="7" t="s">
        <v>65</v>
      </c>
      <c r="E83" s="7" t="s">
        <v>2747</v>
      </c>
      <c r="F83" s="7" t="s">
        <v>2751</v>
      </c>
      <c r="G83" s="7" t="s">
        <v>467</v>
      </c>
      <c r="H83" s="7" t="s">
        <v>404</v>
      </c>
      <c r="I83" s="7" t="s">
        <v>2758</v>
      </c>
      <c r="J83" s="8" t="n">
        <v>45516</v>
      </c>
      <c r="K83" s="7" t="n">
        <f aca="false">J83-B83</f>
        <v>73</v>
      </c>
    </row>
    <row r="84" customFormat="false" ht="15" hidden="false" customHeight="false" outlineLevel="0" collapsed="false">
      <c r="A84" s="7" t="s">
        <v>2841</v>
      </c>
      <c r="B84" s="8" t="n">
        <v>45726</v>
      </c>
      <c r="C84" s="7" t="s">
        <v>25</v>
      </c>
      <c r="D84" s="7" t="s">
        <v>87</v>
      </c>
      <c r="E84" s="7" t="s">
        <v>2774</v>
      </c>
      <c r="F84" s="7" t="s">
        <v>2756</v>
      </c>
      <c r="G84" s="7" t="s">
        <v>1009</v>
      </c>
      <c r="H84" s="7" t="s">
        <v>389</v>
      </c>
      <c r="I84" s="7" t="s">
        <v>2770</v>
      </c>
      <c r="J84" s="8" t="n">
        <v>45806</v>
      </c>
      <c r="K84" s="7" t="n">
        <f aca="false">J84-B84</f>
        <v>80</v>
      </c>
    </row>
    <row r="85" customFormat="false" ht="15" hidden="false" customHeight="false" outlineLevel="0" collapsed="false">
      <c r="A85" s="7" t="s">
        <v>2842</v>
      </c>
      <c r="B85" s="8" t="n">
        <v>45521</v>
      </c>
      <c r="C85" s="7" t="s">
        <v>34</v>
      </c>
      <c r="D85" s="7" t="s">
        <v>83</v>
      </c>
      <c r="E85" s="7" t="s">
        <v>2763</v>
      </c>
      <c r="F85" s="7" t="s">
        <v>2754</v>
      </c>
      <c r="G85" s="7" t="s">
        <v>1026</v>
      </c>
      <c r="H85" s="7" t="s">
        <v>404</v>
      </c>
      <c r="I85" s="7" t="s">
        <v>1006</v>
      </c>
      <c r="J85" s="8" t="n">
        <v>45587</v>
      </c>
      <c r="K85" s="7" t="n">
        <f aca="false">J85-B85</f>
        <v>66</v>
      </c>
    </row>
    <row r="86" customFormat="false" ht="15" hidden="false" customHeight="false" outlineLevel="0" collapsed="false">
      <c r="A86" s="7" t="s">
        <v>2843</v>
      </c>
      <c r="B86" s="8" t="n">
        <v>45518</v>
      </c>
      <c r="C86" s="7" t="s">
        <v>25</v>
      </c>
      <c r="D86" s="7" t="s">
        <v>75</v>
      </c>
      <c r="E86" s="7" t="s">
        <v>2767</v>
      </c>
      <c r="F86" s="7" t="s">
        <v>2748</v>
      </c>
      <c r="G86" s="7" t="s">
        <v>1026</v>
      </c>
      <c r="H86" s="7" t="s">
        <v>409</v>
      </c>
      <c r="I86" s="7" t="s">
        <v>2770</v>
      </c>
      <c r="J86" s="8" t="n">
        <v>45548</v>
      </c>
      <c r="K86" s="7" t="n">
        <f aca="false">J86-B86</f>
        <v>30</v>
      </c>
    </row>
    <row r="87" customFormat="false" ht="15" hidden="false" customHeight="false" outlineLevel="0" collapsed="false">
      <c r="A87" s="7" t="s">
        <v>2844</v>
      </c>
      <c r="B87" s="8" t="n">
        <v>45484</v>
      </c>
      <c r="C87" s="7" t="s">
        <v>37</v>
      </c>
      <c r="D87" s="7" t="s">
        <v>68</v>
      </c>
      <c r="E87" s="7" t="s">
        <v>2753</v>
      </c>
      <c r="F87" s="7" t="s">
        <v>2748</v>
      </c>
      <c r="G87" s="7" t="s">
        <v>1009</v>
      </c>
      <c r="H87" s="7" t="s">
        <v>413</v>
      </c>
      <c r="I87" s="7" t="s">
        <v>1006</v>
      </c>
      <c r="J87" s="8" t="n">
        <v>45563</v>
      </c>
      <c r="K87" s="7" t="n">
        <f aca="false">J87-B87</f>
        <v>79</v>
      </c>
    </row>
    <row r="88" customFormat="false" ht="15" hidden="false" customHeight="false" outlineLevel="0" collapsed="false">
      <c r="A88" s="7" t="s">
        <v>2845</v>
      </c>
      <c r="B88" s="8" t="n">
        <v>45406</v>
      </c>
      <c r="C88" s="7" t="s">
        <v>25</v>
      </c>
      <c r="D88" s="7" t="s">
        <v>87</v>
      </c>
      <c r="E88" s="7" t="s">
        <v>2760</v>
      </c>
      <c r="F88" s="7" t="s">
        <v>2748</v>
      </c>
      <c r="G88" s="7" t="s">
        <v>1004</v>
      </c>
      <c r="H88" s="7" t="s">
        <v>411</v>
      </c>
      <c r="I88" s="7" t="s">
        <v>1006</v>
      </c>
      <c r="J88" s="8" t="n">
        <v>45490</v>
      </c>
      <c r="K88" s="7" t="n">
        <f aca="false">J88-B88</f>
        <v>84</v>
      </c>
    </row>
    <row r="89" customFormat="false" ht="15" hidden="false" customHeight="false" outlineLevel="0" collapsed="false">
      <c r="A89" s="7" t="s">
        <v>2846</v>
      </c>
      <c r="B89" s="8" t="n">
        <v>45780</v>
      </c>
      <c r="C89" s="7" t="s">
        <v>31</v>
      </c>
      <c r="D89" s="7" t="s">
        <v>60</v>
      </c>
      <c r="E89" s="7" t="s">
        <v>2760</v>
      </c>
      <c r="F89" s="7" t="s">
        <v>2745</v>
      </c>
      <c r="G89" s="7" t="s">
        <v>1026</v>
      </c>
      <c r="H89" s="7" t="s">
        <v>406</v>
      </c>
      <c r="I89" s="7" t="s">
        <v>1006</v>
      </c>
      <c r="J89" s="8" t="n">
        <v>45832</v>
      </c>
      <c r="K89" s="7" t="n">
        <f aca="false">J89-B89</f>
        <v>52</v>
      </c>
    </row>
    <row r="90" customFormat="false" ht="15" hidden="false" customHeight="false" outlineLevel="0" collapsed="false">
      <c r="A90" s="7" t="s">
        <v>2847</v>
      </c>
      <c r="B90" s="8" t="n">
        <v>45559</v>
      </c>
      <c r="C90" s="7" t="s">
        <v>34</v>
      </c>
      <c r="D90" s="7" t="s">
        <v>83</v>
      </c>
      <c r="E90" s="7" t="s">
        <v>2767</v>
      </c>
      <c r="F90" s="7" t="s">
        <v>2756</v>
      </c>
      <c r="G90" s="7" t="s">
        <v>1009</v>
      </c>
      <c r="H90" s="7" t="s">
        <v>391</v>
      </c>
      <c r="I90" s="7" t="s">
        <v>1006</v>
      </c>
      <c r="J90" s="8" t="n">
        <v>45618</v>
      </c>
      <c r="K90" s="7" t="n">
        <f aca="false">J90-B90</f>
        <v>59</v>
      </c>
    </row>
    <row r="91" customFormat="false" ht="15" hidden="false" customHeight="false" outlineLevel="0" collapsed="false">
      <c r="A91" s="7" t="s">
        <v>2848</v>
      </c>
      <c r="B91" s="8" t="n">
        <v>45714</v>
      </c>
      <c r="C91" s="7" t="s">
        <v>49</v>
      </c>
      <c r="D91" s="7" t="s">
        <v>60</v>
      </c>
      <c r="E91" s="7" t="s">
        <v>2744</v>
      </c>
      <c r="F91" s="7" t="s">
        <v>2754</v>
      </c>
      <c r="G91" s="7" t="s">
        <v>1004</v>
      </c>
      <c r="H91" s="7" t="s">
        <v>407</v>
      </c>
      <c r="I91" s="7" t="s">
        <v>1006</v>
      </c>
      <c r="J91" s="8" t="n">
        <v>45738</v>
      </c>
      <c r="K91" s="7" t="n">
        <f aca="false">J91-B91</f>
        <v>24</v>
      </c>
    </row>
    <row r="92" customFormat="false" ht="15" hidden="false" customHeight="false" outlineLevel="0" collapsed="false">
      <c r="A92" s="7" t="s">
        <v>2849</v>
      </c>
      <c r="B92" s="8" t="n">
        <v>45824</v>
      </c>
      <c r="C92" s="7" t="s">
        <v>52</v>
      </c>
      <c r="D92" s="7" t="s">
        <v>83</v>
      </c>
      <c r="E92" s="7" t="s">
        <v>2767</v>
      </c>
      <c r="F92" s="7" t="s">
        <v>2751</v>
      </c>
      <c r="G92" s="7" t="s">
        <v>467</v>
      </c>
      <c r="H92" s="7" t="s">
        <v>395</v>
      </c>
      <c r="I92" s="7" t="s">
        <v>2758</v>
      </c>
      <c r="J92" s="8" t="n">
        <v>45872</v>
      </c>
      <c r="K92" s="7" t="n">
        <f aca="false">J92-B92</f>
        <v>48</v>
      </c>
    </row>
    <row r="93" customFormat="false" ht="15" hidden="false" customHeight="false" outlineLevel="0" collapsed="false">
      <c r="A93" s="7" t="s">
        <v>2850</v>
      </c>
      <c r="B93" s="8" t="n">
        <v>45950</v>
      </c>
      <c r="C93" s="7" t="s">
        <v>52</v>
      </c>
      <c r="D93" s="7" t="s">
        <v>65</v>
      </c>
      <c r="E93" s="7" t="s">
        <v>2767</v>
      </c>
      <c r="F93" s="7" t="s">
        <v>2748</v>
      </c>
      <c r="G93" s="7" t="s">
        <v>1009</v>
      </c>
      <c r="H93" s="7" t="s">
        <v>402</v>
      </c>
      <c r="I93" s="7" t="s">
        <v>1006</v>
      </c>
      <c r="J93" s="8" t="n">
        <v>45995</v>
      </c>
      <c r="K93" s="7" t="n">
        <f aca="false">J93-B93</f>
        <v>45</v>
      </c>
    </row>
    <row r="94" customFormat="false" ht="15" hidden="false" customHeight="false" outlineLevel="0" collapsed="false">
      <c r="A94" s="7" t="s">
        <v>2851</v>
      </c>
      <c r="B94" s="8" t="n">
        <v>45505</v>
      </c>
      <c r="C94" s="7" t="s">
        <v>34</v>
      </c>
      <c r="D94" s="7" t="s">
        <v>65</v>
      </c>
      <c r="E94" s="7" t="s">
        <v>2760</v>
      </c>
      <c r="F94" s="7" t="s">
        <v>2768</v>
      </c>
      <c r="G94" s="7" t="s">
        <v>1026</v>
      </c>
      <c r="H94" s="7" t="s">
        <v>411</v>
      </c>
      <c r="I94" s="7" t="s">
        <v>1006</v>
      </c>
      <c r="J94" s="8" t="n">
        <v>45520</v>
      </c>
      <c r="K94" s="7" t="n">
        <f aca="false">J94-B94</f>
        <v>15</v>
      </c>
    </row>
    <row r="95" customFormat="false" ht="15" hidden="false" customHeight="false" outlineLevel="0" collapsed="false">
      <c r="A95" s="7" t="s">
        <v>2852</v>
      </c>
      <c r="B95" s="8" t="n">
        <v>45626</v>
      </c>
      <c r="C95" s="7" t="s">
        <v>37</v>
      </c>
      <c r="D95" s="7" t="s">
        <v>79</v>
      </c>
      <c r="E95" s="7" t="s">
        <v>2767</v>
      </c>
      <c r="F95" s="7" t="s">
        <v>2745</v>
      </c>
      <c r="G95" s="7" t="s">
        <v>1009</v>
      </c>
      <c r="H95" s="7" t="s">
        <v>401</v>
      </c>
      <c r="I95" s="7" t="s">
        <v>1006</v>
      </c>
      <c r="J95" s="8" t="n">
        <v>45663</v>
      </c>
      <c r="K95" s="7" t="n">
        <f aca="false">J95-B95</f>
        <v>37</v>
      </c>
    </row>
    <row r="96" customFormat="false" ht="15" hidden="false" customHeight="false" outlineLevel="0" collapsed="false">
      <c r="A96" s="7" t="s">
        <v>2853</v>
      </c>
      <c r="B96" s="8" t="n">
        <v>45336</v>
      </c>
      <c r="C96" s="7" t="s">
        <v>49</v>
      </c>
      <c r="D96" s="7" t="s">
        <v>87</v>
      </c>
      <c r="E96" s="7" t="s">
        <v>2763</v>
      </c>
      <c r="F96" s="7" t="s">
        <v>2768</v>
      </c>
      <c r="G96" s="7" t="s">
        <v>1009</v>
      </c>
      <c r="H96" s="7" t="s">
        <v>406</v>
      </c>
      <c r="I96" s="7" t="s">
        <v>2770</v>
      </c>
      <c r="J96" s="8" t="n">
        <v>45362</v>
      </c>
      <c r="K96" s="7" t="n">
        <f aca="false">J96-B96</f>
        <v>26</v>
      </c>
    </row>
    <row r="97" customFormat="false" ht="15" hidden="false" customHeight="false" outlineLevel="0" collapsed="false">
      <c r="A97" s="7" t="s">
        <v>2854</v>
      </c>
      <c r="B97" s="8" t="n">
        <v>45318</v>
      </c>
      <c r="C97" s="7" t="s">
        <v>40</v>
      </c>
      <c r="D97" s="7" t="s">
        <v>83</v>
      </c>
      <c r="E97" s="7" t="s">
        <v>2760</v>
      </c>
      <c r="F97" s="7" t="s">
        <v>2754</v>
      </c>
      <c r="G97" s="7" t="s">
        <v>1004</v>
      </c>
      <c r="H97" s="7" t="s">
        <v>397</v>
      </c>
      <c r="I97" s="7" t="s">
        <v>2758</v>
      </c>
      <c r="J97" s="8" t="n">
        <v>45394</v>
      </c>
      <c r="K97" s="7" t="n">
        <f aca="false">J97-B97</f>
        <v>76</v>
      </c>
    </row>
    <row r="98" customFormat="false" ht="15" hidden="false" customHeight="false" outlineLevel="0" collapsed="false">
      <c r="A98" s="7" t="s">
        <v>2855</v>
      </c>
      <c r="B98" s="8" t="n">
        <v>45373</v>
      </c>
      <c r="C98" s="7" t="s">
        <v>49</v>
      </c>
      <c r="D98" s="7" t="s">
        <v>79</v>
      </c>
      <c r="E98" s="7" t="s">
        <v>2744</v>
      </c>
      <c r="F98" s="7" t="s">
        <v>2768</v>
      </c>
      <c r="G98" s="7" t="s">
        <v>1004</v>
      </c>
      <c r="H98" s="7" t="s">
        <v>399</v>
      </c>
      <c r="I98" s="7" t="s">
        <v>1006</v>
      </c>
      <c r="J98" s="8" t="n">
        <v>45441</v>
      </c>
      <c r="K98" s="7" t="n">
        <f aca="false">J98-B98</f>
        <v>68</v>
      </c>
    </row>
    <row r="99" customFormat="false" ht="15" hidden="false" customHeight="false" outlineLevel="0" collapsed="false">
      <c r="A99" s="7" t="s">
        <v>2856</v>
      </c>
      <c r="B99" s="8" t="n">
        <v>45839</v>
      </c>
      <c r="C99" s="7" t="s">
        <v>49</v>
      </c>
      <c r="D99" s="7" t="s">
        <v>60</v>
      </c>
      <c r="E99" s="7" t="s">
        <v>2760</v>
      </c>
      <c r="F99" s="7" t="s">
        <v>2751</v>
      </c>
      <c r="G99" s="7" t="s">
        <v>467</v>
      </c>
      <c r="H99" s="7" t="s">
        <v>401</v>
      </c>
      <c r="I99" s="7" t="s">
        <v>1006</v>
      </c>
      <c r="J99" s="8" t="n">
        <v>45884</v>
      </c>
      <c r="K99" s="7" t="n">
        <f aca="false">J99-B99</f>
        <v>45</v>
      </c>
    </row>
    <row r="100" customFormat="false" ht="15" hidden="false" customHeight="false" outlineLevel="0" collapsed="false">
      <c r="A100" s="7" t="s">
        <v>2857</v>
      </c>
      <c r="B100" s="8" t="n">
        <v>45817</v>
      </c>
      <c r="C100" s="7" t="s">
        <v>31</v>
      </c>
      <c r="D100" s="7" t="s">
        <v>60</v>
      </c>
      <c r="E100" s="7" t="s">
        <v>2747</v>
      </c>
      <c r="F100" s="7" t="s">
        <v>2748</v>
      </c>
      <c r="G100" s="7" t="s">
        <v>1004</v>
      </c>
      <c r="H100" s="7" t="s">
        <v>393</v>
      </c>
      <c r="I100" s="7" t="s">
        <v>1006</v>
      </c>
      <c r="J100" s="8" t="n">
        <v>45858</v>
      </c>
      <c r="K100" s="7" t="n">
        <f aca="false">J100-B100</f>
        <v>41</v>
      </c>
    </row>
    <row r="101" customFormat="false" ht="15" hidden="false" customHeight="false" outlineLevel="0" collapsed="false">
      <c r="A101" s="7" t="s">
        <v>2858</v>
      </c>
      <c r="B101" s="8" t="n">
        <v>45455</v>
      </c>
      <c r="C101" s="7" t="s">
        <v>25</v>
      </c>
      <c r="D101" s="7" t="s">
        <v>87</v>
      </c>
      <c r="E101" s="7" t="s">
        <v>2763</v>
      </c>
      <c r="F101" s="7" t="s">
        <v>2754</v>
      </c>
      <c r="G101" s="7" t="s">
        <v>1026</v>
      </c>
      <c r="H101" s="7" t="s">
        <v>413</v>
      </c>
      <c r="I101" s="7" t="s">
        <v>1006</v>
      </c>
      <c r="J101" s="8" t="n">
        <v>45513</v>
      </c>
      <c r="K101" s="7" t="n">
        <f aca="false">J101-B101</f>
        <v>58</v>
      </c>
    </row>
    <row r="102" customFormat="false" ht="15" hidden="false" customHeight="false" outlineLevel="0" collapsed="false">
      <c r="A102" s="7" t="s">
        <v>2859</v>
      </c>
      <c r="B102" s="8" t="n">
        <v>45295</v>
      </c>
      <c r="C102" s="7" t="s">
        <v>31</v>
      </c>
      <c r="D102" s="7" t="s">
        <v>60</v>
      </c>
      <c r="E102" s="7" t="s">
        <v>2767</v>
      </c>
      <c r="F102" s="7" t="s">
        <v>2756</v>
      </c>
      <c r="G102" s="7" t="s">
        <v>1026</v>
      </c>
      <c r="H102" s="7" t="s">
        <v>413</v>
      </c>
      <c r="I102" s="7" t="s">
        <v>2758</v>
      </c>
      <c r="J102" s="8" t="n">
        <v>45371</v>
      </c>
      <c r="K102" s="7" t="n">
        <f aca="false">J102-B102</f>
        <v>76</v>
      </c>
    </row>
    <row r="103" customFormat="false" ht="15" hidden="false" customHeight="false" outlineLevel="0" collapsed="false">
      <c r="A103" s="7" t="s">
        <v>2860</v>
      </c>
      <c r="B103" s="8" t="n">
        <v>45687</v>
      </c>
      <c r="C103" s="7" t="s">
        <v>46</v>
      </c>
      <c r="D103" s="7" t="s">
        <v>60</v>
      </c>
      <c r="E103" s="7" t="s">
        <v>2763</v>
      </c>
      <c r="F103" s="7" t="s">
        <v>2756</v>
      </c>
      <c r="G103" s="7" t="s">
        <v>1004</v>
      </c>
      <c r="H103" s="7" t="s">
        <v>387</v>
      </c>
      <c r="I103" s="7" t="s">
        <v>1006</v>
      </c>
      <c r="J103" s="8" t="n">
        <v>45717</v>
      </c>
      <c r="K103" s="7" t="n">
        <f aca="false">J103-B103</f>
        <v>30</v>
      </c>
    </row>
    <row r="104" customFormat="false" ht="15" hidden="false" customHeight="false" outlineLevel="0" collapsed="false">
      <c r="A104" s="7" t="s">
        <v>2861</v>
      </c>
      <c r="B104" s="8" t="n">
        <v>45829</v>
      </c>
      <c r="C104" s="7" t="s">
        <v>49</v>
      </c>
      <c r="D104" s="7" t="s">
        <v>79</v>
      </c>
      <c r="E104" s="7" t="s">
        <v>2747</v>
      </c>
      <c r="F104" s="7" t="s">
        <v>2751</v>
      </c>
      <c r="G104" s="7" t="s">
        <v>467</v>
      </c>
      <c r="H104" s="7" t="s">
        <v>394</v>
      </c>
      <c r="I104" s="7" t="s">
        <v>2758</v>
      </c>
      <c r="J104" s="8" t="n">
        <v>45914</v>
      </c>
      <c r="K104" s="7" t="n">
        <f aca="false">J104-B104</f>
        <v>85</v>
      </c>
    </row>
    <row r="105" customFormat="false" ht="15" hidden="false" customHeight="false" outlineLevel="0" collapsed="false">
      <c r="A105" s="7" t="s">
        <v>2862</v>
      </c>
      <c r="B105" s="8" t="n">
        <v>45813</v>
      </c>
      <c r="C105" s="7" t="s">
        <v>46</v>
      </c>
      <c r="D105" s="7" t="s">
        <v>71</v>
      </c>
      <c r="E105" s="7" t="s">
        <v>2767</v>
      </c>
      <c r="F105" s="7" t="s">
        <v>2745</v>
      </c>
      <c r="G105" s="7" t="s">
        <v>1004</v>
      </c>
      <c r="H105" s="7" t="s">
        <v>393</v>
      </c>
      <c r="I105" s="7" t="s">
        <v>1006</v>
      </c>
      <c r="J105" s="8" t="n">
        <v>45902</v>
      </c>
      <c r="K105" s="7" t="n">
        <f aca="false">J105-B105</f>
        <v>89</v>
      </c>
    </row>
    <row r="106" customFormat="false" ht="15" hidden="false" customHeight="false" outlineLevel="0" collapsed="false">
      <c r="A106" s="7" t="s">
        <v>2863</v>
      </c>
      <c r="B106" s="8" t="n">
        <v>45993</v>
      </c>
      <c r="C106" s="7" t="s">
        <v>31</v>
      </c>
      <c r="D106" s="7" t="s">
        <v>68</v>
      </c>
      <c r="E106" s="7" t="s">
        <v>2744</v>
      </c>
      <c r="F106" s="7" t="s">
        <v>2748</v>
      </c>
      <c r="G106" s="7" t="s">
        <v>1009</v>
      </c>
      <c r="H106" s="7" t="s">
        <v>395</v>
      </c>
      <c r="I106" s="7" t="s">
        <v>1006</v>
      </c>
      <c r="J106" s="8" t="n">
        <v>46035</v>
      </c>
      <c r="K106" s="7" t="n">
        <f aca="false">J106-B106</f>
        <v>42</v>
      </c>
    </row>
    <row r="107" customFormat="false" ht="15" hidden="false" customHeight="false" outlineLevel="0" collapsed="false">
      <c r="A107" s="7" t="s">
        <v>2864</v>
      </c>
      <c r="B107" s="8" t="n">
        <v>45665</v>
      </c>
      <c r="C107" s="7" t="s">
        <v>43</v>
      </c>
      <c r="D107" s="7" t="s">
        <v>71</v>
      </c>
      <c r="E107" s="7" t="s">
        <v>2753</v>
      </c>
      <c r="F107" s="7" t="s">
        <v>2745</v>
      </c>
      <c r="G107" s="7" t="s">
        <v>1026</v>
      </c>
      <c r="H107" s="7" t="s">
        <v>394</v>
      </c>
      <c r="I107" s="7" t="s">
        <v>1006</v>
      </c>
      <c r="J107" s="8" t="n">
        <v>45710</v>
      </c>
      <c r="K107" s="7" t="n">
        <f aca="false">J107-B107</f>
        <v>45</v>
      </c>
    </row>
    <row r="108" customFormat="false" ht="15" hidden="false" customHeight="false" outlineLevel="0" collapsed="false">
      <c r="A108" s="7" t="s">
        <v>2865</v>
      </c>
      <c r="B108" s="8" t="n">
        <v>46018</v>
      </c>
      <c r="C108" s="7" t="s">
        <v>34</v>
      </c>
      <c r="D108" s="7" t="s">
        <v>83</v>
      </c>
      <c r="E108" s="7" t="s">
        <v>2747</v>
      </c>
      <c r="F108" s="7" t="s">
        <v>2751</v>
      </c>
      <c r="G108" s="7" t="s">
        <v>467</v>
      </c>
      <c r="H108" s="7" t="s">
        <v>394</v>
      </c>
      <c r="I108" s="7" t="s">
        <v>1006</v>
      </c>
      <c r="J108" s="8" t="n">
        <v>46044</v>
      </c>
      <c r="K108" s="7" t="n">
        <f aca="false">J108-B108</f>
        <v>26</v>
      </c>
    </row>
    <row r="109" customFormat="false" ht="15" hidden="false" customHeight="false" outlineLevel="0" collapsed="false">
      <c r="A109" s="7" t="s">
        <v>2866</v>
      </c>
      <c r="B109" s="8" t="n">
        <v>45446</v>
      </c>
      <c r="C109" s="7" t="s">
        <v>52</v>
      </c>
      <c r="D109" s="7" t="s">
        <v>79</v>
      </c>
      <c r="E109" s="7" t="s">
        <v>2747</v>
      </c>
      <c r="F109" s="7" t="s">
        <v>2756</v>
      </c>
      <c r="G109" s="7" t="s">
        <v>1004</v>
      </c>
      <c r="H109" s="7" t="s">
        <v>399</v>
      </c>
      <c r="I109" s="7" t="s">
        <v>2758</v>
      </c>
      <c r="J109" s="8" t="n">
        <v>45489</v>
      </c>
      <c r="K109" s="7" t="n">
        <f aca="false">J109-B109</f>
        <v>43</v>
      </c>
    </row>
    <row r="110" customFormat="false" ht="15" hidden="false" customHeight="false" outlineLevel="0" collapsed="false">
      <c r="A110" s="7" t="s">
        <v>2867</v>
      </c>
      <c r="B110" s="8" t="n">
        <v>46022</v>
      </c>
      <c r="C110" s="7" t="s">
        <v>40</v>
      </c>
      <c r="D110" s="7" t="s">
        <v>71</v>
      </c>
      <c r="E110" s="7" t="s">
        <v>2744</v>
      </c>
      <c r="F110" s="7" t="s">
        <v>2756</v>
      </c>
      <c r="G110" s="7" t="s">
        <v>1026</v>
      </c>
      <c r="H110" s="7" t="s">
        <v>411</v>
      </c>
      <c r="I110" s="7" t="s">
        <v>1006</v>
      </c>
      <c r="J110" s="8" t="n">
        <v>46065</v>
      </c>
      <c r="K110" s="7" t="n">
        <f aca="false">J110-B110</f>
        <v>43</v>
      </c>
    </row>
    <row r="111" customFormat="false" ht="15" hidden="false" customHeight="false" outlineLevel="0" collapsed="false">
      <c r="A111" s="7" t="s">
        <v>2868</v>
      </c>
      <c r="B111" s="8" t="n">
        <v>45521</v>
      </c>
      <c r="C111" s="7" t="s">
        <v>52</v>
      </c>
      <c r="D111" s="7" t="s">
        <v>87</v>
      </c>
      <c r="E111" s="7" t="s">
        <v>2767</v>
      </c>
      <c r="F111" s="7" t="s">
        <v>2745</v>
      </c>
      <c r="G111" s="7" t="s">
        <v>1026</v>
      </c>
      <c r="H111" s="7" t="s">
        <v>395</v>
      </c>
      <c r="I111" s="7" t="s">
        <v>2758</v>
      </c>
      <c r="J111" s="8" t="n">
        <v>45537</v>
      </c>
      <c r="K111" s="7" t="n">
        <f aca="false">J111-B111</f>
        <v>16</v>
      </c>
    </row>
    <row r="112" customFormat="false" ht="15" hidden="false" customHeight="false" outlineLevel="0" collapsed="false">
      <c r="A112" s="7" t="s">
        <v>2869</v>
      </c>
      <c r="B112" s="8" t="n">
        <v>45485</v>
      </c>
      <c r="C112" s="7" t="s">
        <v>46</v>
      </c>
      <c r="D112" s="7" t="s">
        <v>65</v>
      </c>
      <c r="E112" s="7" t="s">
        <v>2753</v>
      </c>
      <c r="F112" s="7" t="s">
        <v>2756</v>
      </c>
      <c r="G112" s="7" t="s">
        <v>1026</v>
      </c>
      <c r="H112" s="7" t="s">
        <v>393</v>
      </c>
      <c r="I112" s="7" t="s">
        <v>2758</v>
      </c>
      <c r="J112" s="8" t="n">
        <v>45532</v>
      </c>
      <c r="K112" s="7" t="n">
        <f aca="false">J112-B112</f>
        <v>47</v>
      </c>
    </row>
    <row r="113" customFormat="false" ht="15" hidden="false" customHeight="false" outlineLevel="0" collapsed="false">
      <c r="A113" s="7" t="s">
        <v>2870</v>
      </c>
      <c r="B113" s="8" t="n">
        <v>45687</v>
      </c>
      <c r="C113" s="7" t="s">
        <v>43</v>
      </c>
      <c r="D113" s="7" t="s">
        <v>79</v>
      </c>
      <c r="E113" s="7" t="s">
        <v>2774</v>
      </c>
      <c r="F113" s="7" t="s">
        <v>2751</v>
      </c>
      <c r="G113" s="7" t="s">
        <v>467</v>
      </c>
      <c r="H113" s="7" t="s">
        <v>401</v>
      </c>
      <c r="I113" s="7" t="s">
        <v>1006</v>
      </c>
      <c r="J113" s="8" t="n">
        <v>45713</v>
      </c>
      <c r="K113" s="7" t="n">
        <f aca="false">J113-B113</f>
        <v>26</v>
      </c>
    </row>
    <row r="114" customFormat="false" ht="15" hidden="false" customHeight="false" outlineLevel="0" collapsed="false">
      <c r="A114" s="7" t="s">
        <v>2871</v>
      </c>
      <c r="B114" s="8" t="n">
        <v>45645</v>
      </c>
      <c r="C114" s="7" t="s">
        <v>37</v>
      </c>
      <c r="D114" s="7" t="s">
        <v>79</v>
      </c>
      <c r="E114" s="7" t="s">
        <v>2750</v>
      </c>
      <c r="F114" s="7" t="s">
        <v>2756</v>
      </c>
      <c r="G114" s="7" t="s">
        <v>1009</v>
      </c>
      <c r="H114" s="7" t="s">
        <v>404</v>
      </c>
      <c r="I114" s="7" t="s">
        <v>1006</v>
      </c>
      <c r="J114" s="8" t="n">
        <v>45677</v>
      </c>
      <c r="K114" s="7" t="n">
        <f aca="false">J114-B114</f>
        <v>32</v>
      </c>
    </row>
    <row r="115" customFormat="false" ht="15" hidden="false" customHeight="false" outlineLevel="0" collapsed="false">
      <c r="A115" s="7" t="s">
        <v>2872</v>
      </c>
      <c r="B115" s="8" t="n">
        <v>45525</v>
      </c>
      <c r="C115" s="7" t="s">
        <v>40</v>
      </c>
      <c r="D115" s="7" t="s">
        <v>71</v>
      </c>
      <c r="E115" s="7" t="s">
        <v>2767</v>
      </c>
      <c r="F115" s="7" t="s">
        <v>2754</v>
      </c>
      <c r="G115" s="7" t="s">
        <v>1026</v>
      </c>
      <c r="H115" s="7" t="s">
        <v>393</v>
      </c>
      <c r="I115" s="7" t="s">
        <v>2770</v>
      </c>
      <c r="J115" s="8" t="n">
        <v>45606</v>
      </c>
      <c r="K115" s="7" t="n">
        <f aca="false">J115-B115</f>
        <v>81</v>
      </c>
    </row>
    <row r="116" customFormat="false" ht="15" hidden="false" customHeight="false" outlineLevel="0" collapsed="false">
      <c r="A116" s="7" t="s">
        <v>2873</v>
      </c>
      <c r="B116" s="8" t="n">
        <v>45750</v>
      </c>
      <c r="C116" s="7" t="s">
        <v>31</v>
      </c>
      <c r="D116" s="7" t="s">
        <v>65</v>
      </c>
      <c r="E116" s="7" t="s">
        <v>2747</v>
      </c>
      <c r="F116" s="7" t="s">
        <v>2745</v>
      </c>
      <c r="G116" s="7" t="s">
        <v>1026</v>
      </c>
      <c r="H116" s="7" t="s">
        <v>404</v>
      </c>
      <c r="I116" s="7" t="s">
        <v>2770</v>
      </c>
      <c r="J116" s="8" t="n">
        <v>45818</v>
      </c>
      <c r="K116" s="7" t="n">
        <f aca="false">J116-B116</f>
        <v>68</v>
      </c>
    </row>
    <row r="117" customFormat="false" ht="15" hidden="false" customHeight="false" outlineLevel="0" collapsed="false">
      <c r="A117" s="7" t="s">
        <v>2874</v>
      </c>
      <c r="B117" s="8" t="n">
        <v>45932</v>
      </c>
      <c r="C117" s="7" t="s">
        <v>37</v>
      </c>
      <c r="D117" s="7" t="s">
        <v>60</v>
      </c>
      <c r="E117" s="7" t="s">
        <v>2774</v>
      </c>
      <c r="F117" s="7" t="s">
        <v>2754</v>
      </c>
      <c r="G117" s="7" t="s">
        <v>1004</v>
      </c>
      <c r="H117" s="7" t="s">
        <v>406</v>
      </c>
      <c r="I117" s="7" t="s">
        <v>1006</v>
      </c>
      <c r="J117" s="8" t="n">
        <v>46005</v>
      </c>
      <c r="K117" s="7" t="n">
        <f aca="false">J117-B117</f>
        <v>73</v>
      </c>
    </row>
    <row r="118" customFormat="false" ht="15" hidden="false" customHeight="false" outlineLevel="0" collapsed="false">
      <c r="A118" s="7" t="s">
        <v>2875</v>
      </c>
      <c r="B118" s="8" t="n">
        <v>45601</v>
      </c>
      <c r="C118" s="7" t="s">
        <v>40</v>
      </c>
      <c r="D118" s="7" t="s">
        <v>75</v>
      </c>
      <c r="E118" s="7" t="s">
        <v>2760</v>
      </c>
      <c r="F118" s="7" t="s">
        <v>2745</v>
      </c>
      <c r="G118" s="7" t="s">
        <v>1026</v>
      </c>
      <c r="H118" s="7" t="s">
        <v>402</v>
      </c>
      <c r="I118" s="7" t="s">
        <v>2770</v>
      </c>
      <c r="J118" s="8" t="n">
        <v>45654</v>
      </c>
      <c r="K118" s="7" t="n">
        <f aca="false">J118-B118</f>
        <v>53</v>
      </c>
    </row>
    <row r="119" customFormat="false" ht="15" hidden="false" customHeight="false" outlineLevel="0" collapsed="false">
      <c r="A119" s="7" t="s">
        <v>2876</v>
      </c>
      <c r="B119" s="8" t="n">
        <v>45498</v>
      </c>
      <c r="C119" s="7" t="s">
        <v>37</v>
      </c>
      <c r="D119" s="7" t="s">
        <v>60</v>
      </c>
      <c r="E119" s="7" t="s">
        <v>2750</v>
      </c>
      <c r="F119" s="7" t="s">
        <v>2754</v>
      </c>
      <c r="G119" s="7" t="s">
        <v>1004</v>
      </c>
      <c r="H119" s="7" t="s">
        <v>387</v>
      </c>
      <c r="I119" s="7" t="s">
        <v>1006</v>
      </c>
      <c r="J119" s="8" t="n">
        <v>45528</v>
      </c>
      <c r="K119" s="7" t="n">
        <f aca="false">J119-B119</f>
        <v>30</v>
      </c>
    </row>
    <row r="120" customFormat="false" ht="15" hidden="false" customHeight="false" outlineLevel="0" collapsed="false">
      <c r="A120" s="7" t="s">
        <v>2877</v>
      </c>
      <c r="B120" s="8" t="n">
        <v>45568</v>
      </c>
      <c r="C120" s="7" t="s">
        <v>49</v>
      </c>
      <c r="D120" s="7" t="s">
        <v>60</v>
      </c>
      <c r="E120" s="7" t="s">
        <v>2767</v>
      </c>
      <c r="F120" s="7" t="s">
        <v>2745</v>
      </c>
      <c r="G120" s="7" t="s">
        <v>1009</v>
      </c>
      <c r="H120" s="7" t="s">
        <v>406</v>
      </c>
      <c r="I120" s="7" t="s">
        <v>2758</v>
      </c>
      <c r="J120" s="8" t="n">
        <v>45619</v>
      </c>
      <c r="K120" s="7" t="n">
        <f aca="false">J120-B120</f>
        <v>51</v>
      </c>
    </row>
    <row r="121" customFormat="false" ht="15" hidden="false" customHeight="false" outlineLevel="0" collapsed="false">
      <c r="A121" s="7" t="s">
        <v>2878</v>
      </c>
      <c r="B121" s="8" t="n">
        <v>45531</v>
      </c>
      <c r="C121" s="7" t="s">
        <v>31</v>
      </c>
      <c r="D121" s="7" t="s">
        <v>75</v>
      </c>
      <c r="E121" s="7" t="s">
        <v>2750</v>
      </c>
      <c r="F121" s="7" t="s">
        <v>2745</v>
      </c>
      <c r="G121" s="7" t="s">
        <v>1009</v>
      </c>
      <c r="H121" s="7" t="s">
        <v>399</v>
      </c>
      <c r="I121" s="7" t="s">
        <v>1006</v>
      </c>
      <c r="J121" s="8" t="n">
        <v>45590</v>
      </c>
      <c r="K121" s="7" t="n">
        <f aca="false">J121-B121</f>
        <v>59</v>
      </c>
    </row>
    <row r="122" customFormat="false" ht="15" hidden="false" customHeight="false" outlineLevel="0" collapsed="false">
      <c r="A122" s="7" t="s">
        <v>2879</v>
      </c>
      <c r="B122" s="8" t="n">
        <v>45428</v>
      </c>
      <c r="C122" s="7" t="s">
        <v>34</v>
      </c>
      <c r="D122" s="7" t="s">
        <v>60</v>
      </c>
      <c r="E122" s="7" t="s">
        <v>2767</v>
      </c>
      <c r="F122" s="7" t="s">
        <v>2751</v>
      </c>
      <c r="G122" s="7" t="s">
        <v>467</v>
      </c>
      <c r="H122" s="7" t="s">
        <v>397</v>
      </c>
      <c r="I122" s="7" t="s">
        <v>1006</v>
      </c>
      <c r="J122" s="8" t="n">
        <v>45512</v>
      </c>
      <c r="K122" s="7" t="n">
        <f aca="false">J122-B122</f>
        <v>84</v>
      </c>
    </row>
    <row r="123" customFormat="false" ht="15" hidden="false" customHeight="false" outlineLevel="0" collapsed="false">
      <c r="A123" s="7" t="s">
        <v>2880</v>
      </c>
      <c r="B123" s="8" t="n">
        <v>45671</v>
      </c>
      <c r="C123" s="7" t="s">
        <v>52</v>
      </c>
      <c r="D123" s="7" t="s">
        <v>79</v>
      </c>
      <c r="E123" s="7" t="s">
        <v>2750</v>
      </c>
      <c r="F123" s="7" t="s">
        <v>2756</v>
      </c>
      <c r="G123" s="7" t="s">
        <v>1004</v>
      </c>
      <c r="H123" s="7" t="s">
        <v>393</v>
      </c>
      <c r="I123" s="7" t="s">
        <v>2758</v>
      </c>
      <c r="J123" s="8" t="n">
        <v>45688</v>
      </c>
      <c r="K123" s="7" t="n">
        <f aca="false">J123-B123</f>
        <v>17</v>
      </c>
    </row>
    <row r="124" customFormat="false" ht="15" hidden="false" customHeight="false" outlineLevel="0" collapsed="false">
      <c r="A124" s="7" t="s">
        <v>2881</v>
      </c>
      <c r="B124" s="8" t="n">
        <v>45395</v>
      </c>
      <c r="C124" s="7" t="s">
        <v>52</v>
      </c>
      <c r="D124" s="7" t="s">
        <v>71</v>
      </c>
      <c r="E124" s="7" t="s">
        <v>2747</v>
      </c>
      <c r="F124" s="7" t="s">
        <v>2745</v>
      </c>
      <c r="G124" s="7" t="s">
        <v>1026</v>
      </c>
      <c r="H124" s="7" t="s">
        <v>411</v>
      </c>
      <c r="I124" s="7" t="s">
        <v>1006</v>
      </c>
      <c r="J124" s="8" t="n">
        <v>45424</v>
      </c>
      <c r="K124" s="7" t="n">
        <f aca="false">J124-B124</f>
        <v>29</v>
      </c>
    </row>
    <row r="125" customFormat="false" ht="15" hidden="false" customHeight="false" outlineLevel="0" collapsed="false">
      <c r="A125" s="7" t="s">
        <v>2882</v>
      </c>
      <c r="B125" s="8" t="n">
        <v>45477</v>
      </c>
      <c r="C125" s="7" t="s">
        <v>46</v>
      </c>
      <c r="D125" s="7" t="s">
        <v>83</v>
      </c>
      <c r="E125" s="7" t="s">
        <v>2747</v>
      </c>
      <c r="F125" s="7" t="s">
        <v>2754</v>
      </c>
      <c r="G125" s="7" t="s">
        <v>1004</v>
      </c>
      <c r="H125" s="7" t="s">
        <v>406</v>
      </c>
      <c r="I125" s="7" t="s">
        <v>2770</v>
      </c>
      <c r="J125" s="8" t="n">
        <v>45514</v>
      </c>
      <c r="K125" s="7" t="n">
        <f aca="false">J125-B125</f>
        <v>37</v>
      </c>
    </row>
    <row r="126" customFormat="false" ht="15" hidden="false" customHeight="false" outlineLevel="0" collapsed="false">
      <c r="A126" s="7" t="s">
        <v>2883</v>
      </c>
      <c r="B126" s="8" t="n">
        <v>45426</v>
      </c>
      <c r="C126" s="7" t="s">
        <v>43</v>
      </c>
      <c r="D126" s="7" t="s">
        <v>60</v>
      </c>
      <c r="E126" s="7" t="s">
        <v>2744</v>
      </c>
      <c r="F126" s="7" t="s">
        <v>2748</v>
      </c>
      <c r="G126" s="7" t="s">
        <v>1004</v>
      </c>
      <c r="H126" s="7" t="s">
        <v>391</v>
      </c>
      <c r="I126" s="7" t="s">
        <v>2758</v>
      </c>
      <c r="J126" s="8" t="n">
        <v>45513</v>
      </c>
      <c r="K126" s="7" t="n">
        <f aca="false">J126-B126</f>
        <v>87</v>
      </c>
    </row>
    <row r="127" customFormat="false" ht="15" hidden="false" customHeight="false" outlineLevel="0" collapsed="false">
      <c r="A127" s="7" t="s">
        <v>2884</v>
      </c>
      <c r="B127" s="8" t="n">
        <v>45315</v>
      </c>
      <c r="C127" s="7" t="s">
        <v>40</v>
      </c>
      <c r="D127" s="7" t="s">
        <v>68</v>
      </c>
      <c r="E127" s="7" t="s">
        <v>2750</v>
      </c>
      <c r="F127" s="7" t="s">
        <v>2751</v>
      </c>
      <c r="G127" s="7" t="s">
        <v>467</v>
      </c>
      <c r="H127" s="7" t="s">
        <v>397</v>
      </c>
      <c r="I127" s="7" t="s">
        <v>1006</v>
      </c>
      <c r="J127" s="8" t="n">
        <v>45397</v>
      </c>
      <c r="K127" s="7" t="n">
        <f aca="false">J127-B127</f>
        <v>82</v>
      </c>
    </row>
    <row r="128" customFormat="false" ht="15" hidden="false" customHeight="false" outlineLevel="0" collapsed="false">
      <c r="A128" s="7" t="s">
        <v>2885</v>
      </c>
      <c r="B128" s="8" t="n">
        <v>45685</v>
      </c>
      <c r="C128" s="7" t="s">
        <v>43</v>
      </c>
      <c r="D128" s="7" t="s">
        <v>87</v>
      </c>
      <c r="E128" s="7" t="s">
        <v>2774</v>
      </c>
      <c r="F128" s="7" t="s">
        <v>2745</v>
      </c>
      <c r="G128" s="7" t="s">
        <v>1004</v>
      </c>
      <c r="H128" s="7" t="s">
        <v>397</v>
      </c>
      <c r="I128" s="7" t="s">
        <v>1006</v>
      </c>
      <c r="J128" s="8" t="n">
        <v>45713</v>
      </c>
      <c r="K128" s="7" t="n">
        <f aca="false">J128-B128</f>
        <v>28</v>
      </c>
    </row>
    <row r="129" customFormat="false" ht="15" hidden="false" customHeight="false" outlineLevel="0" collapsed="false">
      <c r="A129" s="7" t="s">
        <v>2886</v>
      </c>
      <c r="B129" s="8" t="n">
        <v>45558</v>
      </c>
      <c r="C129" s="7" t="s">
        <v>34</v>
      </c>
      <c r="D129" s="7" t="s">
        <v>68</v>
      </c>
      <c r="E129" s="7" t="s">
        <v>2767</v>
      </c>
      <c r="F129" s="7" t="s">
        <v>2768</v>
      </c>
      <c r="G129" s="7" t="s">
        <v>1004</v>
      </c>
      <c r="H129" s="7" t="s">
        <v>395</v>
      </c>
      <c r="I129" s="7" t="s">
        <v>1006</v>
      </c>
      <c r="J129" s="8" t="n">
        <v>45647</v>
      </c>
      <c r="K129" s="7" t="n">
        <f aca="false">J129-B129</f>
        <v>89</v>
      </c>
    </row>
    <row r="130" customFormat="false" ht="15" hidden="false" customHeight="false" outlineLevel="0" collapsed="false">
      <c r="A130" s="7" t="s">
        <v>2887</v>
      </c>
      <c r="B130" s="8" t="n">
        <v>45315</v>
      </c>
      <c r="C130" s="7" t="s">
        <v>37</v>
      </c>
      <c r="D130" s="7" t="s">
        <v>75</v>
      </c>
      <c r="E130" s="7" t="s">
        <v>2763</v>
      </c>
      <c r="F130" s="7" t="s">
        <v>2768</v>
      </c>
      <c r="G130" s="7" t="s">
        <v>1009</v>
      </c>
      <c r="H130" s="7" t="s">
        <v>397</v>
      </c>
      <c r="I130" s="7" t="s">
        <v>1006</v>
      </c>
      <c r="J130" s="8" t="n">
        <v>45397</v>
      </c>
      <c r="K130" s="7" t="n">
        <f aca="false">J130-B130</f>
        <v>82</v>
      </c>
    </row>
    <row r="131" customFormat="false" ht="15" hidden="false" customHeight="false" outlineLevel="0" collapsed="false">
      <c r="A131" s="7" t="s">
        <v>2888</v>
      </c>
      <c r="B131" s="8" t="n">
        <v>45589</v>
      </c>
      <c r="C131" s="7" t="s">
        <v>52</v>
      </c>
      <c r="D131" s="7" t="s">
        <v>60</v>
      </c>
      <c r="E131" s="7" t="s">
        <v>2760</v>
      </c>
      <c r="F131" s="7" t="s">
        <v>2768</v>
      </c>
      <c r="G131" s="7" t="s">
        <v>1009</v>
      </c>
      <c r="H131" s="7" t="s">
        <v>411</v>
      </c>
      <c r="I131" s="7" t="s">
        <v>2758</v>
      </c>
      <c r="J131" s="8" t="n">
        <v>45639</v>
      </c>
      <c r="K131" s="7" t="n">
        <f aca="false">J131-B131</f>
        <v>50</v>
      </c>
    </row>
    <row r="132" customFormat="false" ht="15" hidden="false" customHeight="false" outlineLevel="0" collapsed="false">
      <c r="A132" s="7" t="s">
        <v>2889</v>
      </c>
      <c r="B132" s="8" t="n">
        <v>45959</v>
      </c>
      <c r="C132" s="7" t="s">
        <v>49</v>
      </c>
      <c r="D132" s="7" t="s">
        <v>83</v>
      </c>
      <c r="E132" s="7" t="s">
        <v>2774</v>
      </c>
      <c r="F132" s="7" t="s">
        <v>2748</v>
      </c>
      <c r="G132" s="7" t="s">
        <v>1004</v>
      </c>
      <c r="H132" s="7" t="s">
        <v>399</v>
      </c>
      <c r="I132" s="7" t="s">
        <v>2758</v>
      </c>
      <c r="J132" s="8" t="n">
        <v>46033</v>
      </c>
      <c r="K132" s="7" t="n">
        <f aca="false">J132-B132</f>
        <v>74</v>
      </c>
    </row>
    <row r="133" customFormat="false" ht="15" hidden="false" customHeight="false" outlineLevel="0" collapsed="false">
      <c r="A133" s="7" t="s">
        <v>2890</v>
      </c>
      <c r="B133" s="8" t="n">
        <v>45720</v>
      </c>
      <c r="C133" s="7" t="s">
        <v>43</v>
      </c>
      <c r="D133" s="7" t="s">
        <v>60</v>
      </c>
      <c r="E133" s="7" t="s">
        <v>2763</v>
      </c>
      <c r="F133" s="7" t="s">
        <v>2768</v>
      </c>
      <c r="G133" s="7" t="s">
        <v>1026</v>
      </c>
      <c r="H133" s="7" t="s">
        <v>407</v>
      </c>
      <c r="I133" s="7" t="s">
        <v>1006</v>
      </c>
      <c r="J133" s="8" t="n">
        <v>45740</v>
      </c>
      <c r="K133" s="7" t="n">
        <f aca="false">J133-B133</f>
        <v>20</v>
      </c>
    </row>
    <row r="134" customFormat="false" ht="15" hidden="false" customHeight="false" outlineLevel="0" collapsed="false">
      <c r="A134" s="7" t="s">
        <v>2891</v>
      </c>
      <c r="B134" s="8" t="n">
        <v>45757</v>
      </c>
      <c r="C134" s="7" t="s">
        <v>52</v>
      </c>
      <c r="D134" s="7" t="s">
        <v>60</v>
      </c>
      <c r="E134" s="7" t="s">
        <v>2750</v>
      </c>
      <c r="F134" s="7" t="s">
        <v>2745</v>
      </c>
      <c r="G134" s="7" t="s">
        <v>1009</v>
      </c>
      <c r="H134" s="7" t="s">
        <v>391</v>
      </c>
      <c r="I134" s="7" t="s">
        <v>1006</v>
      </c>
      <c r="J134" s="8" t="n">
        <v>45781</v>
      </c>
      <c r="K134" s="7" t="n">
        <f aca="false">J134-B134</f>
        <v>24</v>
      </c>
    </row>
    <row r="135" customFormat="false" ht="15" hidden="false" customHeight="false" outlineLevel="0" collapsed="false">
      <c r="A135" s="7" t="s">
        <v>2892</v>
      </c>
      <c r="B135" s="8" t="n">
        <v>45937</v>
      </c>
      <c r="C135" s="7" t="s">
        <v>46</v>
      </c>
      <c r="D135" s="7" t="s">
        <v>75</v>
      </c>
      <c r="E135" s="7" t="s">
        <v>2744</v>
      </c>
      <c r="F135" s="7" t="s">
        <v>2745</v>
      </c>
      <c r="G135" s="7" t="s">
        <v>1009</v>
      </c>
      <c r="H135" s="7" t="s">
        <v>389</v>
      </c>
      <c r="I135" s="7" t="s">
        <v>2770</v>
      </c>
      <c r="J135" s="8" t="n">
        <v>46021</v>
      </c>
      <c r="K135" s="7" t="n">
        <f aca="false">J135-B135</f>
        <v>84</v>
      </c>
    </row>
    <row r="136" customFormat="false" ht="15" hidden="false" customHeight="false" outlineLevel="0" collapsed="false">
      <c r="A136" s="7" t="s">
        <v>2893</v>
      </c>
      <c r="B136" s="8" t="n">
        <v>45712</v>
      </c>
      <c r="C136" s="7" t="s">
        <v>43</v>
      </c>
      <c r="D136" s="7" t="s">
        <v>83</v>
      </c>
      <c r="E136" s="7" t="s">
        <v>2763</v>
      </c>
      <c r="F136" s="7" t="s">
        <v>2745</v>
      </c>
      <c r="G136" s="7" t="s">
        <v>1004</v>
      </c>
      <c r="H136" s="7" t="s">
        <v>399</v>
      </c>
      <c r="I136" s="7" t="s">
        <v>1006</v>
      </c>
      <c r="J136" s="8" t="n">
        <v>45750</v>
      </c>
      <c r="K136" s="7" t="n">
        <f aca="false">J136-B136</f>
        <v>38</v>
      </c>
    </row>
    <row r="137" customFormat="false" ht="15" hidden="false" customHeight="false" outlineLevel="0" collapsed="false">
      <c r="A137" s="7" t="s">
        <v>2894</v>
      </c>
      <c r="B137" s="8" t="n">
        <v>45304</v>
      </c>
      <c r="C137" s="7" t="s">
        <v>52</v>
      </c>
      <c r="D137" s="7" t="s">
        <v>87</v>
      </c>
      <c r="E137" s="7" t="s">
        <v>2774</v>
      </c>
      <c r="F137" s="7" t="s">
        <v>2756</v>
      </c>
      <c r="G137" s="7" t="s">
        <v>1004</v>
      </c>
      <c r="H137" s="7" t="s">
        <v>391</v>
      </c>
      <c r="I137" s="7" t="s">
        <v>2758</v>
      </c>
      <c r="J137" s="8" t="n">
        <v>45363</v>
      </c>
      <c r="K137" s="7" t="n">
        <f aca="false">J137-B137</f>
        <v>59</v>
      </c>
    </row>
    <row r="138" customFormat="false" ht="15" hidden="false" customHeight="false" outlineLevel="0" collapsed="false">
      <c r="A138" s="7" t="s">
        <v>2895</v>
      </c>
      <c r="B138" s="8" t="n">
        <v>45681</v>
      </c>
      <c r="C138" s="7" t="s">
        <v>49</v>
      </c>
      <c r="D138" s="7" t="s">
        <v>68</v>
      </c>
      <c r="E138" s="7" t="s">
        <v>2767</v>
      </c>
      <c r="F138" s="7" t="s">
        <v>2748</v>
      </c>
      <c r="G138" s="7" t="s">
        <v>1004</v>
      </c>
      <c r="H138" s="7" t="s">
        <v>391</v>
      </c>
      <c r="I138" s="7" t="s">
        <v>1006</v>
      </c>
      <c r="J138" s="8" t="n">
        <v>45750</v>
      </c>
      <c r="K138" s="7" t="n">
        <f aca="false">J138-B138</f>
        <v>69</v>
      </c>
    </row>
    <row r="139" customFormat="false" ht="15" hidden="false" customHeight="false" outlineLevel="0" collapsed="false">
      <c r="A139" s="7" t="s">
        <v>2896</v>
      </c>
      <c r="B139" s="8" t="n">
        <v>45981</v>
      </c>
      <c r="C139" s="7" t="s">
        <v>37</v>
      </c>
      <c r="D139" s="7" t="s">
        <v>68</v>
      </c>
      <c r="E139" s="7" t="s">
        <v>2750</v>
      </c>
      <c r="F139" s="7" t="s">
        <v>2745</v>
      </c>
      <c r="G139" s="7" t="s">
        <v>1026</v>
      </c>
      <c r="H139" s="7" t="s">
        <v>401</v>
      </c>
      <c r="I139" s="7" t="s">
        <v>1006</v>
      </c>
      <c r="J139" s="8" t="n">
        <v>46050</v>
      </c>
      <c r="K139" s="7" t="n">
        <f aca="false">J139-B139</f>
        <v>69</v>
      </c>
    </row>
    <row r="140" customFormat="false" ht="15" hidden="false" customHeight="false" outlineLevel="0" collapsed="false">
      <c r="A140" s="7" t="s">
        <v>2897</v>
      </c>
      <c r="B140" s="8" t="n">
        <v>45508</v>
      </c>
      <c r="C140" s="7" t="s">
        <v>52</v>
      </c>
      <c r="D140" s="7" t="s">
        <v>79</v>
      </c>
      <c r="E140" s="7" t="s">
        <v>2744</v>
      </c>
      <c r="F140" s="7" t="s">
        <v>2756</v>
      </c>
      <c r="G140" s="7" t="s">
        <v>1004</v>
      </c>
      <c r="H140" s="7" t="s">
        <v>413</v>
      </c>
      <c r="I140" s="7" t="s">
        <v>1006</v>
      </c>
      <c r="J140" s="8" t="n">
        <v>45580</v>
      </c>
      <c r="K140" s="7" t="n">
        <f aca="false">J140-B140</f>
        <v>72</v>
      </c>
    </row>
    <row r="141" customFormat="false" ht="15" hidden="false" customHeight="false" outlineLevel="0" collapsed="false">
      <c r="A141" s="7" t="s">
        <v>2898</v>
      </c>
      <c r="B141" s="8" t="n">
        <v>45383</v>
      </c>
      <c r="C141" s="7" t="s">
        <v>46</v>
      </c>
      <c r="D141" s="7" t="s">
        <v>79</v>
      </c>
      <c r="E141" s="7" t="s">
        <v>2760</v>
      </c>
      <c r="F141" s="7" t="s">
        <v>2768</v>
      </c>
      <c r="G141" s="7" t="s">
        <v>1004</v>
      </c>
      <c r="H141" s="7" t="s">
        <v>411</v>
      </c>
      <c r="I141" s="7" t="s">
        <v>1006</v>
      </c>
      <c r="J141" s="8" t="n">
        <v>45419</v>
      </c>
      <c r="K141" s="7" t="n">
        <f aca="false">J141-B141</f>
        <v>36</v>
      </c>
    </row>
    <row r="142" customFormat="false" ht="15" hidden="false" customHeight="false" outlineLevel="0" collapsed="false">
      <c r="A142" s="7" t="s">
        <v>2899</v>
      </c>
      <c r="B142" s="8" t="n">
        <v>45776</v>
      </c>
      <c r="C142" s="7" t="s">
        <v>52</v>
      </c>
      <c r="D142" s="7" t="s">
        <v>68</v>
      </c>
      <c r="E142" s="7" t="s">
        <v>2744</v>
      </c>
      <c r="F142" s="7" t="s">
        <v>2768</v>
      </c>
      <c r="G142" s="7" t="s">
        <v>1004</v>
      </c>
      <c r="H142" s="7" t="s">
        <v>401</v>
      </c>
      <c r="I142" s="7" t="s">
        <v>1006</v>
      </c>
      <c r="J142" s="8" t="n">
        <v>45836</v>
      </c>
      <c r="K142" s="7" t="n">
        <f aca="false">J142-B142</f>
        <v>60</v>
      </c>
    </row>
    <row r="143" customFormat="false" ht="15" hidden="false" customHeight="false" outlineLevel="0" collapsed="false">
      <c r="A143" s="7" t="s">
        <v>2900</v>
      </c>
      <c r="B143" s="8" t="n">
        <v>45482</v>
      </c>
      <c r="C143" s="7" t="s">
        <v>37</v>
      </c>
      <c r="D143" s="7" t="s">
        <v>79</v>
      </c>
      <c r="E143" s="7" t="s">
        <v>2760</v>
      </c>
      <c r="F143" s="7" t="s">
        <v>2768</v>
      </c>
      <c r="G143" s="7" t="s">
        <v>1009</v>
      </c>
      <c r="H143" s="7" t="s">
        <v>399</v>
      </c>
      <c r="I143" s="7" t="s">
        <v>1006</v>
      </c>
      <c r="J143" s="8" t="n">
        <v>45544</v>
      </c>
      <c r="K143" s="7" t="n">
        <f aca="false">J143-B143</f>
        <v>62</v>
      </c>
    </row>
    <row r="144" customFormat="false" ht="15" hidden="false" customHeight="false" outlineLevel="0" collapsed="false">
      <c r="A144" s="7" t="s">
        <v>2901</v>
      </c>
      <c r="B144" s="8" t="n">
        <v>45370</v>
      </c>
      <c r="C144" s="7" t="s">
        <v>40</v>
      </c>
      <c r="D144" s="7" t="s">
        <v>79</v>
      </c>
      <c r="E144" s="7" t="s">
        <v>2767</v>
      </c>
      <c r="F144" s="7" t="s">
        <v>2768</v>
      </c>
      <c r="G144" s="7" t="s">
        <v>1004</v>
      </c>
      <c r="H144" s="7" t="s">
        <v>402</v>
      </c>
      <c r="I144" s="7" t="s">
        <v>2758</v>
      </c>
      <c r="J144" s="8" t="n">
        <v>45398</v>
      </c>
      <c r="K144" s="7" t="n">
        <f aca="false">J144-B144</f>
        <v>28</v>
      </c>
    </row>
    <row r="145" customFormat="false" ht="15" hidden="false" customHeight="false" outlineLevel="0" collapsed="false">
      <c r="A145" s="7" t="s">
        <v>2902</v>
      </c>
      <c r="B145" s="8" t="n">
        <v>45682</v>
      </c>
      <c r="C145" s="7" t="s">
        <v>37</v>
      </c>
      <c r="D145" s="7" t="s">
        <v>68</v>
      </c>
      <c r="E145" s="7" t="s">
        <v>2747</v>
      </c>
      <c r="F145" s="7" t="s">
        <v>2748</v>
      </c>
      <c r="G145" s="7" t="s">
        <v>1026</v>
      </c>
      <c r="H145" s="7" t="s">
        <v>393</v>
      </c>
      <c r="I145" s="7" t="s">
        <v>2758</v>
      </c>
      <c r="J145" s="8" t="n">
        <v>45740</v>
      </c>
      <c r="K145" s="7" t="n">
        <f aca="false">J145-B145</f>
        <v>58</v>
      </c>
    </row>
    <row r="146" customFormat="false" ht="15" hidden="false" customHeight="false" outlineLevel="0" collapsed="false">
      <c r="A146" s="7" t="s">
        <v>2903</v>
      </c>
      <c r="B146" s="8" t="n">
        <v>45606</v>
      </c>
      <c r="C146" s="7" t="s">
        <v>25</v>
      </c>
      <c r="D146" s="7" t="s">
        <v>87</v>
      </c>
      <c r="E146" s="7" t="s">
        <v>2774</v>
      </c>
      <c r="F146" s="7" t="s">
        <v>2754</v>
      </c>
      <c r="G146" s="7" t="s">
        <v>1009</v>
      </c>
      <c r="H146" s="7" t="s">
        <v>401</v>
      </c>
      <c r="I146" s="7" t="s">
        <v>1006</v>
      </c>
      <c r="J146" s="8" t="n">
        <v>45635</v>
      </c>
      <c r="K146" s="7" t="n">
        <f aca="false">J146-B146</f>
        <v>29</v>
      </c>
    </row>
    <row r="147" customFormat="false" ht="15" hidden="false" customHeight="false" outlineLevel="0" collapsed="false">
      <c r="A147" s="7" t="s">
        <v>2904</v>
      </c>
      <c r="B147" s="8" t="n">
        <v>45785</v>
      </c>
      <c r="C147" s="7" t="s">
        <v>31</v>
      </c>
      <c r="D147" s="7" t="s">
        <v>65</v>
      </c>
      <c r="E147" s="7" t="s">
        <v>2747</v>
      </c>
      <c r="F147" s="7" t="s">
        <v>2756</v>
      </c>
      <c r="G147" s="7" t="s">
        <v>1004</v>
      </c>
      <c r="H147" s="7" t="s">
        <v>391</v>
      </c>
      <c r="I147" s="7" t="s">
        <v>2758</v>
      </c>
      <c r="J147" s="8" t="n">
        <v>45866</v>
      </c>
      <c r="K147" s="7" t="n">
        <f aca="false">J147-B147</f>
        <v>81</v>
      </c>
    </row>
    <row r="148" customFormat="false" ht="15" hidden="false" customHeight="false" outlineLevel="0" collapsed="false">
      <c r="A148" s="7" t="s">
        <v>2905</v>
      </c>
      <c r="B148" s="8" t="n">
        <v>45792</v>
      </c>
      <c r="C148" s="7" t="s">
        <v>37</v>
      </c>
      <c r="D148" s="7" t="s">
        <v>79</v>
      </c>
      <c r="E148" s="7" t="s">
        <v>2774</v>
      </c>
      <c r="F148" s="7" t="s">
        <v>2756</v>
      </c>
      <c r="G148" s="7" t="s">
        <v>1009</v>
      </c>
      <c r="H148" s="7" t="s">
        <v>394</v>
      </c>
      <c r="I148" s="7" t="s">
        <v>2758</v>
      </c>
      <c r="J148" s="8" t="n">
        <v>45835</v>
      </c>
      <c r="K148" s="7" t="n">
        <f aca="false">J148-B148</f>
        <v>43</v>
      </c>
    </row>
    <row r="149" customFormat="false" ht="15" hidden="false" customHeight="false" outlineLevel="0" collapsed="false">
      <c r="A149" s="7" t="s">
        <v>2906</v>
      </c>
      <c r="B149" s="8" t="n">
        <v>45987</v>
      </c>
      <c r="C149" s="7" t="s">
        <v>49</v>
      </c>
      <c r="D149" s="7" t="s">
        <v>79</v>
      </c>
      <c r="E149" s="7" t="s">
        <v>2750</v>
      </c>
      <c r="F149" s="7" t="s">
        <v>2768</v>
      </c>
      <c r="G149" s="7" t="s">
        <v>1009</v>
      </c>
      <c r="H149" s="7" t="s">
        <v>407</v>
      </c>
      <c r="I149" s="7" t="s">
        <v>2758</v>
      </c>
      <c r="J149" s="8" t="n">
        <v>46034</v>
      </c>
      <c r="K149" s="7" t="n">
        <f aca="false">J149-B149</f>
        <v>47</v>
      </c>
    </row>
    <row r="150" customFormat="false" ht="15" hidden="false" customHeight="false" outlineLevel="0" collapsed="false">
      <c r="A150" s="7" t="s">
        <v>2907</v>
      </c>
      <c r="B150" s="8" t="n">
        <v>45618</v>
      </c>
      <c r="C150" s="7" t="s">
        <v>37</v>
      </c>
      <c r="D150" s="7" t="s">
        <v>87</v>
      </c>
      <c r="E150" s="7" t="s">
        <v>2767</v>
      </c>
      <c r="F150" s="7" t="s">
        <v>2754</v>
      </c>
      <c r="G150" s="7" t="s">
        <v>1009</v>
      </c>
      <c r="H150" s="7" t="s">
        <v>407</v>
      </c>
      <c r="I150" s="7" t="s">
        <v>1006</v>
      </c>
      <c r="J150" s="8" t="n">
        <v>45639</v>
      </c>
      <c r="K150" s="7" t="n">
        <f aca="false">J150-B150</f>
        <v>21</v>
      </c>
    </row>
    <row r="151" customFormat="false" ht="15" hidden="false" customHeight="false" outlineLevel="0" collapsed="false">
      <c r="A151" s="7" t="s">
        <v>2908</v>
      </c>
      <c r="B151" s="8" t="n">
        <v>45422</v>
      </c>
      <c r="C151" s="7" t="s">
        <v>34</v>
      </c>
      <c r="D151" s="7" t="s">
        <v>68</v>
      </c>
      <c r="E151" s="7" t="s">
        <v>2774</v>
      </c>
      <c r="F151" s="7" t="s">
        <v>2751</v>
      </c>
      <c r="G151" s="7" t="s">
        <v>467</v>
      </c>
      <c r="H151" s="7" t="s">
        <v>407</v>
      </c>
      <c r="I151" s="7" t="s">
        <v>1006</v>
      </c>
      <c r="J151" s="8" t="n">
        <v>45480</v>
      </c>
      <c r="K151" s="7" t="n">
        <f aca="false">J151-B151</f>
        <v>58</v>
      </c>
    </row>
    <row r="152" customFormat="false" ht="15" hidden="false" customHeight="false" outlineLevel="0" collapsed="false">
      <c r="A152" s="7" t="s">
        <v>2909</v>
      </c>
      <c r="B152" s="8" t="n">
        <v>45540</v>
      </c>
      <c r="C152" s="7" t="s">
        <v>52</v>
      </c>
      <c r="D152" s="7" t="s">
        <v>60</v>
      </c>
      <c r="E152" s="7" t="s">
        <v>2747</v>
      </c>
      <c r="F152" s="7" t="s">
        <v>2748</v>
      </c>
      <c r="G152" s="7" t="s">
        <v>1009</v>
      </c>
      <c r="H152" s="7" t="s">
        <v>394</v>
      </c>
      <c r="I152" s="7" t="s">
        <v>2758</v>
      </c>
      <c r="J152" s="8" t="n">
        <v>45563</v>
      </c>
      <c r="K152" s="7" t="n">
        <f aca="false">J152-B152</f>
        <v>23</v>
      </c>
    </row>
    <row r="153" customFormat="false" ht="15" hidden="false" customHeight="false" outlineLevel="0" collapsed="false">
      <c r="A153" s="7" t="s">
        <v>2910</v>
      </c>
      <c r="B153" s="8" t="n">
        <v>45508</v>
      </c>
      <c r="C153" s="7" t="s">
        <v>34</v>
      </c>
      <c r="D153" s="7" t="s">
        <v>68</v>
      </c>
      <c r="E153" s="7" t="s">
        <v>2767</v>
      </c>
      <c r="F153" s="7" t="s">
        <v>2768</v>
      </c>
      <c r="G153" s="7" t="s">
        <v>1004</v>
      </c>
      <c r="H153" s="7" t="s">
        <v>402</v>
      </c>
      <c r="I153" s="7" t="s">
        <v>1006</v>
      </c>
      <c r="J153" s="8" t="n">
        <v>45583</v>
      </c>
      <c r="K153" s="7" t="n">
        <f aca="false">J153-B153</f>
        <v>75</v>
      </c>
    </row>
    <row r="154" customFormat="false" ht="15" hidden="false" customHeight="false" outlineLevel="0" collapsed="false">
      <c r="A154" s="7" t="s">
        <v>2911</v>
      </c>
      <c r="B154" s="8" t="n">
        <v>45788</v>
      </c>
      <c r="C154" s="7" t="s">
        <v>46</v>
      </c>
      <c r="D154" s="7" t="s">
        <v>75</v>
      </c>
      <c r="E154" s="7" t="s">
        <v>2750</v>
      </c>
      <c r="F154" s="7" t="s">
        <v>2748</v>
      </c>
      <c r="G154" s="7" t="s">
        <v>1004</v>
      </c>
      <c r="H154" s="7" t="s">
        <v>409</v>
      </c>
      <c r="I154" s="7" t="s">
        <v>1006</v>
      </c>
      <c r="J154" s="8" t="n">
        <v>45864</v>
      </c>
      <c r="K154" s="7" t="n">
        <f aca="false">J154-B154</f>
        <v>76</v>
      </c>
    </row>
    <row r="155" customFormat="false" ht="15" hidden="false" customHeight="false" outlineLevel="0" collapsed="false">
      <c r="A155" s="7" t="s">
        <v>2912</v>
      </c>
      <c r="B155" s="8" t="n">
        <v>45641</v>
      </c>
      <c r="C155" s="7" t="s">
        <v>49</v>
      </c>
      <c r="D155" s="7" t="s">
        <v>68</v>
      </c>
      <c r="E155" s="7" t="s">
        <v>2760</v>
      </c>
      <c r="F155" s="7" t="s">
        <v>2756</v>
      </c>
      <c r="G155" s="7" t="s">
        <v>1004</v>
      </c>
      <c r="H155" s="7" t="s">
        <v>409</v>
      </c>
      <c r="I155" s="7" t="s">
        <v>2770</v>
      </c>
      <c r="J155" s="8" t="n">
        <v>45671</v>
      </c>
      <c r="K155" s="7" t="n">
        <f aca="false">J155-B155</f>
        <v>30</v>
      </c>
    </row>
    <row r="156" customFormat="false" ht="15" hidden="false" customHeight="false" outlineLevel="0" collapsed="false">
      <c r="A156" s="7" t="s">
        <v>2913</v>
      </c>
      <c r="B156" s="8" t="n">
        <v>45585</v>
      </c>
      <c r="C156" s="7" t="s">
        <v>31</v>
      </c>
      <c r="D156" s="7" t="s">
        <v>83</v>
      </c>
      <c r="E156" s="7" t="s">
        <v>2767</v>
      </c>
      <c r="F156" s="7" t="s">
        <v>2756</v>
      </c>
      <c r="G156" s="7" t="s">
        <v>1009</v>
      </c>
      <c r="H156" s="7" t="s">
        <v>395</v>
      </c>
      <c r="I156" s="7" t="s">
        <v>1006</v>
      </c>
      <c r="J156" s="8" t="n">
        <v>45649</v>
      </c>
      <c r="K156" s="7" t="n">
        <f aca="false">J156-B156</f>
        <v>64</v>
      </c>
    </row>
    <row r="157" customFormat="false" ht="15" hidden="false" customHeight="false" outlineLevel="0" collapsed="false">
      <c r="A157" s="7" t="s">
        <v>2914</v>
      </c>
      <c r="B157" s="8" t="n">
        <v>45954</v>
      </c>
      <c r="C157" s="7" t="s">
        <v>34</v>
      </c>
      <c r="D157" s="7" t="s">
        <v>65</v>
      </c>
      <c r="E157" s="7" t="s">
        <v>2747</v>
      </c>
      <c r="F157" s="7" t="s">
        <v>2751</v>
      </c>
      <c r="G157" s="7" t="s">
        <v>467</v>
      </c>
      <c r="H157" s="7" t="s">
        <v>397</v>
      </c>
      <c r="I157" s="7" t="s">
        <v>1006</v>
      </c>
      <c r="J157" s="8" t="n">
        <v>45995</v>
      </c>
      <c r="K157" s="7" t="n">
        <f aca="false">J157-B157</f>
        <v>41</v>
      </c>
    </row>
    <row r="158" customFormat="false" ht="15" hidden="false" customHeight="false" outlineLevel="0" collapsed="false">
      <c r="A158" s="7" t="s">
        <v>2915</v>
      </c>
      <c r="B158" s="8" t="n">
        <v>45520</v>
      </c>
      <c r="C158" s="7" t="s">
        <v>46</v>
      </c>
      <c r="D158" s="7" t="s">
        <v>68</v>
      </c>
      <c r="E158" s="7" t="s">
        <v>2747</v>
      </c>
      <c r="F158" s="7" t="s">
        <v>2751</v>
      </c>
      <c r="G158" s="7" t="s">
        <v>467</v>
      </c>
      <c r="H158" s="7" t="s">
        <v>397</v>
      </c>
      <c r="I158" s="7" t="s">
        <v>1006</v>
      </c>
      <c r="J158" s="8" t="n">
        <v>45560</v>
      </c>
      <c r="K158" s="7" t="n">
        <f aca="false">J158-B158</f>
        <v>40</v>
      </c>
    </row>
    <row r="159" customFormat="false" ht="15" hidden="false" customHeight="false" outlineLevel="0" collapsed="false">
      <c r="A159" s="7" t="s">
        <v>2916</v>
      </c>
      <c r="B159" s="8" t="n">
        <v>45868</v>
      </c>
      <c r="C159" s="7" t="s">
        <v>37</v>
      </c>
      <c r="D159" s="7" t="s">
        <v>68</v>
      </c>
      <c r="E159" s="7" t="s">
        <v>2760</v>
      </c>
      <c r="F159" s="7" t="s">
        <v>2768</v>
      </c>
      <c r="G159" s="7" t="s">
        <v>1009</v>
      </c>
      <c r="H159" s="7" t="s">
        <v>411</v>
      </c>
      <c r="I159" s="7" t="s">
        <v>2758</v>
      </c>
      <c r="J159" s="8" t="n">
        <v>45927</v>
      </c>
      <c r="K159" s="7" t="n">
        <f aca="false">J159-B159</f>
        <v>59</v>
      </c>
    </row>
    <row r="160" customFormat="false" ht="15" hidden="false" customHeight="false" outlineLevel="0" collapsed="false">
      <c r="A160" s="7" t="s">
        <v>2917</v>
      </c>
      <c r="B160" s="8" t="n">
        <v>45575</v>
      </c>
      <c r="C160" s="7" t="s">
        <v>25</v>
      </c>
      <c r="D160" s="7" t="s">
        <v>60</v>
      </c>
      <c r="E160" s="7" t="s">
        <v>2760</v>
      </c>
      <c r="F160" s="7" t="s">
        <v>2768</v>
      </c>
      <c r="G160" s="7" t="s">
        <v>1026</v>
      </c>
      <c r="H160" s="7" t="s">
        <v>387</v>
      </c>
      <c r="I160" s="7" t="s">
        <v>2758</v>
      </c>
      <c r="J160" s="8" t="n">
        <v>45591</v>
      </c>
      <c r="K160" s="7" t="n">
        <f aca="false">J160-B160</f>
        <v>16</v>
      </c>
    </row>
    <row r="161" customFormat="false" ht="15" hidden="false" customHeight="false" outlineLevel="0" collapsed="false">
      <c r="A161" s="7" t="s">
        <v>2918</v>
      </c>
      <c r="B161" s="8" t="n">
        <v>45489</v>
      </c>
      <c r="C161" s="7" t="s">
        <v>52</v>
      </c>
      <c r="D161" s="7" t="s">
        <v>87</v>
      </c>
      <c r="E161" s="7" t="s">
        <v>2774</v>
      </c>
      <c r="F161" s="7" t="s">
        <v>2768</v>
      </c>
      <c r="G161" s="7" t="s">
        <v>1009</v>
      </c>
      <c r="H161" s="7" t="s">
        <v>391</v>
      </c>
      <c r="I161" s="7" t="s">
        <v>1006</v>
      </c>
      <c r="J161" s="8" t="n">
        <v>45527</v>
      </c>
      <c r="K161" s="7" t="n">
        <f aca="false">J161-B161</f>
        <v>38</v>
      </c>
    </row>
    <row r="162" customFormat="false" ht="15" hidden="false" customHeight="false" outlineLevel="0" collapsed="false">
      <c r="A162" s="7" t="s">
        <v>2919</v>
      </c>
      <c r="B162" s="8" t="n">
        <v>45446</v>
      </c>
      <c r="C162" s="7" t="s">
        <v>37</v>
      </c>
      <c r="D162" s="7" t="s">
        <v>75</v>
      </c>
      <c r="E162" s="7" t="s">
        <v>2750</v>
      </c>
      <c r="F162" s="7" t="s">
        <v>2751</v>
      </c>
      <c r="G162" s="7" t="s">
        <v>467</v>
      </c>
      <c r="H162" s="7" t="s">
        <v>402</v>
      </c>
      <c r="I162" s="7" t="s">
        <v>1006</v>
      </c>
      <c r="J162" s="8" t="n">
        <v>45493</v>
      </c>
      <c r="K162" s="7" t="n">
        <f aca="false">J162-B162</f>
        <v>47</v>
      </c>
    </row>
    <row r="163" customFormat="false" ht="15" hidden="false" customHeight="false" outlineLevel="0" collapsed="false">
      <c r="A163" s="7" t="s">
        <v>2920</v>
      </c>
      <c r="B163" s="8" t="n">
        <v>45729</v>
      </c>
      <c r="C163" s="7" t="s">
        <v>49</v>
      </c>
      <c r="D163" s="7" t="s">
        <v>75</v>
      </c>
      <c r="E163" s="7" t="s">
        <v>2774</v>
      </c>
      <c r="F163" s="7" t="s">
        <v>2754</v>
      </c>
      <c r="G163" s="7" t="s">
        <v>1004</v>
      </c>
      <c r="H163" s="7" t="s">
        <v>389</v>
      </c>
      <c r="I163" s="7" t="s">
        <v>1006</v>
      </c>
      <c r="J163" s="8" t="n">
        <v>45795</v>
      </c>
      <c r="K163" s="7" t="n">
        <f aca="false">J163-B163</f>
        <v>66</v>
      </c>
    </row>
    <row r="164" customFormat="false" ht="15" hidden="false" customHeight="false" outlineLevel="0" collapsed="false">
      <c r="A164" s="7" t="s">
        <v>2921</v>
      </c>
      <c r="B164" s="8" t="n">
        <v>45332</v>
      </c>
      <c r="C164" s="7" t="s">
        <v>43</v>
      </c>
      <c r="D164" s="7" t="s">
        <v>87</v>
      </c>
      <c r="E164" s="7" t="s">
        <v>2760</v>
      </c>
      <c r="F164" s="7" t="s">
        <v>2756</v>
      </c>
      <c r="G164" s="7" t="s">
        <v>1009</v>
      </c>
      <c r="H164" s="7" t="s">
        <v>406</v>
      </c>
      <c r="I164" s="7" t="s">
        <v>2758</v>
      </c>
      <c r="J164" s="8" t="n">
        <v>45398</v>
      </c>
      <c r="K164" s="7" t="n">
        <f aca="false">J164-B164</f>
        <v>66</v>
      </c>
    </row>
    <row r="165" customFormat="false" ht="15" hidden="false" customHeight="false" outlineLevel="0" collapsed="false">
      <c r="A165" s="7" t="s">
        <v>2922</v>
      </c>
      <c r="B165" s="8" t="n">
        <v>45709</v>
      </c>
      <c r="C165" s="7" t="s">
        <v>43</v>
      </c>
      <c r="D165" s="7" t="s">
        <v>75</v>
      </c>
      <c r="E165" s="7" t="s">
        <v>2747</v>
      </c>
      <c r="F165" s="7" t="s">
        <v>2748</v>
      </c>
      <c r="G165" s="7" t="s">
        <v>1009</v>
      </c>
      <c r="H165" s="7" t="s">
        <v>401</v>
      </c>
      <c r="I165" s="7" t="s">
        <v>2758</v>
      </c>
      <c r="J165" s="8" t="n">
        <v>45793</v>
      </c>
      <c r="K165" s="7" t="n">
        <f aca="false">J165-B165</f>
        <v>84</v>
      </c>
    </row>
    <row r="166" customFormat="false" ht="15" hidden="false" customHeight="false" outlineLevel="0" collapsed="false">
      <c r="A166" s="7" t="s">
        <v>2923</v>
      </c>
      <c r="B166" s="8" t="n">
        <v>45710</v>
      </c>
      <c r="C166" s="7" t="s">
        <v>40</v>
      </c>
      <c r="D166" s="7" t="s">
        <v>83</v>
      </c>
      <c r="E166" s="7" t="s">
        <v>2750</v>
      </c>
      <c r="F166" s="7" t="s">
        <v>2748</v>
      </c>
      <c r="G166" s="7" t="s">
        <v>1026</v>
      </c>
      <c r="H166" s="7" t="s">
        <v>395</v>
      </c>
      <c r="I166" s="7" t="s">
        <v>1006</v>
      </c>
      <c r="J166" s="8" t="n">
        <v>45761</v>
      </c>
      <c r="K166" s="7" t="n">
        <f aca="false">J166-B166</f>
        <v>51</v>
      </c>
    </row>
    <row r="167" customFormat="false" ht="15" hidden="false" customHeight="false" outlineLevel="0" collapsed="false">
      <c r="A167" s="7" t="s">
        <v>2924</v>
      </c>
      <c r="B167" s="8" t="n">
        <v>45785</v>
      </c>
      <c r="C167" s="7" t="s">
        <v>31</v>
      </c>
      <c r="D167" s="7" t="s">
        <v>68</v>
      </c>
      <c r="E167" s="7" t="s">
        <v>2747</v>
      </c>
      <c r="F167" s="7" t="s">
        <v>2748</v>
      </c>
      <c r="G167" s="7" t="s">
        <v>1026</v>
      </c>
      <c r="H167" s="7" t="s">
        <v>387</v>
      </c>
      <c r="I167" s="7" t="s">
        <v>2758</v>
      </c>
      <c r="J167" s="8" t="n">
        <v>45805</v>
      </c>
      <c r="K167" s="7" t="n">
        <f aca="false">J167-B167</f>
        <v>20</v>
      </c>
    </row>
    <row r="168" customFormat="false" ht="15" hidden="false" customHeight="false" outlineLevel="0" collapsed="false">
      <c r="A168" s="7" t="s">
        <v>2925</v>
      </c>
      <c r="B168" s="8" t="n">
        <v>45970</v>
      </c>
      <c r="C168" s="7" t="s">
        <v>25</v>
      </c>
      <c r="D168" s="7" t="s">
        <v>65</v>
      </c>
      <c r="E168" s="7" t="s">
        <v>2774</v>
      </c>
      <c r="F168" s="7" t="s">
        <v>2756</v>
      </c>
      <c r="G168" s="7" t="s">
        <v>1026</v>
      </c>
      <c r="H168" s="7" t="s">
        <v>401</v>
      </c>
      <c r="I168" s="7" t="s">
        <v>2758</v>
      </c>
      <c r="J168" s="8" t="n">
        <v>46017</v>
      </c>
      <c r="K168" s="7" t="n">
        <f aca="false">J168-B168</f>
        <v>47</v>
      </c>
    </row>
    <row r="169" customFormat="false" ht="15" hidden="false" customHeight="false" outlineLevel="0" collapsed="false">
      <c r="A169" s="7" t="s">
        <v>2926</v>
      </c>
      <c r="B169" s="8" t="n">
        <v>45404</v>
      </c>
      <c r="C169" s="7" t="s">
        <v>46</v>
      </c>
      <c r="D169" s="7" t="s">
        <v>79</v>
      </c>
      <c r="E169" s="7" t="s">
        <v>2744</v>
      </c>
      <c r="F169" s="7" t="s">
        <v>2748</v>
      </c>
      <c r="G169" s="7" t="s">
        <v>1026</v>
      </c>
      <c r="H169" s="7" t="s">
        <v>413</v>
      </c>
      <c r="I169" s="7" t="s">
        <v>1006</v>
      </c>
      <c r="J169" s="8" t="n">
        <v>45423</v>
      </c>
      <c r="K169" s="7" t="n">
        <f aca="false">J169-B169</f>
        <v>19</v>
      </c>
    </row>
    <row r="170" customFormat="false" ht="15" hidden="false" customHeight="false" outlineLevel="0" collapsed="false">
      <c r="A170" s="7" t="s">
        <v>2927</v>
      </c>
      <c r="B170" s="8" t="n">
        <v>45891</v>
      </c>
      <c r="C170" s="7" t="s">
        <v>40</v>
      </c>
      <c r="D170" s="7" t="s">
        <v>71</v>
      </c>
      <c r="E170" s="7" t="s">
        <v>2763</v>
      </c>
      <c r="F170" s="7" t="s">
        <v>2745</v>
      </c>
      <c r="G170" s="7" t="s">
        <v>1009</v>
      </c>
      <c r="H170" s="7" t="s">
        <v>411</v>
      </c>
      <c r="I170" s="7" t="s">
        <v>2758</v>
      </c>
      <c r="J170" s="8" t="n">
        <v>45976</v>
      </c>
      <c r="K170" s="7" t="n">
        <f aca="false">J170-B170</f>
        <v>85</v>
      </c>
    </row>
    <row r="171" customFormat="false" ht="15" hidden="false" customHeight="false" outlineLevel="0" collapsed="false">
      <c r="A171" s="7" t="s">
        <v>2928</v>
      </c>
      <c r="B171" s="8" t="n">
        <v>45950</v>
      </c>
      <c r="C171" s="7" t="s">
        <v>52</v>
      </c>
      <c r="D171" s="7" t="s">
        <v>65</v>
      </c>
      <c r="E171" s="7" t="s">
        <v>2760</v>
      </c>
      <c r="F171" s="7" t="s">
        <v>2748</v>
      </c>
      <c r="G171" s="7" t="s">
        <v>1009</v>
      </c>
      <c r="H171" s="7" t="s">
        <v>406</v>
      </c>
      <c r="I171" s="7" t="s">
        <v>1006</v>
      </c>
      <c r="J171" s="8" t="n">
        <v>46020</v>
      </c>
      <c r="K171" s="7" t="n">
        <f aca="false">J171-B171</f>
        <v>70</v>
      </c>
    </row>
    <row r="172" customFormat="false" ht="15" hidden="false" customHeight="false" outlineLevel="0" collapsed="false">
      <c r="A172" s="7" t="s">
        <v>2929</v>
      </c>
      <c r="B172" s="8" t="n">
        <v>45497</v>
      </c>
      <c r="C172" s="7" t="s">
        <v>43</v>
      </c>
      <c r="D172" s="7" t="s">
        <v>75</v>
      </c>
      <c r="E172" s="7" t="s">
        <v>2763</v>
      </c>
      <c r="F172" s="7" t="s">
        <v>2754</v>
      </c>
      <c r="G172" s="7" t="s">
        <v>1004</v>
      </c>
      <c r="H172" s="7" t="s">
        <v>407</v>
      </c>
      <c r="I172" s="7" t="s">
        <v>1006</v>
      </c>
      <c r="J172" s="8" t="n">
        <v>45573</v>
      </c>
      <c r="K172" s="7" t="n">
        <f aca="false">J172-B172</f>
        <v>76</v>
      </c>
    </row>
    <row r="173" customFormat="false" ht="15" hidden="false" customHeight="false" outlineLevel="0" collapsed="false">
      <c r="A173" s="7" t="s">
        <v>2930</v>
      </c>
      <c r="B173" s="8" t="n">
        <v>45297</v>
      </c>
      <c r="C173" s="7" t="s">
        <v>49</v>
      </c>
      <c r="D173" s="7" t="s">
        <v>79</v>
      </c>
      <c r="E173" s="7" t="s">
        <v>2763</v>
      </c>
      <c r="F173" s="7" t="s">
        <v>2748</v>
      </c>
      <c r="G173" s="7" t="s">
        <v>1004</v>
      </c>
      <c r="H173" s="7" t="s">
        <v>393</v>
      </c>
      <c r="I173" s="7" t="s">
        <v>1006</v>
      </c>
      <c r="J173" s="8" t="n">
        <v>45325</v>
      </c>
      <c r="K173" s="7" t="n">
        <f aca="false">J173-B173</f>
        <v>28</v>
      </c>
    </row>
    <row r="174" customFormat="false" ht="15" hidden="false" customHeight="false" outlineLevel="0" collapsed="false">
      <c r="A174" s="7" t="s">
        <v>2931</v>
      </c>
      <c r="B174" s="8" t="n">
        <v>45560</v>
      </c>
      <c r="C174" s="7" t="s">
        <v>40</v>
      </c>
      <c r="D174" s="7" t="s">
        <v>87</v>
      </c>
      <c r="E174" s="7" t="s">
        <v>2744</v>
      </c>
      <c r="F174" s="7" t="s">
        <v>2748</v>
      </c>
      <c r="G174" s="7" t="s">
        <v>1009</v>
      </c>
      <c r="H174" s="7" t="s">
        <v>397</v>
      </c>
      <c r="I174" s="7" t="s">
        <v>2758</v>
      </c>
      <c r="J174" s="8" t="n">
        <v>45616</v>
      </c>
      <c r="K174" s="7" t="n">
        <f aca="false">J174-B174</f>
        <v>56</v>
      </c>
    </row>
    <row r="175" customFormat="false" ht="15" hidden="false" customHeight="false" outlineLevel="0" collapsed="false">
      <c r="A175" s="7" t="s">
        <v>2932</v>
      </c>
      <c r="B175" s="8" t="n">
        <v>45695</v>
      </c>
      <c r="C175" s="7" t="s">
        <v>25</v>
      </c>
      <c r="D175" s="7" t="s">
        <v>71</v>
      </c>
      <c r="E175" s="7" t="s">
        <v>2744</v>
      </c>
      <c r="F175" s="7" t="s">
        <v>2754</v>
      </c>
      <c r="G175" s="7" t="s">
        <v>1026</v>
      </c>
      <c r="H175" s="7" t="s">
        <v>399</v>
      </c>
      <c r="I175" s="7" t="s">
        <v>1006</v>
      </c>
      <c r="J175" s="8" t="n">
        <v>45729</v>
      </c>
      <c r="K175" s="7" t="n">
        <f aca="false">J175-B175</f>
        <v>34</v>
      </c>
    </row>
    <row r="176" customFormat="false" ht="15" hidden="false" customHeight="false" outlineLevel="0" collapsed="false">
      <c r="A176" s="7" t="s">
        <v>2933</v>
      </c>
      <c r="B176" s="8" t="n">
        <v>45501</v>
      </c>
      <c r="C176" s="7" t="s">
        <v>37</v>
      </c>
      <c r="D176" s="7" t="s">
        <v>79</v>
      </c>
      <c r="E176" s="7" t="s">
        <v>2760</v>
      </c>
      <c r="F176" s="7" t="s">
        <v>2751</v>
      </c>
      <c r="G176" s="7" t="s">
        <v>467</v>
      </c>
      <c r="H176" s="7" t="s">
        <v>406</v>
      </c>
      <c r="I176" s="7" t="s">
        <v>2758</v>
      </c>
      <c r="J176" s="8" t="n">
        <v>45518</v>
      </c>
      <c r="K176" s="7" t="n">
        <f aca="false">J176-B176</f>
        <v>17</v>
      </c>
    </row>
    <row r="177" customFormat="false" ht="15" hidden="false" customHeight="false" outlineLevel="0" collapsed="false">
      <c r="A177" s="7" t="s">
        <v>2934</v>
      </c>
      <c r="B177" s="8" t="n">
        <v>45804</v>
      </c>
      <c r="C177" s="7" t="s">
        <v>49</v>
      </c>
      <c r="D177" s="7" t="s">
        <v>79</v>
      </c>
      <c r="E177" s="7" t="s">
        <v>2774</v>
      </c>
      <c r="F177" s="7" t="s">
        <v>2745</v>
      </c>
      <c r="G177" s="7" t="s">
        <v>1004</v>
      </c>
      <c r="H177" s="7" t="s">
        <v>401</v>
      </c>
      <c r="I177" s="7" t="s">
        <v>1006</v>
      </c>
      <c r="J177" s="8" t="n">
        <v>45843</v>
      </c>
      <c r="K177" s="7" t="n">
        <f aca="false">J177-B177</f>
        <v>39</v>
      </c>
    </row>
    <row r="178" customFormat="false" ht="15" hidden="false" customHeight="false" outlineLevel="0" collapsed="false">
      <c r="A178" s="7" t="s">
        <v>2935</v>
      </c>
      <c r="B178" s="8" t="n">
        <v>45593</v>
      </c>
      <c r="C178" s="7" t="s">
        <v>52</v>
      </c>
      <c r="D178" s="7" t="s">
        <v>79</v>
      </c>
      <c r="E178" s="7" t="s">
        <v>2760</v>
      </c>
      <c r="F178" s="7" t="s">
        <v>2756</v>
      </c>
      <c r="G178" s="7" t="s">
        <v>1009</v>
      </c>
      <c r="H178" s="7" t="s">
        <v>395</v>
      </c>
      <c r="I178" s="7" t="s">
        <v>1006</v>
      </c>
      <c r="J178" s="8" t="n">
        <v>45652</v>
      </c>
      <c r="K178" s="7" t="n">
        <f aca="false">J178-B178</f>
        <v>59</v>
      </c>
    </row>
    <row r="179" customFormat="false" ht="15" hidden="false" customHeight="false" outlineLevel="0" collapsed="false">
      <c r="A179" s="7" t="s">
        <v>2936</v>
      </c>
      <c r="B179" s="8" t="n">
        <v>45306</v>
      </c>
      <c r="C179" s="7" t="s">
        <v>34</v>
      </c>
      <c r="D179" s="7" t="s">
        <v>71</v>
      </c>
      <c r="E179" s="7" t="s">
        <v>2767</v>
      </c>
      <c r="F179" s="7" t="s">
        <v>2748</v>
      </c>
      <c r="G179" s="7" t="s">
        <v>1004</v>
      </c>
      <c r="H179" s="7" t="s">
        <v>411</v>
      </c>
      <c r="I179" s="7" t="s">
        <v>1006</v>
      </c>
      <c r="J179" s="8" t="n">
        <v>45333</v>
      </c>
      <c r="K179" s="7" t="n">
        <f aca="false">J179-B179</f>
        <v>27</v>
      </c>
    </row>
    <row r="180" customFormat="false" ht="15" hidden="false" customHeight="false" outlineLevel="0" collapsed="false">
      <c r="A180" s="7" t="s">
        <v>2937</v>
      </c>
      <c r="B180" s="8" t="n">
        <v>45915</v>
      </c>
      <c r="C180" s="7" t="s">
        <v>25</v>
      </c>
      <c r="D180" s="7" t="s">
        <v>79</v>
      </c>
      <c r="E180" s="7" t="s">
        <v>2760</v>
      </c>
      <c r="F180" s="7" t="s">
        <v>2745</v>
      </c>
      <c r="G180" s="7" t="s">
        <v>1004</v>
      </c>
      <c r="H180" s="7" t="s">
        <v>402</v>
      </c>
      <c r="I180" s="7" t="s">
        <v>2758</v>
      </c>
      <c r="J180" s="8" t="n">
        <v>45965</v>
      </c>
      <c r="K180" s="7" t="n">
        <f aca="false">J180-B180</f>
        <v>50</v>
      </c>
    </row>
    <row r="181" customFormat="false" ht="15" hidden="false" customHeight="false" outlineLevel="0" collapsed="false">
      <c r="A181" s="7" t="s">
        <v>2938</v>
      </c>
      <c r="B181" s="8" t="n">
        <v>45969</v>
      </c>
      <c r="C181" s="7" t="s">
        <v>46</v>
      </c>
      <c r="D181" s="7" t="s">
        <v>83</v>
      </c>
      <c r="E181" s="7" t="s">
        <v>2774</v>
      </c>
      <c r="F181" s="7" t="s">
        <v>2751</v>
      </c>
      <c r="G181" s="7" t="s">
        <v>467</v>
      </c>
      <c r="H181" s="7" t="s">
        <v>395</v>
      </c>
      <c r="I181" s="7" t="s">
        <v>1006</v>
      </c>
      <c r="J181" s="8" t="n">
        <v>46050</v>
      </c>
      <c r="K181" s="7" t="n">
        <f aca="false">J181-B181</f>
        <v>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3"/>
    <col collapsed="false" customWidth="true" hidden="false" outlineLevel="0" max="3" min="3" style="0" width="9"/>
    <col collapsed="false" customWidth="true" hidden="false" outlineLevel="0" max="4" min="4" style="0" width="10"/>
    <col collapsed="false" customWidth="true" hidden="false" outlineLevel="0" max="5" min="5" style="0" width="20"/>
    <col collapsed="false" customWidth="true" hidden="false" outlineLevel="0" max="6" min="6" style="0" width="30"/>
    <col collapsed="false" customWidth="true" hidden="false" outlineLevel="0" max="7" min="7" style="0" width="12"/>
    <col collapsed="false" customWidth="true" hidden="false" outlineLevel="0" max="8" min="8" style="0" width="10"/>
    <col collapsed="false" customWidth="true" hidden="false" outlineLevel="0" max="9" min="9" style="0" width="11"/>
    <col collapsed="false" customWidth="true" hidden="false" outlineLevel="0" max="10" min="10" style="0" width="26"/>
    <col collapsed="false" customWidth="true" hidden="false" outlineLevel="0" max="11" min="11" style="0" width="14"/>
    <col collapsed="false" customWidth="true" hidden="false" outlineLevel="0" max="12" min="12" style="0" width="16"/>
  </cols>
  <sheetData>
    <row r="1" customFormat="false" ht="23.85" hidden="false" customHeight="false" outlineLevel="0" collapsed="false">
      <c r="A1" s="6" t="s">
        <v>2939</v>
      </c>
      <c r="B1" s="6" t="s">
        <v>2940</v>
      </c>
      <c r="C1" s="6" t="s">
        <v>21</v>
      </c>
      <c r="D1" s="6" t="s">
        <v>55</v>
      </c>
      <c r="E1" s="6" t="s">
        <v>2941</v>
      </c>
      <c r="F1" s="6" t="s">
        <v>2942</v>
      </c>
      <c r="G1" s="6" t="s">
        <v>2943</v>
      </c>
      <c r="H1" s="6" t="s">
        <v>2944</v>
      </c>
      <c r="I1" s="6" t="s">
        <v>2945</v>
      </c>
      <c r="J1" s="6" t="s">
        <v>2946</v>
      </c>
      <c r="K1" s="6" t="s">
        <v>2947</v>
      </c>
      <c r="L1" s="6" t="s">
        <v>2948</v>
      </c>
    </row>
    <row r="2" customFormat="false" ht="15" hidden="false" customHeight="false" outlineLevel="0" collapsed="false">
      <c r="A2" s="7" t="s">
        <v>2949</v>
      </c>
      <c r="B2" s="8" t="n">
        <v>45619</v>
      </c>
      <c r="C2" s="7" t="s">
        <v>43</v>
      </c>
      <c r="D2" s="7" t="s">
        <v>71</v>
      </c>
      <c r="E2" s="7" t="s">
        <v>2950</v>
      </c>
      <c r="F2" s="7" t="s">
        <v>2951</v>
      </c>
      <c r="G2" s="7" t="n">
        <v>1</v>
      </c>
      <c r="H2" s="7" t="n">
        <v>4</v>
      </c>
      <c r="I2" s="7" t="n">
        <f aca="false">G2*H2</f>
        <v>4</v>
      </c>
      <c r="J2" s="7" t="s">
        <v>2952</v>
      </c>
      <c r="K2" s="7" t="s">
        <v>2953</v>
      </c>
      <c r="L2" s="7" t="s">
        <v>418</v>
      </c>
    </row>
    <row r="3" customFormat="false" ht="15" hidden="false" customHeight="false" outlineLevel="0" collapsed="false">
      <c r="A3" s="7" t="s">
        <v>2954</v>
      </c>
      <c r="B3" s="8" t="n">
        <v>45312</v>
      </c>
      <c r="C3" s="7" t="s">
        <v>46</v>
      </c>
      <c r="D3" s="7" t="s">
        <v>87</v>
      </c>
      <c r="E3" s="7" t="s">
        <v>2955</v>
      </c>
      <c r="F3" s="7" t="s">
        <v>2956</v>
      </c>
      <c r="G3" s="7" t="n">
        <v>4</v>
      </c>
      <c r="H3" s="7" t="n">
        <v>5</v>
      </c>
      <c r="I3" s="7" t="n">
        <f aca="false">G3*H3</f>
        <v>20</v>
      </c>
      <c r="J3" s="7" t="s">
        <v>2957</v>
      </c>
      <c r="K3" s="7" t="s">
        <v>2758</v>
      </c>
      <c r="L3" s="7" t="s">
        <v>441</v>
      </c>
    </row>
    <row r="4" customFormat="false" ht="15" hidden="false" customHeight="false" outlineLevel="0" collapsed="false">
      <c r="A4" s="7" t="s">
        <v>2958</v>
      </c>
      <c r="B4" s="8" t="n">
        <v>45619</v>
      </c>
      <c r="C4" s="7" t="s">
        <v>52</v>
      </c>
      <c r="D4" s="7" t="s">
        <v>65</v>
      </c>
      <c r="E4" s="7" t="s">
        <v>2959</v>
      </c>
      <c r="F4" s="7" t="s">
        <v>2960</v>
      </c>
      <c r="G4" s="7" t="n">
        <v>2</v>
      </c>
      <c r="H4" s="7" t="n">
        <v>1</v>
      </c>
      <c r="I4" s="7" t="n">
        <f aca="false">G4*H4</f>
        <v>2</v>
      </c>
      <c r="J4" s="7" t="s">
        <v>2961</v>
      </c>
      <c r="K4" s="7" t="s">
        <v>2953</v>
      </c>
      <c r="L4" s="7" t="s">
        <v>436</v>
      </c>
    </row>
    <row r="5" customFormat="false" ht="15" hidden="false" customHeight="false" outlineLevel="0" collapsed="false">
      <c r="A5" s="7" t="s">
        <v>2962</v>
      </c>
      <c r="B5" s="8" t="n">
        <v>45315</v>
      </c>
      <c r="C5" s="7" t="s">
        <v>37</v>
      </c>
      <c r="D5" s="7" t="s">
        <v>68</v>
      </c>
      <c r="E5" s="7" t="s">
        <v>2963</v>
      </c>
      <c r="F5" s="7" t="s">
        <v>2964</v>
      </c>
      <c r="G5" s="7" t="n">
        <v>2</v>
      </c>
      <c r="H5" s="7" t="n">
        <v>2</v>
      </c>
      <c r="I5" s="7" t="n">
        <f aca="false">G5*H5</f>
        <v>4</v>
      </c>
      <c r="J5" s="7" t="s">
        <v>2965</v>
      </c>
      <c r="K5" s="7" t="s">
        <v>2953</v>
      </c>
      <c r="L5" s="7" t="s">
        <v>416</v>
      </c>
    </row>
    <row r="6" customFormat="false" ht="15" hidden="false" customHeight="false" outlineLevel="0" collapsed="false">
      <c r="A6" s="7" t="s">
        <v>2966</v>
      </c>
      <c r="B6" s="8" t="n">
        <v>45591</v>
      </c>
      <c r="C6" s="7" t="s">
        <v>34</v>
      </c>
      <c r="D6" s="7" t="s">
        <v>79</v>
      </c>
      <c r="E6" s="7" t="s">
        <v>2967</v>
      </c>
      <c r="F6" s="7" t="s">
        <v>2968</v>
      </c>
      <c r="G6" s="7" t="n">
        <v>5</v>
      </c>
      <c r="H6" s="7" t="n">
        <v>4</v>
      </c>
      <c r="I6" s="7" t="n">
        <f aca="false">G6*H6</f>
        <v>20</v>
      </c>
      <c r="J6" s="7" t="s">
        <v>2957</v>
      </c>
      <c r="K6" s="7" t="s">
        <v>2953</v>
      </c>
      <c r="L6" s="7" t="s">
        <v>422</v>
      </c>
    </row>
    <row r="7" customFormat="false" ht="15" hidden="false" customHeight="false" outlineLevel="0" collapsed="false">
      <c r="A7" s="7" t="s">
        <v>2969</v>
      </c>
      <c r="B7" s="8" t="n">
        <v>45487</v>
      </c>
      <c r="C7" s="7" t="s">
        <v>40</v>
      </c>
      <c r="D7" s="7" t="s">
        <v>60</v>
      </c>
      <c r="E7" s="7" t="s">
        <v>2955</v>
      </c>
      <c r="F7" s="7" t="s">
        <v>2970</v>
      </c>
      <c r="G7" s="7" t="n">
        <v>5</v>
      </c>
      <c r="H7" s="7" t="n">
        <v>3</v>
      </c>
      <c r="I7" s="7" t="n">
        <f aca="false">G7*H7</f>
        <v>15</v>
      </c>
      <c r="J7" s="7" t="s">
        <v>2957</v>
      </c>
      <c r="K7" s="7" t="s">
        <v>2758</v>
      </c>
      <c r="L7" s="7" t="s">
        <v>441</v>
      </c>
    </row>
    <row r="8" customFormat="false" ht="15" hidden="false" customHeight="false" outlineLevel="0" collapsed="false">
      <c r="A8" s="7" t="s">
        <v>2971</v>
      </c>
      <c r="B8" s="8" t="n">
        <v>45728</v>
      </c>
      <c r="C8" s="7" t="s">
        <v>52</v>
      </c>
      <c r="D8" s="7" t="s">
        <v>87</v>
      </c>
      <c r="E8" s="7" t="s">
        <v>2950</v>
      </c>
      <c r="F8" s="7" t="s">
        <v>2972</v>
      </c>
      <c r="G8" s="7" t="n">
        <v>3</v>
      </c>
      <c r="H8" s="7" t="n">
        <v>4</v>
      </c>
      <c r="I8" s="7" t="n">
        <f aca="false">G8*H8</f>
        <v>12</v>
      </c>
      <c r="J8" s="7" t="s">
        <v>2952</v>
      </c>
      <c r="K8" s="7" t="s">
        <v>2953</v>
      </c>
      <c r="L8" s="7" t="s">
        <v>440</v>
      </c>
    </row>
    <row r="9" customFormat="false" ht="15" hidden="false" customHeight="false" outlineLevel="0" collapsed="false">
      <c r="A9" s="7" t="s">
        <v>2973</v>
      </c>
      <c r="B9" s="8" t="n">
        <v>46020</v>
      </c>
      <c r="C9" s="7" t="s">
        <v>34</v>
      </c>
      <c r="D9" s="7" t="s">
        <v>83</v>
      </c>
      <c r="E9" s="7" t="s">
        <v>2959</v>
      </c>
      <c r="F9" s="7" t="s">
        <v>2974</v>
      </c>
      <c r="G9" s="7" t="n">
        <v>3</v>
      </c>
      <c r="H9" s="7" t="n">
        <v>2</v>
      </c>
      <c r="I9" s="7" t="n">
        <f aca="false">G9*H9</f>
        <v>6</v>
      </c>
      <c r="J9" s="7" t="s">
        <v>2961</v>
      </c>
      <c r="K9" s="7" t="s">
        <v>2758</v>
      </c>
      <c r="L9" s="7" t="s">
        <v>434</v>
      </c>
    </row>
    <row r="10" customFormat="false" ht="15" hidden="false" customHeight="false" outlineLevel="0" collapsed="false">
      <c r="A10" s="7" t="s">
        <v>2975</v>
      </c>
      <c r="B10" s="8" t="n">
        <v>45988</v>
      </c>
      <c r="C10" s="7" t="s">
        <v>43</v>
      </c>
      <c r="D10" s="7" t="s">
        <v>68</v>
      </c>
      <c r="E10" s="7" t="s">
        <v>2976</v>
      </c>
      <c r="F10" s="7" t="s">
        <v>2977</v>
      </c>
      <c r="G10" s="7" t="n">
        <v>3</v>
      </c>
      <c r="H10" s="7" t="n">
        <v>1</v>
      </c>
      <c r="I10" s="7" t="n">
        <f aca="false">G10*H10</f>
        <v>3</v>
      </c>
      <c r="J10" s="7" t="s">
        <v>2978</v>
      </c>
      <c r="K10" s="7" t="s">
        <v>2979</v>
      </c>
      <c r="L10" s="7" t="s">
        <v>438</v>
      </c>
    </row>
    <row r="11" customFormat="false" ht="15" hidden="false" customHeight="false" outlineLevel="0" collapsed="false">
      <c r="A11" s="7" t="s">
        <v>2980</v>
      </c>
      <c r="B11" s="8" t="n">
        <v>45550</v>
      </c>
      <c r="C11" s="7" t="s">
        <v>31</v>
      </c>
      <c r="D11" s="7" t="s">
        <v>87</v>
      </c>
      <c r="E11" s="7" t="s">
        <v>2967</v>
      </c>
      <c r="F11" s="7" t="s">
        <v>2981</v>
      </c>
      <c r="G11" s="7" t="n">
        <v>5</v>
      </c>
      <c r="H11" s="7" t="n">
        <v>2</v>
      </c>
      <c r="I11" s="7" t="n">
        <f aca="false">G11*H11</f>
        <v>10</v>
      </c>
      <c r="J11" s="7" t="s">
        <v>2957</v>
      </c>
      <c r="K11" s="7" t="s">
        <v>2758</v>
      </c>
      <c r="L11" s="7" t="s">
        <v>429</v>
      </c>
    </row>
    <row r="12" customFormat="false" ht="15" hidden="false" customHeight="false" outlineLevel="0" collapsed="false">
      <c r="A12" s="7" t="s">
        <v>2982</v>
      </c>
      <c r="B12" s="8" t="n">
        <v>45931</v>
      </c>
      <c r="C12" s="7" t="s">
        <v>52</v>
      </c>
      <c r="D12" s="7" t="s">
        <v>83</v>
      </c>
      <c r="E12" s="7" t="s">
        <v>2950</v>
      </c>
      <c r="F12" s="7" t="s">
        <v>2972</v>
      </c>
      <c r="G12" s="7" t="n">
        <v>1</v>
      </c>
      <c r="H12" s="7" t="n">
        <v>4</v>
      </c>
      <c r="I12" s="7" t="n">
        <f aca="false">G12*H12</f>
        <v>4</v>
      </c>
      <c r="J12" s="7" t="s">
        <v>2983</v>
      </c>
      <c r="K12" s="7" t="s">
        <v>2953</v>
      </c>
      <c r="L12" s="7" t="s">
        <v>441</v>
      </c>
    </row>
    <row r="13" customFormat="false" ht="15" hidden="false" customHeight="false" outlineLevel="0" collapsed="false">
      <c r="A13" s="7" t="s">
        <v>2984</v>
      </c>
      <c r="B13" s="8" t="n">
        <v>45471</v>
      </c>
      <c r="C13" s="7" t="s">
        <v>49</v>
      </c>
      <c r="D13" s="7" t="s">
        <v>87</v>
      </c>
      <c r="E13" s="7" t="s">
        <v>2963</v>
      </c>
      <c r="F13" s="7" t="s">
        <v>2985</v>
      </c>
      <c r="G13" s="7" t="n">
        <v>3</v>
      </c>
      <c r="H13" s="7" t="n">
        <v>4</v>
      </c>
      <c r="I13" s="7" t="n">
        <f aca="false">G13*H13</f>
        <v>12</v>
      </c>
      <c r="J13" s="7" t="s">
        <v>2978</v>
      </c>
      <c r="K13" s="7" t="s">
        <v>2953</v>
      </c>
      <c r="L13" s="7" t="s">
        <v>440</v>
      </c>
    </row>
    <row r="14" customFormat="false" ht="15" hidden="false" customHeight="false" outlineLevel="0" collapsed="false">
      <c r="A14" s="7" t="s">
        <v>2986</v>
      </c>
      <c r="B14" s="8" t="n">
        <v>45422</v>
      </c>
      <c r="C14" s="7" t="s">
        <v>37</v>
      </c>
      <c r="D14" s="7" t="s">
        <v>71</v>
      </c>
      <c r="E14" s="7" t="s">
        <v>2963</v>
      </c>
      <c r="F14" s="7" t="s">
        <v>2964</v>
      </c>
      <c r="G14" s="7" t="n">
        <v>4</v>
      </c>
      <c r="H14" s="7" t="n">
        <v>2</v>
      </c>
      <c r="I14" s="7" t="n">
        <f aca="false">G14*H14</f>
        <v>8</v>
      </c>
      <c r="J14" s="7" t="s">
        <v>2987</v>
      </c>
      <c r="K14" s="7" t="s">
        <v>2953</v>
      </c>
      <c r="L14" s="7" t="s">
        <v>441</v>
      </c>
    </row>
    <row r="15" customFormat="false" ht="15" hidden="false" customHeight="false" outlineLevel="0" collapsed="false">
      <c r="A15" s="7" t="s">
        <v>2988</v>
      </c>
      <c r="B15" s="8" t="n">
        <v>45923</v>
      </c>
      <c r="C15" s="7" t="s">
        <v>52</v>
      </c>
      <c r="D15" s="7" t="s">
        <v>87</v>
      </c>
      <c r="E15" s="7" t="s">
        <v>2959</v>
      </c>
      <c r="F15" s="7" t="s">
        <v>2960</v>
      </c>
      <c r="G15" s="7" t="n">
        <v>1</v>
      </c>
      <c r="H15" s="7" t="n">
        <v>5</v>
      </c>
      <c r="I15" s="7" t="n">
        <f aca="false">G15*H15</f>
        <v>5</v>
      </c>
      <c r="J15" s="7" t="s">
        <v>2952</v>
      </c>
      <c r="K15" s="7" t="s">
        <v>2758</v>
      </c>
      <c r="L15" s="7" t="s">
        <v>436</v>
      </c>
    </row>
    <row r="16" customFormat="false" ht="15" hidden="false" customHeight="false" outlineLevel="0" collapsed="false">
      <c r="A16" s="7" t="s">
        <v>2989</v>
      </c>
      <c r="B16" s="8" t="n">
        <v>45531</v>
      </c>
      <c r="C16" s="7" t="s">
        <v>49</v>
      </c>
      <c r="D16" s="7" t="s">
        <v>68</v>
      </c>
      <c r="E16" s="7" t="s">
        <v>2950</v>
      </c>
      <c r="F16" s="7" t="s">
        <v>2990</v>
      </c>
      <c r="G16" s="7" t="n">
        <v>5</v>
      </c>
      <c r="H16" s="7" t="n">
        <v>2</v>
      </c>
      <c r="I16" s="7" t="n">
        <f aca="false">G16*H16</f>
        <v>10</v>
      </c>
      <c r="J16" s="7" t="s">
        <v>2961</v>
      </c>
      <c r="K16" s="7" t="s">
        <v>2953</v>
      </c>
      <c r="L16" s="7" t="s">
        <v>440</v>
      </c>
    </row>
    <row r="17" customFormat="false" ht="15" hidden="false" customHeight="false" outlineLevel="0" collapsed="false">
      <c r="A17" s="7" t="s">
        <v>2991</v>
      </c>
      <c r="B17" s="8" t="n">
        <v>45305</v>
      </c>
      <c r="C17" s="7" t="s">
        <v>52</v>
      </c>
      <c r="D17" s="7" t="s">
        <v>60</v>
      </c>
      <c r="E17" s="7" t="s">
        <v>2959</v>
      </c>
      <c r="F17" s="7" t="s">
        <v>2960</v>
      </c>
      <c r="G17" s="7" t="n">
        <v>3</v>
      </c>
      <c r="H17" s="7" t="n">
        <v>1</v>
      </c>
      <c r="I17" s="7" t="n">
        <f aca="false">G17*H17</f>
        <v>3</v>
      </c>
      <c r="J17" s="7" t="s">
        <v>2961</v>
      </c>
      <c r="K17" s="7" t="s">
        <v>2979</v>
      </c>
      <c r="L17" s="7" t="s">
        <v>436</v>
      </c>
    </row>
    <row r="18" customFormat="false" ht="15" hidden="false" customHeight="false" outlineLevel="0" collapsed="false">
      <c r="A18" s="7" t="s">
        <v>2992</v>
      </c>
      <c r="B18" s="8" t="n">
        <v>45331</v>
      </c>
      <c r="C18" s="7" t="s">
        <v>34</v>
      </c>
      <c r="D18" s="7" t="s">
        <v>87</v>
      </c>
      <c r="E18" s="7" t="s">
        <v>2967</v>
      </c>
      <c r="F18" s="7" t="s">
        <v>2968</v>
      </c>
      <c r="G18" s="7" t="n">
        <v>4</v>
      </c>
      <c r="H18" s="7" t="n">
        <v>5</v>
      </c>
      <c r="I18" s="7" t="n">
        <f aca="false">G18*H18</f>
        <v>20</v>
      </c>
      <c r="J18" s="7" t="s">
        <v>2965</v>
      </c>
      <c r="K18" s="7" t="s">
        <v>2953</v>
      </c>
      <c r="L18" s="7" t="s">
        <v>428</v>
      </c>
    </row>
    <row r="19" customFormat="false" ht="15" hidden="false" customHeight="false" outlineLevel="0" collapsed="false">
      <c r="A19" s="7" t="s">
        <v>2993</v>
      </c>
      <c r="B19" s="8" t="n">
        <v>45484</v>
      </c>
      <c r="C19" s="7" t="s">
        <v>25</v>
      </c>
      <c r="D19" s="7" t="s">
        <v>65</v>
      </c>
      <c r="E19" s="7" t="s">
        <v>2994</v>
      </c>
      <c r="F19" s="7" t="s">
        <v>2995</v>
      </c>
      <c r="G19" s="7" t="n">
        <v>1</v>
      </c>
      <c r="H19" s="7" t="n">
        <v>1</v>
      </c>
      <c r="I19" s="7" t="n">
        <f aca="false">G19*H19</f>
        <v>1</v>
      </c>
      <c r="J19" s="7" t="s">
        <v>2987</v>
      </c>
      <c r="K19" s="7" t="s">
        <v>2758</v>
      </c>
      <c r="L19" s="7" t="s">
        <v>436</v>
      </c>
    </row>
    <row r="20" customFormat="false" ht="15" hidden="false" customHeight="false" outlineLevel="0" collapsed="false">
      <c r="A20" s="7" t="s">
        <v>2996</v>
      </c>
      <c r="B20" s="8" t="n">
        <v>45466</v>
      </c>
      <c r="C20" s="7" t="s">
        <v>40</v>
      </c>
      <c r="D20" s="7" t="s">
        <v>68</v>
      </c>
      <c r="E20" s="7" t="s">
        <v>2959</v>
      </c>
      <c r="F20" s="7" t="s">
        <v>2997</v>
      </c>
      <c r="G20" s="7" t="n">
        <v>3</v>
      </c>
      <c r="H20" s="7" t="n">
        <v>1</v>
      </c>
      <c r="I20" s="7" t="n">
        <f aca="false">G20*H20</f>
        <v>3</v>
      </c>
      <c r="J20" s="7" t="s">
        <v>2987</v>
      </c>
      <c r="K20" s="7" t="s">
        <v>2758</v>
      </c>
      <c r="L20" s="7" t="s">
        <v>436</v>
      </c>
    </row>
    <row r="21" customFormat="false" ht="15" hidden="false" customHeight="false" outlineLevel="0" collapsed="false">
      <c r="A21" s="7" t="s">
        <v>2998</v>
      </c>
      <c r="B21" s="8" t="n">
        <v>45840</v>
      </c>
      <c r="C21" s="7" t="s">
        <v>40</v>
      </c>
      <c r="D21" s="7" t="s">
        <v>65</v>
      </c>
      <c r="E21" s="7" t="s">
        <v>2955</v>
      </c>
      <c r="F21" s="7" t="s">
        <v>2970</v>
      </c>
      <c r="G21" s="7" t="n">
        <v>5</v>
      </c>
      <c r="H21" s="7" t="n">
        <v>1</v>
      </c>
      <c r="I21" s="7" t="n">
        <f aca="false">G21*H21</f>
        <v>5</v>
      </c>
      <c r="J21" s="7" t="s">
        <v>2983</v>
      </c>
      <c r="K21" s="7" t="s">
        <v>2953</v>
      </c>
      <c r="L21" s="7" t="s">
        <v>420</v>
      </c>
    </row>
    <row r="22" customFormat="false" ht="15" hidden="false" customHeight="false" outlineLevel="0" collapsed="false">
      <c r="A22" s="7" t="s">
        <v>2999</v>
      </c>
      <c r="B22" s="8" t="n">
        <v>45468</v>
      </c>
      <c r="C22" s="7" t="s">
        <v>49</v>
      </c>
      <c r="D22" s="7" t="s">
        <v>83</v>
      </c>
      <c r="E22" s="7" t="s">
        <v>2994</v>
      </c>
      <c r="F22" s="7" t="s">
        <v>3000</v>
      </c>
      <c r="G22" s="7" t="n">
        <v>1</v>
      </c>
      <c r="H22" s="7" t="n">
        <v>3</v>
      </c>
      <c r="I22" s="7" t="n">
        <f aca="false">G22*H22</f>
        <v>3</v>
      </c>
      <c r="J22" s="7" t="s">
        <v>2983</v>
      </c>
      <c r="K22" s="7" t="s">
        <v>2758</v>
      </c>
      <c r="L22" s="7" t="s">
        <v>414</v>
      </c>
    </row>
    <row r="23" customFormat="false" ht="15" hidden="false" customHeight="false" outlineLevel="0" collapsed="false">
      <c r="A23" s="7" t="s">
        <v>3001</v>
      </c>
      <c r="B23" s="8" t="n">
        <v>45826</v>
      </c>
      <c r="C23" s="7" t="s">
        <v>52</v>
      </c>
      <c r="D23" s="7" t="s">
        <v>75</v>
      </c>
      <c r="E23" s="7" t="s">
        <v>3002</v>
      </c>
      <c r="F23" s="7" t="s">
        <v>3003</v>
      </c>
      <c r="G23" s="7" t="n">
        <v>2</v>
      </c>
      <c r="H23" s="7" t="n">
        <v>3</v>
      </c>
      <c r="I23" s="7" t="n">
        <f aca="false">G23*H23</f>
        <v>6</v>
      </c>
      <c r="J23" s="7" t="s">
        <v>2957</v>
      </c>
      <c r="K23" s="7" t="s">
        <v>2758</v>
      </c>
      <c r="L23" s="7" t="s">
        <v>429</v>
      </c>
    </row>
    <row r="24" customFormat="false" ht="15" hidden="false" customHeight="false" outlineLevel="0" collapsed="false">
      <c r="A24" s="7" t="s">
        <v>3004</v>
      </c>
      <c r="B24" s="8" t="n">
        <v>45663</v>
      </c>
      <c r="C24" s="7" t="s">
        <v>37</v>
      </c>
      <c r="D24" s="7" t="s">
        <v>75</v>
      </c>
      <c r="E24" s="7" t="s">
        <v>2959</v>
      </c>
      <c r="F24" s="7" t="s">
        <v>3005</v>
      </c>
      <c r="G24" s="7" t="n">
        <v>2</v>
      </c>
      <c r="H24" s="7" t="n">
        <v>1</v>
      </c>
      <c r="I24" s="7" t="n">
        <f aca="false">G24*H24</f>
        <v>2</v>
      </c>
      <c r="J24" s="7" t="s">
        <v>2961</v>
      </c>
      <c r="K24" s="7" t="s">
        <v>2953</v>
      </c>
      <c r="L24" s="7" t="s">
        <v>428</v>
      </c>
    </row>
    <row r="25" customFormat="false" ht="15" hidden="false" customHeight="false" outlineLevel="0" collapsed="false">
      <c r="A25" s="7" t="s">
        <v>3006</v>
      </c>
      <c r="B25" s="8" t="n">
        <v>45956</v>
      </c>
      <c r="C25" s="7" t="s">
        <v>52</v>
      </c>
      <c r="D25" s="7" t="s">
        <v>60</v>
      </c>
      <c r="E25" s="7" t="s">
        <v>2955</v>
      </c>
      <c r="F25" s="7" t="s">
        <v>3007</v>
      </c>
      <c r="G25" s="7" t="n">
        <v>1</v>
      </c>
      <c r="H25" s="7" t="n">
        <v>2</v>
      </c>
      <c r="I25" s="7" t="n">
        <f aca="false">G25*H25</f>
        <v>2</v>
      </c>
      <c r="J25" s="7" t="s">
        <v>2952</v>
      </c>
      <c r="K25" s="7" t="s">
        <v>2758</v>
      </c>
      <c r="L25" s="7" t="s">
        <v>440</v>
      </c>
    </row>
    <row r="26" customFormat="false" ht="15" hidden="false" customHeight="false" outlineLevel="0" collapsed="false">
      <c r="A26" s="7" t="s">
        <v>3008</v>
      </c>
      <c r="B26" s="8" t="n">
        <v>45406</v>
      </c>
      <c r="C26" s="7" t="s">
        <v>52</v>
      </c>
      <c r="D26" s="7" t="s">
        <v>83</v>
      </c>
      <c r="E26" s="7" t="s">
        <v>2976</v>
      </c>
      <c r="F26" s="7" t="s">
        <v>3009</v>
      </c>
      <c r="G26" s="7" t="n">
        <v>1</v>
      </c>
      <c r="H26" s="7" t="n">
        <v>1</v>
      </c>
      <c r="I26" s="7" t="n">
        <f aca="false">G26*H26</f>
        <v>1</v>
      </c>
      <c r="J26" s="7" t="s">
        <v>2957</v>
      </c>
      <c r="K26" s="7" t="s">
        <v>2758</v>
      </c>
      <c r="L26" s="7" t="s">
        <v>422</v>
      </c>
    </row>
    <row r="27" customFormat="false" ht="15" hidden="false" customHeight="false" outlineLevel="0" collapsed="false">
      <c r="A27" s="7" t="s">
        <v>3010</v>
      </c>
      <c r="B27" s="8" t="n">
        <v>45988</v>
      </c>
      <c r="C27" s="7" t="s">
        <v>25</v>
      </c>
      <c r="D27" s="7" t="s">
        <v>65</v>
      </c>
      <c r="E27" s="7" t="s">
        <v>2963</v>
      </c>
      <c r="F27" s="7" t="s">
        <v>3011</v>
      </c>
      <c r="G27" s="7" t="n">
        <v>2</v>
      </c>
      <c r="H27" s="7" t="n">
        <v>5</v>
      </c>
      <c r="I27" s="7" t="n">
        <f aca="false">G27*H27</f>
        <v>10</v>
      </c>
      <c r="J27" s="7" t="s">
        <v>2961</v>
      </c>
      <c r="K27" s="7" t="s">
        <v>2953</v>
      </c>
      <c r="L27" s="7" t="s">
        <v>424</v>
      </c>
    </row>
    <row r="28" customFormat="false" ht="15" hidden="false" customHeight="false" outlineLevel="0" collapsed="false">
      <c r="A28" s="7" t="s">
        <v>3012</v>
      </c>
      <c r="B28" s="8" t="n">
        <v>45746</v>
      </c>
      <c r="C28" s="7" t="s">
        <v>31</v>
      </c>
      <c r="D28" s="7" t="s">
        <v>75</v>
      </c>
      <c r="E28" s="7" t="s">
        <v>2963</v>
      </c>
      <c r="F28" s="7" t="s">
        <v>3013</v>
      </c>
      <c r="G28" s="7" t="n">
        <v>5</v>
      </c>
      <c r="H28" s="7" t="n">
        <v>3</v>
      </c>
      <c r="I28" s="7" t="n">
        <f aca="false">G28*H28</f>
        <v>15</v>
      </c>
      <c r="J28" s="7" t="s">
        <v>2965</v>
      </c>
      <c r="K28" s="7" t="s">
        <v>2979</v>
      </c>
      <c r="L28" s="7" t="s">
        <v>426</v>
      </c>
    </row>
    <row r="29" customFormat="false" ht="15" hidden="false" customHeight="false" outlineLevel="0" collapsed="false">
      <c r="A29" s="7" t="s">
        <v>3014</v>
      </c>
      <c r="B29" s="8" t="n">
        <v>45322</v>
      </c>
      <c r="C29" s="7" t="s">
        <v>46</v>
      </c>
      <c r="D29" s="7" t="s">
        <v>65</v>
      </c>
      <c r="E29" s="7" t="s">
        <v>2950</v>
      </c>
      <c r="F29" s="7" t="s">
        <v>3015</v>
      </c>
      <c r="G29" s="7" t="n">
        <v>1</v>
      </c>
      <c r="H29" s="7" t="n">
        <v>3</v>
      </c>
      <c r="I29" s="7" t="n">
        <f aca="false">G29*H29</f>
        <v>3</v>
      </c>
      <c r="J29" s="7" t="s">
        <v>2961</v>
      </c>
      <c r="K29" s="7" t="s">
        <v>2953</v>
      </c>
      <c r="L29" s="7" t="s">
        <v>422</v>
      </c>
    </row>
    <row r="30" customFormat="false" ht="15" hidden="false" customHeight="false" outlineLevel="0" collapsed="false">
      <c r="A30" s="7" t="s">
        <v>3016</v>
      </c>
      <c r="B30" s="8" t="n">
        <v>45585</v>
      </c>
      <c r="C30" s="7" t="s">
        <v>37</v>
      </c>
      <c r="D30" s="7" t="s">
        <v>79</v>
      </c>
      <c r="E30" s="7" t="s">
        <v>3002</v>
      </c>
      <c r="F30" s="7" t="s">
        <v>3017</v>
      </c>
      <c r="G30" s="7" t="n">
        <v>4</v>
      </c>
      <c r="H30" s="7" t="n">
        <v>5</v>
      </c>
      <c r="I30" s="7" t="n">
        <f aca="false">G30*H30</f>
        <v>20</v>
      </c>
      <c r="J30" s="7" t="s">
        <v>2961</v>
      </c>
      <c r="K30" s="7" t="s">
        <v>2758</v>
      </c>
      <c r="L30" s="7" t="s">
        <v>426</v>
      </c>
    </row>
    <row r="31" customFormat="false" ht="15" hidden="false" customHeight="false" outlineLevel="0" collapsed="false">
      <c r="A31" s="7" t="s">
        <v>3018</v>
      </c>
      <c r="B31" s="8" t="n">
        <v>45440</v>
      </c>
      <c r="C31" s="7" t="s">
        <v>46</v>
      </c>
      <c r="D31" s="7" t="s">
        <v>68</v>
      </c>
      <c r="E31" s="7" t="s">
        <v>2967</v>
      </c>
      <c r="F31" s="7" t="s">
        <v>3019</v>
      </c>
      <c r="G31" s="7" t="n">
        <v>3</v>
      </c>
      <c r="H31" s="7" t="n">
        <v>3</v>
      </c>
      <c r="I31" s="7" t="n">
        <f aca="false">G31*H31</f>
        <v>9</v>
      </c>
      <c r="J31" s="7" t="s">
        <v>2987</v>
      </c>
      <c r="K31" s="7" t="s">
        <v>2953</v>
      </c>
      <c r="L31" s="7" t="s">
        <v>418</v>
      </c>
    </row>
    <row r="32" customFormat="false" ht="15" hidden="false" customHeight="false" outlineLevel="0" collapsed="false">
      <c r="A32" s="7" t="s">
        <v>3020</v>
      </c>
      <c r="B32" s="8" t="n">
        <v>45948</v>
      </c>
      <c r="C32" s="7" t="s">
        <v>37</v>
      </c>
      <c r="D32" s="7" t="s">
        <v>75</v>
      </c>
      <c r="E32" s="7" t="s">
        <v>2976</v>
      </c>
      <c r="F32" s="7" t="s">
        <v>3021</v>
      </c>
      <c r="G32" s="7" t="n">
        <v>4</v>
      </c>
      <c r="H32" s="7" t="n">
        <v>4</v>
      </c>
      <c r="I32" s="7" t="n">
        <f aca="false">G32*H32</f>
        <v>16</v>
      </c>
      <c r="J32" s="7" t="s">
        <v>2961</v>
      </c>
      <c r="K32" s="7" t="s">
        <v>2758</v>
      </c>
      <c r="L32" s="7" t="s">
        <v>438</v>
      </c>
    </row>
    <row r="33" customFormat="false" ht="15" hidden="false" customHeight="false" outlineLevel="0" collapsed="false">
      <c r="A33" s="7" t="s">
        <v>3022</v>
      </c>
      <c r="B33" s="8" t="n">
        <v>45455</v>
      </c>
      <c r="C33" s="7" t="s">
        <v>43</v>
      </c>
      <c r="D33" s="7" t="s">
        <v>65</v>
      </c>
      <c r="E33" s="7" t="s">
        <v>3002</v>
      </c>
      <c r="F33" s="7" t="s">
        <v>3023</v>
      </c>
      <c r="G33" s="7" t="n">
        <v>4</v>
      </c>
      <c r="H33" s="7" t="n">
        <v>5</v>
      </c>
      <c r="I33" s="7" t="n">
        <f aca="false">G33*H33</f>
        <v>20</v>
      </c>
      <c r="J33" s="7" t="s">
        <v>2987</v>
      </c>
      <c r="K33" s="7" t="s">
        <v>2758</v>
      </c>
      <c r="L33" s="7" t="s">
        <v>416</v>
      </c>
    </row>
    <row r="34" customFormat="false" ht="15" hidden="false" customHeight="false" outlineLevel="0" collapsed="false">
      <c r="A34" s="7" t="s">
        <v>3024</v>
      </c>
      <c r="B34" s="8" t="n">
        <v>45953</v>
      </c>
      <c r="C34" s="7" t="s">
        <v>25</v>
      </c>
      <c r="D34" s="7" t="s">
        <v>79</v>
      </c>
      <c r="E34" s="7" t="s">
        <v>2967</v>
      </c>
      <c r="F34" s="7" t="s">
        <v>3025</v>
      </c>
      <c r="G34" s="7" t="n">
        <v>3</v>
      </c>
      <c r="H34" s="7" t="n">
        <v>1</v>
      </c>
      <c r="I34" s="7" t="n">
        <f aca="false">G34*H34</f>
        <v>3</v>
      </c>
      <c r="J34" s="7" t="s">
        <v>2961</v>
      </c>
      <c r="K34" s="7" t="s">
        <v>2979</v>
      </c>
      <c r="L34" s="7" t="s">
        <v>418</v>
      </c>
    </row>
    <row r="35" customFormat="false" ht="15" hidden="false" customHeight="false" outlineLevel="0" collapsed="false">
      <c r="A35" s="7" t="s">
        <v>3026</v>
      </c>
      <c r="B35" s="8" t="n">
        <v>45424</v>
      </c>
      <c r="C35" s="7" t="s">
        <v>31</v>
      </c>
      <c r="D35" s="7" t="s">
        <v>79</v>
      </c>
      <c r="E35" s="7" t="s">
        <v>2976</v>
      </c>
      <c r="F35" s="7" t="s">
        <v>3027</v>
      </c>
      <c r="G35" s="7" t="n">
        <v>2</v>
      </c>
      <c r="H35" s="7" t="n">
        <v>1</v>
      </c>
      <c r="I35" s="7" t="n">
        <f aca="false">G35*H35</f>
        <v>2</v>
      </c>
      <c r="J35" s="7" t="s">
        <v>2965</v>
      </c>
      <c r="K35" s="7" t="s">
        <v>2758</v>
      </c>
      <c r="L35" s="7" t="s">
        <v>420</v>
      </c>
    </row>
    <row r="36" customFormat="false" ht="15" hidden="false" customHeight="false" outlineLevel="0" collapsed="false">
      <c r="A36" s="7" t="s">
        <v>3028</v>
      </c>
      <c r="B36" s="8" t="n">
        <v>45962</v>
      </c>
      <c r="C36" s="7" t="s">
        <v>49</v>
      </c>
      <c r="D36" s="7" t="s">
        <v>60</v>
      </c>
      <c r="E36" s="7" t="s">
        <v>2967</v>
      </c>
      <c r="F36" s="7" t="s">
        <v>3029</v>
      </c>
      <c r="G36" s="7" t="n">
        <v>4</v>
      </c>
      <c r="H36" s="7" t="n">
        <v>5</v>
      </c>
      <c r="I36" s="7" t="n">
        <f aca="false">G36*H36</f>
        <v>20</v>
      </c>
      <c r="J36" s="7" t="s">
        <v>2965</v>
      </c>
      <c r="K36" s="7" t="s">
        <v>2953</v>
      </c>
      <c r="L36" s="7" t="s">
        <v>422</v>
      </c>
    </row>
    <row r="37" customFormat="false" ht="15" hidden="false" customHeight="false" outlineLevel="0" collapsed="false">
      <c r="A37" s="7" t="s">
        <v>3030</v>
      </c>
      <c r="B37" s="8" t="n">
        <v>45531</v>
      </c>
      <c r="C37" s="7" t="s">
        <v>43</v>
      </c>
      <c r="D37" s="7" t="s">
        <v>71</v>
      </c>
      <c r="E37" s="7" t="s">
        <v>2976</v>
      </c>
      <c r="F37" s="7" t="s">
        <v>2977</v>
      </c>
      <c r="G37" s="7" t="n">
        <v>3</v>
      </c>
      <c r="H37" s="7" t="n">
        <v>1</v>
      </c>
      <c r="I37" s="7" t="n">
        <f aca="false">G37*H37</f>
        <v>3</v>
      </c>
      <c r="J37" s="7" t="s">
        <v>2957</v>
      </c>
      <c r="K37" s="7" t="s">
        <v>2953</v>
      </c>
      <c r="L37" s="7" t="s">
        <v>438</v>
      </c>
    </row>
    <row r="38" customFormat="false" ht="15" hidden="false" customHeight="false" outlineLevel="0" collapsed="false">
      <c r="A38" s="7" t="s">
        <v>3031</v>
      </c>
      <c r="B38" s="8" t="n">
        <v>45871</v>
      </c>
      <c r="C38" s="7" t="s">
        <v>43</v>
      </c>
      <c r="D38" s="7" t="s">
        <v>79</v>
      </c>
      <c r="E38" s="7" t="s">
        <v>2959</v>
      </c>
      <c r="F38" s="7" t="s">
        <v>3032</v>
      </c>
      <c r="G38" s="7" t="n">
        <v>3</v>
      </c>
      <c r="H38" s="7" t="n">
        <v>4</v>
      </c>
      <c r="I38" s="7" t="n">
        <f aca="false">G38*H38</f>
        <v>12</v>
      </c>
      <c r="J38" s="7" t="s">
        <v>2965</v>
      </c>
      <c r="K38" s="7" t="s">
        <v>2758</v>
      </c>
      <c r="L38" s="7" t="s">
        <v>436</v>
      </c>
    </row>
    <row r="39" customFormat="false" ht="15" hidden="false" customHeight="false" outlineLevel="0" collapsed="false">
      <c r="A39" s="7" t="s">
        <v>3033</v>
      </c>
      <c r="B39" s="8" t="n">
        <v>45862</v>
      </c>
      <c r="C39" s="7" t="s">
        <v>43</v>
      </c>
      <c r="D39" s="7" t="s">
        <v>83</v>
      </c>
      <c r="E39" s="7" t="s">
        <v>2955</v>
      </c>
      <c r="F39" s="7" t="s">
        <v>3034</v>
      </c>
      <c r="G39" s="7" t="n">
        <v>1</v>
      </c>
      <c r="H39" s="7" t="n">
        <v>5</v>
      </c>
      <c r="I39" s="7" t="n">
        <f aca="false">G39*H39</f>
        <v>5</v>
      </c>
      <c r="J39" s="7" t="s">
        <v>2961</v>
      </c>
      <c r="K39" s="7" t="s">
        <v>2758</v>
      </c>
      <c r="L39" s="7" t="s">
        <v>432</v>
      </c>
    </row>
    <row r="40" customFormat="false" ht="15" hidden="false" customHeight="false" outlineLevel="0" collapsed="false">
      <c r="A40" s="7" t="s">
        <v>3035</v>
      </c>
      <c r="B40" s="8" t="n">
        <v>45587</v>
      </c>
      <c r="C40" s="7" t="s">
        <v>37</v>
      </c>
      <c r="D40" s="7" t="s">
        <v>75</v>
      </c>
      <c r="E40" s="7" t="s">
        <v>2976</v>
      </c>
      <c r="F40" s="7" t="s">
        <v>3021</v>
      </c>
      <c r="G40" s="7" t="n">
        <v>5</v>
      </c>
      <c r="H40" s="7" t="n">
        <v>4</v>
      </c>
      <c r="I40" s="7" t="n">
        <f aca="false">G40*H40</f>
        <v>20</v>
      </c>
      <c r="J40" s="7" t="s">
        <v>2978</v>
      </c>
      <c r="K40" s="7" t="s">
        <v>2979</v>
      </c>
      <c r="L40" s="7" t="s">
        <v>422</v>
      </c>
    </row>
    <row r="41" customFormat="false" ht="15" hidden="false" customHeight="false" outlineLevel="0" collapsed="false">
      <c r="A41" s="7" t="s">
        <v>3036</v>
      </c>
      <c r="B41" s="8" t="n">
        <v>45772</v>
      </c>
      <c r="C41" s="7" t="s">
        <v>52</v>
      </c>
      <c r="D41" s="7" t="s">
        <v>68</v>
      </c>
      <c r="E41" s="7" t="s">
        <v>2959</v>
      </c>
      <c r="F41" s="7" t="s">
        <v>2960</v>
      </c>
      <c r="G41" s="7" t="n">
        <v>5</v>
      </c>
      <c r="H41" s="7" t="n">
        <v>4</v>
      </c>
      <c r="I41" s="7" t="n">
        <f aca="false">G41*H41</f>
        <v>20</v>
      </c>
      <c r="J41" s="7" t="s">
        <v>2952</v>
      </c>
      <c r="K41" s="7" t="s">
        <v>2979</v>
      </c>
      <c r="L41" s="7" t="s">
        <v>420</v>
      </c>
    </row>
    <row r="42" customFormat="false" ht="15" hidden="false" customHeight="false" outlineLevel="0" collapsed="false">
      <c r="A42" s="7" t="s">
        <v>3037</v>
      </c>
      <c r="B42" s="8" t="n">
        <v>45845</v>
      </c>
      <c r="C42" s="7" t="s">
        <v>49</v>
      </c>
      <c r="D42" s="7" t="s">
        <v>68</v>
      </c>
      <c r="E42" s="7" t="s">
        <v>2963</v>
      </c>
      <c r="F42" s="7" t="s">
        <v>2985</v>
      </c>
      <c r="G42" s="7" t="n">
        <v>1</v>
      </c>
      <c r="H42" s="7" t="n">
        <v>2</v>
      </c>
      <c r="I42" s="7" t="n">
        <f aca="false">G42*H42</f>
        <v>2</v>
      </c>
      <c r="J42" s="7" t="s">
        <v>2952</v>
      </c>
      <c r="K42" s="7" t="s">
        <v>2953</v>
      </c>
      <c r="L42" s="7" t="s">
        <v>432</v>
      </c>
    </row>
    <row r="43" customFormat="false" ht="15" hidden="false" customHeight="false" outlineLevel="0" collapsed="false">
      <c r="A43" s="7" t="s">
        <v>3038</v>
      </c>
      <c r="B43" s="8" t="n">
        <v>45405</v>
      </c>
      <c r="C43" s="7" t="s">
        <v>52</v>
      </c>
      <c r="D43" s="7" t="s">
        <v>87</v>
      </c>
      <c r="E43" s="7" t="s">
        <v>2950</v>
      </c>
      <c r="F43" s="7" t="s">
        <v>2972</v>
      </c>
      <c r="G43" s="7" t="n">
        <v>4</v>
      </c>
      <c r="H43" s="7" t="n">
        <v>3</v>
      </c>
      <c r="I43" s="7" t="n">
        <f aca="false">G43*H43</f>
        <v>12</v>
      </c>
      <c r="J43" s="7" t="s">
        <v>2965</v>
      </c>
      <c r="K43" s="7" t="s">
        <v>2979</v>
      </c>
      <c r="L43" s="7" t="s">
        <v>436</v>
      </c>
    </row>
    <row r="44" customFormat="false" ht="15" hidden="false" customHeight="false" outlineLevel="0" collapsed="false">
      <c r="A44" s="7" t="s">
        <v>3039</v>
      </c>
      <c r="B44" s="8" t="n">
        <v>45825</v>
      </c>
      <c r="C44" s="7" t="s">
        <v>46</v>
      </c>
      <c r="D44" s="7" t="s">
        <v>87</v>
      </c>
      <c r="E44" s="7" t="s">
        <v>2976</v>
      </c>
      <c r="F44" s="7" t="s">
        <v>3040</v>
      </c>
      <c r="G44" s="7" t="n">
        <v>5</v>
      </c>
      <c r="H44" s="7" t="n">
        <v>1</v>
      </c>
      <c r="I44" s="7" t="n">
        <f aca="false">G44*H44</f>
        <v>5</v>
      </c>
      <c r="J44" s="7" t="s">
        <v>2961</v>
      </c>
      <c r="K44" s="7" t="s">
        <v>2758</v>
      </c>
      <c r="L44" s="7" t="s">
        <v>434</v>
      </c>
    </row>
    <row r="45" customFormat="false" ht="15" hidden="false" customHeight="false" outlineLevel="0" collapsed="false">
      <c r="A45" s="7" t="s">
        <v>3041</v>
      </c>
      <c r="B45" s="8" t="n">
        <v>45649</v>
      </c>
      <c r="C45" s="7" t="s">
        <v>31</v>
      </c>
      <c r="D45" s="7" t="s">
        <v>79</v>
      </c>
      <c r="E45" s="7" t="s">
        <v>2963</v>
      </c>
      <c r="F45" s="7" t="s">
        <v>3013</v>
      </c>
      <c r="G45" s="7" t="n">
        <v>2</v>
      </c>
      <c r="H45" s="7" t="n">
        <v>2</v>
      </c>
      <c r="I45" s="7" t="n">
        <f aca="false">G45*H45</f>
        <v>4</v>
      </c>
      <c r="J45" s="7" t="s">
        <v>2952</v>
      </c>
      <c r="K45" s="7" t="s">
        <v>2758</v>
      </c>
      <c r="L45" s="7" t="s">
        <v>414</v>
      </c>
    </row>
    <row r="46" customFormat="false" ht="15" hidden="false" customHeight="false" outlineLevel="0" collapsed="false">
      <c r="A46" s="7" t="s">
        <v>3042</v>
      </c>
      <c r="B46" s="8" t="n">
        <v>45965</v>
      </c>
      <c r="C46" s="7" t="s">
        <v>37</v>
      </c>
      <c r="D46" s="7" t="s">
        <v>68</v>
      </c>
      <c r="E46" s="7" t="s">
        <v>3002</v>
      </c>
      <c r="F46" s="7" t="s">
        <v>3017</v>
      </c>
      <c r="G46" s="7" t="n">
        <v>5</v>
      </c>
      <c r="H46" s="7" t="n">
        <v>3</v>
      </c>
      <c r="I46" s="7" t="n">
        <f aca="false">G46*H46</f>
        <v>15</v>
      </c>
      <c r="J46" s="7" t="s">
        <v>2957</v>
      </c>
      <c r="K46" s="7" t="s">
        <v>2758</v>
      </c>
      <c r="L46" s="7" t="s">
        <v>438</v>
      </c>
    </row>
    <row r="47" customFormat="false" ht="15" hidden="false" customHeight="false" outlineLevel="0" collapsed="false">
      <c r="A47" s="7" t="s">
        <v>3043</v>
      </c>
      <c r="B47" s="8" t="n">
        <v>45421</v>
      </c>
      <c r="C47" s="7" t="s">
        <v>52</v>
      </c>
      <c r="D47" s="7" t="s">
        <v>87</v>
      </c>
      <c r="E47" s="7" t="s">
        <v>2950</v>
      </c>
      <c r="F47" s="7" t="s">
        <v>2972</v>
      </c>
      <c r="G47" s="7" t="n">
        <v>5</v>
      </c>
      <c r="H47" s="7" t="n">
        <v>5</v>
      </c>
      <c r="I47" s="7" t="n">
        <f aca="false">G47*H47</f>
        <v>25</v>
      </c>
      <c r="J47" s="7" t="s">
        <v>2978</v>
      </c>
      <c r="K47" s="7" t="s">
        <v>2758</v>
      </c>
      <c r="L47" s="7" t="s">
        <v>420</v>
      </c>
    </row>
    <row r="48" customFormat="false" ht="15" hidden="false" customHeight="false" outlineLevel="0" collapsed="false">
      <c r="A48" s="7" t="s">
        <v>3044</v>
      </c>
      <c r="B48" s="8" t="n">
        <v>45839</v>
      </c>
      <c r="C48" s="7" t="s">
        <v>40</v>
      </c>
      <c r="D48" s="7" t="s">
        <v>87</v>
      </c>
      <c r="E48" s="7" t="s">
        <v>2967</v>
      </c>
      <c r="F48" s="7" t="s">
        <v>3045</v>
      </c>
      <c r="G48" s="7" t="n">
        <v>3</v>
      </c>
      <c r="H48" s="7" t="n">
        <v>5</v>
      </c>
      <c r="I48" s="7" t="n">
        <f aca="false">G48*H48</f>
        <v>15</v>
      </c>
      <c r="J48" s="7" t="s">
        <v>2961</v>
      </c>
      <c r="K48" s="7" t="s">
        <v>2758</v>
      </c>
      <c r="L48" s="7" t="s">
        <v>436</v>
      </c>
    </row>
    <row r="49" customFormat="false" ht="15" hidden="false" customHeight="false" outlineLevel="0" collapsed="false">
      <c r="A49" s="7" t="s">
        <v>3046</v>
      </c>
      <c r="B49" s="8" t="n">
        <v>45781</v>
      </c>
      <c r="C49" s="7" t="s">
        <v>31</v>
      </c>
      <c r="D49" s="7" t="s">
        <v>75</v>
      </c>
      <c r="E49" s="7" t="s">
        <v>2994</v>
      </c>
      <c r="F49" s="7" t="s">
        <v>3047</v>
      </c>
      <c r="G49" s="7" t="n">
        <v>1</v>
      </c>
      <c r="H49" s="7" t="n">
        <v>5</v>
      </c>
      <c r="I49" s="7" t="n">
        <f aca="false">G49*H49</f>
        <v>5</v>
      </c>
      <c r="J49" s="7" t="s">
        <v>2965</v>
      </c>
      <c r="K49" s="7" t="s">
        <v>2953</v>
      </c>
      <c r="L49" s="7" t="s">
        <v>426</v>
      </c>
    </row>
    <row r="50" customFormat="false" ht="15" hidden="false" customHeight="false" outlineLevel="0" collapsed="false">
      <c r="A50" s="7" t="s">
        <v>3048</v>
      </c>
      <c r="B50" s="8" t="n">
        <v>45679</v>
      </c>
      <c r="C50" s="7" t="s">
        <v>49</v>
      </c>
      <c r="D50" s="7" t="s">
        <v>71</v>
      </c>
      <c r="E50" s="7" t="s">
        <v>2994</v>
      </c>
      <c r="F50" s="7" t="s">
        <v>3000</v>
      </c>
      <c r="G50" s="7" t="n">
        <v>5</v>
      </c>
      <c r="H50" s="7" t="n">
        <v>3</v>
      </c>
      <c r="I50" s="7" t="n">
        <f aca="false">G50*H50</f>
        <v>15</v>
      </c>
      <c r="J50" s="7" t="s">
        <v>2983</v>
      </c>
      <c r="K50" s="7" t="s">
        <v>2953</v>
      </c>
      <c r="L50" s="7" t="s">
        <v>429</v>
      </c>
    </row>
    <row r="51" customFormat="false" ht="15" hidden="false" customHeight="false" outlineLevel="0" collapsed="false">
      <c r="A51" s="7" t="s">
        <v>3049</v>
      </c>
      <c r="B51" s="8" t="n">
        <v>45395</v>
      </c>
      <c r="C51" s="7" t="s">
        <v>49</v>
      </c>
      <c r="D51" s="7" t="s">
        <v>87</v>
      </c>
      <c r="E51" s="7" t="s">
        <v>2976</v>
      </c>
      <c r="F51" s="7" t="s">
        <v>3050</v>
      </c>
      <c r="G51" s="7" t="n">
        <v>4</v>
      </c>
      <c r="H51" s="7" t="n">
        <v>1</v>
      </c>
      <c r="I51" s="7" t="n">
        <f aca="false">G51*H51</f>
        <v>4</v>
      </c>
      <c r="J51" s="7" t="s">
        <v>2961</v>
      </c>
      <c r="K51" s="7" t="s">
        <v>2953</v>
      </c>
      <c r="L51" s="7" t="s">
        <v>434</v>
      </c>
    </row>
    <row r="52" customFormat="false" ht="15" hidden="false" customHeight="false" outlineLevel="0" collapsed="false">
      <c r="A52" s="7" t="s">
        <v>3051</v>
      </c>
      <c r="B52" s="8" t="n">
        <v>45962</v>
      </c>
      <c r="C52" s="7" t="s">
        <v>52</v>
      </c>
      <c r="D52" s="7" t="s">
        <v>65</v>
      </c>
      <c r="E52" s="7" t="s">
        <v>2950</v>
      </c>
      <c r="F52" s="7" t="s">
        <v>2972</v>
      </c>
      <c r="G52" s="7" t="n">
        <v>4</v>
      </c>
      <c r="H52" s="7" t="n">
        <v>1</v>
      </c>
      <c r="I52" s="7" t="n">
        <f aca="false">G52*H52</f>
        <v>4</v>
      </c>
      <c r="J52" s="7" t="s">
        <v>2961</v>
      </c>
      <c r="K52" s="7" t="s">
        <v>2953</v>
      </c>
      <c r="L52" s="7" t="s">
        <v>428</v>
      </c>
    </row>
    <row r="53" customFormat="false" ht="15" hidden="false" customHeight="false" outlineLevel="0" collapsed="false">
      <c r="A53" s="7" t="s">
        <v>3052</v>
      </c>
      <c r="B53" s="8" t="n">
        <v>45424</v>
      </c>
      <c r="C53" s="7" t="s">
        <v>46</v>
      </c>
      <c r="D53" s="7" t="s">
        <v>87</v>
      </c>
      <c r="E53" s="7" t="s">
        <v>2976</v>
      </c>
      <c r="F53" s="7" t="s">
        <v>3040</v>
      </c>
      <c r="G53" s="7" t="n">
        <v>1</v>
      </c>
      <c r="H53" s="7" t="n">
        <v>1</v>
      </c>
      <c r="I53" s="7" t="n">
        <f aca="false">G53*H53</f>
        <v>1</v>
      </c>
      <c r="J53" s="7" t="s">
        <v>2961</v>
      </c>
      <c r="K53" s="7" t="s">
        <v>2953</v>
      </c>
      <c r="L53" s="7" t="s">
        <v>441</v>
      </c>
    </row>
    <row r="54" customFormat="false" ht="15" hidden="false" customHeight="false" outlineLevel="0" collapsed="false">
      <c r="A54" s="7" t="s">
        <v>3053</v>
      </c>
      <c r="B54" s="8" t="n">
        <v>45365</v>
      </c>
      <c r="C54" s="7" t="s">
        <v>34</v>
      </c>
      <c r="D54" s="7" t="s">
        <v>65</v>
      </c>
      <c r="E54" s="7" t="s">
        <v>2950</v>
      </c>
      <c r="F54" s="7" t="s">
        <v>3054</v>
      </c>
      <c r="G54" s="7" t="n">
        <v>1</v>
      </c>
      <c r="H54" s="7" t="n">
        <v>4</v>
      </c>
      <c r="I54" s="7" t="n">
        <f aca="false">G54*H54</f>
        <v>4</v>
      </c>
      <c r="J54" s="7" t="s">
        <v>2987</v>
      </c>
      <c r="K54" s="7" t="s">
        <v>2758</v>
      </c>
      <c r="L54" s="7" t="s">
        <v>441</v>
      </c>
    </row>
    <row r="55" customFormat="false" ht="15" hidden="false" customHeight="false" outlineLevel="0" collapsed="false">
      <c r="A55" s="7" t="s">
        <v>3055</v>
      </c>
      <c r="B55" s="8" t="n">
        <v>45895</v>
      </c>
      <c r="C55" s="7" t="s">
        <v>43</v>
      </c>
      <c r="D55" s="7" t="s">
        <v>65</v>
      </c>
      <c r="E55" s="7" t="s">
        <v>3002</v>
      </c>
      <c r="F55" s="7" t="s">
        <v>3023</v>
      </c>
      <c r="G55" s="7" t="n">
        <v>1</v>
      </c>
      <c r="H55" s="7" t="n">
        <v>4</v>
      </c>
      <c r="I55" s="7" t="n">
        <f aca="false">G55*H55</f>
        <v>4</v>
      </c>
      <c r="J55" s="7" t="s">
        <v>2961</v>
      </c>
      <c r="K55" s="7" t="s">
        <v>2953</v>
      </c>
      <c r="L55" s="7" t="s">
        <v>428</v>
      </c>
    </row>
    <row r="56" customFormat="false" ht="15" hidden="false" customHeight="false" outlineLevel="0" collapsed="false">
      <c r="A56" s="7" t="s">
        <v>3056</v>
      </c>
      <c r="B56" s="8" t="n">
        <v>45528</v>
      </c>
      <c r="C56" s="7" t="s">
        <v>52</v>
      </c>
      <c r="D56" s="7" t="s">
        <v>87</v>
      </c>
      <c r="E56" s="7" t="s">
        <v>2994</v>
      </c>
      <c r="F56" s="7" t="s">
        <v>3057</v>
      </c>
      <c r="G56" s="7" t="n">
        <v>1</v>
      </c>
      <c r="H56" s="7" t="n">
        <v>3</v>
      </c>
      <c r="I56" s="7" t="n">
        <f aca="false">G56*H56</f>
        <v>3</v>
      </c>
      <c r="J56" s="7" t="s">
        <v>2952</v>
      </c>
      <c r="K56" s="7" t="s">
        <v>2953</v>
      </c>
      <c r="L56" s="7" t="s">
        <v>418</v>
      </c>
    </row>
    <row r="57" customFormat="false" ht="15" hidden="false" customHeight="false" outlineLevel="0" collapsed="false">
      <c r="A57" s="7" t="s">
        <v>3058</v>
      </c>
      <c r="B57" s="8" t="n">
        <v>45400</v>
      </c>
      <c r="C57" s="7" t="s">
        <v>34</v>
      </c>
      <c r="D57" s="7" t="s">
        <v>87</v>
      </c>
      <c r="E57" s="7" t="s">
        <v>2994</v>
      </c>
      <c r="F57" s="7" t="s">
        <v>3059</v>
      </c>
      <c r="G57" s="7" t="n">
        <v>2</v>
      </c>
      <c r="H57" s="7" t="n">
        <v>4</v>
      </c>
      <c r="I57" s="7" t="n">
        <f aca="false">G57*H57</f>
        <v>8</v>
      </c>
      <c r="J57" s="7" t="s">
        <v>2961</v>
      </c>
      <c r="K57" s="7" t="s">
        <v>2953</v>
      </c>
      <c r="L57" s="7" t="s">
        <v>414</v>
      </c>
    </row>
    <row r="58" customFormat="false" ht="15" hidden="false" customHeight="false" outlineLevel="0" collapsed="false">
      <c r="A58" s="7" t="s">
        <v>3060</v>
      </c>
      <c r="B58" s="8" t="n">
        <v>45328</v>
      </c>
      <c r="C58" s="7" t="s">
        <v>46</v>
      </c>
      <c r="D58" s="7" t="s">
        <v>79</v>
      </c>
      <c r="E58" s="7" t="s">
        <v>2959</v>
      </c>
      <c r="F58" s="7" t="s">
        <v>3061</v>
      </c>
      <c r="G58" s="7" t="n">
        <v>5</v>
      </c>
      <c r="H58" s="7" t="n">
        <v>4</v>
      </c>
      <c r="I58" s="7" t="n">
        <f aca="false">G58*H58</f>
        <v>20</v>
      </c>
      <c r="J58" s="7" t="s">
        <v>2965</v>
      </c>
      <c r="K58" s="7" t="s">
        <v>2758</v>
      </c>
      <c r="L58" s="7" t="s">
        <v>431</v>
      </c>
    </row>
    <row r="59" customFormat="false" ht="15" hidden="false" customHeight="false" outlineLevel="0" collapsed="false">
      <c r="A59" s="7" t="s">
        <v>3062</v>
      </c>
      <c r="B59" s="8" t="n">
        <v>45532</v>
      </c>
      <c r="C59" s="7" t="s">
        <v>49</v>
      </c>
      <c r="D59" s="7" t="s">
        <v>83</v>
      </c>
      <c r="E59" s="7" t="s">
        <v>2950</v>
      </c>
      <c r="F59" s="7" t="s">
        <v>2990</v>
      </c>
      <c r="G59" s="7" t="n">
        <v>2</v>
      </c>
      <c r="H59" s="7" t="n">
        <v>2</v>
      </c>
      <c r="I59" s="7" t="n">
        <f aca="false">G59*H59</f>
        <v>4</v>
      </c>
      <c r="J59" s="7" t="s">
        <v>2983</v>
      </c>
      <c r="K59" s="7" t="s">
        <v>2758</v>
      </c>
      <c r="L59" s="7" t="s">
        <v>424</v>
      </c>
    </row>
    <row r="60" customFormat="false" ht="15" hidden="false" customHeight="false" outlineLevel="0" collapsed="false">
      <c r="A60" s="7" t="s">
        <v>3063</v>
      </c>
      <c r="B60" s="8" t="n">
        <v>45419</v>
      </c>
      <c r="C60" s="7" t="s">
        <v>37</v>
      </c>
      <c r="D60" s="7" t="s">
        <v>65</v>
      </c>
      <c r="E60" s="7" t="s">
        <v>2967</v>
      </c>
      <c r="F60" s="7" t="s">
        <v>3064</v>
      </c>
      <c r="G60" s="7" t="n">
        <v>1</v>
      </c>
      <c r="H60" s="7" t="n">
        <v>3</v>
      </c>
      <c r="I60" s="7" t="n">
        <f aca="false">G60*H60</f>
        <v>3</v>
      </c>
      <c r="J60" s="7" t="s">
        <v>2961</v>
      </c>
      <c r="K60" s="7" t="s">
        <v>2979</v>
      </c>
      <c r="L60" s="7" t="s">
        <v>434</v>
      </c>
    </row>
    <row r="61" customFormat="false" ht="15" hidden="false" customHeight="false" outlineLevel="0" collapsed="false">
      <c r="A61" s="7" t="s">
        <v>3065</v>
      </c>
      <c r="B61" s="8" t="n">
        <v>45649</v>
      </c>
      <c r="C61" s="7" t="s">
        <v>34</v>
      </c>
      <c r="D61" s="7" t="s">
        <v>75</v>
      </c>
      <c r="E61" s="7" t="s">
        <v>2950</v>
      </c>
      <c r="F61" s="7" t="s">
        <v>3054</v>
      </c>
      <c r="G61" s="7" t="n">
        <v>4</v>
      </c>
      <c r="H61" s="7" t="n">
        <v>5</v>
      </c>
      <c r="I61" s="7" t="n">
        <f aca="false">G61*H61</f>
        <v>20</v>
      </c>
      <c r="J61" s="7" t="s">
        <v>2952</v>
      </c>
      <c r="K61" s="7" t="s">
        <v>2758</v>
      </c>
      <c r="L61" s="7" t="s">
        <v>416</v>
      </c>
    </row>
    <row r="62" customFormat="false" ht="15" hidden="false" customHeight="false" outlineLevel="0" collapsed="false">
      <c r="A62" s="7" t="s">
        <v>3066</v>
      </c>
      <c r="B62" s="8" t="n">
        <v>45816</v>
      </c>
      <c r="C62" s="7" t="s">
        <v>40</v>
      </c>
      <c r="D62" s="7" t="s">
        <v>75</v>
      </c>
      <c r="E62" s="7" t="s">
        <v>2976</v>
      </c>
      <c r="F62" s="7" t="s">
        <v>3067</v>
      </c>
      <c r="G62" s="7" t="n">
        <v>4</v>
      </c>
      <c r="H62" s="7" t="n">
        <v>5</v>
      </c>
      <c r="I62" s="7" t="n">
        <f aca="false">G62*H62</f>
        <v>20</v>
      </c>
      <c r="J62" s="7" t="s">
        <v>2965</v>
      </c>
      <c r="K62" s="7" t="s">
        <v>2953</v>
      </c>
      <c r="L62" s="7" t="s">
        <v>434</v>
      </c>
    </row>
    <row r="63" customFormat="false" ht="15" hidden="false" customHeight="false" outlineLevel="0" collapsed="false">
      <c r="A63" s="7" t="s">
        <v>3068</v>
      </c>
      <c r="B63" s="8" t="n">
        <v>45735</v>
      </c>
      <c r="C63" s="7" t="s">
        <v>31</v>
      </c>
      <c r="D63" s="7" t="s">
        <v>83</v>
      </c>
      <c r="E63" s="7" t="s">
        <v>2967</v>
      </c>
      <c r="F63" s="7" t="s">
        <v>2981</v>
      </c>
      <c r="G63" s="7" t="n">
        <v>1</v>
      </c>
      <c r="H63" s="7" t="n">
        <v>3</v>
      </c>
      <c r="I63" s="7" t="n">
        <f aca="false">G63*H63</f>
        <v>3</v>
      </c>
      <c r="J63" s="7" t="s">
        <v>2983</v>
      </c>
      <c r="K63" s="7" t="s">
        <v>2758</v>
      </c>
      <c r="L63" s="7" t="s">
        <v>429</v>
      </c>
    </row>
    <row r="64" customFormat="false" ht="15" hidden="false" customHeight="false" outlineLevel="0" collapsed="false">
      <c r="A64" s="7" t="s">
        <v>3069</v>
      </c>
      <c r="B64" s="8" t="n">
        <v>45645</v>
      </c>
      <c r="C64" s="7" t="s">
        <v>43</v>
      </c>
      <c r="D64" s="7" t="s">
        <v>83</v>
      </c>
      <c r="E64" s="7" t="s">
        <v>2950</v>
      </c>
      <c r="F64" s="7" t="s">
        <v>2951</v>
      </c>
      <c r="G64" s="7" t="n">
        <v>2</v>
      </c>
      <c r="H64" s="7" t="n">
        <v>4</v>
      </c>
      <c r="I64" s="7" t="n">
        <f aca="false">G64*H64</f>
        <v>8</v>
      </c>
      <c r="J64" s="7" t="s">
        <v>2957</v>
      </c>
      <c r="K64" s="7" t="s">
        <v>2758</v>
      </c>
      <c r="L64" s="7" t="s">
        <v>416</v>
      </c>
    </row>
    <row r="65" customFormat="false" ht="15" hidden="false" customHeight="false" outlineLevel="0" collapsed="false">
      <c r="A65" s="7" t="s">
        <v>3070</v>
      </c>
      <c r="B65" s="8" t="n">
        <v>45378</v>
      </c>
      <c r="C65" s="7" t="s">
        <v>40</v>
      </c>
      <c r="D65" s="7" t="s">
        <v>79</v>
      </c>
      <c r="E65" s="7" t="s">
        <v>2955</v>
      </c>
      <c r="F65" s="7" t="s">
        <v>2970</v>
      </c>
      <c r="G65" s="7" t="n">
        <v>1</v>
      </c>
      <c r="H65" s="7" t="n">
        <v>5</v>
      </c>
      <c r="I65" s="7" t="n">
        <f aca="false">G65*H65</f>
        <v>5</v>
      </c>
      <c r="J65" s="7" t="s">
        <v>2965</v>
      </c>
      <c r="K65" s="7" t="s">
        <v>2758</v>
      </c>
      <c r="L65" s="7" t="s">
        <v>441</v>
      </c>
    </row>
    <row r="66" customFormat="false" ht="15" hidden="false" customHeight="false" outlineLevel="0" collapsed="false">
      <c r="A66" s="7" t="s">
        <v>3071</v>
      </c>
      <c r="B66" s="8" t="n">
        <v>46001</v>
      </c>
      <c r="C66" s="7" t="s">
        <v>49</v>
      </c>
      <c r="D66" s="7" t="s">
        <v>83</v>
      </c>
      <c r="E66" s="7" t="s">
        <v>2976</v>
      </c>
      <c r="F66" s="7" t="s">
        <v>3050</v>
      </c>
      <c r="G66" s="7" t="n">
        <v>4</v>
      </c>
      <c r="H66" s="7" t="n">
        <v>5</v>
      </c>
      <c r="I66" s="7" t="n">
        <f aca="false">G66*H66</f>
        <v>20</v>
      </c>
      <c r="J66" s="7" t="s">
        <v>2965</v>
      </c>
      <c r="K66" s="7" t="s">
        <v>2953</v>
      </c>
      <c r="L66" s="7" t="s">
        <v>431</v>
      </c>
    </row>
    <row r="67" customFormat="false" ht="15" hidden="false" customHeight="false" outlineLevel="0" collapsed="false">
      <c r="A67" s="7" t="s">
        <v>3072</v>
      </c>
      <c r="B67" s="8" t="n">
        <v>45861</v>
      </c>
      <c r="C67" s="7" t="s">
        <v>31</v>
      </c>
      <c r="D67" s="7" t="s">
        <v>65</v>
      </c>
      <c r="E67" s="7" t="s">
        <v>2950</v>
      </c>
      <c r="F67" s="7" t="s">
        <v>3073</v>
      </c>
      <c r="G67" s="7" t="n">
        <v>1</v>
      </c>
      <c r="H67" s="7" t="n">
        <v>5</v>
      </c>
      <c r="I67" s="7" t="n">
        <f aca="false">G67*H67</f>
        <v>5</v>
      </c>
      <c r="J67" s="7" t="s">
        <v>2978</v>
      </c>
      <c r="K67" s="7" t="s">
        <v>2953</v>
      </c>
      <c r="L67" s="7" t="s">
        <v>441</v>
      </c>
    </row>
    <row r="68" customFormat="false" ht="15" hidden="false" customHeight="false" outlineLevel="0" collapsed="false">
      <c r="A68" s="7" t="s">
        <v>3074</v>
      </c>
      <c r="B68" s="8" t="n">
        <v>45613</v>
      </c>
      <c r="C68" s="7" t="s">
        <v>49</v>
      </c>
      <c r="D68" s="7" t="s">
        <v>87</v>
      </c>
      <c r="E68" s="7" t="s">
        <v>2955</v>
      </c>
      <c r="F68" s="7" t="s">
        <v>3075</v>
      </c>
      <c r="G68" s="7" t="n">
        <v>1</v>
      </c>
      <c r="H68" s="7" t="n">
        <v>4</v>
      </c>
      <c r="I68" s="7" t="n">
        <f aca="false">G68*H68</f>
        <v>4</v>
      </c>
      <c r="J68" s="7" t="s">
        <v>2952</v>
      </c>
      <c r="K68" s="7" t="s">
        <v>2758</v>
      </c>
      <c r="L68" s="7" t="s">
        <v>426</v>
      </c>
    </row>
    <row r="69" customFormat="false" ht="15" hidden="false" customHeight="false" outlineLevel="0" collapsed="false">
      <c r="A69" s="7" t="s">
        <v>3076</v>
      </c>
      <c r="B69" s="8" t="n">
        <v>45402</v>
      </c>
      <c r="C69" s="7" t="s">
        <v>25</v>
      </c>
      <c r="D69" s="7" t="s">
        <v>68</v>
      </c>
      <c r="E69" s="7" t="s">
        <v>3002</v>
      </c>
      <c r="F69" s="7" t="s">
        <v>3077</v>
      </c>
      <c r="G69" s="7" t="n">
        <v>1</v>
      </c>
      <c r="H69" s="7" t="n">
        <v>3</v>
      </c>
      <c r="I69" s="7" t="n">
        <f aca="false">G69*H69</f>
        <v>3</v>
      </c>
      <c r="J69" s="7" t="s">
        <v>2961</v>
      </c>
      <c r="K69" s="7" t="s">
        <v>2979</v>
      </c>
      <c r="L69" s="7" t="s">
        <v>438</v>
      </c>
    </row>
    <row r="70" customFormat="false" ht="15" hidden="false" customHeight="false" outlineLevel="0" collapsed="false">
      <c r="A70" s="7" t="s">
        <v>3078</v>
      </c>
      <c r="B70" s="8" t="n">
        <v>45750</v>
      </c>
      <c r="C70" s="7" t="s">
        <v>40</v>
      </c>
      <c r="D70" s="7" t="s">
        <v>71</v>
      </c>
      <c r="E70" s="7" t="s">
        <v>3002</v>
      </c>
      <c r="F70" s="7" t="s">
        <v>3079</v>
      </c>
      <c r="G70" s="7" t="n">
        <v>4</v>
      </c>
      <c r="H70" s="7" t="n">
        <v>4</v>
      </c>
      <c r="I70" s="7" t="n">
        <f aca="false">G70*H70</f>
        <v>16</v>
      </c>
      <c r="J70" s="7" t="s">
        <v>2952</v>
      </c>
      <c r="K70" s="7" t="s">
        <v>2758</v>
      </c>
      <c r="L70" s="7" t="s">
        <v>429</v>
      </c>
    </row>
    <row r="71" customFormat="false" ht="15" hidden="false" customHeight="false" outlineLevel="0" collapsed="false">
      <c r="A71" s="7" t="s">
        <v>3080</v>
      </c>
      <c r="B71" s="8" t="n">
        <v>45998</v>
      </c>
      <c r="C71" s="7" t="s">
        <v>49</v>
      </c>
      <c r="D71" s="7" t="s">
        <v>87</v>
      </c>
      <c r="E71" s="7" t="s">
        <v>3002</v>
      </c>
      <c r="F71" s="7" t="s">
        <v>3081</v>
      </c>
      <c r="G71" s="7" t="n">
        <v>2</v>
      </c>
      <c r="H71" s="7" t="n">
        <v>5</v>
      </c>
      <c r="I71" s="7" t="n">
        <f aca="false">G71*H71</f>
        <v>10</v>
      </c>
      <c r="J71" s="7" t="s">
        <v>2952</v>
      </c>
      <c r="K71" s="7" t="s">
        <v>2953</v>
      </c>
      <c r="L71" s="7" t="s">
        <v>426</v>
      </c>
    </row>
    <row r="72" customFormat="false" ht="15" hidden="false" customHeight="false" outlineLevel="0" collapsed="false">
      <c r="A72" s="7" t="s">
        <v>3082</v>
      </c>
      <c r="B72" s="8" t="n">
        <v>45468</v>
      </c>
      <c r="C72" s="7" t="s">
        <v>52</v>
      </c>
      <c r="D72" s="7" t="s">
        <v>83</v>
      </c>
      <c r="E72" s="7" t="s">
        <v>2994</v>
      </c>
      <c r="F72" s="7" t="s">
        <v>3057</v>
      </c>
      <c r="G72" s="7" t="n">
        <v>1</v>
      </c>
      <c r="H72" s="7" t="n">
        <v>2</v>
      </c>
      <c r="I72" s="7" t="n">
        <f aca="false">G72*H72</f>
        <v>2</v>
      </c>
      <c r="J72" s="7" t="s">
        <v>2978</v>
      </c>
      <c r="K72" s="7" t="s">
        <v>2758</v>
      </c>
      <c r="L72" s="7" t="s">
        <v>424</v>
      </c>
    </row>
    <row r="73" customFormat="false" ht="15" hidden="false" customHeight="false" outlineLevel="0" collapsed="false">
      <c r="A73" s="7" t="s">
        <v>3083</v>
      </c>
      <c r="B73" s="8" t="n">
        <v>45802</v>
      </c>
      <c r="C73" s="7" t="s">
        <v>31</v>
      </c>
      <c r="D73" s="7" t="s">
        <v>87</v>
      </c>
      <c r="E73" s="7" t="s">
        <v>2994</v>
      </c>
      <c r="F73" s="7" t="s">
        <v>3047</v>
      </c>
      <c r="G73" s="7" t="n">
        <v>3</v>
      </c>
      <c r="H73" s="7" t="n">
        <v>2</v>
      </c>
      <c r="I73" s="7" t="n">
        <f aca="false">G73*H73</f>
        <v>6</v>
      </c>
      <c r="J73" s="7" t="s">
        <v>2978</v>
      </c>
      <c r="K73" s="7" t="s">
        <v>2758</v>
      </c>
      <c r="L73" s="7" t="s">
        <v>418</v>
      </c>
    </row>
    <row r="74" customFormat="false" ht="15" hidden="false" customHeight="false" outlineLevel="0" collapsed="false">
      <c r="A74" s="7" t="s">
        <v>3084</v>
      </c>
      <c r="B74" s="8" t="n">
        <v>45768</v>
      </c>
      <c r="C74" s="7" t="s">
        <v>46</v>
      </c>
      <c r="D74" s="7" t="s">
        <v>75</v>
      </c>
      <c r="E74" s="7" t="s">
        <v>2994</v>
      </c>
      <c r="F74" s="7" t="s">
        <v>3085</v>
      </c>
      <c r="G74" s="7" t="n">
        <v>3</v>
      </c>
      <c r="H74" s="7" t="n">
        <v>2</v>
      </c>
      <c r="I74" s="7" t="n">
        <f aca="false">G74*H74</f>
        <v>6</v>
      </c>
      <c r="J74" s="7" t="s">
        <v>2978</v>
      </c>
      <c r="K74" s="7" t="s">
        <v>2758</v>
      </c>
      <c r="L74" s="7" t="s">
        <v>422</v>
      </c>
    </row>
    <row r="75" customFormat="false" ht="15" hidden="false" customHeight="false" outlineLevel="0" collapsed="false">
      <c r="A75" s="7" t="s">
        <v>3086</v>
      </c>
      <c r="B75" s="8" t="n">
        <v>45387</v>
      </c>
      <c r="C75" s="7" t="s">
        <v>34</v>
      </c>
      <c r="D75" s="7" t="s">
        <v>68</v>
      </c>
      <c r="E75" s="7" t="s">
        <v>2976</v>
      </c>
      <c r="F75" s="7" t="s">
        <v>3087</v>
      </c>
      <c r="G75" s="7" t="n">
        <v>3</v>
      </c>
      <c r="H75" s="7" t="n">
        <v>3</v>
      </c>
      <c r="I75" s="7" t="n">
        <f aca="false">G75*H75</f>
        <v>9</v>
      </c>
      <c r="J75" s="7" t="s">
        <v>2978</v>
      </c>
      <c r="K75" s="7" t="s">
        <v>2758</v>
      </c>
      <c r="L75" s="7" t="s">
        <v>414</v>
      </c>
    </row>
    <row r="76" customFormat="false" ht="15" hidden="false" customHeight="false" outlineLevel="0" collapsed="false">
      <c r="A76" s="7" t="s">
        <v>3088</v>
      </c>
      <c r="B76" s="8" t="n">
        <v>45469</v>
      </c>
      <c r="C76" s="7" t="s">
        <v>25</v>
      </c>
      <c r="D76" s="7" t="s">
        <v>68</v>
      </c>
      <c r="E76" s="7" t="s">
        <v>2994</v>
      </c>
      <c r="F76" s="7" t="s">
        <v>2995</v>
      </c>
      <c r="G76" s="7" t="n">
        <v>2</v>
      </c>
      <c r="H76" s="7" t="n">
        <v>1</v>
      </c>
      <c r="I76" s="7" t="n">
        <f aca="false">G76*H76</f>
        <v>2</v>
      </c>
      <c r="J76" s="7" t="s">
        <v>2961</v>
      </c>
      <c r="K76" s="7" t="s">
        <v>2979</v>
      </c>
      <c r="L76" s="7" t="s">
        <v>434</v>
      </c>
    </row>
    <row r="77" customFormat="false" ht="15" hidden="false" customHeight="false" outlineLevel="0" collapsed="false">
      <c r="A77" s="7" t="s">
        <v>3089</v>
      </c>
      <c r="B77" s="8" t="n">
        <v>45688</v>
      </c>
      <c r="C77" s="7" t="s">
        <v>46</v>
      </c>
      <c r="D77" s="7" t="s">
        <v>68</v>
      </c>
      <c r="E77" s="7" t="s">
        <v>2963</v>
      </c>
      <c r="F77" s="7" t="s">
        <v>3090</v>
      </c>
      <c r="G77" s="7" t="n">
        <v>3</v>
      </c>
      <c r="H77" s="7" t="n">
        <v>5</v>
      </c>
      <c r="I77" s="7" t="n">
        <f aca="false">G77*H77</f>
        <v>15</v>
      </c>
      <c r="J77" s="7" t="s">
        <v>2952</v>
      </c>
      <c r="K77" s="7" t="s">
        <v>2979</v>
      </c>
      <c r="L77" s="7" t="s">
        <v>414</v>
      </c>
    </row>
    <row r="78" customFormat="false" ht="15" hidden="false" customHeight="false" outlineLevel="0" collapsed="false">
      <c r="A78" s="7" t="s">
        <v>3091</v>
      </c>
      <c r="B78" s="8" t="n">
        <v>45558</v>
      </c>
      <c r="C78" s="7" t="s">
        <v>43</v>
      </c>
      <c r="D78" s="7" t="s">
        <v>87</v>
      </c>
      <c r="E78" s="7" t="s">
        <v>2967</v>
      </c>
      <c r="F78" s="7" t="s">
        <v>3092</v>
      </c>
      <c r="G78" s="7" t="n">
        <v>4</v>
      </c>
      <c r="H78" s="7" t="n">
        <v>4</v>
      </c>
      <c r="I78" s="7" t="n">
        <f aca="false">G78*H78</f>
        <v>16</v>
      </c>
      <c r="J78" s="7" t="s">
        <v>2983</v>
      </c>
      <c r="K78" s="7" t="s">
        <v>2758</v>
      </c>
      <c r="L78" s="7" t="s">
        <v>428</v>
      </c>
    </row>
    <row r="79" customFormat="false" ht="15" hidden="false" customHeight="false" outlineLevel="0" collapsed="false">
      <c r="A79" s="7" t="s">
        <v>3093</v>
      </c>
      <c r="B79" s="8" t="n">
        <v>45753</v>
      </c>
      <c r="C79" s="7" t="s">
        <v>52</v>
      </c>
      <c r="D79" s="7" t="s">
        <v>87</v>
      </c>
      <c r="E79" s="7" t="s">
        <v>2955</v>
      </c>
      <c r="F79" s="7" t="s">
        <v>3007</v>
      </c>
      <c r="G79" s="7" t="n">
        <v>1</v>
      </c>
      <c r="H79" s="7" t="n">
        <v>1</v>
      </c>
      <c r="I79" s="7" t="n">
        <f aca="false">G79*H79</f>
        <v>1</v>
      </c>
      <c r="J79" s="7" t="s">
        <v>2978</v>
      </c>
      <c r="K79" s="7" t="s">
        <v>2758</v>
      </c>
      <c r="L79" s="7" t="s">
        <v>438</v>
      </c>
    </row>
    <row r="80" customFormat="false" ht="15" hidden="false" customHeight="false" outlineLevel="0" collapsed="false">
      <c r="A80" s="7" t="s">
        <v>3094</v>
      </c>
      <c r="B80" s="8" t="n">
        <v>45473</v>
      </c>
      <c r="C80" s="7" t="s">
        <v>46</v>
      </c>
      <c r="D80" s="7" t="s">
        <v>79</v>
      </c>
      <c r="E80" s="7" t="s">
        <v>2976</v>
      </c>
      <c r="F80" s="7" t="s">
        <v>3040</v>
      </c>
      <c r="G80" s="7" t="n">
        <v>2</v>
      </c>
      <c r="H80" s="7" t="n">
        <v>1</v>
      </c>
      <c r="I80" s="7" t="n">
        <f aca="false">G80*H80</f>
        <v>2</v>
      </c>
      <c r="J80" s="7" t="s">
        <v>2987</v>
      </c>
      <c r="K80" s="7" t="s">
        <v>2758</v>
      </c>
      <c r="L80" s="7" t="s">
        <v>436</v>
      </c>
    </row>
    <row r="81" customFormat="false" ht="15" hidden="false" customHeight="false" outlineLevel="0" collapsed="false">
      <c r="A81" s="7" t="s">
        <v>3095</v>
      </c>
      <c r="B81" s="8" t="n">
        <v>45570</v>
      </c>
      <c r="C81" s="7" t="s">
        <v>37</v>
      </c>
      <c r="D81" s="7" t="s">
        <v>75</v>
      </c>
      <c r="E81" s="7" t="s">
        <v>2976</v>
      </c>
      <c r="F81" s="7" t="s">
        <v>3021</v>
      </c>
      <c r="G81" s="7" t="n">
        <v>4</v>
      </c>
      <c r="H81" s="7" t="n">
        <v>3</v>
      </c>
      <c r="I81" s="7" t="n">
        <f aca="false">G81*H81</f>
        <v>12</v>
      </c>
      <c r="J81" s="7" t="s">
        <v>2961</v>
      </c>
      <c r="K81" s="7" t="s">
        <v>2758</v>
      </c>
      <c r="L81" s="7" t="s">
        <v>424</v>
      </c>
    </row>
    <row r="82" customFormat="false" ht="15" hidden="false" customHeight="false" outlineLevel="0" collapsed="false">
      <c r="A82" s="7" t="s">
        <v>3096</v>
      </c>
      <c r="B82" s="8" t="n">
        <v>45731</v>
      </c>
      <c r="C82" s="7" t="s">
        <v>52</v>
      </c>
      <c r="D82" s="7" t="s">
        <v>75</v>
      </c>
      <c r="E82" s="7" t="s">
        <v>2955</v>
      </c>
      <c r="F82" s="7" t="s">
        <v>3007</v>
      </c>
      <c r="G82" s="7" t="n">
        <v>1</v>
      </c>
      <c r="H82" s="7" t="n">
        <v>3</v>
      </c>
      <c r="I82" s="7" t="n">
        <f aca="false">G82*H82</f>
        <v>3</v>
      </c>
      <c r="J82" s="7" t="s">
        <v>2965</v>
      </c>
      <c r="K82" s="7" t="s">
        <v>2953</v>
      </c>
      <c r="L82" s="7" t="s">
        <v>418</v>
      </c>
    </row>
    <row r="83" customFormat="false" ht="15" hidden="false" customHeight="false" outlineLevel="0" collapsed="false">
      <c r="A83" s="7" t="s">
        <v>3097</v>
      </c>
      <c r="B83" s="8" t="n">
        <v>45632</v>
      </c>
      <c r="C83" s="7" t="s">
        <v>34</v>
      </c>
      <c r="D83" s="7" t="s">
        <v>65</v>
      </c>
      <c r="E83" s="7" t="s">
        <v>2994</v>
      </c>
      <c r="F83" s="7" t="s">
        <v>3059</v>
      </c>
      <c r="G83" s="7" t="n">
        <v>4</v>
      </c>
      <c r="H83" s="7" t="n">
        <v>4</v>
      </c>
      <c r="I83" s="7" t="n">
        <f aca="false">G83*H83</f>
        <v>16</v>
      </c>
      <c r="J83" s="7" t="s">
        <v>2987</v>
      </c>
      <c r="K83" s="7" t="s">
        <v>2953</v>
      </c>
      <c r="L83" s="7" t="s">
        <v>434</v>
      </c>
    </row>
    <row r="84" customFormat="false" ht="15" hidden="false" customHeight="false" outlineLevel="0" collapsed="false">
      <c r="A84" s="7" t="s">
        <v>3098</v>
      </c>
      <c r="B84" s="8" t="n">
        <v>45482</v>
      </c>
      <c r="C84" s="7" t="s">
        <v>31</v>
      </c>
      <c r="D84" s="7" t="s">
        <v>79</v>
      </c>
      <c r="E84" s="7" t="s">
        <v>2959</v>
      </c>
      <c r="F84" s="7" t="s">
        <v>3099</v>
      </c>
      <c r="G84" s="7" t="n">
        <v>4</v>
      </c>
      <c r="H84" s="7" t="n">
        <v>5</v>
      </c>
      <c r="I84" s="7" t="n">
        <f aca="false">G84*H84</f>
        <v>20</v>
      </c>
      <c r="J84" s="7" t="s">
        <v>2983</v>
      </c>
      <c r="K84" s="7" t="s">
        <v>2758</v>
      </c>
      <c r="L84" s="7" t="s">
        <v>424</v>
      </c>
    </row>
    <row r="85" customFormat="false" ht="15" hidden="false" customHeight="false" outlineLevel="0" collapsed="false">
      <c r="A85" s="7" t="s">
        <v>3100</v>
      </c>
      <c r="B85" s="8" t="n">
        <v>45701</v>
      </c>
      <c r="C85" s="7" t="s">
        <v>52</v>
      </c>
      <c r="D85" s="7" t="s">
        <v>79</v>
      </c>
      <c r="E85" s="7" t="s">
        <v>2994</v>
      </c>
      <c r="F85" s="7" t="s">
        <v>3057</v>
      </c>
      <c r="G85" s="7" t="n">
        <v>4</v>
      </c>
      <c r="H85" s="7" t="n">
        <v>3</v>
      </c>
      <c r="I85" s="7" t="n">
        <f aca="false">G85*H85</f>
        <v>12</v>
      </c>
      <c r="J85" s="7" t="s">
        <v>2952</v>
      </c>
      <c r="K85" s="7" t="s">
        <v>2953</v>
      </c>
      <c r="L85" s="7" t="s">
        <v>440</v>
      </c>
    </row>
    <row r="86" customFormat="false" ht="15" hidden="false" customHeight="false" outlineLevel="0" collapsed="false">
      <c r="A86" s="7" t="s">
        <v>3101</v>
      </c>
      <c r="B86" s="8" t="n">
        <v>45421</v>
      </c>
      <c r="C86" s="7" t="s">
        <v>46</v>
      </c>
      <c r="D86" s="7" t="s">
        <v>83</v>
      </c>
      <c r="E86" s="7" t="s">
        <v>2976</v>
      </c>
      <c r="F86" s="7" t="s">
        <v>3040</v>
      </c>
      <c r="G86" s="7" t="n">
        <v>3</v>
      </c>
      <c r="H86" s="7" t="n">
        <v>2</v>
      </c>
      <c r="I86" s="7" t="n">
        <f aca="false">G86*H86</f>
        <v>6</v>
      </c>
      <c r="J86" s="7" t="s">
        <v>2987</v>
      </c>
      <c r="K86" s="7" t="s">
        <v>2979</v>
      </c>
      <c r="L86" s="7" t="s">
        <v>422</v>
      </c>
    </row>
    <row r="87" customFormat="false" ht="15" hidden="false" customHeight="false" outlineLevel="0" collapsed="false">
      <c r="A87" s="7" t="s">
        <v>3102</v>
      </c>
      <c r="B87" s="8" t="n">
        <v>45587</v>
      </c>
      <c r="C87" s="7" t="s">
        <v>37</v>
      </c>
      <c r="D87" s="7" t="s">
        <v>75</v>
      </c>
      <c r="E87" s="7" t="s">
        <v>2959</v>
      </c>
      <c r="F87" s="7" t="s">
        <v>3005</v>
      </c>
      <c r="G87" s="7" t="n">
        <v>4</v>
      </c>
      <c r="H87" s="7" t="n">
        <v>4</v>
      </c>
      <c r="I87" s="7" t="n">
        <f aca="false">G87*H87</f>
        <v>16</v>
      </c>
      <c r="J87" s="7" t="s">
        <v>2965</v>
      </c>
      <c r="K87" s="7" t="s">
        <v>2758</v>
      </c>
      <c r="L87" s="7" t="s">
        <v>424</v>
      </c>
    </row>
    <row r="88" customFormat="false" ht="15" hidden="false" customHeight="false" outlineLevel="0" collapsed="false">
      <c r="A88" s="7" t="s">
        <v>3103</v>
      </c>
      <c r="B88" s="8" t="n">
        <v>45352</v>
      </c>
      <c r="C88" s="7" t="s">
        <v>31</v>
      </c>
      <c r="D88" s="7" t="s">
        <v>75</v>
      </c>
      <c r="E88" s="7" t="s">
        <v>3002</v>
      </c>
      <c r="F88" s="7" t="s">
        <v>3104</v>
      </c>
      <c r="G88" s="7" t="n">
        <v>1</v>
      </c>
      <c r="H88" s="7" t="n">
        <v>4</v>
      </c>
      <c r="I88" s="7" t="n">
        <f aca="false">G88*H88</f>
        <v>4</v>
      </c>
      <c r="J88" s="7" t="s">
        <v>2965</v>
      </c>
      <c r="K88" s="7" t="s">
        <v>2953</v>
      </c>
      <c r="L88" s="7" t="s">
        <v>424</v>
      </c>
    </row>
    <row r="89" customFormat="false" ht="15" hidden="false" customHeight="false" outlineLevel="0" collapsed="false">
      <c r="A89" s="7" t="s">
        <v>3105</v>
      </c>
      <c r="B89" s="8" t="n">
        <v>45389</v>
      </c>
      <c r="C89" s="7" t="s">
        <v>31</v>
      </c>
      <c r="D89" s="7" t="s">
        <v>71</v>
      </c>
      <c r="E89" s="7" t="s">
        <v>2955</v>
      </c>
      <c r="F89" s="7" t="s">
        <v>3106</v>
      </c>
      <c r="G89" s="7" t="n">
        <v>2</v>
      </c>
      <c r="H89" s="7" t="n">
        <v>5</v>
      </c>
      <c r="I89" s="7" t="n">
        <f aca="false">G89*H89</f>
        <v>10</v>
      </c>
      <c r="J89" s="7" t="s">
        <v>2965</v>
      </c>
      <c r="K89" s="7" t="s">
        <v>2953</v>
      </c>
      <c r="L89" s="7" t="s">
        <v>429</v>
      </c>
    </row>
    <row r="90" customFormat="false" ht="15" hidden="false" customHeight="false" outlineLevel="0" collapsed="false">
      <c r="A90" s="7" t="s">
        <v>3107</v>
      </c>
      <c r="B90" s="8" t="n">
        <v>45965</v>
      </c>
      <c r="C90" s="7" t="s">
        <v>46</v>
      </c>
      <c r="D90" s="7" t="s">
        <v>75</v>
      </c>
      <c r="E90" s="7" t="s">
        <v>2955</v>
      </c>
      <c r="F90" s="7" t="s">
        <v>2956</v>
      </c>
      <c r="G90" s="7" t="n">
        <v>2</v>
      </c>
      <c r="H90" s="7" t="n">
        <v>2</v>
      </c>
      <c r="I90" s="7" t="n">
        <f aca="false">G90*H90</f>
        <v>4</v>
      </c>
      <c r="J90" s="7" t="s">
        <v>2952</v>
      </c>
      <c r="K90" s="7" t="s">
        <v>2953</v>
      </c>
      <c r="L90" s="7" t="s">
        <v>418</v>
      </c>
    </row>
    <row r="91" customFormat="false" ht="15" hidden="false" customHeight="false" outlineLevel="0" collapsed="false">
      <c r="A91" s="7" t="s">
        <v>3108</v>
      </c>
      <c r="B91" s="8" t="n">
        <v>45636</v>
      </c>
      <c r="C91" s="7" t="s">
        <v>52</v>
      </c>
      <c r="D91" s="7" t="s">
        <v>65</v>
      </c>
      <c r="E91" s="7" t="s">
        <v>2976</v>
      </c>
      <c r="F91" s="7" t="s">
        <v>3009</v>
      </c>
      <c r="G91" s="7" t="n">
        <v>4</v>
      </c>
      <c r="H91" s="7" t="n">
        <v>3</v>
      </c>
      <c r="I91" s="7" t="n">
        <f aca="false">G91*H91</f>
        <v>12</v>
      </c>
      <c r="J91" s="7" t="s">
        <v>2957</v>
      </c>
      <c r="K91" s="7" t="s">
        <v>2953</v>
      </c>
      <c r="L91" s="7" t="s">
        <v>436</v>
      </c>
    </row>
    <row r="92" customFormat="false" ht="15" hidden="false" customHeight="false" outlineLevel="0" collapsed="false">
      <c r="A92" s="7" t="s">
        <v>3109</v>
      </c>
      <c r="B92" s="8" t="n">
        <v>45471</v>
      </c>
      <c r="C92" s="7" t="s">
        <v>46</v>
      </c>
      <c r="D92" s="7" t="s">
        <v>71</v>
      </c>
      <c r="E92" s="7" t="s">
        <v>2994</v>
      </c>
      <c r="F92" s="7" t="s">
        <v>3085</v>
      </c>
      <c r="G92" s="7" t="n">
        <v>4</v>
      </c>
      <c r="H92" s="7" t="n">
        <v>2</v>
      </c>
      <c r="I92" s="7" t="n">
        <f aca="false">G92*H92</f>
        <v>8</v>
      </c>
      <c r="J92" s="7" t="s">
        <v>2965</v>
      </c>
      <c r="K92" s="7" t="s">
        <v>2758</v>
      </c>
      <c r="L92" s="7" t="s">
        <v>418</v>
      </c>
    </row>
    <row r="93" customFormat="false" ht="15" hidden="false" customHeight="false" outlineLevel="0" collapsed="false">
      <c r="A93" s="7" t="s">
        <v>3110</v>
      </c>
      <c r="B93" s="8" t="n">
        <v>45427</v>
      </c>
      <c r="C93" s="7" t="s">
        <v>43</v>
      </c>
      <c r="D93" s="7" t="s">
        <v>83</v>
      </c>
      <c r="E93" s="7" t="s">
        <v>2955</v>
      </c>
      <c r="F93" s="7" t="s">
        <v>3034</v>
      </c>
      <c r="G93" s="7" t="n">
        <v>1</v>
      </c>
      <c r="H93" s="7" t="n">
        <v>1</v>
      </c>
      <c r="I93" s="7" t="n">
        <f aca="false">G93*H93</f>
        <v>1</v>
      </c>
      <c r="J93" s="7" t="s">
        <v>2957</v>
      </c>
      <c r="K93" s="7" t="s">
        <v>2758</v>
      </c>
      <c r="L93" s="7" t="s">
        <v>432</v>
      </c>
    </row>
    <row r="94" customFormat="false" ht="15" hidden="false" customHeight="false" outlineLevel="0" collapsed="false">
      <c r="A94" s="7" t="s">
        <v>3111</v>
      </c>
      <c r="B94" s="8" t="n">
        <v>45800</v>
      </c>
      <c r="C94" s="7" t="s">
        <v>37</v>
      </c>
      <c r="D94" s="7" t="s">
        <v>75</v>
      </c>
      <c r="E94" s="7" t="s">
        <v>2950</v>
      </c>
      <c r="F94" s="7" t="s">
        <v>3112</v>
      </c>
      <c r="G94" s="7" t="n">
        <v>3</v>
      </c>
      <c r="H94" s="7" t="n">
        <v>2</v>
      </c>
      <c r="I94" s="7" t="n">
        <f aca="false">G94*H94</f>
        <v>6</v>
      </c>
      <c r="J94" s="7" t="s">
        <v>2983</v>
      </c>
      <c r="K94" s="7" t="s">
        <v>2953</v>
      </c>
      <c r="L94" s="7" t="s">
        <v>436</v>
      </c>
    </row>
    <row r="95" customFormat="false" ht="15" hidden="false" customHeight="false" outlineLevel="0" collapsed="false">
      <c r="A95" s="7" t="s">
        <v>3113</v>
      </c>
      <c r="B95" s="8" t="n">
        <v>45596</v>
      </c>
      <c r="C95" s="7" t="s">
        <v>49</v>
      </c>
      <c r="D95" s="7" t="s">
        <v>87</v>
      </c>
      <c r="E95" s="7" t="s">
        <v>3002</v>
      </c>
      <c r="F95" s="7" t="s">
        <v>3081</v>
      </c>
      <c r="G95" s="7" t="n">
        <v>5</v>
      </c>
      <c r="H95" s="7" t="n">
        <v>5</v>
      </c>
      <c r="I95" s="7" t="n">
        <f aca="false">G95*H95</f>
        <v>25</v>
      </c>
      <c r="J95" s="7" t="s">
        <v>2983</v>
      </c>
      <c r="K95" s="7" t="s">
        <v>2979</v>
      </c>
      <c r="L95" s="7" t="s">
        <v>432</v>
      </c>
    </row>
    <row r="96" customFormat="false" ht="15" hidden="false" customHeight="false" outlineLevel="0" collapsed="false">
      <c r="A96" s="7" t="s">
        <v>3114</v>
      </c>
      <c r="B96" s="8" t="n">
        <v>45855</v>
      </c>
      <c r="C96" s="7" t="s">
        <v>34</v>
      </c>
      <c r="D96" s="7" t="s">
        <v>75</v>
      </c>
      <c r="E96" s="7" t="s">
        <v>2963</v>
      </c>
      <c r="F96" s="7" t="s">
        <v>3115</v>
      </c>
      <c r="G96" s="7" t="n">
        <v>2</v>
      </c>
      <c r="H96" s="7" t="n">
        <v>2</v>
      </c>
      <c r="I96" s="7" t="n">
        <f aca="false">G96*H96</f>
        <v>4</v>
      </c>
      <c r="J96" s="7" t="s">
        <v>2961</v>
      </c>
      <c r="K96" s="7" t="s">
        <v>2953</v>
      </c>
      <c r="L96" s="7" t="s">
        <v>432</v>
      </c>
    </row>
    <row r="97" customFormat="false" ht="15" hidden="false" customHeight="false" outlineLevel="0" collapsed="false">
      <c r="A97" s="7" t="s">
        <v>3116</v>
      </c>
      <c r="B97" s="8" t="n">
        <v>45417</v>
      </c>
      <c r="C97" s="7" t="s">
        <v>49</v>
      </c>
      <c r="D97" s="7" t="s">
        <v>65</v>
      </c>
      <c r="E97" s="7" t="s">
        <v>2955</v>
      </c>
      <c r="F97" s="7" t="s">
        <v>3075</v>
      </c>
      <c r="G97" s="7" t="n">
        <v>2</v>
      </c>
      <c r="H97" s="7" t="n">
        <v>5</v>
      </c>
      <c r="I97" s="7" t="n">
        <f aca="false">G97*H97</f>
        <v>10</v>
      </c>
      <c r="J97" s="7" t="s">
        <v>2961</v>
      </c>
      <c r="K97" s="7" t="s">
        <v>2953</v>
      </c>
      <c r="L97" s="7" t="s">
        <v>436</v>
      </c>
    </row>
    <row r="98" customFormat="false" ht="15" hidden="false" customHeight="false" outlineLevel="0" collapsed="false">
      <c r="A98" s="7" t="s">
        <v>3117</v>
      </c>
      <c r="B98" s="8" t="n">
        <v>45759</v>
      </c>
      <c r="C98" s="7" t="s">
        <v>52</v>
      </c>
      <c r="D98" s="7" t="s">
        <v>79</v>
      </c>
      <c r="E98" s="7" t="s">
        <v>2967</v>
      </c>
      <c r="F98" s="7" t="s">
        <v>3118</v>
      </c>
      <c r="G98" s="7" t="n">
        <v>5</v>
      </c>
      <c r="H98" s="7" t="n">
        <v>1</v>
      </c>
      <c r="I98" s="7" t="n">
        <f aca="false">G98*H98</f>
        <v>5</v>
      </c>
      <c r="J98" s="7" t="s">
        <v>2952</v>
      </c>
      <c r="K98" s="7" t="s">
        <v>2953</v>
      </c>
      <c r="L98" s="7" t="s">
        <v>420</v>
      </c>
    </row>
    <row r="99" customFormat="false" ht="15" hidden="false" customHeight="false" outlineLevel="0" collapsed="false">
      <c r="A99" s="7" t="s">
        <v>3119</v>
      </c>
      <c r="B99" s="8" t="n">
        <v>45567</v>
      </c>
      <c r="C99" s="7" t="s">
        <v>37</v>
      </c>
      <c r="D99" s="7" t="s">
        <v>71</v>
      </c>
      <c r="E99" s="7" t="s">
        <v>2959</v>
      </c>
      <c r="F99" s="7" t="s">
        <v>3005</v>
      </c>
      <c r="G99" s="7" t="n">
        <v>2</v>
      </c>
      <c r="H99" s="7" t="n">
        <v>2</v>
      </c>
      <c r="I99" s="7" t="n">
        <f aca="false">G99*H99</f>
        <v>4</v>
      </c>
      <c r="J99" s="7" t="s">
        <v>2987</v>
      </c>
      <c r="K99" s="7" t="s">
        <v>2953</v>
      </c>
      <c r="L99" s="7" t="s">
        <v>416</v>
      </c>
    </row>
    <row r="100" customFormat="false" ht="15" hidden="false" customHeight="false" outlineLevel="0" collapsed="false">
      <c r="A100" s="7" t="s">
        <v>3120</v>
      </c>
      <c r="B100" s="8" t="n">
        <v>45352</v>
      </c>
      <c r="C100" s="7" t="s">
        <v>46</v>
      </c>
      <c r="D100" s="7" t="s">
        <v>71</v>
      </c>
      <c r="E100" s="7" t="s">
        <v>2950</v>
      </c>
      <c r="F100" s="7" t="s">
        <v>3015</v>
      </c>
      <c r="G100" s="7" t="n">
        <v>3</v>
      </c>
      <c r="H100" s="7" t="n">
        <v>1</v>
      </c>
      <c r="I100" s="7" t="n">
        <f aca="false">G100*H100</f>
        <v>3</v>
      </c>
      <c r="J100" s="7" t="s">
        <v>2965</v>
      </c>
      <c r="K100" s="7" t="s">
        <v>2953</v>
      </c>
      <c r="L100" s="7" t="s">
        <v>434</v>
      </c>
    </row>
    <row r="101" customFormat="false" ht="15" hidden="false" customHeight="false" outlineLevel="0" collapsed="false">
      <c r="A101" s="7" t="s">
        <v>3121</v>
      </c>
      <c r="B101" s="8" t="n">
        <v>45597</v>
      </c>
      <c r="C101" s="7" t="s">
        <v>34</v>
      </c>
      <c r="D101" s="7" t="s">
        <v>87</v>
      </c>
      <c r="E101" s="7" t="s">
        <v>2959</v>
      </c>
      <c r="F101" s="7" t="s">
        <v>2974</v>
      </c>
      <c r="G101" s="7" t="n">
        <v>2</v>
      </c>
      <c r="H101" s="7" t="n">
        <v>1</v>
      </c>
      <c r="I101" s="7" t="n">
        <f aca="false">G101*H101</f>
        <v>2</v>
      </c>
      <c r="J101" s="7" t="s">
        <v>2965</v>
      </c>
      <c r="K101" s="7" t="s">
        <v>2758</v>
      </c>
      <c r="L101" s="7" t="s">
        <v>426</v>
      </c>
    </row>
    <row r="102" customFormat="false" ht="15" hidden="false" customHeight="false" outlineLevel="0" collapsed="false">
      <c r="A102" s="7" t="s">
        <v>3122</v>
      </c>
      <c r="B102" s="8" t="n">
        <v>45896</v>
      </c>
      <c r="C102" s="7" t="s">
        <v>46</v>
      </c>
      <c r="D102" s="7" t="s">
        <v>60</v>
      </c>
      <c r="E102" s="7" t="s">
        <v>2967</v>
      </c>
      <c r="F102" s="7" t="s">
        <v>3019</v>
      </c>
      <c r="G102" s="7" t="n">
        <v>4</v>
      </c>
      <c r="H102" s="7" t="n">
        <v>1</v>
      </c>
      <c r="I102" s="7" t="n">
        <f aca="false">G102*H102</f>
        <v>4</v>
      </c>
      <c r="J102" s="7" t="s">
        <v>2983</v>
      </c>
      <c r="K102" s="7" t="s">
        <v>2953</v>
      </c>
      <c r="L102" s="7" t="s">
        <v>416</v>
      </c>
    </row>
    <row r="103" customFormat="false" ht="15" hidden="false" customHeight="false" outlineLevel="0" collapsed="false">
      <c r="A103" s="7" t="s">
        <v>3123</v>
      </c>
      <c r="B103" s="8" t="n">
        <v>45801</v>
      </c>
      <c r="C103" s="7" t="s">
        <v>34</v>
      </c>
      <c r="D103" s="7" t="s">
        <v>71</v>
      </c>
      <c r="E103" s="7" t="s">
        <v>3002</v>
      </c>
      <c r="F103" s="7" t="s">
        <v>3124</v>
      </c>
      <c r="G103" s="7" t="n">
        <v>2</v>
      </c>
      <c r="H103" s="7" t="n">
        <v>4</v>
      </c>
      <c r="I103" s="7" t="n">
        <f aca="false">G103*H103</f>
        <v>8</v>
      </c>
      <c r="J103" s="7" t="s">
        <v>2961</v>
      </c>
      <c r="K103" s="7" t="s">
        <v>2953</v>
      </c>
      <c r="L103" s="7" t="s">
        <v>441</v>
      </c>
    </row>
    <row r="104" customFormat="false" ht="15" hidden="false" customHeight="false" outlineLevel="0" collapsed="false">
      <c r="A104" s="7" t="s">
        <v>3125</v>
      </c>
      <c r="B104" s="8" t="n">
        <v>45655</v>
      </c>
      <c r="C104" s="7" t="s">
        <v>52</v>
      </c>
      <c r="D104" s="7" t="s">
        <v>65</v>
      </c>
      <c r="E104" s="7" t="s">
        <v>2963</v>
      </c>
      <c r="F104" s="7" t="s">
        <v>3126</v>
      </c>
      <c r="G104" s="7" t="n">
        <v>3</v>
      </c>
      <c r="H104" s="7" t="n">
        <v>1</v>
      </c>
      <c r="I104" s="7" t="n">
        <f aca="false">G104*H104</f>
        <v>3</v>
      </c>
      <c r="J104" s="7" t="s">
        <v>2952</v>
      </c>
      <c r="K104" s="7" t="s">
        <v>2953</v>
      </c>
      <c r="L104" s="7" t="s">
        <v>441</v>
      </c>
    </row>
    <row r="105" customFormat="false" ht="15" hidden="false" customHeight="false" outlineLevel="0" collapsed="false">
      <c r="A105" s="7" t="s">
        <v>3127</v>
      </c>
      <c r="B105" s="8" t="n">
        <v>46009</v>
      </c>
      <c r="C105" s="7" t="s">
        <v>49</v>
      </c>
      <c r="D105" s="7" t="s">
        <v>87</v>
      </c>
      <c r="E105" s="7" t="s">
        <v>2955</v>
      </c>
      <c r="F105" s="7" t="s">
        <v>3075</v>
      </c>
      <c r="G105" s="7" t="n">
        <v>4</v>
      </c>
      <c r="H105" s="7" t="n">
        <v>3</v>
      </c>
      <c r="I105" s="7" t="n">
        <f aca="false">G105*H105</f>
        <v>12</v>
      </c>
      <c r="J105" s="7" t="s">
        <v>2957</v>
      </c>
      <c r="K105" s="7" t="s">
        <v>2953</v>
      </c>
      <c r="L105" s="7" t="s">
        <v>441</v>
      </c>
    </row>
    <row r="106" customFormat="false" ht="15" hidden="false" customHeight="false" outlineLevel="0" collapsed="false">
      <c r="A106" s="7" t="s">
        <v>3128</v>
      </c>
      <c r="B106" s="8" t="n">
        <v>45735</v>
      </c>
      <c r="C106" s="7" t="s">
        <v>34</v>
      </c>
      <c r="D106" s="7" t="s">
        <v>87</v>
      </c>
      <c r="E106" s="7" t="s">
        <v>3002</v>
      </c>
      <c r="F106" s="7" t="s">
        <v>3124</v>
      </c>
      <c r="G106" s="7" t="n">
        <v>5</v>
      </c>
      <c r="H106" s="7" t="n">
        <v>5</v>
      </c>
      <c r="I106" s="7" t="n">
        <f aca="false">G106*H106</f>
        <v>25</v>
      </c>
      <c r="J106" s="7" t="s">
        <v>2983</v>
      </c>
      <c r="K106" s="7" t="s">
        <v>2758</v>
      </c>
      <c r="L106" s="7" t="s">
        <v>434</v>
      </c>
    </row>
    <row r="107" customFormat="false" ht="15" hidden="false" customHeight="false" outlineLevel="0" collapsed="false">
      <c r="A107" s="7" t="s">
        <v>3129</v>
      </c>
      <c r="B107" s="8" t="n">
        <v>45854</v>
      </c>
      <c r="C107" s="7" t="s">
        <v>40</v>
      </c>
      <c r="D107" s="7" t="s">
        <v>75</v>
      </c>
      <c r="E107" s="7" t="s">
        <v>2963</v>
      </c>
      <c r="F107" s="7" t="s">
        <v>3130</v>
      </c>
      <c r="G107" s="7" t="n">
        <v>3</v>
      </c>
      <c r="H107" s="7" t="n">
        <v>5</v>
      </c>
      <c r="I107" s="7" t="n">
        <f aca="false">G107*H107</f>
        <v>15</v>
      </c>
      <c r="J107" s="7" t="s">
        <v>2978</v>
      </c>
      <c r="K107" s="7" t="s">
        <v>2953</v>
      </c>
      <c r="L107" s="7" t="s">
        <v>438</v>
      </c>
    </row>
    <row r="108" customFormat="false" ht="15" hidden="false" customHeight="false" outlineLevel="0" collapsed="false">
      <c r="A108" s="7" t="s">
        <v>3131</v>
      </c>
      <c r="B108" s="8" t="n">
        <v>45344</v>
      </c>
      <c r="C108" s="7" t="s">
        <v>43</v>
      </c>
      <c r="D108" s="7" t="s">
        <v>75</v>
      </c>
      <c r="E108" s="7" t="s">
        <v>2963</v>
      </c>
      <c r="F108" s="7" t="s">
        <v>3132</v>
      </c>
      <c r="G108" s="7" t="n">
        <v>5</v>
      </c>
      <c r="H108" s="7" t="n">
        <v>3</v>
      </c>
      <c r="I108" s="7" t="n">
        <f aca="false">G108*H108</f>
        <v>15</v>
      </c>
      <c r="J108" s="7" t="s">
        <v>2965</v>
      </c>
      <c r="K108" s="7" t="s">
        <v>2758</v>
      </c>
      <c r="L108" s="7" t="s">
        <v>431</v>
      </c>
    </row>
    <row r="109" customFormat="false" ht="15" hidden="false" customHeight="false" outlineLevel="0" collapsed="false">
      <c r="A109" s="7" t="s">
        <v>3133</v>
      </c>
      <c r="B109" s="8" t="n">
        <v>45600</v>
      </c>
      <c r="C109" s="7" t="s">
        <v>37</v>
      </c>
      <c r="D109" s="7" t="s">
        <v>87</v>
      </c>
      <c r="E109" s="7" t="s">
        <v>2950</v>
      </c>
      <c r="F109" s="7" t="s">
        <v>3112</v>
      </c>
      <c r="G109" s="7" t="n">
        <v>1</v>
      </c>
      <c r="H109" s="7" t="n">
        <v>5</v>
      </c>
      <c r="I109" s="7" t="n">
        <f aca="false">G109*H109</f>
        <v>5</v>
      </c>
      <c r="J109" s="7" t="s">
        <v>2987</v>
      </c>
      <c r="K109" s="7" t="s">
        <v>2758</v>
      </c>
      <c r="L109" s="7" t="s">
        <v>422</v>
      </c>
    </row>
    <row r="110" customFormat="false" ht="15" hidden="false" customHeight="false" outlineLevel="0" collapsed="false">
      <c r="A110" s="7" t="s">
        <v>3134</v>
      </c>
      <c r="B110" s="8" t="n">
        <v>45620</v>
      </c>
      <c r="C110" s="7" t="s">
        <v>40</v>
      </c>
      <c r="D110" s="7" t="s">
        <v>65</v>
      </c>
      <c r="E110" s="7" t="s">
        <v>2955</v>
      </c>
      <c r="F110" s="7" t="s">
        <v>2970</v>
      </c>
      <c r="G110" s="7" t="n">
        <v>5</v>
      </c>
      <c r="H110" s="7" t="n">
        <v>4</v>
      </c>
      <c r="I110" s="7" t="n">
        <f aca="false">G110*H110</f>
        <v>20</v>
      </c>
      <c r="J110" s="7" t="s">
        <v>2978</v>
      </c>
      <c r="K110" s="7" t="s">
        <v>2979</v>
      </c>
      <c r="L110" s="7" t="s">
        <v>424</v>
      </c>
    </row>
    <row r="111" customFormat="false" ht="15" hidden="false" customHeight="false" outlineLevel="0" collapsed="false">
      <c r="A111" s="7" t="s">
        <v>3135</v>
      </c>
      <c r="B111" s="8" t="n">
        <v>45909</v>
      </c>
      <c r="C111" s="7" t="s">
        <v>52</v>
      </c>
      <c r="D111" s="7" t="s">
        <v>83</v>
      </c>
      <c r="E111" s="7" t="s">
        <v>3002</v>
      </c>
      <c r="F111" s="7" t="s">
        <v>3003</v>
      </c>
      <c r="G111" s="7" t="n">
        <v>3</v>
      </c>
      <c r="H111" s="7" t="n">
        <v>4</v>
      </c>
      <c r="I111" s="7" t="n">
        <f aca="false">G111*H111</f>
        <v>12</v>
      </c>
      <c r="J111" s="7" t="s">
        <v>2983</v>
      </c>
      <c r="K111" s="7" t="s">
        <v>2758</v>
      </c>
      <c r="L111" s="7" t="s">
        <v>422</v>
      </c>
    </row>
    <row r="112" customFormat="false" ht="15" hidden="false" customHeight="false" outlineLevel="0" collapsed="false">
      <c r="A112" s="7" t="s">
        <v>3136</v>
      </c>
      <c r="B112" s="8" t="n">
        <v>45606</v>
      </c>
      <c r="C112" s="7" t="s">
        <v>34</v>
      </c>
      <c r="D112" s="7" t="s">
        <v>65</v>
      </c>
      <c r="E112" s="7" t="s">
        <v>2955</v>
      </c>
      <c r="F112" s="7" t="s">
        <v>3137</v>
      </c>
      <c r="G112" s="7" t="n">
        <v>2</v>
      </c>
      <c r="H112" s="7" t="n">
        <v>2</v>
      </c>
      <c r="I112" s="7" t="n">
        <f aca="false">G112*H112</f>
        <v>4</v>
      </c>
      <c r="J112" s="7" t="s">
        <v>2987</v>
      </c>
      <c r="K112" s="7" t="s">
        <v>2953</v>
      </c>
      <c r="L112" s="7" t="s">
        <v>424</v>
      </c>
    </row>
    <row r="113" customFormat="false" ht="15" hidden="false" customHeight="false" outlineLevel="0" collapsed="false">
      <c r="A113" s="7" t="s">
        <v>3138</v>
      </c>
      <c r="B113" s="8" t="n">
        <v>45706</v>
      </c>
      <c r="C113" s="7" t="s">
        <v>37</v>
      </c>
      <c r="D113" s="7" t="s">
        <v>87</v>
      </c>
      <c r="E113" s="7" t="s">
        <v>2976</v>
      </c>
      <c r="F113" s="7" t="s">
        <v>3021</v>
      </c>
      <c r="G113" s="7" t="n">
        <v>2</v>
      </c>
      <c r="H113" s="7" t="n">
        <v>5</v>
      </c>
      <c r="I113" s="7" t="n">
        <f aca="false">G113*H113</f>
        <v>10</v>
      </c>
      <c r="J113" s="7" t="s">
        <v>2952</v>
      </c>
      <c r="K113" s="7" t="s">
        <v>2953</v>
      </c>
      <c r="L113" s="7" t="s">
        <v>440</v>
      </c>
    </row>
    <row r="114" customFormat="false" ht="15" hidden="false" customHeight="false" outlineLevel="0" collapsed="false">
      <c r="A114" s="7" t="s">
        <v>3139</v>
      </c>
      <c r="B114" s="8" t="n">
        <v>45405</v>
      </c>
      <c r="C114" s="7" t="s">
        <v>49</v>
      </c>
      <c r="D114" s="7" t="s">
        <v>79</v>
      </c>
      <c r="E114" s="7" t="s">
        <v>2976</v>
      </c>
      <c r="F114" s="7" t="s">
        <v>3050</v>
      </c>
      <c r="G114" s="7" t="n">
        <v>1</v>
      </c>
      <c r="H114" s="7" t="n">
        <v>3</v>
      </c>
      <c r="I114" s="7" t="n">
        <f aca="false">G114*H114</f>
        <v>3</v>
      </c>
      <c r="J114" s="7" t="s">
        <v>2965</v>
      </c>
      <c r="K114" s="7" t="s">
        <v>2758</v>
      </c>
      <c r="L114" s="7" t="s">
        <v>424</v>
      </c>
    </row>
    <row r="115" customFormat="false" ht="15" hidden="false" customHeight="false" outlineLevel="0" collapsed="false">
      <c r="A115" s="7" t="s">
        <v>3140</v>
      </c>
      <c r="B115" s="8" t="n">
        <v>45625</v>
      </c>
      <c r="C115" s="7" t="s">
        <v>25</v>
      </c>
      <c r="D115" s="7" t="s">
        <v>68</v>
      </c>
      <c r="E115" s="7" t="s">
        <v>2959</v>
      </c>
      <c r="F115" s="7" t="s">
        <v>3141</v>
      </c>
      <c r="G115" s="7" t="n">
        <v>3</v>
      </c>
      <c r="H115" s="7" t="n">
        <v>2</v>
      </c>
      <c r="I115" s="7" t="n">
        <f aca="false">G115*H115</f>
        <v>6</v>
      </c>
      <c r="J115" s="7" t="s">
        <v>2987</v>
      </c>
      <c r="K115" s="7" t="s">
        <v>2953</v>
      </c>
      <c r="L115" s="7" t="s">
        <v>416</v>
      </c>
    </row>
    <row r="116" customFormat="false" ht="15" hidden="false" customHeight="false" outlineLevel="0" collapsed="false">
      <c r="A116" s="7" t="s">
        <v>3142</v>
      </c>
      <c r="B116" s="8" t="n">
        <v>45791</v>
      </c>
      <c r="C116" s="7" t="s">
        <v>31</v>
      </c>
      <c r="D116" s="7" t="s">
        <v>68</v>
      </c>
      <c r="E116" s="7" t="s">
        <v>2959</v>
      </c>
      <c r="F116" s="7" t="s">
        <v>3099</v>
      </c>
      <c r="G116" s="7" t="n">
        <v>5</v>
      </c>
      <c r="H116" s="7" t="n">
        <v>3</v>
      </c>
      <c r="I116" s="7" t="n">
        <f aca="false">G116*H116</f>
        <v>15</v>
      </c>
      <c r="J116" s="7" t="s">
        <v>2983</v>
      </c>
      <c r="K116" s="7" t="s">
        <v>2758</v>
      </c>
      <c r="L116" s="7" t="s">
        <v>436</v>
      </c>
    </row>
    <row r="117" customFormat="false" ht="15" hidden="false" customHeight="false" outlineLevel="0" collapsed="false">
      <c r="A117" s="7" t="s">
        <v>3143</v>
      </c>
      <c r="B117" s="8" t="n">
        <v>45976</v>
      </c>
      <c r="C117" s="7" t="s">
        <v>34</v>
      </c>
      <c r="D117" s="7" t="s">
        <v>65</v>
      </c>
      <c r="E117" s="7" t="s">
        <v>2955</v>
      </c>
      <c r="F117" s="7" t="s">
        <v>3137</v>
      </c>
      <c r="G117" s="7" t="n">
        <v>3</v>
      </c>
      <c r="H117" s="7" t="n">
        <v>5</v>
      </c>
      <c r="I117" s="7" t="n">
        <f aca="false">G117*H117</f>
        <v>15</v>
      </c>
      <c r="J117" s="7" t="s">
        <v>2987</v>
      </c>
      <c r="K117" s="7" t="s">
        <v>2953</v>
      </c>
      <c r="L117" s="7" t="s">
        <v>418</v>
      </c>
    </row>
    <row r="118" customFormat="false" ht="15" hidden="false" customHeight="false" outlineLevel="0" collapsed="false">
      <c r="A118" s="7" t="s">
        <v>3144</v>
      </c>
      <c r="B118" s="8" t="n">
        <v>45768</v>
      </c>
      <c r="C118" s="7" t="s">
        <v>40</v>
      </c>
      <c r="D118" s="7" t="s">
        <v>65</v>
      </c>
      <c r="E118" s="7" t="s">
        <v>2950</v>
      </c>
      <c r="F118" s="7" t="s">
        <v>3145</v>
      </c>
      <c r="G118" s="7" t="n">
        <v>2</v>
      </c>
      <c r="H118" s="7" t="n">
        <v>5</v>
      </c>
      <c r="I118" s="7" t="n">
        <f aca="false">G118*H118</f>
        <v>10</v>
      </c>
      <c r="J118" s="7" t="s">
        <v>2965</v>
      </c>
      <c r="K118" s="7" t="s">
        <v>2979</v>
      </c>
      <c r="L118" s="7" t="s">
        <v>426</v>
      </c>
    </row>
    <row r="119" customFormat="false" ht="15" hidden="false" customHeight="false" outlineLevel="0" collapsed="false">
      <c r="A119" s="7" t="s">
        <v>3146</v>
      </c>
      <c r="B119" s="8" t="n">
        <v>45809</v>
      </c>
      <c r="C119" s="7" t="s">
        <v>25</v>
      </c>
      <c r="D119" s="7" t="s">
        <v>60</v>
      </c>
      <c r="E119" s="7" t="s">
        <v>2967</v>
      </c>
      <c r="F119" s="7" t="s">
        <v>3025</v>
      </c>
      <c r="G119" s="7" t="n">
        <v>1</v>
      </c>
      <c r="H119" s="7" t="n">
        <v>2</v>
      </c>
      <c r="I119" s="7" t="n">
        <f aca="false">G119*H119</f>
        <v>2</v>
      </c>
      <c r="J119" s="7" t="s">
        <v>2952</v>
      </c>
      <c r="K119" s="7" t="s">
        <v>2758</v>
      </c>
      <c r="L119" s="7" t="s">
        <v>432</v>
      </c>
    </row>
    <row r="120" customFormat="false" ht="15" hidden="false" customHeight="false" outlineLevel="0" collapsed="false">
      <c r="A120" s="7" t="s">
        <v>3147</v>
      </c>
      <c r="B120" s="8" t="n">
        <v>45506</v>
      </c>
      <c r="C120" s="7" t="s">
        <v>49</v>
      </c>
      <c r="D120" s="7" t="s">
        <v>60</v>
      </c>
      <c r="E120" s="7" t="s">
        <v>2967</v>
      </c>
      <c r="F120" s="7" t="s">
        <v>3029</v>
      </c>
      <c r="G120" s="7" t="n">
        <v>2</v>
      </c>
      <c r="H120" s="7" t="n">
        <v>2</v>
      </c>
      <c r="I120" s="7" t="n">
        <f aca="false">G120*H120</f>
        <v>4</v>
      </c>
      <c r="J120" s="7" t="s">
        <v>2978</v>
      </c>
      <c r="K120" s="7" t="s">
        <v>2953</v>
      </c>
      <c r="L120" s="7" t="s">
        <v>414</v>
      </c>
    </row>
    <row r="121" customFormat="false" ht="15" hidden="false" customHeight="false" outlineLevel="0" collapsed="false">
      <c r="A121" s="7" t="s">
        <v>3148</v>
      </c>
      <c r="B121" s="8" t="n">
        <v>45821</v>
      </c>
      <c r="C121" s="7" t="s">
        <v>46</v>
      </c>
      <c r="D121" s="7" t="s">
        <v>75</v>
      </c>
      <c r="E121" s="7" t="s">
        <v>2967</v>
      </c>
      <c r="F121" s="7" t="s">
        <v>3019</v>
      </c>
      <c r="G121" s="7" t="n">
        <v>2</v>
      </c>
      <c r="H121" s="7" t="n">
        <v>1</v>
      </c>
      <c r="I121" s="7" t="n">
        <f aca="false">G121*H121</f>
        <v>2</v>
      </c>
      <c r="J121" s="7" t="s">
        <v>2987</v>
      </c>
      <c r="K121" s="7" t="s">
        <v>2758</v>
      </c>
      <c r="L121" s="7" t="s">
        <v>434</v>
      </c>
    </row>
    <row r="122" customFormat="false" ht="15" hidden="false" customHeight="false" outlineLevel="0" collapsed="false">
      <c r="A122" s="7" t="s">
        <v>3149</v>
      </c>
      <c r="B122" s="8" t="n">
        <v>45319</v>
      </c>
      <c r="C122" s="7" t="s">
        <v>46</v>
      </c>
      <c r="D122" s="7" t="s">
        <v>79</v>
      </c>
      <c r="E122" s="7" t="s">
        <v>2950</v>
      </c>
      <c r="F122" s="7" t="s">
        <v>3015</v>
      </c>
      <c r="G122" s="7" t="n">
        <v>5</v>
      </c>
      <c r="H122" s="7" t="n">
        <v>5</v>
      </c>
      <c r="I122" s="7" t="n">
        <f aca="false">G122*H122</f>
        <v>25</v>
      </c>
      <c r="J122" s="7" t="s">
        <v>2961</v>
      </c>
      <c r="K122" s="7" t="s">
        <v>2953</v>
      </c>
      <c r="L122" s="7" t="s">
        <v>418</v>
      </c>
    </row>
    <row r="123" customFormat="false" ht="15" hidden="false" customHeight="false" outlineLevel="0" collapsed="false">
      <c r="A123" s="7" t="s">
        <v>3150</v>
      </c>
      <c r="B123" s="8" t="n">
        <v>45881</v>
      </c>
      <c r="C123" s="7" t="s">
        <v>37</v>
      </c>
      <c r="D123" s="7" t="s">
        <v>83</v>
      </c>
      <c r="E123" s="7" t="s">
        <v>2955</v>
      </c>
      <c r="F123" s="7" t="s">
        <v>3151</v>
      </c>
      <c r="G123" s="7" t="n">
        <v>2</v>
      </c>
      <c r="H123" s="7" t="n">
        <v>3</v>
      </c>
      <c r="I123" s="7" t="n">
        <f aca="false">G123*H123</f>
        <v>6</v>
      </c>
      <c r="J123" s="7" t="s">
        <v>2983</v>
      </c>
      <c r="K123" s="7" t="s">
        <v>2758</v>
      </c>
      <c r="L123" s="7" t="s">
        <v>424</v>
      </c>
    </row>
    <row r="124" customFormat="false" ht="15" hidden="false" customHeight="false" outlineLevel="0" collapsed="false">
      <c r="A124" s="7" t="s">
        <v>3152</v>
      </c>
      <c r="B124" s="8" t="n">
        <v>45400</v>
      </c>
      <c r="C124" s="7" t="s">
        <v>52</v>
      </c>
      <c r="D124" s="7" t="s">
        <v>65</v>
      </c>
      <c r="E124" s="7" t="s">
        <v>2976</v>
      </c>
      <c r="F124" s="7" t="s">
        <v>3009</v>
      </c>
      <c r="G124" s="7" t="n">
        <v>4</v>
      </c>
      <c r="H124" s="7" t="n">
        <v>5</v>
      </c>
      <c r="I124" s="7" t="n">
        <f aca="false">G124*H124</f>
        <v>20</v>
      </c>
      <c r="J124" s="7" t="s">
        <v>2965</v>
      </c>
      <c r="K124" s="7" t="s">
        <v>2953</v>
      </c>
      <c r="L124" s="7" t="s">
        <v>434</v>
      </c>
    </row>
    <row r="125" customFormat="false" ht="15" hidden="false" customHeight="false" outlineLevel="0" collapsed="false">
      <c r="A125" s="7" t="s">
        <v>3153</v>
      </c>
      <c r="B125" s="8" t="n">
        <v>45367</v>
      </c>
      <c r="C125" s="7" t="s">
        <v>52</v>
      </c>
      <c r="D125" s="7" t="s">
        <v>68</v>
      </c>
      <c r="E125" s="7" t="s">
        <v>2950</v>
      </c>
      <c r="F125" s="7" t="s">
        <v>2972</v>
      </c>
      <c r="G125" s="7" t="n">
        <v>1</v>
      </c>
      <c r="H125" s="7" t="n">
        <v>1</v>
      </c>
      <c r="I125" s="7" t="n">
        <f aca="false">G125*H125</f>
        <v>1</v>
      </c>
      <c r="J125" s="7" t="s">
        <v>2952</v>
      </c>
      <c r="K125" s="7" t="s">
        <v>2758</v>
      </c>
      <c r="L125" s="7" t="s">
        <v>429</v>
      </c>
    </row>
    <row r="126" customFormat="false" ht="15" hidden="false" customHeight="false" outlineLevel="0" collapsed="false">
      <c r="A126" s="7" t="s">
        <v>3154</v>
      </c>
      <c r="B126" s="8" t="n">
        <v>45437</v>
      </c>
      <c r="C126" s="7" t="s">
        <v>49</v>
      </c>
      <c r="D126" s="7" t="s">
        <v>65</v>
      </c>
      <c r="E126" s="7" t="s">
        <v>2994</v>
      </c>
      <c r="F126" s="7" t="s">
        <v>3000</v>
      </c>
      <c r="G126" s="7" t="n">
        <v>3</v>
      </c>
      <c r="H126" s="7" t="n">
        <v>5</v>
      </c>
      <c r="I126" s="7" t="n">
        <f aca="false">G126*H126</f>
        <v>15</v>
      </c>
      <c r="J126" s="7" t="s">
        <v>2978</v>
      </c>
      <c r="K126" s="7" t="s">
        <v>2979</v>
      </c>
      <c r="L126" s="7" t="s">
        <v>422</v>
      </c>
    </row>
    <row r="127" customFormat="false" ht="15" hidden="false" customHeight="false" outlineLevel="0" collapsed="false">
      <c r="A127" s="7" t="s">
        <v>3155</v>
      </c>
      <c r="B127" s="8" t="n">
        <v>45349</v>
      </c>
      <c r="C127" s="7" t="s">
        <v>49</v>
      </c>
      <c r="D127" s="7" t="s">
        <v>60</v>
      </c>
      <c r="E127" s="7" t="s">
        <v>2963</v>
      </c>
      <c r="F127" s="7" t="s">
        <v>2985</v>
      </c>
      <c r="G127" s="7" t="n">
        <v>5</v>
      </c>
      <c r="H127" s="7" t="n">
        <v>3</v>
      </c>
      <c r="I127" s="7" t="n">
        <f aca="false">G127*H127</f>
        <v>15</v>
      </c>
      <c r="J127" s="7" t="s">
        <v>2983</v>
      </c>
      <c r="K127" s="7" t="s">
        <v>2953</v>
      </c>
      <c r="L127" s="7" t="s">
        <v>418</v>
      </c>
    </row>
    <row r="128" customFormat="false" ht="15" hidden="false" customHeight="false" outlineLevel="0" collapsed="false">
      <c r="A128" s="7" t="s">
        <v>3156</v>
      </c>
      <c r="B128" s="8" t="n">
        <v>45819</v>
      </c>
      <c r="C128" s="7" t="s">
        <v>34</v>
      </c>
      <c r="D128" s="7" t="s">
        <v>83</v>
      </c>
      <c r="E128" s="7" t="s">
        <v>2959</v>
      </c>
      <c r="F128" s="7" t="s">
        <v>2974</v>
      </c>
      <c r="G128" s="7" t="n">
        <v>5</v>
      </c>
      <c r="H128" s="7" t="n">
        <v>1</v>
      </c>
      <c r="I128" s="7" t="n">
        <f aca="false">G128*H128</f>
        <v>5</v>
      </c>
      <c r="J128" s="7" t="s">
        <v>2978</v>
      </c>
      <c r="K128" s="7" t="s">
        <v>2979</v>
      </c>
      <c r="L128" s="7" t="s">
        <v>418</v>
      </c>
    </row>
    <row r="129" customFormat="false" ht="15" hidden="false" customHeight="false" outlineLevel="0" collapsed="false">
      <c r="A129" s="7" t="s">
        <v>3157</v>
      </c>
      <c r="B129" s="8" t="n">
        <v>45305</v>
      </c>
      <c r="C129" s="7" t="s">
        <v>43</v>
      </c>
      <c r="D129" s="7" t="s">
        <v>68</v>
      </c>
      <c r="E129" s="7" t="s">
        <v>2976</v>
      </c>
      <c r="F129" s="7" t="s">
        <v>2977</v>
      </c>
      <c r="G129" s="7" t="n">
        <v>1</v>
      </c>
      <c r="H129" s="7" t="n">
        <v>1</v>
      </c>
      <c r="I129" s="7" t="n">
        <f aca="false">G129*H129</f>
        <v>1</v>
      </c>
      <c r="J129" s="7" t="s">
        <v>2965</v>
      </c>
      <c r="K129" s="7" t="s">
        <v>2953</v>
      </c>
      <c r="L129" s="7" t="s">
        <v>436</v>
      </c>
    </row>
    <row r="130" customFormat="false" ht="15" hidden="false" customHeight="false" outlineLevel="0" collapsed="false">
      <c r="A130" s="7" t="s">
        <v>3158</v>
      </c>
      <c r="B130" s="8" t="n">
        <v>46005</v>
      </c>
      <c r="C130" s="7" t="s">
        <v>31</v>
      </c>
      <c r="D130" s="7" t="s">
        <v>71</v>
      </c>
      <c r="E130" s="7" t="s">
        <v>2959</v>
      </c>
      <c r="F130" s="7" t="s">
        <v>3099</v>
      </c>
      <c r="G130" s="7" t="n">
        <v>3</v>
      </c>
      <c r="H130" s="7" t="n">
        <v>1</v>
      </c>
      <c r="I130" s="7" t="n">
        <f aca="false">G130*H130</f>
        <v>3</v>
      </c>
      <c r="J130" s="7" t="s">
        <v>2987</v>
      </c>
      <c r="K130" s="7" t="s">
        <v>2979</v>
      </c>
      <c r="L130" s="7" t="s">
        <v>420</v>
      </c>
    </row>
    <row r="131" customFormat="false" ht="15" hidden="false" customHeight="false" outlineLevel="0" collapsed="false">
      <c r="A131" s="7" t="s">
        <v>3159</v>
      </c>
      <c r="B131" s="8" t="n">
        <v>45935</v>
      </c>
      <c r="C131" s="7" t="s">
        <v>49</v>
      </c>
      <c r="D131" s="7" t="s">
        <v>75</v>
      </c>
      <c r="E131" s="7" t="s">
        <v>3002</v>
      </c>
      <c r="F131" s="7" t="s">
        <v>3081</v>
      </c>
      <c r="G131" s="7" t="n">
        <v>1</v>
      </c>
      <c r="H131" s="7" t="n">
        <v>2</v>
      </c>
      <c r="I131" s="7" t="n">
        <f aca="false">G131*H131</f>
        <v>2</v>
      </c>
      <c r="J131" s="7" t="s">
        <v>2957</v>
      </c>
      <c r="K131" s="7" t="s">
        <v>2953</v>
      </c>
      <c r="L131" s="7" t="s">
        <v>420</v>
      </c>
    </row>
    <row r="132" customFormat="false" ht="15" hidden="false" customHeight="false" outlineLevel="0" collapsed="false">
      <c r="A132" s="7" t="s">
        <v>3160</v>
      </c>
      <c r="B132" s="8" t="n">
        <v>45315</v>
      </c>
      <c r="C132" s="7" t="s">
        <v>49</v>
      </c>
      <c r="D132" s="7" t="s">
        <v>79</v>
      </c>
      <c r="E132" s="7" t="s">
        <v>2967</v>
      </c>
      <c r="F132" s="7" t="s">
        <v>3029</v>
      </c>
      <c r="G132" s="7" t="n">
        <v>2</v>
      </c>
      <c r="H132" s="7" t="n">
        <v>4</v>
      </c>
      <c r="I132" s="7" t="n">
        <f aca="false">G132*H132</f>
        <v>8</v>
      </c>
      <c r="J132" s="7" t="s">
        <v>2978</v>
      </c>
      <c r="K132" s="7" t="s">
        <v>2953</v>
      </c>
      <c r="L132" s="7" t="s">
        <v>422</v>
      </c>
    </row>
    <row r="133" customFormat="false" ht="15" hidden="false" customHeight="false" outlineLevel="0" collapsed="false">
      <c r="A133" s="7" t="s">
        <v>3161</v>
      </c>
      <c r="B133" s="8" t="n">
        <v>45810</v>
      </c>
      <c r="C133" s="7" t="s">
        <v>43</v>
      </c>
      <c r="D133" s="7" t="s">
        <v>75</v>
      </c>
      <c r="E133" s="7" t="s">
        <v>2967</v>
      </c>
      <c r="F133" s="7" t="s">
        <v>3092</v>
      </c>
      <c r="G133" s="7" t="n">
        <v>1</v>
      </c>
      <c r="H133" s="7" t="n">
        <v>5</v>
      </c>
      <c r="I133" s="7" t="n">
        <f aca="false">G133*H133</f>
        <v>5</v>
      </c>
      <c r="J133" s="7" t="s">
        <v>2987</v>
      </c>
      <c r="K133" s="7" t="s">
        <v>2953</v>
      </c>
      <c r="L133" s="7" t="s">
        <v>426</v>
      </c>
    </row>
    <row r="134" customFormat="false" ht="15" hidden="false" customHeight="false" outlineLevel="0" collapsed="false">
      <c r="A134" s="7" t="s">
        <v>3162</v>
      </c>
      <c r="B134" s="8" t="n">
        <v>45688</v>
      </c>
      <c r="C134" s="7" t="s">
        <v>25</v>
      </c>
      <c r="D134" s="7" t="s">
        <v>79</v>
      </c>
      <c r="E134" s="7" t="s">
        <v>2994</v>
      </c>
      <c r="F134" s="7" t="s">
        <v>2995</v>
      </c>
      <c r="G134" s="7" t="n">
        <v>4</v>
      </c>
      <c r="H134" s="7" t="n">
        <v>3</v>
      </c>
      <c r="I134" s="7" t="n">
        <f aca="false">G134*H134</f>
        <v>12</v>
      </c>
      <c r="J134" s="7" t="s">
        <v>2952</v>
      </c>
      <c r="K134" s="7" t="s">
        <v>2758</v>
      </c>
      <c r="L134" s="7" t="s">
        <v>429</v>
      </c>
    </row>
    <row r="135" customFormat="false" ht="15" hidden="false" customHeight="false" outlineLevel="0" collapsed="false">
      <c r="A135" s="7" t="s">
        <v>3163</v>
      </c>
      <c r="B135" s="8" t="n">
        <v>45918</v>
      </c>
      <c r="C135" s="7" t="s">
        <v>25</v>
      </c>
      <c r="D135" s="7" t="s">
        <v>60</v>
      </c>
      <c r="E135" s="7" t="s">
        <v>2955</v>
      </c>
      <c r="F135" s="7" t="s">
        <v>3164</v>
      </c>
      <c r="G135" s="7" t="n">
        <v>5</v>
      </c>
      <c r="H135" s="7" t="n">
        <v>2</v>
      </c>
      <c r="I135" s="7" t="n">
        <f aca="false">G135*H135</f>
        <v>10</v>
      </c>
      <c r="J135" s="7" t="s">
        <v>2978</v>
      </c>
      <c r="K135" s="7" t="s">
        <v>2979</v>
      </c>
      <c r="L135" s="7" t="s">
        <v>426</v>
      </c>
    </row>
    <row r="136" customFormat="false" ht="15" hidden="false" customHeight="false" outlineLevel="0" collapsed="false">
      <c r="A136" s="7" t="s">
        <v>3165</v>
      </c>
      <c r="B136" s="8" t="n">
        <v>45376</v>
      </c>
      <c r="C136" s="7" t="s">
        <v>43</v>
      </c>
      <c r="D136" s="7" t="s">
        <v>83</v>
      </c>
      <c r="E136" s="7" t="s">
        <v>2994</v>
      </c>
      <c r="F136" s="7" t="s">
        <v>3166</v>
      </c>
      <c r="G136" s="7" t="n">
        <v>5</v>
      </c>
      <c r="H136" s="7" t="n">
        <v>2</v>
      </c>
      <c r="I136" s="7" t="n">
        <f aca="false">G136*H136</f>
        <v>10</v>
      </c>
      <c r="J136" s="7" t="s">
        <v>2961</v>
      </c>
      <c r="K136" s="7" t="s">
        <v>2758</v>
      </c>
      <c r="L136" s="7" t="s">
        <v>416</v>
      </c>
    </row>
    <row r="137" customFormat="false" ht="15" hidden="false" customHeight="false" outlineLevel="0" collapsed="false">
      <c r="A137" s="7" t="s">
        <v>3167</v>
      </c>
      <c r="B137" s="8" t="n">
        <v>45542</v>
      </c>
      <c r="C137" s="7" t="s">
        <v>34</v>
      </c>
      <c r="D137" s="7" t="s">
        <v>75</v>
      </c>
      <c r="E137" s="7" t="s">
        <v>2994</v>
      </c>
      <c r="F137" s="7" t="s">
        <v>3059</v>
      </c>
      <c r="G137" s="7" t="n">
        <v>3</v>
      </c>
      <c r="H137" s="7" t="n">
        <v>3</v>
      </c>
      <c r="I137" s="7" t="n">
        <f aca="false">G137*H137</f>
        <v>9</v>
      </c>
      <c r="J137" s="7" t="s">
        <v>2957</v>
      </c>
      <c r="K137" s="7" t="s">
        <v>2979</v>
      </c>
      <c r="L137" s="7" t="s">
        <v>424</v>
      </c>
    </row>
    <row r="138" customFormat="false" ht="15" hidden="false" customHeight="false" outlineLevel="0" collapsed="false">
      <c r="A138" s="7" t="s">
        <v>3168</v>
      </c>
      <c r="B138" s="8" t="n">
        <v>45673</v>
      </c>
      <c r="C138" s="7" t="s">
        <v>25</v>
      </c>
      <c r="D138" s="7" t="s">
        <v>68</v>
      </c>
      <c r="E138" s="7" t="s">
        <v>2963</v>
      </c>
      <c r="F138" s="7" t="s">
        <v>3011</v>
      </c>
      <c r="G138" s="7" t="n">
        <v>2</v>
      </c>
      <c r="H138" s="7" t="n">
        <v>5</v>
      </c>
      <c r="I138" s="7" t="n">
        <f aca="false">G138*H138</f>
        <v>10</v>
      </c>
      <c r="J138" s="7" t="s">
        <v>2952</v>
      </c>
      <c r="K138" s="7" t="s">
        <v>2758</v>
      </c>
      <c r="L138" s="7" t="s">
        <v>431</v>
      </c>
    </row>
    <row r="139" customFormat="false" ht="15" hidden="false" customHeight="false" outlineLevel="0" collapsed="false">
      <c r="A139" s="7" t="s">
        <v>3169</v>
      </c>
      <c r="B139" s="8" t="n">
        <v>45459</v>
      </c>
      <c r="C139" s="7" t="s">
        <v>37</v>
      </c>
      <c r="D139" s="7" t="s">
        <v>65</v>
      </c>
      <c r="E139" s="7" t="s">
        <v>2976</v>
      </c>
      <c r="F139" s="7" t="s">
        <v>3021</v>
      </c>
      <c r="G139" s="7" t="n">
        <v>3</v>
      </c>
      <c r="H139" s="7" t="n">
        <v>4</v>
      </c>
      <c r="I139" s="7" t="n">
        <f aca="false">G139*H139</f>
        <v>12</v>
      </c>
      <c r="J139" s="7" t="s">
        <v>2965</v>
      </c>
      <c r="K139" s="7" t="s">
        <v>2758</v>
      </c>
      <c r="L139" s="7" t="s">
        <v>420</v>
      </c>
    </row>
    <row r="140" customFormat="false" ht="15" hidden="false" customHeight="false" outlineLevel="0" collapsed="false">
      <c r="A140" s="7" t="s">
        <v>3170</v>
      </c>
      <c r="B140" s="8" t="n">
        <v>45951</v>
      </c>
      <c r="C140" s="7" t="s">
        <v>46</v>
      </c>
      <c r="D140" s="7" t="s">
        <v>60</v>
      </c>
      <c r="E140" s="7" t="s">
        <v>2967</v>
      </c>
      <c r="F140" s="7" t="s">
        <v>3019</v>
      </c>
      <c r="G140" s="7" t="n">
        <v>4</v>
      </c>
      <c r="H140" s="7" t="n">
        <v>5</v>
      </c>
      <c r="I140" s="7" t="n">
        <f aca="false">G140*H140</f>
        <v>20</v>
      </c>
      <c r="J140" s="7" t="s">
        <v>2965</v>
      </c>
      <c r="K140" s="7" t="s">
        <v>2979</v>
      </c>
      <c r="L140" s="7" t="s">
        <v>418</v>
      </c>
    </row>
    <row r="141" customFormat="false" ht="15" hidden="false" customHeight="false" outlineLevel="0" collapsed="false">
      <c r="A141" s="7" t="s">
        <v>3171</v>
      </c>
      <c r="B141" s="8" t="n">
        <v>45878</v>
      </c>
      <c r="C141" s="7" t="s">
        <v>49</v>
      </c>
      <c r="D141" s="7" t="s">
        <v>65</v>
      </c>
      <c r="E141" s="7" t="s">
        <v>2976</v>
      </c>
      <c r="F141" s="7" t="s">
        <v>3050</v>
      </c>
      <c r="G141" s="7" t="n">
        <v>5</v>
      </c>
      <c r="H141" s="7" t="n">
        <v>1</v>
      </c>
      <c r="I141" s="7" t="n">
        <f aca="false">G141*H141</f>
        <v>5</v>
      </c>
      <c r="J141" s="7" t="s">
        <v>2983</v>
      </c>
      <c r="K141" s="7" t="s">
        <v>2953</v>
      </c>
      <c r="L141" s="7" t="s">
        <v>432</v>
      </c>
    </row>
    <row r="142" customFormat="false" ht="15" hidden="false" customHeight="false" outlineLevel="0" collapsed="false">
      <c r="A142" s="7" t="s">
        <v>3172</v>
      </c>
      <c r="B142" s="8" t="n">
        <v>45472</v>
      </c>
      <c r="C142" s="7" t="s">
        <v>40</v>
      </c>
      <c r="D142" s="7" t="s">
        <v>65</v>
      </c>
      <c r="E142" s="7" t="s">
        <v>2959</v>
      </c>
      <c r="F142" s="7" t="s">
        <v>2997</v>
      </c>
      <c r="G142" s="7" t="n">
        <v>5</v>
      </c>
      <c r="H142" s="7" t="n">
        <v>4</v>
      </c>
      <c r="I142" s="7" t="n">
        <f aca="false">G142*H142</f>
        <v>20</v>
      </c>
      <c r="J142" s="7" t="s">
        <v>2957</v>
      </c>
      <c r="K142" s="7" t="s">
        <v>2953</v>
      </c>
      <c r="L142" s="7" t="s">
        <v>429</v>
      </c>
    </row>
    <row r="143" customFormat="false" ht="15" hidden="false" customHeight="false" outlineLevel="0" collapsed="false">
      <c r="A143" s="7" t="s">
        <v>3173</v>
      </c>
      <c r="B143" s="8" t="n">
        <v>45371</v>
      </c>
      <c r="C143" s="7" t="s">
        <v>25</v>
      </c>
      <c r="D143" s="7" t="s">
        <v>60</v>
      </c>
      <c r="E143" s="7" t="s">
        <v>2967</v>
      </c>
      <c r="F143" s="7" t="s">
        <v>3025</v>
      </c>
      <c r="G143" s="7" t="n">
        <v>3</v>
      </c>
      <c r="H143" s="7" t="n">
        <v>2</v>
      </c>
      <c r="I143" s="7" t="n">
        <f aca="false">G143*H143</f>
        <v>6</v>
      </c>
      <c r="J143" s="7" t="s">
        <v>2961</v>
      </c>
      <c r="K143" s="7" t="s">
        <v>2758</v>
      </c>
      <c r="L143" s="7" t="s">
        <v>441</v>
      </c>
    </row>
    <row r="144" customFormat="false" ht="15" hidden="false" customHeight="false" outlineLevel="0" collapsed="false">
      <c r="A144" s="7" t="s">
        <v>3174</v>
      </c>
      <c r="B144" s="8" t="n">
        <v>45428</v>
      </c>
      <c r="C144" s="7" t="s">
        <v>25</v>
      </c>
      <c r="D144" s="7" t="s">
        <v>87</v>
      </c>
      <c r="E144" s="7" t="s">
        <v>2950</v>
      </c>
      <c r="F144" s="7" t="s">
        <v>3175</v>
      </c>
      <c r="G144" s="7" t="n">
        <v>5</v>
      </c>
      <c r="H144" s="7" t="n">
        <v>1</v>
      </c>
      <c r="I144" s="7" t="n">
        <f aca="false">G144*H144</f>
        <v>5</v>
      </c>
      <c r="J144" s="7" t="s">
        <v>2965</v>
      </c>
      <c r="K144" s="7" t="s">
        <v>2953</v>
      </c>
      <c r="L144" s="7" t="s">
        <v>422</v>
      </c>
    </row>
    <row r="145" customFormat="false" ht="15" hidden="false" customHeight="false" outlineLevel="0" collapsed="false">
      <c r="A145" s="7" t="s">
        <v>3176</v>
      </c>
      <c r="B145" s="8" t="n">
        <v>45890</v>
      </c>
      <c r="C145" s="7" t="s">
        <v>31</v>
      </c>
      <c r="D145" s="7" t="s">
        <v>87</v>
      </c>
      <c r="E145" s="7" t="s">
        <v>2963</v>
      </c>
      <c r="F145" s="7" t="s">
        <v>3013</v>
      </c>
      <c r="G145" s="7" t="n">
        <v>1</v>
      </c>
      <c r="H145" s="7" t="n">
        <v>3</v>
      </c>
      <c r="I145" s="7" t="n">
        <f aca="false">G145*H145</f>
        <v>3</v>
      </c>
      <c r="J145" s="7" t="s">
        <v>2961</v>
      </c>
      <c r="K145" s="7" t="s">
        <v>2953</v>
      </c>
      <c r="L145" s="7" t="s">
        <v>420</v>
      </c>
    </row>
    <row r="146" customFormat="false" ht="15" hidden="false" customHeight="false" outlineLevel="0" collapsed="false">
      <c r="A146" s="7" t="s">
        <v>3177</v>
      </c>
      <c r="B146" s="8" t="n">
        <v>45823</v>
      </c>
      <c r="C146" s="7" t="s">
        <v>49</v>
      </c>
      <c r="D146" s="7" t="s">
        <v>75</v>
      </c>
      <c r="E146" s="7" t="s">
        <v>2955</v>
      </c>
      <c r="F146" s="7" t="s">
        <v>3075</v>
      </c>
      <c r="G146" s="7" t="n">
        <v>5</v>
      </c>
      <c r="H146" s="7" t="n">
        <v>5</v>
      </c>
      <c r="I146" s="7" t="n">
        <f aca="false">G146*H146</f>
        <v>25</v>
      </c>
      <c r="J146" s="7" t="s">
        <v>2952</v>
      </c>
      <c r="K146" s="7" t="s">
        <v>2758</v>
      </c>
      <c r="L146" s="7" t="s">
        <v>414</v>
      </c>
    </row>
    <row r="147" customFormat="false" ht="15" hidden="false" customHeight="false" outlineLevel="0" collapsed="false">
      <c r="A147" s="7" t="s">
        <v>3178</v>
      </c>
      <c r="B147" s="8" t="n">
        <v>45799</v>
      </c>
      <c r="C147" s="7" t="s">
        <v>25</v>
      </c>
      <c r="D147" s="7" t="s">
        <v>71</v>
      </c>
      <c r="E147" s="7" t="s">
        <v>2976</v>
      </c>
      <c r="F147" s="7" t="s">
        <v>3179</v>
      </c>
      <c r="G147" s="7" t="n">
        <v>2</v>
      </c>
      <c r="H147" s="7" t="n">
        <v>5</v>
      </c>
      <c r="I147" s="7" t="n">
        <f aca="false">G147*H147</f>
        <v>10</v>
      </c>
      <c r="J147" s="7" t="s">
        <v>2952</v>
      </c>
      <c r="K147" s="7" t="s">
        <v>2953</v>
      </c>
      <c r="L147" s="7" t="s">
        <v>420</v>
      </c>
    </row>
    <row r="148" customFormat="false" ht="15" hidden="false" customHeight="false" outlineLevel="0" collapsed="false">
      <c r="A148" s="7" t="s">
        <v>3180</v>
      </c>
      <c r="B148" s="8" t="n">
        <v>45542</v>
      </c>
      <c r="C148" s="7" t="s">
        <v>31</v>
      </c>
      <c r="D148" s="7" t="s">
        <v>65</v>
      </c>
      <c r="E148" s="7" t="s">
        <v>2959</v>
      </c>
      <c r="F148" s="7" t="s">
        <v>3099</v>
      </c>
      <c r="G148" s="7" t="n">
        <v>1</v>
      </c>
      <c r="H148" s="7" t="n">
        <v>2</v>
      </c>
      <c r="I148" s="7" t="n">
        <f aca="false">G148*H148</f>
        <v>2</v>
      </c>
      <c r="J148" s="7" t="s">
        <v>2983</v>
      </c>
      <c r="K148" s="7" t="s">
        <v>2979</v>
      </c>
      <c r="L148" s="7" t="s">
        <v>432</v>
      </c>
    </row>
    <row r="149" customFormat="false" ht="15" hidden="false" customHeight="false" outlineLevel="0" collapsed="false">
      <c r="A149" s="7" t="s">
        <v>3181</v>
      </c>
      <c r="B149" s="8" t="n">
        <v>45539</v>
      </c>
      <c r="C149" s="7" t="s">
        <v>43</v>
      </c>
      <c r="D149" s="7" t="s">
        <v>65</v>
      </c>
      <c r="E149" s="7" t="s">
        <v>3002</v>
      </c>
      <c r="F149" s="7" t="s">
        <v>3023</v>
      </c>
      <c r="G149" s="7" t="n">
        <v>3</v>
      </c>
      <c r="H149" s="7" t="n">
        <v>2</v>
      </c>
      <c r="I149" s="7" t="n">
        <f aca="false">G149*H149</f>
        <v>6</v>
      </c>
      <c r="J149" s="7" t="s">
        <v>2961</v>
      </c>
      <c r="K149" s="7" t="s">
        <v>2758</v>
      </c>
      <c r="L149" s="7" t="s">
        <v>428</v>
      </c>
    </row>
    <row r="150" customFormat="false" ht="15" hidden="false" customHeight="false" outlineLevel="0" collapsed="false">
      <c r="A150" s="7" t="s">
        <v>3182</v>
      </c>
      <c r="B150" s="8" t="n">
        <v>45490</v>
      </c>
      <c r="C150" s="7" t="s">
        <v>52</v>
      </c>
      <c r="D150" s="7" t="s">
        <v>75</v>
      </c>
      <c r="E150" s="7" t="s">
        <v>2955</v>
      </c>
      <c r="F150" s="7" t="s">
        <v>3007</v>
      </c>
      <c r="G150" s="7" t="n">
        <v>4</v>
      </c>
      <c r="H150" s="7" t="n">
        <v>1</v>
      </c>
      <c r="I150" s="7" t="n">
        <f aca="false">G150*H150</f>
        <v>4</v>
      </c>
      <c r="J150" s="7" t="s">
        <v>2978</v>
      </c>
      <c r="K150" s="7" t="s">
        <v>2758</v>
      </c>
      <c r="L150" s="7" t="s">
        <v>422</v>
      </c>
    </row>
    <row r="151" customFormat="false" ht="15" hidden="false" customHeight="false" outlineLevel="0" collapsed="false">
      <c r="A151" s="7" t="s">
        <v>3183</v>
      </c>
      <c r="B151" s="8" t="n">
        <v>45583</v>
      </c>
      <c r="C151" s="7" t="s">
        <v>43</v>
      </c>
      <c r="D151" s="7" t="s">
        <v>79</v>
      </c>
      <c r="E151" s="7" t="s">
        <v>2967</v>
      </c>
      <c r="F151" s="7" t="s">
        <v>3092</v>
      </c>
      <c r="G151" s="7" t="n">
        <v>5</v>
      </c>
      <c r="H151" s="7" t="n">
        <v>3</v>
      </c>
      <c r="I151" s="7" t="n">
        <f aca="false">G151*H151</f>
        <v>15</v>
      </c>
      <c r="J151" s="7" t="s">
        <v>2983</v>
      </c>
      <c r="K151" s="7" t="s">
        <v>2979</v>
      </c>
      <c r="L151" s="7" t="s">
        <v>416</v>
      </c>
    </row>
    <row r="152" customFormat="false" ht="15" hidden="false" customHeight="false" outlineLevel="0" collapsed="false">
      <c r="A152" s="7" t="s">
        <v>3184</v>
      </c>
      <c r="B152" s="8" t="n">
        <v>45585</v>
      </c>
      <c r="C152" s="7" t="s">
        <v>40</v>
      </c>
      <c r="D152" s="7" t="s">
        <v>75</v>
      </c>
      <c r="E152" s="7" t="s">
        <v>2950</v>
      </c>
      <c r="F152" s="7" t="s">
        <v>3145</v>
      </c>
      <c r="G152" s="7" t="n">
        <v>5</v>
      </c>
      <c r="H152" s="7" t="n">
        <v>3</v>
      </c>
      <c r="I152" s="7" t="n">
        <f aca="false">G152*H152</f>
        <v>15</v>
      </c>
      <c r="J152" s="7" t="s">
        <v>2987</v>
      </c>
      <c r="K152" s="7" t="s">
        <v>2953</v>
      </c>
      <c r="L152" s="7" t="s">
        <v>418</v>
      </c>
    </row>
    <row r="153" customFormat="false" ht="15" hidden="false" customHeight="false" outlineLevel="0" collapsed="false">
      <c r="A153" s="7" t="s">
        <v>3185</v>
      </c>
      <c r="B153" s="8" t="n">
        <v>45880</v>
      </c>
      <c r="C153" s="7" t="s">
        <v>52</v>
      </c>
      <c r="D153" s="7" t="s">
        <v>65</v>
      </c>
      <c r="E153" s="7" t="s">
        <v>2976</v>
      </c>
      <c r="F153" s="7" t="s">
        <v>3009</v>
      </c>
      <c r="G153" s="7" t="n">
        <v>3</v>
      </c>
      <c r="H153" s="7" t="n">
        <v>4</v>
      </c>
      <c r="I153" s="7" t="n">
        <f aca="false">G153*H153</f>
        <v>12</v>
      </c>
      <c r="J153" s="7" t="s">
        <v>2957</v>
      </c>
      <c r="K153" s="7" t="s">
        <v>2953</v>
      </c>
      <c r="L153" s="7" t="s">
        <v>420</v>
      </c>
    </row>
    <row r="154" customFormat="false" ht="15" hidden="false" customHeight="false" outlineLevel="0" collapsed="false">
      <c r="A154" s="7" t="s">
        <v>3186</v>
      </c>
      <c r="B154" s="8" t="n">
        <v>45710</v>
      </c>
      <c r="C154" s="7" t="s">
        <v>34</v>
      </c>
      <c r="D154" s="7" t="s">
        <v>60</v>
      </c>
      <c r="E154" s="7" t="s">
        <v>2994</v>
      </c>
      <c r="F154" s="7" t="s">
        <v>3059</v>
      </c>
      <c r="G154" s="7" t="n">
        <v>4</v>
      </c>
      <c r="H154" s="7" t="n">
        <v>4</v>
      </c>
      <c r="I154" s="7" t="n">
        <f aca="false">G154*H154</f>
        <v>16</v>
      </c>
      <c r="J154" s="7" t="s">
        <v>2957</v>
      </c>
      <c r="K154" s="7" t="s">
        <v>2953</v>
      </c>
      <c r="L154" s="7" t="s">
        <v>422</v>
      </c>
    </row>
    <row r="155" customFormat="false" ht="15" hidden="false" customHeight="false" outlineLevel="0" collapsed="false">
      <c r="A155" s="7" t="s">
        <v>3187</v>
      </c>
      <c r="B155" s="8" t="n">
        <v>45648</v>
      </c>
      <c r="C155" s="7" t="s">
        <v>49</v>
      </c>
      <c r="D155" s="7" t="s">
        <v>83</v>
      </c>
      <c r="E155" s="7" t="s">
        <v>3002</v>
      </c>
      <c r="F155" s="7" t="s">
        <v>3081</v>
      </c>
      <c r="G155" s="7" t="n">
        <v>5</v>
      </c>
      <c r="H155" s="7" t="n">
        <v>4</v>
      </c>
      <c r="I155" s="7" t="n">
        <f aca="false">G155*H155</f>
        <v>20</v>
      </c>
      <c r="J155" s="7" t="s">
        <v>2952</v>
      </c>
      <c r="K155" s="7" t="s">
        <v>2953</v>
      </c>
      <c r="L155" s="7" t="s">
        <v>436</v>
      </c>
    </row>
    <row r="156" customFormat="false" ht="15" hidden="false" customHeight="false" outlineLevel="0" collapsed="false">
      <c r="A156" s="7" t="s">
        <v>3188</v>
      </c>
      <c r="B156" s="8" t="n">
        <v>45721</v>
      </c>
      <c r="C156" s="7" t="s">
        <v>34</v>
      </c>
      <c r="D156" s="7" t="s">
        <v>65</v>
      </c>
      <c r="E156" s="7" t="s">
        <v>2959</v>
      </c>
      <c r="F156" s="7" t="s">
        <v>2974</v>
      </c>
      <c r="G156" s="7" t="n">
        <v>1</v>
      </c>
      <c r="H156" s="7" t="n">
        <v>1</v>
      </c>
      <c r="I156" s="7" t="n">
        <f aca="false">G156*H156</f>
        <v>1</v>
      </c>
      <c r="J156" s="7" t="s">
        <v>2965</v>
      </c>
      <c r="K156" s="7" t="s">
        <v>2953</v>
      </c>
      <c r="L156" s="7" t="s">
        <v>432</v>
      </c>
    </row>
    <row r="157" customFormat="false" ht="15" hidden="false" customHeight="false" outlineLevel="0" collapsed="false">
      <c r="A157" s="7" t="s">
        <v>3189</v>
      </c>
      <c r="B157" s="8" t="n">
        <v>45615</v>
      </c>
      <c r="C157" s="7" t="s">
        <v>34</v>
      </c>
      <c r="D157" s="7" t="s">
        <v>83</v>
      </c>
      <c r="E157" s="7" t="s">
        <v>2955</v>
      </c>
      <c r="F157" s="7" t="s">
        <v>3137</v>
      </c>
      <c r="G157" s="7" t="n">
        <v>3</v>
      </c>
      <c r="H157" s="7" t="n">
        <v>1</v>
      </c>
      <c r="I157" s="7" t="n">
        <f aca="false">G157*H157</f>
        <v>3</v>
      </c>
      <c r="J157" s="7" t="s">
        <v>2965</v>
      </c>
      <c r="K157" s="7" t="s">
        <v>2758</v>
      </c>
      <c r="L157" s="7" t="s">
        <v>428</v>
      </c>
    </row>
    <row r="158" customFormat="false" ht="15" hidden="false" customHeight="false" outlineLevel="0" collapsed="false">
      <c r="A158" s="7" t="s">
        <v>3190</v>
      </c>
      <c r="B158" s="8" t="n">
        <v>45745</v>
      </c>
      <c r="C158" s="7" t="s">
        <v>25</v>
      </c>
      <c r="D158" s="7" t="s">
        <v>83</v>
      </c>
      <c r="E158" s="7" t="s">
        <v>2976</v>
      </c>
      <c r="F158" s="7" t="s">
        <v>3179</v>
      </c>
      <c r="G158" s="7" t="n">
        <v>2</v>
      </c>
      <c r="H158" s="7" t="n">
        <v>1</v>
      </c>
      <c r="I158" s="7" t="n">
        <f aca="false">G158*H158</f>
        <v>2</v>
      </c>
      <c r="J158" s="7" t="s">
        <v>2961</v>
      </c>
      <c r="K158" s="7" t="s">
        <v>2758</v>
      </c>
      <c r="L158" s="7" t="s">
        <v>416</v>
      </c>
    </row>
    <row r="159" customFormat="false" ht="15" hidden="false" customHeight="false" outlineLevel="0" collapsed="false">
      <c r="A159" s="7" t="s">
        <v>3191</v>
      </c>
      <c r="B159" s="8" t="n">
        <v>45633</v>
      </c>
      <c r="C159" s="7" t="s">
        <v>49</v>
      </c>
      <c r="D159" s="7" t="s">
        <v>71</v>
      </c>
      <c r="E159" s="7" t="s">
        <v>2963</v>
      </c>
      <c r="F159" s="7" t="s">
        <v>2985</v>
      </c>
      <c r="G159" s="7" t="n">
        <v>1</v>
      </c>
      <c r="H159" s="7" t="n">
        <v>2</v>
      </c>
      <c r="I159" s="7" t="n">
        <f aca="false">G159*H159</f>
        <v>2</v>
      </c>
      <c r="J159" s="7" t="s">
        <v>2978</v>
      </c>
      <c r="K159" s="7" t="s">
        <v>2758</v>
      </c>
      <c r="L159" s="7" t="s">
        <v>441</v>
      </c>
    </row>
    <row r="160" customFormat="false" ht="15" hidden="false" customHeight="false" outlineLevel="0" collapsed="false">
      <c r="A160" s="7" t="s">
        <v>3192</v>
      </c>
      <c r="B160" s="8" t="n">
        <v>45374</v>
      </c>
      <c r="C160" s="7" t="s">
        <v>37</v>
      </c>
      <c r="D160" s="7" t="s">
        <v>87</v>
      </c>
      <c r="E160" s="7" t="s">
        <v>2959</v>
      </c>
      <c r="F160" s="7" t="s">
        <v>3005</v>
      </c>
      <c r="G160" s="7" t="n">
        <v>1</v>
      </c>
      <c r="H160" s="7" t="n">
        <v>3</v>
      </c>
      <c r="I160" s="7" t="n">
        <f aca="false">G160*H160</f>
        <v>3</v>
      </c>
      <c r="J160" s="7" t="s">
        <v>2957</v>
      </c>
      <c r="K160" s="7" t="s">
        <v>2758</v>
      </c>
      <c r="L160" s="7" t="s">
        <v>432</v>
      </c>
    </row>
    <row r="161" customFormat="false" ht="15" hidden="false" customHeight="false" outlineLevel="0" collapsed="false">
      <c r="A161" s="7" t="s">
        <v>3193</v>
      </c>
      <c r="B161" s="8" t="n">
        <v>45705</v>
      </c>
      <c r="C161" s="7" t="s">
        <v>43</v>
      </c>
      <c r="D161" s="7" t="s">
        <v>60</v>
      </c>
      <c r="E161" s="7" t="s">
        <v>2976</v>
      </c>
      <c r="F161" s="7" t="s">
        <v>2977</v>
      </c>
      <c r="G161" s="7" t="n">
        <v>3</v>
      </c>
      <c r="H161" s="7" t="n">
        <v>4</v>
      </c>
      <c r="I161" s="7" t="n">
        <f aca="false">G161*H161</f>
        <v>12</v>
      </c>
      <c r="J161" s="7" t="s">
        <v>2961</v>
      </c>
      <c r="K161" s="7" t="s">
        <v>2979</v>
      </c>
      <c r="L161" s="7" t="s">
        <v>428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2026-07-29T20:21:16Z</dcterms:created>
  <dc:creator>openpyxl</dc:creator>
  <dc:description/>
  <dc:language>en-US</dc:language>
  <cp:lastModifiedBy/>
  <dcterms:modified xsi:type="dcterms:W3CDTF">2026-07-29T20:21:20Z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