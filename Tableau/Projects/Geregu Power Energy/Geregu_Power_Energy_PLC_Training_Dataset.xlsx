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m_Date" sheetId="2" state="visible" r:id="rId4"/>
    <sheet name="Dim_Department" sheetId="3" state="visible" r:id="rId5"/>
    <sheet name="Dim_Employee" sheetId="4" state="visible" r:id="rId6"/>
    <sheet name="Operations" sheetId="5" state="visible" r:id="rId7"/>
    <sheet name="Legal" sheetId="6" state="visible" r:id="rId8"/>
    <sheet name="Supply_Chain" sheetId="7" state="visible" r:id="rId9"/>
    <sheet name="Admin" sheetId="8" state="visible" r:id="rId10"/>
    <sheet name="Customer_Service" sheetId="9" state="visible" r:id="rId11"/>
    <sheet name="IT" sheetId="10" state="visible" r:id="rId12"/>
    <sheet name="Accounts_Finance" sheetId="11" state="visible" r:id="rId13"/>
    <sheet name="Human_Resources" sheetId="12" state="visible" r:id="rId14"/>
    <sheet name="Internal_Control" sheetId="13" state="visible" r:id="rId15"/>
    <sheet name="Risk_Mgmt_Complianc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<sst xmlns="http://schemas.openxmlformats.org/spreadsheetml/2006/main" count="11131" uniqueCount="2177">
  <si>
    <t xml:space="preserve">GEREGU POWER ENERGY PLC — TABLEAU DASHBOARD TRAINING DATASET</t>
  </si>
  <si>
    <t xml:space="preserve">Simulated multi-department dataset for Tableau training purposes</t>
  </si>
  <si>
    <t xml:space="preserve">Prepared by: Kajola Gbenga</t>
  </si>
  <si>
    <t xml:space="preserve">Data Scientist &amp; AI Engineer</t>
  </si>
  <si>
    <t xml:space="preserve">Sheet Name</t>
  </si>
  <si>
    <t xml:space="preserve">Purpose</t>
  </si>
  <si>
    <t xml:space="preserve">Key Columns Linking to Other Sheets</t>
  </si>
  <si>
    <t xml:space="preserve">Dim_Date</t>
  </si>
  <si>
    <t xml:space="preserve">Central date dimension - connect to every transactional sheet's Date field for time intelligence.</t>
  </si>
  <si>
    <t xml:space="preserve">Date</t>
  </si>
  <si>
    <t xml:space="preserve">Dim_Department</t>
  </si>
  <si>
    <t xml:space="preserve">Department master list with mandate and head of department.</t>
  </si>
  <si>
    <t xml:space="preserve">Department_ID, Department_Name, Head_Employee_ID</t>
  </si>
  <si>
    <t xml:space="preserve">Dim_Employee</t>
  </si>
  <si>
    <t xml:space="preserve">Employee master (HR) - connects to every other sheet through Employee_ID.</t>
  </si>
  <si>
    <t xml:space="preserve">Employee_ID, Department</t>
  </si>
  <si>
    <t xml:space="preserve">Operations</t>
  </si>
  <si>
    <t xml:space="preserve">Daily plant/unit generation performance.</t>
  </si>
  <si>
    <t xml:space="preserve">Employee_ID, Date</t>
  </si>
  <si>
    <t xml:space="preserve">Legal</t>
  </si>
  <si>
    <t xml:space="preserve">Contracts, litigation and regulatory case tracking.</t>
  </si>
  <si>
    <t xml:space="preserve">Employee_ID, Date_Opened, Department_Linked</t>
  </si>
  <si>
    <t xml:space="preserve">Supply_Chain</t>
  </si>
  <si>
    <t xml:space="preserve">Procurement and vendor purchase orders.</t>
  </si>
  <si>
    <t xml:space="preserve">Admin</t>
  </si>
  <si>
    <t xml:space="preserve">Facilities, assets, travel and fleet requests.</t>
  </si>
  <si>
    <t xml:space="preserve">Customer_Service</t>
  </si>
  <si>
    <t xml:space="preserve">DisCo/off-taker ticket and complaints log.</t>
  </si>
  <si>
    <t xml:space="preserve">IT</t>
  </si>
  <si>
    <t xml:space="preserve">Systems and SCADA support ticket log.</t>
  </si>
  <si>
    <t xml:space="preserve">Accounts_Finance</t>
  </si>
  <si>
    <t xml:space="preserve">Revenue, opex and capex transactions vs budget.</t>
  </si>
  <si>
    <t xml:space="preserve">Employee_ID, Date, Department_Linked</t>
  </si>
  <si>
    <t xml:space="preserve">Human_Resources</t>
  </si>
  <si>
    <t xml:space="preserve">Leave, training, appraisal and disciplinary records.</t>
  </si>
  <si>
    <t xml:space="preserve">Employee_ID, Date, Department</t>
  </si>
  <si>
    <t xml:space="preserve">Internal_Control</t>
  </si>
  <si>
    <t xml:space="preserve">Audit engagements and findings across departments.</t>
  </si>
  <si>
    <t xml:space="preserve">Employee_ID, Date, Department_Audited</t>
  </si>
  <si>
    <t xml:space="preserve">Risk_Mgmt_Compliance</t>
  </si>
  <si>
    <t xml:space="preserve">Enterprise risk register with likelihood x impact scoring.</t>
  </si>
  <si>
    <t xml:space="preserve">Employee_ID, Date_Identified, Department_Linked</t>
  </si>
  <si>
    <t xml:space="preserve">Color legend:</t>
  </si>
  <si>
    <t xml:space="preserve">Blue text = linking/key column (e.g. Employee_ID)</t>
  </si>
  <si>
    <t xml:space="preserve">Green text = formula pulling data from another sheet (e.g. Employee_Name via INDEX/MATCH)</t>
  </si>
  <si>
    <t xml:space="preserve">Black text = raw / hardcoded source data entered for the simulation</t>
  </si>
  <si>
    <t xml:space="preserve">How to use this workbook in Tableau:</t>
  </si>
  <si>
    <t xml:space="preserve">1. Connect Tableau to this Excel file (Data &gt; Connect to Data &gt; Microsoft Excel).</t>
  </si>
  <si>
    <t xml:space="preserve">2. Drag Dim_Employee and Dim_Department onto the canvas, then add each transactional sheet.</t>
  </si>
  <si>
    <t xml:space="preserve">3. Build relationships (not physical joins) using Employee_ID as the linking field, and Date to Dim_Date's Date field.</t>
  </si>
  <si>
    <t xml:space="preserve">4. This keeps each department's grain intact while allowing cross-department analysis in one data source.</t>
  </si>
  <si>
    <t xml:space="preserve">Year</t>
  </si>
  <si>
    <t xml:space="preserve">Quarter</t>
  </si>
  <si>
    <t xml:space="preserve">Month_No</t>
  </si>
  <si>
    <t xml:space="preserve">Month_Name</t>
  </si>
  <si>
    <t xml:space="preserve">Week_No</t>
  </si>
  <si>
    <t xml:space="preserve">Day_Name</t>
  </si>
  <si>
    <t xml:space="preserve">Is_Weekend</t>
  </si>
  <si>
    <t xml:space="preserve">Q1</t>
  </si>
  <si>
    <t xml:space="preserve">January</t>
  </si>
  <si>
    <t xml:space="preserve">Wednesday</t>
  </si>
  <si>
    <t xml:space="preserve">No</t>
  </si>
  <si>
    <t xml:space="preserve">Thursday</t>
  </si>
  <si>
    <t xml:space="preserve">Friday</t>
  </si>
  <si>
    <t xml:space="preserve">Saturday</t>
  </si>
  <si>
    <t xml:space="preserve">Yes</t>
  </si>
  <si>
    <t xml:space="preserve">Sunday</t>
  </si>
  <si>
    <t xml:space="preserve">Monday</t>
  </si>
  <si>
    <t xml:space="preserve">Tuesday</t>
  </si>
  <si>
    <t xml:space="preserve">February</t>
  </si>
  <si>
    <t xml:space="preserve">March</t>
  </si>
  <si>
    <t xml:space="preserve">Q2</t>
  </si>
  <si>
    <t xml:space="preserve">April</t>
  </si>
  <si>
    <t xml:space="preserve">May</t>
  </si>
  <si>
    <t xml:space="preserve">June</t>
  </si>
  <si>
    <t xml:space="preserve">Q3</t>
  </si>
  <si>
    <t xml:space="preserve">July</t>
  </si>
  <si>
    <t xml:space="preserve">August</t>
  </si>
  <si>
    <t xml:space="preserve">September</t>
  </si>
  <si>
    <t xml:space="preserve">Q4</t>
  </si>
  <si>
    <t xml:space="preserve">October</t>
  </si>
  <si>
    <t xml:space="preserve">November</t>
  </si>
  <si>
    <t xml:space="preserve">December</t>
  </si>
  <si>
    <t xml:space="preserve">Department_ID</t>
  </si>
  <si>
    <t xml:space="preserve">Department_Name</t>
  </si>
  <si>
    <t xml:space="preserve">Location</t>
  </si>
  <si>
    <t xml:space="preserve">Department_Mandate</t>
  </si>
  <si>
    <t xml:space="preserve">Head_Employee_ID</t>
  </si>
  <si>
    <t xml:space="preserve">DPT01</t>
  </si>
  <si>
    <t xml:space="preserve">Kogi Plant Site</t>
  </si>
  <si>
    <t xml:space="preserve">Power generation and plant performance</t>
  </si>
  <si>
    <t xml:space="preserve">EMP0001</t>
  </si>
  <si>
    <t xml:space="preserve">DPT02</t>
  </si>
  <si>
    <t xml:space="preserve">Head Office - Abuja</t>
  </si>
  <si>
    <t xml:space="preserve">Contracts, litigation and regulatory affairs</t>
  </si>
  <si>
    <t xml:space="preserve">EMP0017</t>
  </si>
  <si>
    <t xml:space="preserve">DPT03</t>
  </si>
  <si>
    <t xml:space="preserve">Supply Chain</t>
  </si>
  <si>
    <t xml:space="preserve">Procurement, vendor and inventory management</t>
  </si>
  <si>
    <t xml:space="preserve">EMP0022</t>
  </si>
  <si>
    <t xml:space="preserve">DPT04</t>
  </si>
  <si>
    <t xml:space="preserve">Facilities, assets and general administration</t>
  </si>
  <si>
    <t xml:space="preserve">EMP0030</t>
  </si>
  <si>
    <t xml:space="preserve">DPT05</t>
  </si>
  <si>
    <t xml:space="preserve">Customer Service</t>
  </si>
  <si>
    <t xml:space="preserve">DisCo and off-taker relationship management</t>
  </si>
  <si>
    <t xml:space="preserve">EMP0036</t>
  </si>
  <si>
    <t xml:space="preserve">DPT06</t>
  </si>
  <si>
    <t xml:space="preserve">Systems, SCADA support and infrastructure</t>
  </si>
  <si>
    <t xml:space="preserve">EMP0043</t>
  </si>
  <si>
    <t xml:space="preserve">DPT07</t>
  </si>
  <si>
    <t xml:space="preserve">Accounts and Finance</t>
  </si>
  <si>
    <t xml:space="preserve">Revenue, expenditure and financial reporting</t>
  </si>
  <si>
    <t xml:space="preserve">EMP0050</t>
  </si>
  <si>
    <t xml:space="preserve">DPT08</t>
  </si>
  <si>
    <t xml:space="preserve">Human Resources</t>
  </si>
  <si>
    <t xml:space="preserve">Recruitment, welfare, training and payroll</t>
  </si>
  <si>
    <t xml:space="preserve">EMP0058</t>
  </si>
  <si>
    <t xml:space="preserve">DPT09</t>
  </si>
  <si>
    <t xml:space="preserve">Internal Control</t>
  </si>
  <si>
    <t xml:space="preserve">Internal audit and process assurance</t>
  </si>
  <si>
    <t xml:space="preserve">EMP0065</t>
  </si>
  <si>
    <t xml:space="preserve">DPT10</t>
  </si>
  <si>
    <t xml:space="preserve">Risk Management and Compliance</t>
  </si>
  <si>
    <t xml:space="preserve">Enterprise risk and regulatory compliance</t>
  </si>
  <si>
    <t xml:space="preserve">EMP0070</t>
  </si>
  <si>
    <t xml:space="preserve">Employee_ID</t>
  </si>
  <si>
    <t xml:space="preserve">Employee_Name</t>
  </si>
  <si>
    <t xml:space="preserve">Department</t>
  </si>
  <si>
    <t xml:space="preserve">Job_Title</t>
  </si>
  <si>
    <t xml:space="preserve">Gender</t>
  </si>
  <si>
    <t xml:space="preserve">Date_Hired</t>
  </si>
  <si>
    <t xml:space="preserve">Employment_Status</t>
  </si>
  <si>
    <t xml:space="preserve">Work_Email</t>
  </si>
  <si>
    <t xml:space="preserve">Phone_Number</t>
  </si>
  <si>
    <t xml:space="preserve">Ngozi Okafor</t>
  </si>
  <si>
    <t xml:space="preserve">Plant Manager</t>
  </si>
  <si>
    <t xml:space="preserve">Female</t>
  </si>
  <si>
    <t xml:space="preserve">Active</t>
  </si>
  <si>
    <t xml:space="preserve">ngozi.okafor@geregupower.com</t>
  </si>
  <si>
    <t xml:space="preserve">08023756669</t>
  </si>
  <si>
    <t xml:space="preserve">EMP0002</t>
  </si>
  <si>
    <t xml:space="preserve">Abdullahi Adeyemi</t>
  </si>
  <si>
    <t xml:space="preserve">Shift Engineer</t>
  </si>
  <si>
    <t xml:space="preserve">abdullahi.adeyemi@geregupower.com</t>
  </si>
  <si>
    <t xml:space="preserve">08039345092</t>
  </si>
  <si>
    <t xml:space="preserve">EMP0003</t>
  </si>
  <si>
    <t xml:space="preserve">Olamide Sani</t>
  </si>
  <si>
    <t xml:space="preserve">Turbine Technician</t>
  </si>
  <si>
    <t xml:space="preserve">Male</t>
  </si>
  <si>
    <t xml:space="preserve">olamide.sani@geregupower.com</t>
  </si>
  <si>
    <t xml:space="preserve">08097226012</t>
  </si>
  <si>
    <t xml:space="preserve">EMP0004</t>
  </si>
  <si>
    <t xml:space="preserve">Abdullahi Aliyu</t>
  </si>
  <si>
    <t xml:space="preserve">Control Room Operator</t>
  </si>
  <si>
    <t xml:space="preserve">abdullahi.aliyu@geregupower.com</t>
  </si>
  <si>
    <t xml:space="preserve">08010872248</t>
  </si>
  <si>
    <t xml:space="preserve">EMP0005</t>
  </si>
  <si>
    <t xml:space="preserve">Kelechi Ojo</t>
  </si>
  <si>
    <t xml:space="preserve">HSE Officer</t>
  </si>
  <si>
    <t xml:space="preserve">kelechi.ojo@geregupower.com</t>
  </si>
  <si>
    <t xml:space="preserve">08038898923</t>
  </si>
  <si>
    <t xml:space="preserve">EMP0006</t>
  </si>
  <si>
    <t xml:space="preserve">Halima Nwosu</t>
  </si>
  <si>
    <t xml:space="preserve">Maintenance Engineer</t>
  </si>
  <si>
    <t xml:space="preserve">halima.nwosu@geregupower.com</t>
  </si>
  <si>
    <t xml:space="preserve">08056164955</t>
  </si>
  <si>
    <t xml:space="preserve">EMP0007</t>
  </si>
  <si>
    <t xml:space="preserve">Emmanuel Yakubu</t>
  </si>
  <si>
    <t xml:space="preserve">emmanuel.yakubu@geregupower.com</t>
  </si>
  <si>
    <t xml:space="preserve">08026753883</t>
  </si>
  <si>
    <t xml:space="preserve">EMP0008</t>
  </si>
  <si>
    <t xml:space="preserve">Musa Adeyemi</t>
  </si>
  <si>
    <t xml:space="preserve">musa.adeyemi@geregupower.com</t>
  </si>
  <si>
    <t xml:space="preserve">08058537831</t>
  </si>
  <si>
    <t xml:space="preserve">EMP0009</t>
  </si>
  <si>
    <t xml:space="preserve">Kingsley Okonkwo</t>
  </si>
  <si>
    <t xml:space="preserve">kingsley.okonkwo@geregupower.com</t>
  </si>
  <si>
    <t xml:space="preserve">08048840994</t>
  </si>
  <si>
    <t xml:space="preserve">EMP0010</t>
  </si>
  <si>
    <t xml:space="preserve">Amaka Bakare</t>
  </si>
  <si>
    <t xml:space="preserve">amaka.bakare@geregupower.com</t>
  </si>
  <si>
    <t xml:space="preserve">08047308985</t>
  </si>
  <si>
    <t xml:space="preserve">EMP0011</t>
  </si>
  <si>
    <t xml:space="preserve">Titilayo Danjuma</t>
  </si>
  <si>
    <t xml:space="preserve">titilayo.danjuma@geregupower.com</t>
  </si>
  <si>
    <t xml:space="preserve">08038119557</t>
  </si>
  <si>
    <t xml:space="preserve">EMP0012</t>
  </si>
  <si>
    <t xml:space="preserve">Uche Ojo</t>
  </si>
  <si>
    <t xml:space="preserve">uche.ojo@geregupower.com</t>
  </si>
  <si>
    <t xml:space="preserve">08081691040</t>
  </si>
  <si>
    <t xml:space="preserve">EMP0013</t>
  </si>
  <si>
    <t xml:space="preserve">Chukwudi Eze</t>
  </si>
  <si>
    <t xml:space="preserve">chukwudi.eze@geregupower.com</t>
  </si>
  <si>
    <t xml:space="preserve">08095899313</t>
  </si>
  <si>
    <t xml:space="preserve">EMP0014</t>
  </si>
  <si>
    <t xml:space="preserve">Peace Balogun</t>
  </si>
  <si>
    <t xml:space="preserve">peace.balogun@geregupower.com</t>
  </si>
  <si>
    <t xml:space="preserve">08017507864</t>
  </si>
  <si>
    <t xml:space="preserve">EMP0015</t>
  </si>
  <si>
    <t xml:space="preserve">Olamide Anyanwu</t>
  </si>
  <si>
    <t xml:space="preserve">olamide.anyanwu@geregupower.com</t>
  </si>
  <si>
    <t xml:space="preserve">08045935572</t>
  </si>
  <si>
    <t xml:space="preserve">EMP0016</t>
  </si>
  <si>
    <t xml:space="preserve">Tunde Okonkwo</t>
  </si>
  <si>
    <t xml:space="preserve">tunde.okonkwo@geregupower.com</t>
  </si>
  <si>
    <t xml:space="preserve">08063100814</t>
  </si>
  <si>
    <t xml:space="preserve">Titilayo Abubakar</t>
  </si>
  <si>
    <t xml:space="preserve">Head of Legal</t>
  </si>
  <si>
    <t xml:space="preserve">titilayo.abubakar@geregupower.com</t>
  </si>
  <si>
    <t xml:space="preserve">08085345555</t>
  </si>
  <si>
    <t xml:space="preserve">EMP0018</t>
  </si>
  <si>
    <t xml:space="preserve">Abdullahi Yakubu</t>
  </si>
  <si>
    <t xml:space="preserve">Legal Officer</t>
  </si>
  <si>
    <t xml:space="preserve">abdullahi.yakubu@geregupower.com</t>
  </si>
  <si>
    <t xml:space="preserve">08039436733</t>
  </si>
  <si>
    <t xml:space="preserve">EMP0019</t>
  </si>
  <si>
    <t xml:space="preserve">Yusuf Sani</t>
  </si>
  <si>
    <t xml:space="preserve">Contracts Counsel</t>
  </si>
  <si>
    <t xml:space="preserve">yusuf.sani@geregupower.com</t>
  </si>
  <si>
    <t xml:space="preserve">08024716857</t>
  </si>
  <si>
    <t xml:space="preserve">EMP0020</t>
  </si>
  <si>
    <t xml:space="preserve">Aisha Danjuma</t>
  </si>
  <si>
    <t xml:space="preserve">Compliance Lawyer</t>
  </si>
  <si>
    <t xml:space="preserve">aisha.danjuma@geregupower.com</t>
  </si>
  <si>
    <t xml:space="preserve">08090048665</t>
  </si>
  <si>
    <t xml:space="preserve">EMP0021</t>
  </si>
  <si>
    <t xml:space="preserve">Tunde Nnamdi</t>
  </si>
  <si>
    <t xml:space="preserve">Resigned</t>
  </si>
  <si>
    <t xml:space="preserve">tunde.nnamdi@geregupower.com</t>
  </si>
  <si>
    <t xml:space="preserve">08081016525</t>
  </si>
  <si>
    <t xml:space="preserve">Zainab Igwe</t>
  </si>
  <si>
    <t xml:space="preserve">Procurement Manager</t>
  </si>
  <si>
    <t xml:space="preserve">zainab.igwe@geregupower.com</t>
  </si>
  <si>
    <t xml:space="preserve">08082070937</t>
  </si>
  <si>
    <t xml:space="preserve">EMP0023</t>
  </si>
  <si>
    <t xml:space="preserve">Uche Ibe</t>
  </si>
  <si>
    <t xml:space="preserve">Buyer</t>
  </si>
  <si>
    <t xml:space="preserve">uche.ibe@geregupower.com</t>
  </si>
  <si>
    <t xml:space="preserve">08031227574</t>
  </si>
  <si>
    <t xml:space="preserve">EMP0024</t>
  </si>
  <si>
    <t xml:space="preserve">Titilayo Okafor</t>
  </si>
  <si>
    <t xml:space="preserve">Inventory Officer</t>
  </si>
  <si>
    <t xml:space="preserve">titilayo.okafor@geregupower.com</t>
  </si>
  <si>
    <t xml:space="preserve">08078139880</t>
  </si>
  <si>
    <t xml:space="preserve">EMP0025</t>
  </si>
  <si>
    <t xml:space="preserve">Emeka Bakare</t>
  </si>
  <si>
    <t xml:space="preserve">Logistics Coordinator</t>
  </si>
  <si>
    <t xml:space="preserve">emeka.bakare@geregupower.com</t>
  </si>
  <si>
    <t xml:space="preserve">08091734598</t>
  </si>
  <si>
    <t xml:space="preserve">EMP0026</t>
  </si>
  <si>
    <t xml:space="preserve">Ibrahim Abubakar</t>
  </si>
  <si>
    <t xml:space="preserve">Vendor Relations Officer</t>
  </si>
  <si>
    <t xml:space="preserve">ibrahim.abubakar@geregupower.com</t>
  </si>
  <si>
    <t xml:space="preserve">08081182864</t>
  </si>
  <si>
    <t xml:space="preserve">EMP0027</t>
  </si>
  <si>
    <t xml:space="preserve">Adaeze Onyeka</t>
  </si>
  <si>
    <t xml:space="preserve">adaeze.onyeka@geregupower.com</t>
  </si>
  <si>
    <t xml:space="preserve">08058718453</t>
  </si>
  <si>
    <t xml:space="preserve">EMP0028</t>
  </si>
  <si>
    <t xml:space="preserve">Blessing Balogun</t>
  </si>
  <si>
    <t xml:space="preserve">blessing.balogun@geregupower.com</t>
  </si>
  <si>
    <t xml:space="preserve">08020570592</t>
  </si>
  <si>
    <t xml:space="preserve">EMP0029</t>
  </si>
  <si>
    <t xml:space="preserve">Amaka Usman</t>
  </si>
  <si>
    <t xml:space="preserve">amaka.usman@geregupower.com</t>
  </si>
  <si>
    <t xml:space="preserve">08081498611</t>
  </si>
  <si>
    <t xml:space="preserve">Yusuf Abubakar</t>
  </si>
  <si>
    <t xml:space="preserve">Admin Manager</t>
  </si>
  <si>
    <t xml:space="preserve">yusuf.abubakar@geregupower.com</t>
  </si>
  <si>
    <t xml:space="preserve">08080823176</t>
  </si>
  <si>
    <t xml:space="preserve">EMP0031</t>
  </si>
  <si>
    <t xml:space="preserve">Emmanuel Aliyu</t>
  </si>
  <si>
    <t xml:space="preserve">Facilities Officer</t>
  </si>
  <si>
    <t xml:space="preserve">emmanuel.aliyu@geregupower.com</t>
  </si>
  <si>
    <t xml:space="preserve">08036998038</t>
  </si>
  <si>
    <t xml:space="preserve">EMP0032</t>
  </si>
  <si>
    <t xml:space="preserve">Blessing Nnamdi</t>
  </si>
  <si>
    <t xml:space="preserve">Fleet Officer</t>
  </si>
  <si>
    <t xml:space="preserve">blessing.nnamdi@geregupower.com</t>
  </si>
  <si>
    <t xml:space="preserve">08070597444</t>
  </si>
  <si>
    <t xml:space="preserve">EMP0033</t>
  </si>
  <si>
    <t xml:space="preserve">Ngozi Balogun</t>
  </si>
  <si>
    <t xml:space="preserve">Front Desk Officer</t>
  </si>
  <si>
    <t xml:space="preserve">ngozi.balogun@geregupower.com</t>
  </si>
  <si>
    <t xml:space="preserve">08088961459</t>
  </si>
  <si>
    <t xml:space="preserve">EMP0034</t>
  </si>
  <si>
    <t xml:space="preserve">08094705205</t>
  </si>
  <si>
    <t xml:space="preserve">EMP0035</t>
  </si>
  <si>
    <t xml:space="preserve">Ifeoma Balogun</t>
  </si>
  <si>
    <t xml:space="preserve">ifeoma.balogun@geregupower.com</t>
  </si>
  <si>
    <t xml:space="preserve">08019510312</t>
  </si>
  <si>
    <t xml:space="preserve">Damilola Balogun</t>
  </si>
  <si>
    <t xml:space="preserve">Customer Service Manager</t>
  </si>
  <si>
    <t xml:space="preserve">damilola.balogun@geregupower.com</t>
  </si>
  <si>
    <t xml:space="preserve">08082374753</t>
  </si>
  <si>
    <t xml:space="preserve">EMP0037</t>
  </si>
  <si>
    <t xml:space="preserve">Yusuf Usman</t>
  </si>
  <si>
    <t xml:space="preserve">Account Officer</t>
  </si>
  <si>
    <t xml:space="preserve">yusuf.usman@geregupower.com</t>
  </si>
  <si>
    <t xml:space="preserve">08064634663</t>
  </si>
  <si>
    <t xml:space="preserve">EMP0038</t>
  </si>
  <si>
    <t xml:space="preserve">Ibrahim Nwosu</t>
  </si>
  <si>
    <t xml:space="preserve">Complaints Officer</t>
  </si>
  <si>
    <t xml:space="preserve">ibrahim.nwosu@geregupower.com</t>
  </si>
  <si>
    <t xml:space="preserve">08066851760</t>
  </si>
  <si>
    <t xml:space="preserve">EMP0039</t>
  </si>
  <si>
    <t xml:space="preserve">Segun Ogunleye</t>
  </si>
  <si>
    <t xml:space="preserve">Billing Support Officer</t>
  </si>
  <si>
    <t xml:space="preserve">segun.ogunleye@geregupower.com</t>
  </si>
  <si>
    <t xml:space="preserve">08096728778</t>
  </si>
  <si>
    <t xml:space="preserve">EMP0040</t>
  </si>
  <si>
    <t xml:space="preserve">Emeka Bello</t>
  </si>
  <si>
    <t xml:space="preserve">emeka.bello@geregupower.com</t>
  </si>
  <si>
    <t xml:space="preserve">08024665841</t>
  </si>
  <si>
    <t xml:space="preserve">EMP0041</t>
  </si>
  <si>
    <t xml:space="preserve">Chukwudi Okonkwo</t>
  </si>
  <si>
    <t xml:space="preserve">chukwudi.okonkwo@geregupower.com</t>
  </si>
  <si>
    <t xml:space="preserve">08066623995</t>
  </si>
  <si>
    <t xml:space="preserve">EMP0042</t>
  </si>
  <si>
    <t xml:space="preserve">Funmilayo Yakubu</t>
  </si>
  <si>
    <t xml:space="preserve">funmilayo.yakubu@geregupower.com</t>
  </si>
  <si>
    <t xml:space="preserve">08020117988</t>
  </si>
  <si>
    <t xml:space="preserve">Suleiman Garba</t>
  </si>
  <si>
    <t xml:space="preserve">IT Manager</t>
  </si>
  <si>
    <t xml:space="preserve">suleiman.garba@geregupower.com</t>
  </si>
  <si>
    <t xml:space="preserve">08082556484</t>
  </si>
  <si>
    <t xml:space="preserve">EMP0044</t>
  </si>
  <si>
    <t xml:space="preserve">Adaeze Adeyemi</t>
  </si>
  <si>
    <t xml:space="preserve">Network Engineer</t>
  </si>
  <si>
    <t xml:space="preserve">adaeze.adeyemi@geregupower.com</t>
  </si>
  <si>
    <t xml:space="preserve">08074606833</t>
  </si>
  <si>
    <t xml:space="preserve">EMP0045</t>
  </si>
  <si>
    <t xml:space="preserve">Chiamaka Bakare</t>
  </si>
  <si>
    <t xml:space="preserve">SCADA Support Analyst</t>
  </si>
  <si>
    <t xml:space="preserve">chiamaka.bakare@geregupower.com</t>
  </si>
  <si>
    <t xml:space="preserve">08010289289</t>
  </si>
  <si>
    <t xml:space="preserve">EMP0046</t>
  </si>
  <si>
    <t xml:space="preserve">Musa Yakubu</t>
  </si>
  <si>
    <t xml:space="preserve">Systems Administrator</t>
  </si>
  <si>
    <t xml:space="preserve">musa.yakubu@geregupower.com</t>
  </si>
  <si>
    <t xml:space="preserve">08084593961</t>
  </si>
  <si>
    <t xml:space="preserve">EMP0047</t>
  </si>
  <si>
    <t xml:space="preserve">Fatima Abubakar</t>
  </si>
  <si>
    <t xml:space="preserve">Helpdesk Officer</t>
  </si>
  <si>
    <t xml:space="preserve">fatima.abubakar@geregupower.com</t>
  </si>
  <si>
    <t xml:space="preserve">08017849494</t>
  </si>
  <si>
    <t xml:space="preserve">EMP0048</t>
  </si>
  <si>
    <t xml:space="preserve">Rukayat Usman</t>
  </si>
  <si>
    <t xml:space="preserve">rukayat.usman@geregupower.com</t>
  </si>
  <si>
    <t xml:space="preserve">08016729990</t>
  </si>
  <si>
    <t xml:space="preserve">EMP0049</t>
  </si>
  <si>
    <t xml:space="preserve">Rukayat Ude</t>
  </si>
  <si>
    <t xml:space="preserve">rukayat.ude@geregupower.com</t>
  </si>
  <si>
    <t xml:space="preserve">08020752378</t>
  </si>
  <si>
    <t xml:space="preserve">Funmilayo Adeyemi</t>
  </si>
  <si>
    <t xml:space="preserve">Finance Manager</t>
  </si>
  <si>
    <t xml:space="preserve">funmilayo.adeyemi@geregupower.com</t>
  </si>
  <si>
    <t xml:space="preserve">08064193837</t>
  </si>
  <si>
    <t xml:space="preserve">EMP0051</t>
  </si>
  <si>
    <t xml:space="preserve">Ngozi Ndukwe</t>
  </si>
  <si>
    <t xml:space="preserve">Financial Accountant</t>
  </si>
  <si>
    <t xml:space="preserve">ngozi.ndukwe@geregupower.com</t>
  </si>
  <si>
    <t xml:space="preserve">08093131979</t>
  </si>
  <si>
    <t xml:space="preserve">EMP0052</t>
  </si>
  <si>
    <t xml:space="preserve">Amaka Aliyu</t>
  </si>
  <si>
    <t xml:space="preserve">Treasury Officer</t>
  </si>
  <si>
    <t xml:space="preserve">amaka.aliyu@geregupower.com</t>
  </si>
  <si>
    <t xml:space="preserve">08052169044</t>
  </si>
  <si>
    <t xml:space="preserve">EMP0053</t>
  </si>
  <si>
    <t xml:space="preserve">Chukwudi Yakubu</t>
  </si>
  <si>
    <t xml:space="preserve">Payables Officer</t>
  </si>
  <si>
    <t xml:space="preserve">chukwudi.yakubu@geregupower.com</t>
  </si>
  <si>
    <t xml:space="preserve">08050264926</t>
  </si>
  <si>
    <t xml:space="preserve">EMP0054</t>
  </si>
  <si>
    <t xml:space="preserve">Titilayo Chukwu</t>
  </si>
  <si>
    <t xml:space="preserve">Revenue Assurance Officer</t>
  </si>
  <si>
    <t xml:space="preserve">titilayo.chukwu@geregupower.com</t>
  </si>
  <si>
    <t xml:space="preserve">08085563727</t>
  </si>
  <si>
    <t xml:space="preserve">EMP0055</t>
  </si>
  <si>
    <t xml:space="preserve">Emeka Adeyemi</t>
  </si>
  <si>
    <t xml:space="preserve">emeka.adeyemi@geregupower.com</t>
  </si>
  <si>
    <t xml:space="preserve">08056843172</t>
  </si>
  <si>
    <t xml:space="preserve">EMP0056</t>
  </si>
  <si>
    <t xml:space="preserve">Tunde Ndukwe</t>
  </si>
  <si>
    <t xml:space="preserve">tunde.ndukwe@geregupower.com</t>
  </si>
  <si>
    <t xml:space="preserve">08068812137</t>
  </si>
  <si>
    <t xml:space="preserve">EMP0057</t>
  </si>
  <si>
    <t xml:space="preserve">Abdullahi Ojo</t>
  </si>
  <si>
    <t xml:space="preserve">abdullahi.ojo@geregupower.com</t>
  </si>
  <si>
    <t xml:space="preserve">08097775215</t>
  </si>
  <si>
    <t xml:space="preserve">Chioma Okafor</t>
  </si>
  <si>
    <t xml:space="preserve">HR Manager</t>
  </si>
  <si>
    <t xml:space="preserve">chioma.okafor@geregupower.com</t>
  </si>
  <si>
    <t xml:space="preserve">08028024248</t>
  </si>
  <si>
    <t xml:space="preserve">EMP0059</t>
  </si>
  <si>
    <t xml:space="preserve">Zainab Nwosu</t>
  </si>
  <si>
    <t xml:space="preserve">HR Business Partner</t>
  </si>
  <si>
    <t xml:space="preserve">zainab.nwosu@geregupower.com</t>
  </si>
  <si>
    <t xml:space="preserve">08046553958</t>
  </si>
  <si>
    <t xml:space="preserve">EMP0060</t>
  </si>
  <si>
    <t xml:space="preserve">Femi Onyeka</t>
  </si>
  <si>
    <t xml:space="preserve">Training Officer</t>
  </si>
  <si>
    <t xml:space="preserve">femi.onyeka@geregupower.com</t>
  </si>
  <si>
    <t xml:space="preserve">08095125977</t>
  </si>
  <si>
    <t xml:space="preserve">EMP0061</t>
  </si>
  <si>
    <t xml:space="preserve">Zainab Sani</t>
  </si>
  <si>
    <t xml:space="preserve">Payroll Officer</t>
  </si>
  <si>
    <t xml:space="preserve">On Leave</t>
  </si>
  <si>
    <t xml:space="preserve">zainab.sani@geregupower.com</t>
  </si>
  <si>
    <t xml:space="preserve">08016818112</t>
  </si>
  <si>
    <t xml:space="preserve">EMP0062</t>
  </si>
  <si>
    <t xml:space="preserve">Amaka Danjuma</t>
  </si>
  <si>
    <t xml:space="preserve">Recruitment Officer</t>
  </si>
  <si>
    <t xml:space="preserve">amaka.danjuma@geregupower.com</t>
  </si>
  <si>
    <t xml:space="preserve">08010475894</t>
  </si>
  <si>
    <t xml:space="preserve">EMP0063</t>
  </si>
  <si>
    <t xml:space="preserve">Halima Ibe</t>
  </si>
  <si>
    <t xml:space="preserve">halima.ibe@geregupower.com</t>
  </si>
  <si>
    <t xml:space="preserve">08031687165</t>
  </si>
  <si>
    <t xml:space="preserve">EMP0064</t>
  </si>
  <si>
    <t xml:space="preserve">Suleiman Igwe</t>
  </si>
  <si>
    <t xml:space="preserve">suleiman.igwe@geregupower.com</t>
  </si>
  <si>
    <t xml:space="preserve">08020099059</t>
  </si>
  <si>
    <t xml:space="preserve">Aisha Igwe</t>
  </si>
  <si>
    <t xml:space="preserve">Chief Internal Auditor</t>
  </si>
  <si>
    <t xml:space="preserve">aisha.igwe@geregupower.com</t>
  </si>
  <si>
    <t xml:space="preserve">08084158663</t>
  </si>
  <si>
    <t xml:space="preserve">EMP0066</t>
  </si>
  <si>
    <t xml:space="preserve">Aisha Aliyu</t>
  </si>
  <si>
    <t xml:space="preserve">Internal Auditor</t>
  </si>
  <si>
    <t xml:space="preserve">aisha.aliyu@geregupower.com</t>
  </si>
  <si>
    <t xml:space="preserve">08015354599</t>
  </si>
  <si>
    <t xml:space="preserve">EMP0067</t>
  </si>
  <si>
    <t xml:space="preserve">Tobi Okonkwo</t>
  </si>
  <si>
    <t xml:space="preserve">Process Assurance Officer</t>
  </si>
  <si>
    <t xml:space="preserve">tobi.okonkwo@geregupower.com</t>
  </si>
  <si>
    <t xml:space="preserve">08085146293</t>
  </si>
  <si>
    <t xml:space="preserve">EMP0068</t>
  </si>
  <si>
    <t xml:space="preserve">Segun Onyeka</t>
  </si>
  <si>
    <t xml:space="preserve">segun.onyeka@geregupower.com</t>
  </si>
  <si>
    <t xml:space="preserve">08033763566</t>
  </si>
  <si>
    <t xml:space="preserve">EMP0069</t>
  </si>
  <si>
    <t xml:space="preserve">Segun Okafor</t>
  </si>
  <si>
    <t xml:space="preserve">segun.okafor@geregupower.com</t>
  </si>
  <si>
    <t xml:space="preserve">08065259205</t>
  </si>
  <si>
    <t xml:space="preserve">Chief Risk Officer</t>
  </si>
  <si>
    <t xml:space="preserve">08061343880</t>
  </si>
  <si>
    <t xml:space="preserve">EMP0071</t>
  </si>
  <si>
    <t xml:space="preserve">Bola Bakare</t>
  </si>
  <si>
    <t xml:space="preserve">Risk Analyst</t>
  </si>
  <si>
    <t xml:space="preserve">bola.bakare@geregupower.com</t>
  </si>
  <si>
    <t xml:space="preserve">08071780854</t>
  </si>
  <si>
    <t xml:space="preserve">EMP0072</t>
  </si>
  <si>
    <t xml:space="preserve">Tobi Adebayo</t>
  </si>
  <si>
    <t xml:space="preserve">Compliance Officer</t>
  </si>
  <si>
    <t xml:space="preserve">tobi.adebayo@geregupower.com</t>
  </si>
  <si>
    <t xml:space="preserve">08035921441</t>
  </si>
  <si>
    <t xml:space="preserve">EMP0073</t>
  </si>
  <si>
    <t xml:space="preserve">Grace Chukwu</t>
  </si>
  <si>
    <t xml:space="preserve">HSE Risk Officer</t>
  </si>
  <si>
    <t xml:space="preserve">grace.chukwu@geregupower.com</t>
  </si>
  <si>
    <t xml:space="preserve">08047463522</t>
  </si>
  <si>
    <t xml:space="preserve">EMP0074</t>
  </si>
  <si>
    <t xml:space="preserve">Tobi Danjuma</t>
  </si>
  <si>
    <t xml:space="preserve">tobi.danjuma@geregupower.com</t>
  </si>
  <si>
    <t xml:space="preserve">08081969657</t>
  </si>
  <si>
    <t xml:space="preserve">EMP0075</t>
  </si>
  <si>
    <t xml:space="preserve">Halima Okafor</t>
  </si>
  <si>
    <t xml:space="preserve">halima.okafor@geregupower.com</t>
  </si>
  <si>
    <t xml:space="preserve">08033966966</t>
  </si>
  <si>
    <t xml:space="preserve">Record_ID</t>
  </si>
  <si>
    <t xml:space="preserve">Plant_Unit</t>
  </si>
  <si>
    <t xml:space="preserve">Shift</t>
  </si>
  <si>
    <t xml:space="preserve">Power_Generated_MWh</t>
  </si>
  <si>
    <t xml:space="preserve">Planned_Output_MWh</t>
  </si>
  <si>
    <t xml:space="preserve">Availability_Percent</t>
  </si>
  <si>
    <t xml:space="preserve">Downtime_Hours</t>
  </si>
  <si>
    <t xml:space="preserve">Downtime_Reason</t>
  </si>
  <si>
    <t xml:space="preserve">Fuel_Type</t>
  </si>
  <si>
    <t xml:space="preserve">Fuel_Consumed_MMscf</t>
  </si>
  <si>
    <t xml:space="preserve">Turbine_Temperature_C</t>
  </si>
  <si>
    <t xml:space="preserve">Maintenance_Status</t>
  </si>
  <si>
    <t xml:space="preserve">OPS00001</t>
  </si>
  <si>
    <t xml:space="preserve">GT1</t>
  </si>
  <si>
    <t xml:space="preserve">Afternoon</t>
  </si>
  <si>
    <t xml:space="preserve">Scheduled Maintenance</t>
  </si>
  <si>
    <t xml:space="preserve">Natural Gas</t>
  </si>
  <si>
    <t xml:space="preserve">Normal</t>
  </si>
  <si>
    <t xml:space="preserve">OPS00002</t>
  </si>
  <si>
    <t xml:space="preserve">Morning</t>
  </si>
  <si>
    <t xml:space="preserve">Gas Supply Shortage</t>
  </si>
  <si>
    <t xml:space="preserve">Scheduled</t>
  </si>
  <si>
    <t xml:space="preserve">OPS00003</t>
  </si>
  <si>
    <t xml:space="preserve">ST1</t>
  </si>
  <si>
    <t xml:space="preserve">Under Inspection</t>
  </si>
  <si>
    <t xml:space="preserve">OPS00004</t>
  </si>
  <si>
    <t xml:space="preserve">Night</t>
  </si>
  <si>
    <t xml:space="preserve">None</t>
  </si>
  <si>
    <t xml:space="preserve">OPS00005</t>
  </si>
  <si>
    <t xml:space="preserve">GT2</t>
  </si>
  <si>
    <t xml:space="preserve">Grid Instability</t>
  </si>
  <si>
    <t xml:space="preserve">OPS00006</t>
  </si>
  <si>
    <t xml:space="preserve">OPS00007</t>
  </si>
  <si>
    <t xml:space="preserve">GT3</t>
  </si>
  <si>
    <t xml:space="preserve">OPS00008</t>
  </si>
  <si>
    <t xml:space="preserve">OPS00009</t>
  </si>
  <si>
    <t xml:space="preserve">OPS00010</t>
  </si>
  <si>
    <t xml:space="preserve">OPS00011</t>
  </si>
  <si>
    <t xml:space="preserve">OPS00012</t>
  </si>
  <si>
    <t xml:space="preserve">OPS00013</t>
  </si>
  <si>
    <t xml:space="preserve">OPS00014</t>
  </si>
  <si>
    <t xml:space="preserve">Under Repair</t>
  </si>
  <si>
    <t xml:space="preserve">OPS00015</t>
  </si>
  <si>
    <t xml:space="preserve">OPS00016</t>
  </si>
  <si>
    <t xml:space="preserve">OPS00017</t>
  </si>
  <si>
    <t xml:space="preserve">Unplanned Trip</t>
  </si>
  <si>
    <t xml:space="preserve">OPS00018</t>
  </si>
  <si>
    <t xml:space="preserve">OPS00019</t>
  </si>
  <si>
    <t xml:space="preserve">OPS00020</t>
  </si>
  <si>
    <t xml:space="preserve">OPS00021</t>
  </si>
  <si>
    <t xml:space="preserve">OPS00022</t>
  </si>
  <si>
    <t xml:space="preserve">OPS00023</t>
  </si>
  <si>
    <t xml:space="preserve">OPS00024</t>
  </si>
  <si>
    <t xml:space="preserve">OPS00025</t>
  </si>
  <si>
    <t xml:space="preserve">OPS00026</t>
  </si>
  <si>
    <t xml:space="preserve">OPS00027</t>
  </si>
  <si>
    <t xml:space="preserve">OPS00028</t>
  </si>
  <si>
    <t xml:space="preserve">OPS00029</t>
  </si>
  <si>
    <t xml:space="preserve">OPS00030</t>
  </si>
  <si>
    <t xml:space="preserve">OPS00031</t>
  </si>
  <si>
    <t xml:space="preserve">OPS00032</t>
  </si>
  <si>
    <t xml:space="preserve">OPS00033</t>
  </si>
  <si>
    <t xml:space="preserve">OPS00034</t>
  </si>
  <si>
    <t xml:space="preserve">Fuel Change-over</t>
  </si>
  <si>
    <t xml:space="preserve">OPS00035</t>
  </si>
  <si>
    <t xml:space="preserve">OPS00036</t>
  </si>
  <si>
    <t xml:space="preserve">OPS00037</t>
  </si>
  <si>
    <t xml:space="preserve">OPS00038</t>
  </si>
  <si>
    <t xml:space="preserve">OPS00039</t>
  </si>
  <si>
    <t xml:space="preserve">OPS00040</t>
  </si>
  <si>
    <t xml:space="preserve">OPS00041</t>
  </si>
  <si>
    <t xml:space="preserve">OPS00042</t>
  </si>
  <si>
    <t xml:space="preserve">OPS00043</t>
  </si>
  <si>
    <t xml:space="preserve">OPS00044</t>
  </si>
  <si>
    <t xml:space="preserve">OPS00045</t>
  </si>
  <si>
    <t xml:space="preserve">OPS00046</t>
  </si>
  <si>
    <t xml:space="preserve">OPS00047</t>
  </si>
  <si>
    <t xml:space="preserve">OPS00048</t>
  </si>
  <si>
    <t xml:space="preserve">OPS00049</t>
  </si>
  <si>
    <t xml:space="preserve">OPS00050</t>
  </si>
  <si>
    <t xml:space="preserve">OPS00051</t>
  </si>
  <si>
    <t xml:space="preserve">OPS00052</t>
  </si>
  <si>
    <t xml:space="preserve">OPS00053</t>
  </si>
  <si>
    <t xml:space="preserve">OPS00054</t>
  </si>
  <si>
    <t xml:space="preserve">OPS00055</t>
  </si>
  <si>
    <t xml:space="preserve">OPS00056</t>
  </si>
  <si>
    <t xml:space="preserve">OPS00057</t>
  </si>
  <si>
    <t xml:space="preserve">OPS00058</t>
  </si>
  <si>
    <t xml:space="preserve">OPS00059</t>
  </si>
  <si>
    <t xml:space="preserve">OPS00060</t>
  </si>
  <si>
    <t xml:space="preserve">OPS00061</t>
  </si>
  <si>
    <t xml:space="preserve">OPS00062</t>
  </si>
  <si>
    <t xml:space="preserve">OPS00063</t>
  </si>
  <si>
    <t xml:space="preserve">OPS00064</t>
  </si>
  <si>
    <t xml:space="preserve">OPS00065</t>
  </si>
  <si>
    <t xml:space="preserve">OPS00066</t>
  </si>
  <si>
    <t xml:space="preserve">OPS00067</t>
  </si>
  <si>
    <t xml:space="preserve">OPS00068</t>
  </si>
  <si>
    <t xml:space="preserve">OPS00069</t>
  </si>
  <si>
    <t xml:space="preserve">OPS00070</t>
  </si>
  <si>
    <t xml:space="preserve">OPS00071</t>
  </si>
  <si>
    <t xml:space="preserve">OPS00072</t>
  </si>
  <si>
    <t xml:space="preserve">OPS00073</t>
  </si>
  <si>
    <t xml:space="preserve">OPS00074</t>
  </si>
  <si>
    <t xml:space="preserve">OPS00075</t>
  </si>
  <si>
    <t xml:space="preserve">OPS00076</t>
  </si>
  <si>
    <t xml:space="preserve">OPS00077</t>
  </si>
  <si>
    <t xml:space="preserve">OPS00078</t>
  </si>
  <si>
    <t xml:space="preserve">OPS00079</t>
  </si>
  <si>
    <t xml:space="preserve">OPS00080</t>
  </si>
  <si>
    <t xml:space="preserve">OPS00081</t>
  </si>
  <si>
    <t xml:space="preserve">OPS00082</t>
  </si>
  <si>
    <t xml:space="preserve">OPS00083</t>
  </si>
  <si>
    <t xml:space="preserve">OPS00084</t>
  </si>
  <si>
    <t xml:space="preserve">OPS00085</t>
  </si>
  <si>
    <t xml:space="preserve">OPS00086</t>
  </si>
  <si>
    <t xml:space="preserve">OPS00087</t>
  </si>
  <si>
    <t xml:space="preserve">OPS00088</t>
  </si>
  <si>
    <t xml:space="preserve">OPS00089</t>
  </si>
  <si>
    <t xml:space="preserve">OPS00090</t>
  </si>
  <si>
    <t xml:space="preserve">OPS00091</t>
  </si>
  <si>
    <t xml:space="preserve">OPS00092</t>
  </si>
  <si>
    <t xml:space="preserve">OPS00093</t>
  </si>
  <si>
    <t xml:space="preserve">OPS00094</t>
  </si>
  <si>
    <t xml:space="preserve">OPS00095</t>
  </si>
  <si>
    <t xml:space="preserve">OPS00096</t>
  </si>
  <si>
    <t xml:space="preserve">OPS00097</t>
  </si>
  <si>
    <t xml:space="preserve">OPS00098</t>
  </si>
  <si>
    <t xml:space="preserve">OPS00099</t>
  </si>
  <si>
    <t xml:space="preserve">OPS00100</t>
  </si>
  <si>
    <t xml:space="preserve">OPS00101</t>
  </si>
  <si>
    <t xml:space="preserve">OPS00102</t>
  </si>
  <si>
    <t xml:space="preserve">OPS00103</t>
  </si>
  <si>
    <t xml:space="preserve">OPS00104</t>
  </si>
  <si>
    <t xml:space="preserve">OPS00105</t>
  </si>
  <si>
    <t xml:space="preserve">OPS00106</t>
  </si>
  <si>
    <t xml:space="preserve">OPS00107</t>
  </si>
  <si>
    <t xml:space="preserve">OPS00108</t>
  </si>
  <si>
    <t xml:space="preserve">OPS00109</t>
  </si>
  <si>
    <t xml:space="preserve">OPS00110</t>
  </si>
  <si>
    <t xml:space="preserve">OPS00111</t>
  </si>
  <si>
    <t xml:space="preserve">OPS00112</t>
  </si>
  <si>
    <t xml:space="preserve">OPS00113</t>
  </si>
  <si>
    <t xml:space="preserve">OPS00114</t>
  </si>
  <si>
    <t xml:space="preserve">OPS00115</t>
  </si>
  <si>
    <t xml:space="preserve">OPS00116</t>
  </si>
  <si>
    <t xml:space="preserve">OPS00117</t>
  </si>
  <si>
    <t xml:space="preserve">OPS00118</t>
  </si>
  <si>
    <t xml:space="preserve">OPS00119</t>
  </si>
  <si>
    <t xml:space="preserve">OPS00120</t>
  </si>
  <si>
    <t xml:space="preserve">OPS00121</t>
  </si>
  <si>
    <t xml:space="preserve">OPS00122</t>
  </si>
  <si>
    <t xml:space="preserve">OPS00123</t>
  </si>
  <si>
    <t xml:space="preserve">OPS00124</t>
  </si>
  <si>
    <t xml:space="preserve">OPS00125</t>
  </si>
  <si>
    <t xml:space="preserve">OPS00126</t>
  </si>
  <si>
    <t xml:space="preserve">OPS00127</t>
  </si>
  <si>
    <t xml:space="preserve">OPS00128</t>
  </si>
  <si>
    <t xml:space="preserve">OPS00129</t>
  </si>
  <si>
    <t xml:space="preserve">OPS00130</t>
  </si>
  <si>
    <t xml:space="preserve">OPS00131</t>
  </si>
  <si>
    <t xml:space="preserve">OPS00132</t>
  </si>
  <si>
    <t xml:space="preserve">OPS00133</t>
  </si>
  <si>
    <t xml:space="preserve">OPS00134</t>
  </si>
  <si>
    <t xml:space="preserve">OPS00135</t>
  </si>
  <si>
    <t xml:space="preserve">OPS00136</t>
  </si>
  <si>
    <t xml:space="preserve">OPS00137</t>
  </si>
  <si>
    <t xml:space="preserve">OPS00138</t>
  </si>
  <si>
    <t xml:space="preserve">OPS00139</t>
  </si>
  <si>
    <t xml:space="preserve">OPS00140</t>
  </si>
  <si>
    <t xml:space="preserve">OPS00141</t>
  </si>
  <si>
    <t xml:space="preserve">OPS00142</t>
  </si>
  <si>
    <t xml:space="preserve">OPS00143</t>
  </si>
  <si>
    <t xml:space="preserve">OPS00144</t>
  </si>
  <si>
    <t xml:space="preserve">OPS00145</t>
  </si>
  <si>
    <t xml:space="preserve">OPS00146</t>
  </si>
  <si>
    <t xml:space="preserve">OPS00147</t>
  </si>
  <si>
    <t xml:space="preserve">OPS00148</t>
  </si>
  <si>
    <t xml:space="preserve">OPS00149</t>
  </si>
  <si>
    <t xml:space="preserve">OPS00150</t>
  </si>
  <si>
    <t xml:space="preserve">OPS00151</t>
  </si>
  <si>
    <t xml:space="preserve">OPS00152</t>
  </si>
  <si>
    <t xml:space="preserve">OPS00153</t>
  </si>
  <si>
    <t xml:space="preserve">OPS00154</t>
  </si>
  <si>
    <t xml:space="preserve">OPS00155</t>
  </si>
  <si>
    <t xml:space="preserve">OPS00156</t>
  </si>
  <si>
    <t xml:space="preserve">OPS00157</t>
  </si>
  <si>
    <t xml:space="preserve">OPS00158</t>
  </si>
  <si>
    <t xml:space="preserve">OPS00159</t>
  </si>
  <si>
    <t xml:space="preserve">OPS00160</t>
  </si>
  <si>
    <t xml:space="preserve">OPS00161</t>
  </si>
  <si>
    <t xml:space="preserve">OPS00162</t>
  </si>
  <si>
    <t xml:space="preserve">OPS00163</t>
  </si>
  <si>
    <t xml:space="preserve">OPS00164</t>
  </si>
  <si>
    <t xml:space="preserve">OPS00165</t>
  </si>
  <si>
    <t xml:space="preserve">OPS00166</t>
  </si>
  <si>
    <t xml:space="preserve">OPS00167</t>
  </si>
  <si>
    <t xml:space="preserve">OPS00168</t>
  </si>
  <si>
    <t xml:space="preserve">OPS00169</t>
  </si>
  <si>
    <t xml:space="preserve">OPS00170</t>
  </si>
  <si>
    <t xml:space="preserve">OPS00171</t>
  </si>
  <si>
    <t xml:space="preserve">OPS00172</t>
  </si>
  <si>
    <t xml:space="preserve">OPS00173</t>
  </si>
  <si>
    <t xml:space="preserve">OPS00174</t>
  </si>
  <si>
    <t xml:space="preserve">OPS00175</t>
  </si>
  <si>
    <t xml:space="preserve">OPS00176</t>
  </si>
  <si>
    <t xml:space="preserve">OPS00177</t>
  </si>
  <si>
    <t xml:space="preserve">OPS00178</t>
  </si>
  <si>
    <t xml:space="preserve">OPS00179</t>
  </si>
  <si>
    <t xml:space="preserve">OPS00180</t>
  </si>
  <si>
    <t xml:space="preserve">OPS00181</t>
  </si>
  <si>
    <t xml:space="preserve">OPS00182</t>
  </si>
  <si>
    <t xml:space="preserve">OPS00183</t>
  </si>
  <si>
    <t xml:space="preserve">OPS00184</t>
  </si>
  <si>
    <t xml:space="preserve">OPS00185</t>
  </si>
  <si>
    <t xml:space="preserve">OPS00186</t>
  </si>
  <si>
    <t xml:space="preserve">OPS00187</t>
  </si>
  <si>
    <t xml:space="preserve">OPS00188</t>
  </si>
  <si>
    <t xml:space="preserve">OPS00189</t>
  </si>
  <si>
    <t xml:space="preserve">OPS00190</t>
  </si>
  <si>
    <t xml:space="preserve">OPS00191</t>
  </si>
  <si>
    <t xml:space="preserve">OPS00192</t>
  </si>
  <si>
    <t xml:space="preserve">OPS00193</t>
  </si>
  <si>
    <t xml:space="preserve">OPS00194</t>
  </si>
  <si>
    <t xml:space="preserve">OPS00195</t>
  </si>
  <si>
    <t xml:space="preserve">OPS00196</t>
  </si>
  <si>
    <t xml:space="preserve">OPS00197</t>
  </si>
  <si>
    <t xml:space="preserve">OPS00198</t>
  </si>
  <si>
    <t xml:space="preserve">OPS00199</t>
  </si>
  <si>
    <t xml:space="preserve">OPS00200</t>
  </si>
  <si>
    <t xml:space="preserve">OPS00201</t>
  </si>
  <si>
    <t xml:space="preserve">OPS00202</t>
  </si>
  <si>
    <t xml:space="preserve">OPS00203</t>
  </si>
  <si>
    <t xml:space="preserve">OPS00204</t>
  </si>
  <si>
    <t xml:space="preserve">OPS00205</t>
  </si>
  <si>
    <t xml:space="preserve">OPS00206</t>
  </si>
  <si>
    <t xml:space="preserve">OPS00207</t>
  </si>
  <si>
    <t xml:space="preserve">OPS00208</t>
  </si>
  <si>
    <t xml:space="preserve">OPS00209</t>
  </si>
  <si>
    <t xml:space="preserve">OPS00210</t>
  </si>
  <si>
    <t xml:space="preserve">OPS00211</t>
  </si>
  <si>
    <t xml:space="preserve">OPS00212</t>
  </si>
  <si>
    <t xml:space="preserve">OPS00213</t>
  </si>
  <si>
    <t xml:space="preserve">OPS00214</t>
  </si>
  <si>
    <t xml:space="preserve">OPS00215</t>
  </si>
  <si>
    <t xml:space="preserve">OPS00216</t>
  </si>
  <si>
    <t xml:space="preserve">OPS00217</t>
  </si>
  <si>
    <t xml:space="preserve">OPS00218</t>
  </si>
  <si>
    <t xml:space="preserve">OPS00219</t>
  </si>
  <si>
    <t xml:space="preserve">OPS00220</t>
  </si>
  <si>
    <t xml:space="preserve">Case_ID</t>
  </si>
  <si>
    <t xml:space="preserve">Date_Opened</t>
  </si>
  <si>
    <t xml:space="preserve">Department_Linked</t>
  </si>
  <si>
    <t xml:space="preserve">Case_Type</t>
  </si>
  <si>
    <t xml:space="preserve">Counterparty</t>
  </si>
  <si>
    <t xml:space="preserve">Risk_Level</t>
  </si>
  <si>
    <t xml:space="preserve">Case_Status</t>
  </si>
  <si>
    <t xml:space="preserve">Resolution_Date</t>
  </si>
  <si>
    <t xml:space="preserve">Cost_Incurred_NGN</t>
  </si>
  <si>
    <t xml:space="preserve">LEG0001</t>
  </si>
  <si>
    <t xml:space="preserve">Compliance Advisory</t>
  </si>
  <si>
    <t xml:space="preserve">Local Vendor Ltd</t>
  </si>
  <si>
    <t xml:space="preserve">Low</t>
  </si>
  <si>
    <t xml:space="preserve">Under Review</t>
  </si>
  <si>
    <t xml:space="preserve">LEG0002</t>
  </si>
  <si>
    <t xml:space="preserve">Litigation</t>
  </si>
  <si>
    <t xml:space="preserve">Distribution Company - Abuja Disco</t>
  </si>
  <si>
    <t xml:space="preserve">Medium</t>
  </si>
  <si>
    <t xml:space="preserve">Open</t>
  </si>
  <si>
    <t xml:space="preserve">LEG0003</t>
  </si>
  <si>
    <t xml:space="preserve">Closed</t>
  </si>
  <si>
    <t xml:space="preserve">LEG0004</t>
  </si>
  <si>
    <t xml:space="preserve">Land/Right-of-Way</t>
  </si>
  <si>
    <t xml:space="preserve">LEG0005</t>
  </si>
  <si>
    <t xml:space="preserve">NERC</t>
  </si>
  <si>
    <t xml:space="preserve">Pending Court Date</t>
  </si>
  <si>
    <t xml:space="preserve">LEG0006</t>
  </si>
  <si>
    <t xml:space="preserve">NBET</t>
  </si>
  <si>
    <t xml:space="preserve">LEG0007</t>
  </si>
  <si>
    <t xml:space="preserve">LEG0008</t>
  </si>
  <si>
    <t xml:space="preserve">Contract Review</t>
  </si>
  <si>
    <t xml:space="preserve">Insurance Underwriter</t>
  </si>
  <si>
    <t xml:space="preserve">High</t>
  </si>
  <si>
    <t xml:space="preserve">LEG0009</t>
  </si>
  <si>
    <t xml:space="preserve">Regulatory Filing</t>
  </si>
  <si>
    <t xml:space="preserve">LEG0010</t>
  </si>
  <si>
    <t xml:space="preserve">Distribution Company - Ikeja Disco</t>
  </si>
  <si>
    <t xml:space="preserve">LEG0011</t>
  </si>
  <si>
    <t xml:space="preserve">Community Association</t>
  </si>
  <si>
    <t xml:space="preserve">LEG0012</t>
  </si>
  <si>
    <t xml:space="preserve">LEG0013</t>
  </si>
  <si>
    <t xml:space="preserve">LEG0014</t>
  </si>
  <si>
    <t xml:space="preserve">LEG0015</t>
  </si>
  <si>
    <t xml:space="preserve">LEG0016</t>
  </si>
  <si>
    <t xml:space="preserve">TCN</t>
  </si>
  <si>
    <t xml:space="preserve">LEG0017</t>
  </si>
  <si>
    <t xml:space="preserve">LEG0018</t>
  </si>
  <si>
    <t xml:space="preserve">LEG0019</t>
  </si>
  <si>
    <t xml:space="preserve">LEG0020</t>
  </si>
  <si>
    <t xml:space="preserve">LEG0021</t>
  </si>
  <si>
    <t xml:space="preserve">LEG0022</t>
  </si>
  <si>
    <t xml:space="preserve">LEG0023</t>
  </si>
  <si>
    <t xml:space="preserve">LEG0024</t>
  </si>
  <si>
    <t xml:space="preserve">LEG0025</t>
  </si>
  <si>
    <t xml:space="preserve">LEG0026</t>
  </si>
  <si>
    <t xml:space="preserve">LEG0027</t>
  </si>
  <si>
    <t xml:space="preserve">LEG0028</t>
  </si>
  <si>
    <t xml:space="preserve">LEG0029</t>
  </si>
  <si>
    <t xml:space="preserve">LEG0030</t>
  </si>
  <si>
    <t xml:space="preserve">LEG0031</t>
  </si>
  <si>
    <t xml:space="preserve">LEG0032</t>
  </si>
  <si>
    <t xml:space="preserve">LEG0033</t>
  </si>
  <si>
    <t xml:space="preserve">LEG0034</t>
  </si>
  <si>
    <t xml:space="preserve">LEG0035</t>
  </si>
  <si>
    <t xml:space="preserve">LEG0036</t>
  </si>
  <si>
    <t xml:space="preserve">State Government - Kogi</t>
  </si>
  <si>
    <t xml:space="preserve">LEG0037</t>
  </si>
  <si>
    <t xml:space="preserve">LEG0038</t>
  </si>
  <si>
    <t xml:space="preserve">LEG0039</t>
  </si>
  <si>
    <t xml:space="preserve">LEG0040</t>
  </si>
  <si>
    <t xml:space="preserve">LEG0041</t>
  </si>
  <si>
    <t xml:space="preserve">LEG0042</t>
  </si>
  <si>
    <t xml:space="preserve">LEG0043</t>
  </si>
  <si>
    <t xml:space="preserve">LEG0044</t>
  </si>
  <si>
    <t xml:space="preserve">LEG0045</t>
  </si>
  <si>
    <t xml:space="preserve">LEG0046</t>
  </si>
  <si>
    <t xml:space="preserve">LEG0047</t>
  </si>
  <si>
    <t xml:space="preserve">LEG0048</t>
  </si>
  <si>
    <t xml:space="preserve">LEG0049</t>
  </si>
  <si>
    <t xml:space="preserve">LEG0050</t>
  </si>
  <si>
    <t xml:space="preserve">LEG0051</t>
  </si>
  <si>
    <t xml:space="preserve">LEG0052</t>
  </si>
  <si>
    <t xml:space="preserve">LEG0053</t>
  </si>
  <si>
    <t xml:space="preserve">LEG0054</t>
  </si>
  <si>
    <t xml:space="preserve">LEG0055</t>
  </si>
  <si>
    <t xml:space="preserve">LEG0056</t>
  </si>
  <si>
    <t xml:space="preserve">LEG0057</t>
  </si>
  <si>
    <t xml:space="preserve">LEG0058</t>
  </si>
  <si>
    <t xml:space="preserve">LEG0059</t>
  </si>
  <si>
    <t xml:space="preserve">LEG0060</t>
  </si>
  <si>
    <t xml:space="preserve">LEG0061</t>
  </si>
  <si>
    <t xml:space="preserve">LEG0062</t>
  </si>
  <si>
    <t xml:space="preserve">LEG0063</t>
  </si>
  <si>
    <t xml:space="preserve">LEG0064</t>
  </si>
  <si>
    <t xml:space="preserve">LEG0065</t>
  </si>
  <si>
    <t xml:space="preserve">LEG0066</t>
  </si>
  <si>
    <t xml:space="preserve">LEG0067</t>
  </si>
  <si>
    <t xml:space="preserve">LEG0068</t>
  </si>
  <si>
    <t xml:space="preserve">LEG0069</t>
  </si>
  <si>
    <t xml:space="preserve">LEG0070</t>
  </si>
  <si>
    <t xml:space="preserve">LEG0071</t>
  </si>
  <si>
    <t xml:space="preserve">LEG0072</t>
  </si>
  <si>
    <t xml:space="preserve">LEG0073</t>
  </si>
  <si>
    <t xml:space="preserve">LEG0074</t>
  </si>
  <si>
    <t xml:space="preserve">LEG0075</t>
  </si>
  <si>
    <t xml:space="preserve">LEG0076</t>
  </si>
  <si>
    <t xml:space="preserve">LEG0077</t>
  </si>
  <si>
    <t xml:space="preserve">LEG0078</t>
  </si>
  <si>
    <t xml:space="preserve">LEG0079</t>
  </si>
  <si>
    <t xml:space="preserve">LEG0080</t>
  </si>
  <si>
    <t xml:space="preserve">LEG0081</t>
  </si>
  <si>
    <t xml:space="preserve">LEG0082</t>
  </si>
  <si>
    <t xml:space="preserve">LEG0083</t>
  </si>
  <si>
    <t xml:space="preserve">LEG0084</t>
  </si>
  <si>
    <t xml:space="preserve">LEG0085</t>
  </si>
  <si>
    <t xml:space="preserve">LEG0086</t>
  </si>
  <si>
    <t xml:space="preserve">LEG0087</t>
  </si>
  <si>
    <t xml:space="preserve">LEG0088</t>
  </si>
  <si>
    <t xml:space="preserve">LEG0089</t>
  </si>
  <si>
    <t xml:space="preserve">LEG0090</t>
  </si>
  <si>
    <t xml:space="preserve">PO_ID</t>
  </si>
  <si>
    <t xml:space="preserve">Vendor_Name</t>
  </si>
  <si>
    <t xml:space="preserve">Item_Category</t>
  </si>
  <si>
    <t xml:space="preserve">Item_Description</t>
  </si>
  <si>
    <t xml:space="preserve">Quantity</t>
  </si>
  <si>
    <t xml:space="preserve">Unit_Cost_NGN</t>
  </si>
  <si>
    <t xml:space="preserve">Total_Cost_NGN</t>
  </si>
  <si>
    <t xml:space="preserve">Lead_Time_Days</t>
  </si>
  <si>
    <t xml:space="preserve">Delivery_Status</t>
  </si>
  <si>
    <t xml:space="preserve">Approval_Status</t>
  </si>
  <si>
    <t xml:space="preserve">PO00001</t>
  </si>
  <si>
    <t xml:space="preserve">Total Energies Nigeria</t>
  </si>
  <si>
    <t xml:space="preserve">Safety Equipment</t>
  </si>
  <si>
    <t xml:space="preserve">PPE Kits</t>
  </si>
  <si>
    <t xml:space="preserve">Pending Dispatch</t>
  </si>
  <si>
    <t xml:space="preserve">Approved</t>
  </si>
  <si>
    <t xml:space="preserve">PO00002</t>
  </si>
  <si>
    <t xml:space="preserve">Cummins West Africa</t>
  </si>
  <si>
    <t xml:space="preserve">Fuel</t>
  </si>
  <si>
    <t xml:space="preserve">Natural Gas Supply Top-up</t>
  </si>
  <si>
    <t xml:space="preserve">Delivered</t>
  </si>
  <si>
    <t xml:space="preserve">PO00003</t>
  </si>
  <si>
    <t xml:space="preserve">GE Power Services</t>
  </si>
  <si>
    <t xml:space="preserve">Spare Parts</t>
  </si>
  <si>
    <t xml:space="preserve">Control Valve</t>
  </si>
  <si>
    <t xml:space="preserve">In Transit</t>
  </si>
  <si>
    <t xml:space="preserve">Pending Approval</t>
  </si>
  <si>
    <t xml:space="preserve">PO00004</t>
  </si>
  <si>
    <t xml:space="preserve">Bearing Assembly</t>
  </si>
  <si>
    <t xml:space="preserve">PO00005</t>
  </si>
  <si>
    <t xml:space="preserve">Safety First Equipment Ltd</t>
  </si>
  <si>
    <t xml:space="preserve">Gas Detectors</t>
  </si>
  <si>
    <t xml:space="preserve">Delayed</t>
  </si>
  <si>
    <t xml:space="preserve">PO00006</t>
  </si>
  <si>
    <t xml:space="preserve">Dantata Engineering Ltd</t>
  </si>
  <si>
    <t xml:space="preserve">IT Hardware</t>
  </si>
  <si>
    <t xml:space="preserve">Network Switch</t>
  </si>
  <si>
    <t xml:space="preserve">Rejected</t>
  </si>
  <si>
    <t xml:space="preserve">PO00007</t>
  </si>
  <si>
    <t xml:space="preserve">Office Supplies</t>
  </si>
  <si>
    <t xml:space="preserve">Stationery Bundle</t>
  </si>
  <si>
    <t xml:space="preserve">PO00008</t>
  </si>
  <si>
    <t xml:space="preserve">SPX Nigeria</t>
  </si>
  <si>
    <t xml:space="preserve">PO00009</t>
  </si>
  <si>
    <t xml:space="preserve">PO00010</t>
  </si>
  <si>
    <t xml:space="preserve">Turbine Blade Set</t>
  </si>
  <si>
    <t xml:space="preserve">PO00011</t>
  </si>
  <si>
    <t xml:space="preserve">Consumables</t>
  </si>
  <si>
    <t xml:space="preserve">Welding Consumables</t>
  </si>
  <si>
    <t xml:space="preserve">PO00012</t>
  </si>
  <si>
    <t xml:space="preserve">OilServ Ltd</t>
  </si>
  <si>
    <t xml:space="preserve">Fire Suppression Cylinder</t>
  </si>
  <si>
    <t xml:space="preserve">PO00013</t>
  </si>
  <si>
    <t xml:space="preserve">Printer Toner</t>
  </si>
  <si>
    <t xml:space="preserve">PO00014</t>
  </si>
  <si>
    <t xml:space="preserve">PO00015</t>
  </si>
  <si>
    <t xml:space="preserve">PO00016</t>
  </si>
  <si>
    <t xml:space="preserve">PO00017</t>
  </si>
  <si>
    <t xml:space="preserve">UPS Unit</t>
  </si>
  <si>
    <t xml:space="preserve">PO00018</t>
  </si>
  <si>
    <t xml:space="preserve">PO00019</t>
  </si>
  <si>
    <t xml:space="preserve">PO00020</t>
  </si>
  <si>
    <t xml:space="preserve">Cleaning Chemicals</t>
  </si>
  <si>
    <t xml:space="preserve">PO00021</t>
  </si>
  <si>
    <t xml:space="preserve">PO00022</t>
  </si>
  <si>
    <t xml:space="preserve">PO00023</t>
  </si>
  <si>
    <t xml:space="preserve">PO00024</t>
  </si>
  <si>
    <t xml:space="preserve">PO00025</t>
  </si>
  <si>
    <t xml:space="preserve">Gas Filter Unit</t>
  </si>
  <si>
    <t xml:space="preserve">PO00026</t>
  </si>
  <si>
    <t xml:space="preserve">PO00027</t>
  </si>
  <si>
    <t xml:space="preserve">PO00028</t>
  </si>
  <si>
    <t xml:space="preserve">PO00029</t>
  </si>
  <si>
    <t xml:space="preserve">PO00030</t>
  </si>
  <si>
    <t xml:space="preserve">PO00031</t>
  </si>
  <si>
    <t xml:space="preserve">PO00032</t>
  </si>
  <si>
    <t xml:space="preserve">PO00033</t>
  </si>
  <si>
    <t xml:space="preserve">PO00034</t>
  </si>
  <si>
    <t xml:space="preserve">PO00035</t>
  </si>
  <si>
    <t xml:space="preserve">PO00036</t>
  </si>
  <si>
    <t xml:space="preserve">PO00037</t>
  </si>
  <si>
    <t xml:space="preserve">PO00038</t>
  </si>
  <si>
    <t xml:space="preserve">Diesel (Backup Genset)</t>
  </si>
  <si>
    <t xml:space="preserve">PO00039</t>
  </si>
  <si>
    <t xml:space="preserve">PO00040</t>
  </si>
  <si>
    <t xml:space="preserve">PO00041</t>
  </si>
  <si>
    <t xml:space="preserve">PO00042</t>
  </si>
  <si>
    <t xml:space="preserve">Kogi Industrial Supplies</t>
  </si>
  <si>
    <t xml:space="preserve">PO00043</t>
  </si>
  <si>
    <t xml:space="preserve">PO00044</t>
  </si>
  <si>
    <t xml:space="preserve">PO00045</t>
  </si>
  <si>
    <t xml:space="preserve">PO00046</t>
  </si>
  <si>
    <t xml:space="preserve">PO00047</t>
  </si>
  <si>
    <t xml:space="preserve">PO00048</t>
  </si>
  <si>
    <t xml:space="preserve">Lubricating Oil</t>
  </si>
  <si>
    <t xml:space="preserve">PO00049</t>
  </si>
  <si>
    <t xml:space="preserve">PO00050</t>
  </si>
  <si>
    <t xml:space="preserve">PO00051</t>
  </si>
  <si>
    <t xml:space="preserve">PO00052</t>
  </si>
  <si>
    <t xml:space="preserve">PO00053</t>
  </si>
  <si>
    <t xml:space="preserve">PO00054</t>
  </si>
  <si>
    <t xml:space="preserve">PO00055</t>
  </si>
  <si>
    <t xml:space="preserve">PO00056</t>
  </si>
  <si>
    <t xml:space="preserve">SCADA Workstation</t>
  </si>
  <si>
    <t xml:space="preserve">PO00057</t>
  </si>
  <si>
    <t xml:space="preserve">PO00058</t>
  </si>
  <si>
    <t xml:space="preserve">PO00059</t>
  </si>
  <si>
    <t xml:space="preserve">PO00060</t>
  </si>
  <si>
    <t xml:space="preserve">PO00061</t>
  </si>
  <si>
    <t xml:space="preserve">PO00062</t>
  </si>
  <si>
    <t xml:space="preserve">PO00063</t>
  </si>
  <si>
    <t xml:space="preserve">PO00064</t>
  </si>
  <si>
    <t xml:space="preserve">PO00065</t>
  </si>
  <si>
    <t xml:space="preserve">PO00066</t>
  </si>
  <si>
    <t xml:space="preserve">PO00067</t>
  </si>
  <si>
    <t xml:space="preserve">PO00068</t>
  </si>
  <si>
    <t xml:space="preserve">PO00069</t>
  </si>
  <si>
    <t xml:space="preserve">PO00070</t>
  </si>
  <si>
    <t xml:space="preserve">PO00071</t>
  </si>
  <si>
    <t xml:space="preserve">PO00072</t>
  </si>
  <si>
    <t xml:space="preserve">PO00073</t>
  </si>
  <si>
    <t xml:space="preserve">PO00074</t>
  </si>
  <si>
    <t xml:space="preserve">PO00075</t>
  </si>
  <si>
    <t xml:space="preserve">PO00076</t>
  </si>
  <si>
    <t xml:space="preserve">PO00077</t>
  </si>
  <si>
    <t xml:space="preserve">PO00078</t>
  </si>
  <si>
    <t xml:space="preserve">PO00079</t>
  </si>
  <si>
    <t xml:space="preserve">PO00080</t>
  </si>
  <si>
    <t xml:space="preserve">PO00081</t>
  </si>
  <si>
    <t xml:space="preserve">PO00082</t>
  </si>
  <si>
    <t xml:space="preserve">PO00083</t>
  </si>
  <si>
    <t xml:space="preserve">PO00084</t>
  </si>
  <si>
    <t xml:space="preserve">PO00085</t>
  </si>
  <si>
    <t xml:space="preserve">PO00086</t>
  </si>
  <si>
    <t xml:space="preserve">PO00087</t>
  </si>
  <si>
    <t xml:space="preserve">PO00088</t>
  </si>
  <si>
    <t xml:space="preserve">PO00089</t>
  </si>
  <si>
    <t xml:space="preserve">PO00090</t>
  </si>
  <si>
    <t xml:space="preserve">PO00091</t>
  </si>
  <si>
    <t xml:space="preserve">PO00092</t>
  </si>
  <si>
    <t xml:space="preserve">PO00093</t>
  </si>
  <si>
    <t xml:space="preserve">PO00094</t>
  </si>
  <si>
    <t xml:space="preserve">PO00095</t>
  </si>
  <si>
    <t xml:space="preserve">PO00096</t>
  </si>
  <si>
    <t xml:space="preserve">PO00097</t>
  </si>
  <si>
    <t xml:space="preserve">PO00098</t>
  </si>
  <si>
    <t xml:space="preserve">PO00099</t>
  </si>
  <si>
    <t xml:space="preserve">PO00100</t>
  </si>
  <si>
    <t xml:space="preserve">PO00101</t>
  </si>
  <si>
    <t xml:space="preserve">PO00102</t>
  </si>
  <si>
    <t xml:space="preserve">PO00103</t>
  </si>
  <si>
    <t xml:space="preserve">PO00104</t>
  </si>
  <si>
    <t xml:space="preserve">PO00105</t>
  </si>
  <si>
    <t xml:space="preserve">PO00106</t>
  </si>
  <si>
    <t xml:space="preserve">PO00107</t>
  </si>
  <si>
    <t xml:space="preserve">PO00108</t>
  </si>
  <si>
    <t xml:space="preserve">PO00109</t>
  </si>
  <si>
    <t xml:space="preserve">PO00110</t>
  </si>
  <si>
    <t xml:space="preserve">PO00111</t>
  </si>
  <si>
    <t xml:space="preserve">PO00112</t>
  </si>
  <si>
    <t xml:space="preserve">PO00113</t>
  </si>
  <si>
    <t xml:space="preserve">PO00114</t>
  </si>
  <si>
    <t xml:space="preserve">PO00115</t>
  </si>
  <si>
    <t xml:space="preserve">PO00116</t>
  </si>
  <si>
    <t xml:space="preserve">PO00117</t>
  </si>
  <si>
    <t xml:space="preserve">PO00118</t>
  </si>
  <si>
    <t xml:space="preserve">PO00119</t>
  </si>
  <si>
    <t xml:space="preserve">PO00120</t>
  </si>
  <si>
    <t xml:space="preserve">PO00121</t>
  </si>
  <si>
    <t xml:space="preserve">PO00122</t>
  </si>
  <si>
    <t xml:space="preserve">PO00123</t>
  </si>
  <si>
    <t xml:space="preserve">PO00124</t>
  </si>
  <si>
    <t xml:space="preserve">PO00125</t>
  </si>
  <si>
    <t xml:space="preserve">PO00126</t>
  </si>
  <si>
    <t xml:space="preserve">PO00127</t>
  </si>
  <si>
    <t xml:space="preserve">PO00128</t>
  </si>
  <si>
    <t xml:space="preserve">PO00129</t>
  </si>
  <si>
    <t xml:space="preserve">PO00130</t>
  </si>
  <si>
    <t xml:space="preserve">PO00131</t>
  </si>
  <si>
    <t xml:space="preserve">PO00132</t>
  </si>
  <si>
    <t xml:space="preserve">PO00133</t>
  </si>
  <si>
    <t xml:space="preserve">PO00134</t>
  </si>
  <si>
    <t xml:space="preserve">PO00135</t>
  </si>
  <si>
    <t xml:space="preserve">PO00136</t>
  </si>
  <si>
    <t xml:space="preserve">PO00137</t>
  </si>
  <si>
    <t xml:space="preserve">PO00138</t>
  </si>
  <si>
    <t xml:space="preserve">PO00139</t>
  </si>
  <si>
    <t xml:space="preserve">PO00140</t>
  </si>
  <si>
    <t xml:space="preserve">PO00141</t>
  </si>
  <si>
    <t xml:space="preserve">PO00142</t>
  </si>
  <si>
    <t xml:space="preserve">PO00143</t>
  </si>
  <si>
    <t xml:space="preserve">PO00144</t>
  </si>
  <si>
    <t xml:space="preserve">PO00145</t>
  </si>
  <si>
    <t xml:space="preserve">PO00146</t>
  </si>
  <si>
    <t xml:space="preserve">PO00147</t>
  </si>
  <si>
    <t xml:space="preserve">PO00148</t>
  </si>
  <si>
    <t xml:space="preserve">PO00149</t>
  </si>
  <si>
    <t xml:space="preserve">PO00150</t>
  </si>
  <si>
    <t xml:space="preserve">Request_ID</t>
  </si>
  <si>
    <t xml:space="preserve">Request_Type</t>
  </si>
  <si>
    <t xml:space="preserve">Asset_Tag</t>
  </si>
  <si>
    <t xml:space="preserve">Priority</t>
  </si>
  <si>
    <t xml:space="preserve">Status</t>
  </si>
  <si>
    <t xml:space="preserve">Cost_NGN</t>
  </si>
  <si>
    <t xml:space="preserve">Closure_Date</t>
  </si>
  <si>
    <t xml:space="preserve">ADM0001</t>
  </si>
  <si>
    <t xml:space="preserve">Fleet/Vehicle</t>
  </si>
  <si>
    <t xml:space="preserve">AST-9320</t>
  </si>
  <si>
    <t xml:space="preserve">Cancelled</t>
  </si>
  <si>
    <t xml:space="preserve">ADM0002</t>
  </si>
  <si>
    <t xml:space="preserve">Facility Maintenance</t>
  </si>
  <si>
    <t xml:space="preserve">AST-8316</t>
  </si>
  <si>
    <t xml:space="preserve">Guest House - Kogi</t>
  </si>
  <si>
    <t xml:space="preserve">In Progress</t>
  </si>
  <si>
    <t xml:space="preserve">ADM0003</t>
  </si>
  <si>
    <t xml:space="preserve">AST-8421</t>
  </si>
  <si>
    <t xml:space="preserve">Completed</t>
  </si>
  <si>
    <t xml:space="preserve">ADM0004</t>
  </si>
  <si>
    <t xml:space="preserve">Asset Request</t>
  </si>
  <si>
    <t xml:space="preserve">AST-1492</t>
  </si>
  <si>
    <t xml:space="preserve">Lagos Liaison Office</t>
  </si>
  <si>
    <t xml:space="preserve">ADM0005</t>
  </si>
  <si>
    <t xml:space="preserve">AST-5819</t>
  </si>
  <si>
    <t xml:space="preserve">ADM0006</t>
  </si>
  <si>
    <t xml:space="preserve">AST-2363</t>
  </si>
  <si>
    <t xml:space="preserve">Pending</t>
  </si>
  <si>
    <t xml:space="preserve">ADM0007</t>
  </si>
  <si>
    <t xml:space="preserve">Utility Payment</t>
  </si>
  <si>
    <t xml:space="preserve">AST-2768</t>
  </si>
  <si>
    <t xml:space="preserve">ADM0008</t>
  </si>
  <si>
    <t xml:space="preserve">AST-1008</t>
  </si>
  <si>
    <t xml:space="preserve">ADM0009</t>
  </si>
  <si>
    <t xml:space="preserve">AST-7511</t>
  </si>
  <si>
    <t xml:space="preserve">ADM0010</t>
  </si>
  <si>
    <t xml:space="preserve">Travel Request</t>
  </si>
  <si>
    <t xml:space="preserve">AST-2427</t>
  </si>
  <si>
    <t xml:space="preserve">ADM0011</t>
  </si>
  <si>
    <t xml:space="preserve">AST-2655</t>
  </si>
  <si>
    <t xml:space="preserve">ADM0012</t>
  </si>
  <si>
    <t xml:space="preserve">AST-9337</t>
  </si>
  <si>
    <t xml:space="preserve">ADM0013</t>
  </si>
  <si>
    <t xml:space="preserve">AST-4487</t>
  </si>
  <si>
    <t xml:space="preserve">ADM0014</t>
  </si>
  <si>
    <t xml:space="preserve">AST-7459</t>
  </si>
  <si>
    <t xml:space="preserve">ADM0015</t>
  </si>
  <si>
    <t xml:space="preserve">AST-6389</t>
  </si>
  <si>
    <t xml:space="preserve">Urgent</t>
  </si>
  <si>
    <t xml:space="preserve">ADM0016</t>
  </si>
  <si>
    <t xml:space="preserve">AST-7040</t>
  </si>
  <si>
    <t xml:space="preserve">ADM0017</t>
  </si>
  <si>
    <t xml:space="preserve">AST-3995</t>
  </si>
  <si>
    <t xml:space="preserve">ADM0018</t>
  </si>
  <si>
    <t xml:space="preserve">AST-4220</t>
  </si>
  <si>
    <t xml:space="preserve">ADM0019</t>
  </si>
  <si>
    <t xml:space="preserve">AST-9394</t>
  </si>
  <si>
    <t xml:space="preserve">ADM0020</t>
  </si>
  <si>
    <t xml:space="preserve">AST-9044</t>
  </si>
  <si>
    <t xml:space="preserve">ADM0021</t>
  </si>
  <si>
    <t xml:space="preserve">AST-2214</t>
  </si>
  <si>
    <t xml:space="preserve">ADM0022</t>
  </si>
  <si>
    <t xml:space="preserve">AST-8302</t>
  </si>
  <si>
    <t xml:space="preserve">ADM0023</t>
  </si>
  <si>
    <t xml:space="preserve">AST-6933</t>
  </si>
  <si>
    <t xml:space="preserve">ADM0024</t>
  </si>
  <si>
    <t xml:space="preserve">AST-1574</t>
  </si>
  <si>
    <t xml:space="preserve">ADM0025</t>
  </si>
  <si>
    <t xml:space="preserve">AST-2226</t>
  </si>
  <si>
    <t xml:space="preserve">ADM0026</t>
  </si>
  <si>
    <t xml:space="preserve">AST-9947</t>
  </si>
  <si>
    <t xml:space="preserve">ADM0027</t>
  </si>
  <si>
    <t xml:space="preserve">AST-6764</t>
  </si>
  <si>
    <t xml:space="preserve">ADM0028</t>
  </si>
  <si>
    <t xml:space="preserve">AST-1238</t>
  </si>
  <si>
    <t xml:space="preserve">ADM0029</t>
  </si>
  <si>
    <t xml:space="preserve">AST-2893</t>
  </si>
  <si>
    <t xml:space="preserve">ADM0030</t>
  </si>
  <si>
    <t xml:space="preserve">AST-8579</t>
  </si>
  <si>
    <t xml:space="preserve">ADM0031</t>
  </si>
  <si>
    <t xml:space="preserve">AST-2849</t>
  </si>
  <si>
    <t xml:space="preserve">ADM0032</t>
  </si>
  <si>
    <t xml:space="preserve">AST-4318</t>
  </si>
  <si>
    <t xml:space="preserve">ADM0033</t>
  </si>
  <si>
    <t xml:space="preserve">AST-7631</t>
  </si>
  <si>
    <t xml:space="preserve">ADM0034</t>
  </si>
  <si>
    <t xml:space="preserve">AST-6185</t>
  </si>
  <si>
    <t xml:space="preserve">ADM0035</t>
  </si>
  <si>
    <t xml:space="preserve">AST-2848</t>
  </si>
  <si>
    <t xml:space="preserve">ADM0036</t>
  </si>
  <si>
    <t xml:space="preserve">AST-9519</t>
  </si>
  <si>
    <t xml:space="preserve">ADM0037</t>
  </si>
  <si>
    <t xml:space="preserve">AST-1515</t>
  </si>
  <si>
    <t xml:space="preserve">ADM0038</t>
  </si>
  <si>
    <t xml:space="preserve">AST-1313</t>
  </si>
  <si>
    <t xml:space="preserve">ADM0039</t>
  </si>
  <si>
    <t xml:space="preserve">AST-1769</t>
  </si>
  <si>
    <t xml:space="preserve">ADM0040</t>
  </si>
  <si>
    <t xml:space="preserve">AST-4244</t>
  </si>
  <si>
    <t xml:space="preserve">ADM0041</t>
  </si>
  <si>
    <t xml:space="preserve">AST-1592</t>
  </si>
  <si>
    <t xml:space="preserve">ADM0042</t>
  </si>
  <si>
    <t xml:space="preserve">AST-4668</t>
  </si>
  <si>
    <t xml:space="preserve">ADM0043</t>
  </si>
  <si>
    <t xml:space="preserve">AST-8430</t>
  </si>
  <si>
    <t xml:space="preserve">ADM0044</t>
  </si>
  <si>
    <t xml:space="preserve">AST-6348</t>
  </si>
  <si>
    <t xml:space="preserve">ADM0045</t>
  </si>
  <si>
    <t xml:space="preserve">AST-7393</t>
  </si>
  <si>
    <t xml:space="preserve">ADM0046</t>
  </si>
  <si>
    <t xml:space="preserve">AST-2356</t>
  </si>
  <si>
    <t xml:space="preserve">ADM0047</t>
  </si>
  <si>
    <t xml:space="preserve">AST-4576</t>
  </si>
  <si>
    <t xml:space="preserve">ADM0048</t>
  </si>
  <si>
    <t xml:space="preserve">AST-3301</t>
  </si>
  <si>
    <t xml:space="preserve">ADM0049</t>
  </si>
  <si>
    <t xml:space="preserve">AST-2409</t>
  </si>
  <si>
    <t xml:space="preserve">ADM0050</t>
  </si>
  <si>
    <t xml:space="preserve">AST-9424</t>
  </si>
  <si>
    <t xml:space="preserve">ADM0051</t>
  </si>
  <si>
    <t xml:space="preserve">AST-9924</t>
  </si>
  <si>
    <t xml:space="preserve">ADM0052</t>
  </si>
  <si>
    <t xml:space="preserve">AST-1454</t>
  </si>
  <si>
    <t xml:space="preserve">ADM0053</t>
  </si>
  <si>
    <t xml:space="preserve">AST-3732</t>
  </si>
  <si>
    <t xml:space="preserve">ADM0054</t>
  </si>
  <si>
    <t xml:space="preserve">AST-9077</t>
  </si>
  <si>
    <t xml:space="preserve">ADM0055</t>
  </si>
  <si>
    <t xml:space="preserve">AST-4136</t>
  </si>
  <si>
    <t xml:space="preserve">ADM0056</t>
  </si>
  <si>
    <t xml:space="preserve">AST-3548</t>
  </si>
  <si>
    <t xml:space="preserve">ADM0057</t>
  </si>
  <si>
    <t xml:space="preserve">AST-9172</t>
  </si>
  <si>
    <t xml:space="preserve">ADM0058</t>
  </si>
  <si>
    <t xml:space="preserve">AST-4239</t>
  </si>
  <si>
    <t xml:space="preserve">ADM0059</t>
  </si>
  <si>
    <t xml:space="preserve">AST-4346</t>
  </si>
  <si>
    <t xml:space="preserve">ADM0060</t>
  </si>
  <si>
    <t xml:space="preserve">AST-6695</t>
  </si>
  <si>
    <t xml:space="preserve">ADM0061</t>
  </si>
  <si>
    <t xml:space="preserve">AST-3194</t>
  </si>
  <si>
    <t xml:space="preserve">ADM0062</t>
  </si>
  <si>
    <t xml:space="preserve">AST-9901</t>
  </si>
  <si>
    <t xml:space="preserve">ADM0063</t>
  </si>
  <si>
    <t xml:space="preserve">AST-6858</t>
  </si>
  <si>
    <t xml:space="preserve">ADM0064</t>
  </si>
  <si>
    <t xml:space="preserve">AST-8898</t>
  </si>
  <si>
    <t xml:space="preserve">ADM0065</t>
  </si>
  <si>
    <t xml:space="preserve">AST-4105</t>
  </si>
  <si>
    <t xml:space="preserve">ADM0066</t>
  </si>
  <si>
    <t xml:space="preserve">AST-3202</t>
  </si>
  <si>
    <t xml:space="preserve">ADM0067</t>
  </si>
  <si>
    <t xml:space="preserve">AST-9442</t>
  </si>
  <si>
    <t xml:space="preserve">ADM0068</t>
  </si>
  <si>
    <t xml:space="preserve">AST-3969</t>
  </si>
  <si>
    <t xml:space="preserve">ADM0069</t>
  </si>
  <si>
    <t xml:space="preserve">AST-3704</t>
  </si>
  <si>
    <t xml:space="preserve">ADM0070</t>
  </si>
  <si>
    <t xml:space="preserve">AST-4128</t>
  </si>
  <si>
    <t xml:space="preserve">ADM0071</t>
  </si>
  <si>
    <t xml:space="preserve">AST-6405</t>
  </si>
  <si>
    <t xml:space="preserve">ADM0072</t>
  </si>
  <si>
    <t xml:space="preserve">AST-6598</t>
  </si>
  <si>
    <t xml:space="preserve">ADM0073</t>
  </si>
  <si>
    <t xml:space="preserve">AST-5896</t>
  </si>
  <si>
    <t xml:space="preserve">ADM0074</t>
  </si>
  <si>
    <t xml:space="preserve">AST-9152</t>
  </si>
  <si>
    <t xml:space="preserve">ADM0075</t>
  </si>
  <si>
    <t xml:space="preserve">AST-4883</t>
  </si>
  <si>
    <t xml:space="preserve">ADM0076</t>
  </si>
  <si>
    <t xml:space="preserve">AST-2612</t>
  </si>
  <si>
    <t xml:space="preserve">ADM0077</t>
  </si>
  <si>
    <t xml:space="preserve">AST-2632</t>
  </si>
  <si>
    <t xml:space="preserve">ADM0078</t>
  </si>
  <si>
    <t xml:space="preserve">AST-7322</t>
  </si>
  <si>
    <t xml:space="preserve">ADM0079</t>
  </si>
  <si>
    <t xml:space="preserve">AST-7892</t>
  </si>
  <si>
    <t xml:space="preserve">ADM0080</t>
  </si>
  <si>
    <t xml:space="preserve">AST-5419</t>
  </si>
  <si>
    <t xml:space="preserve">ADM0081</t>
  </si>
  <si>
    <t xml:space="preserve">AST-7697</t>
  </si>
  <si>
    <t xml:space="preserve">ADM0082</t>
  </si>
  <si>
    <t xml:space="preserve">AST-6230</t>
  </si>
  <si>
    <t xml:space="preserve">ADM0083</t>
  </si>
  <si>
    <t xml:space="preserve">AST-9574</t>
  </si>
  <si>
    <t xml:space="preserve">ADM0084</t>
  </si>
  <si>
    <t xml:space="preserve">AST-7834</t>
  </si>
  <si>
    <t xml:space="preserve">ADM0085</t>
  </si>
  <si>
    <t xml:space="preserve">AST-6952</t>
  </si>
  <si>
    <t xml:space="preserve">ADM0086</t>
  </si>
  <si>
    <t xml:space="preserve">AST-7873</t>
  </si>
  <si>
    <t xml:space="preserve">ADM0087</t>
  </si>
  <si>
    <t xml:space="preserve">AST-2865</t>
  </si>
  <si>
    <t xml:space="preserve">ADM0088</t>
  </si>
  <si>
    <t xml:space="preserve">AST-5565</t>
  </si>
  <si>
    <t xml:space="preserve">ADM0089</t>
  </si>
  <si>
    <t xml:space="preserve">AST-1647</t>
  </si>
  <si>
    <t xml:space="preserve">ADM0090</t>
  </si>
  <si>
    <t xml:space="preserve">AST-9874</t>
  </si>
  <si>
    <t xml:space="preserve">ADM0091</t>
  </si>
  <si>
    <t xml:space="preserve">AST-7114</t>
  </si>
  <si>
    <t xml:space="preserve">ADM0092</t>
  </si>
  <si>
    <t xml:space="preserve">AST-3185</t>
  </si>
  <si>
    <t xml:space="preserve">ADM0093</t>
  </si>
  <si>
    <t xml:space="preserve">AST-5228</t>
  </si>
  <si>
    <t xml:space="preserve">ADM0094</t>
  </si>
  <si>
    <t xml:space="preserve">AST-9988</t>
  </si>
  <si>
    <t xml:space="preserve">ADM0095</t>
  </si>
  <si>
    <t xml:space="preserve">AST-2286</t>
  </si>
  <si>
    <t xml:space="preserve">ADM0096</t>
  </si>
  <si>
    <t xml:space="preserve">AST-1152</t>
  </si>
  <si>
    <t xml:space="preserve">ADM0097</t>
  </si>
  <si>
    <t xml:space="preserve">AST-9106</t>
  </si>
  <si>
    <t xml:space="preserve">ADM0098</t>
  </si>
  <si>
    <t xml:space="preserve">AST-2923</t>
  </si>
  <si>
    <t xml:space="preserve">ADM0099</t>
  </si>
  <si>
    <t xml:space="preserve">AST-5993</t>
  </si>
  <si>
    <t xml:space="preserve">ADM0100</t>
  </si>
  <si>
    <t xml:space="preserve">AST-6925</t>
  </si>
  <si>
    <t xml:space="preserve">ADM0101</t>
  </si>
  <si>
    <t xml:space="preserve">AST-7033</t>
  </si>
  <si>
    <t xml:space="preserve">ADM0102</t>
  </si>
  <si>
    <t xml:space="preserve">AST-8444</t>
  </si>
  <si>
    <t xml:space="preserve">ADM0103</t>
  </si>
  <si>
    <t xml:space="preserve">AST-5847</t>
  </si>
  <si>
    <t xml:space="preserve">ADM0104</t>
  </si>
  <si>
    <t xml:space="preserve">AST-5483</t>
  </si>
  <si>
    <t xml:space="preserve">ADM0105</t>
  </si>
  <si>
    <t xml:space="preserve">AST-7914</t>
  </si>
  <si>
    <t xml:space="preserve">ADM0106</t>
  </si>
  <si>
    <t xml:space="preserve">AST-6741</t>
  </si>
  <si>
    <t xml:space="preserve">ADM0107</t>
  </si>
  <si>
    <t xml:space="preserve">AST-1757</t>
  </si>
  <si>
    <t xml:space="preserve">ADM0108</t>
  </si>
  <si>
    <t xml:space="preserve">AST-1398</t>
  </si>
  <si>
    <t xml:space="preserve">ADM0109</t>
  </si>
  <si>
    <t xml:space="preserve">AST-3658</t>
  </si>
  <si>
    <t xml:space="preserve">ADM0110</t>
  </si>
  <si>
    <t xml:space="preserve">AST-1970</t>
  </si>
  <si>
    <t xml:space="preserve">Ticket_ID</t>
  </si>
  <si>
    <t xml:space="preserve">Customer_Name</t>
  </si>
  <si>
    <t xml:space="preserve">Customer_Type</t>
  </si>
  <si>
    <t xml:space="preserve">Issue_Category</t>
  </si>
  <si>
    <t xml:space="preserve">Resolution_Time_Hours</t>
  </si>
  <si>
    <t xml:space="preserve">Satisfaction_Score</t>
  </si>
  <si>
    <t xml:space="preserve">CS00001</t>
  </si>
  <si>
    <t xml:space="preserve">Ikeja Electric Disco</t>
  </si>
  <si>
    <t xml:space="preserve">Bulk Trader</t>
  </si>
  <si>
    <t xml:space="preserve">Billing Dispute</t>
  </si>
  <si>
    <t xml:space="preserve">CS00002</t>
  </si>
  <si>
    <t xml:space="preserve">Kaduna Disco</t>
  </si>
  <si>
    <t xml:space="preserve">Distribution Company</t>
  </si>
  <si>
    <t xml:space="preserve">Service Request</t>
  </si>
  <si>
    <t xml:space="preserve">Resolved</t>
  </si>
  <si>
    <t xml:space="preserve">CS00003</t>
  </si>
  <si>
    <t xml:space="preserve">Nigerian Bulk Electricity Trading Plc</t>
  </si>
  <si>
    <t xml:space="preserve">Contract Query</t>
  </si>
  <si>
    <t xml:space="preserve">Pending Customer Response</t>
  </si>
  <si>
    <t xml:space="preserve">CS00004</t>
  </si>
  <si>
    <t xml:space="preserve">Kano Disco</t>
  </si>
  <si>
    <t xml:space="preserve">Government Agency</t>
  </si>
  <si>
    <t xml:space="preserve">CS00005</t>
  </si>
  <si>
    <t xml:space="preserve">Port Harcourt Disco</t>
  </si>
  <si>
    <t xml:space="preserve">Escalated</t>
  </si>
  <si>
    <t xml:space="preserve">CS00006</t>
  </si>
  <si>
    <t xml:space="preserve">Power Supply Interruption</t>
  </si>
  <si>
    <t xml:space="preserve">CS00007</t>
  </si>
  <si>
    <t xml:space="preserve">Ibadan Disco</t>
  </si>
  <si>
    <t xml:space="preserve">CS00008</t>
  </si>
  <si>
    <t xml:space="preserve">Eko Disco</t>
  </si>
  <si>
    <t xml:space="preserve">CS00009</t>
  </si>
  <si>
    <t xml:space="preserve">CS00010</t>
  </si>
  <si>
    <t xml:space="preserve">CS00011</t>
  </si>
  <si>
    <t xml:space="preserve">CS00012</t>
  </si>
  <si>
    <t xml:space="preserve">CS00013</t>
  </si>
  <si>
    <t xml:space="preserve">CS00014</t>
  </si>
  <si>
    <t xml:space="preserve">CS00015</t>
  </si>
  <si>
    <t xml:space="preserve">CS00016</t>
  </si>
  <si>
    <t xml:space="preserve">CS00017</t>
  </si>
  <si>
    <t xml:space="preserve">CS00018</t>
  </si>
  <si>
    <t xml:space="preserve">Abuja Disco</t>
  </si>
  <si>
    <t xml:space="preserve">CS00019</t>
  </si>
  <si>
    <t xml:space="preserve">Enugu Disco</t>
  </si>
  <si>
    <t xml:space="preserve">Metering/Data Issue</t>
  </si>
  <si>
    <t xml:space="preserve">CS00020</t>
  </si>
  <si>
    <t xml:space="preserve">CS00021</t>
  </si>
  <si>
    <t xml:space="preserve">CS00022</t>
  </si>
  <si>
    <t xml:space="preserve">CS00023</t>
  </si>
  <si>
    <t xml:space="preserve">CS00024</t>
  </si>
  <si>
    <t xml:space="preserve">CS00025</t>
  </si>
  <si>
    <t xml:space="preserve">CS00026</t>
  </si>
  <si>
    <t xml:space="preserve">CS00027</t>
  </si>
  <si>
    <t xml:space="preserve">CS00028</t>
  </si>
  <si>
    <t xml:space="preserve">CS00029</t>
  </si>
  <si>
    <t xml:space="preserve">CS00030</t>
  </si>
  <si>
    <t xml:space="preserve">CS00031</t>
  </si>
  <si>
    <t xml:space="preserve">CS00032</t>
  </si>
  <si>
    <t xml:space="preserve">CS00033</t>
  </si>
  <si>
    <t xml:space="preserve">CS00034</t>
  </si>
  <si>
    <t xml:space="preserve">CS00035</t>
  </si>
  <si>
    <t xml:space="preserve">CS00036</t>
  </si>
  <si>
    <t xml:space="preserve">CS00037</t>
  </si>
  <si>
    <t xml:space="preserve">CS00038</t>
  </si>
  <si>
    <t xml:space="preserve">CS00039</t>
  </si>
  <si>
    <t xml:space="preserve">CS00040</t>
  </si>
  <si>
    <t xml:space="preserve">CS00041</t>
  </si>
  <si>
    <t xml:space="preserve">CS00042</t>
  </si>
  <si>
    <t xml:space="preserve">CS00043</t>
  </si>
  <si>
    <t xml:space="preserve">CS00044</t>
  </si>
  <si>
    <t xml:space="preserve">CS00045</t>
  </si>
  <si>
    <t xml:space="preserve">CS00046</t>
  </si>
  <si>
    <t xml:space="preserve">CS00047</t>
  </si>
  <si>
    <t xml:space="preserve">CS00048</t>
  </si>
  <si>
    <t xml:space="preserve">CS00049</t>
  </si>
  <si>
    <t xml:space="preserve">CS00050</t>
  </si>
  <si>
    <t xml:space="preserve">CS00051</t>
  </si>
  <si>
    <t xml:space="preserve">CS00052</t>
  </si>
  <si>
    <t xml:space="preserve">CS00053</t>
  </si>
  <si>
    <t xml:space="preserve">CS00054</t>
  </si>
  <si>
    <t xml:space="preserve">CS00055</t>
  </si>
  <si>
    <t xml:space="preserve">CS00056</t>
  </si>
  <si>
    <t xml:space="preserve">CS00057</t>
  </si>
  <si>
    <t xml:space="preserve">CS00058</t>
  </si>
  <si>
    <t xml:space="preserve">CS00059</t>
  </si>
  <si>
    <t xml:space="preserve">CS00060</t>
  </si>
  <si>
    <t xml:space="preserve">CS00061</t>
  </si>
  <si>
    <t xml:space="preserve">CS00062</t>
  </si>
  <si>
    <t xml:space="preserve">CS00063</t>
  </si>
  <si>
    <t xml:space="preserve">CS00064</t>
  </si>
  <si>
    <t xml:space="preserve">CS00065</t>
  </si>
  <si>
    <t xml:space="preserve">CS00066</t>
  </si>
  <si>
    <t xml:space="preserve">CS00067</t>
  </si>
  <si>
    <t xml:space="preserve">CS00068</t>
  </si>
  <si>
    <t xml:space="preserve">CS00069</t>
  </si>
  <si>
    <t xml:space="preserve">CS00070</t>
  </si>
  <si>
    <t xml:space="preserve">CS00071</t>
  </si>
  <si>
    <t xml:space="preserve">CS00072</t>
  </si>
  <si>
    <t xml:space="preserve">CS00073</t>
  </si>
  <si>
    <t xml:space="preserve">CS00074</t>
  </si>
  <si>
    <t xml:space="preserve">CS00075</t>
  </si>
  <si>
    <t xml:space="preserve">CS00076</t>
  </si>
  <si>
    <t xml:space="preserve">CS00077</t>
  </si>
  <si>
    <t xml:space="preserve">CS00078</t>
  </si>
  <si>
    <t xml:space="preserve">CS00079</t>
  </si>
  <si>
    <t xml:space="preserve">CS00080</t>
  </si>
  <si>
    <t xml:space="preserve">CS00081</t>
  </si>
  <si>
    <t xml:space="preserve">CS00082</t>
  </si>
  <si>
    <t xml:space="preserve">CS00083</t>
  </si>
  <si>
    <t xml:space="preserve">CS00084</t>
  </si>
  <si>
    <t xml:space="preserve">CS00085</t>
  </si>
  <si>
    <t xml:space="preserve">CS00086</t>
  </si>
  <si>
    <t xml:space="preserve">CS00087</t>
  </si>
  <si>
    <t xml:space="preserve">CS00088</t>
  </si>
  <si>
    <t xml:space="preserve">CS00089</t>
  </si>
  <si>
    <t xml:space="preserve">CS00090</t>
  </si>
  <si>
    <t xml:space="preserve">CS00091</t>
  </si>
  <si>
    <t xml:space="preserve">CS00092</t>
  </si>
  <si>
    <t xml:space="preserve">CS00093</t>
  </si>
  <si>
    <t xml:space="preserve">CS00094</t>
  </si>
  <si>
    <t xml:space="preserve">CS00095</t>
  </si>
  <si>
    <t xml:space="preserve">CS00096</t>
  </si>
  <si>
    <t xml:space="preserve">CS00097</t>
  </si>
  <si>
    <t xml:space="preserve">CS00098</t>
  </si>
  <si>
    <t xml:space="preserve">CS00099</t>
  </si>
  <si>
    <t xml:space="preserve">CS00100</t>
  </si>
  <si>
    <t xml:space="preserve">CS00101</t>
  </si>
  <si>
    <t xml:space="preserve">CS00102</t>
  </si>
  <si>
    <t xml:space="preserve">CS00103</t>
  </si>
  <si>
    <t xml:space="preserve">CS00104</t>
  </si>
  <si>
    <t xml:space="preserve">CS00105</t>
  </si>
  <si>
    <t xml:space="preserve">CS00106</t>
  </si>
  <si>
    <t xml:space="preserve">CS00107</t>
  </si>
  <si>
    <t xml:space="preserve">CS00108</t>
  </si>
  <si>
    <t xml:space="preserve">CS00109</t>
  </si>
  <si>
    <t xml:space="preserve">CS00110</t>
  </si>
  <si>
    <t xml:space="preserve">CS00111</t>
  </si>
  <si>
    <t xml:space="preserve">CS00112</t>
  </si>
  <si>
    <t xml:space="preserve">CS00113</t>
  </si>
  <si>
    <t xml:space="preserve">CS00114</t>
  </si>
  <si>
    <t xml:space="preserve">CS00115</t>
  </si>
  <si>
    <t xml:space="preserve">CS00116</t>
  </si>
  <si>
    <t xml:space="preserve">CS00117</t>
  </si>
  <si>
    <t xml:space="preserve">CS00118</t>
  </si>
  <si>
    <t xml:space="preserve">CS00119</t>
  </si>
  <si>
    <t xml:space="preserve">CS00120</t>
  </si>
  <si>
    <t xml:space="preserve">CS00121</t>
  </si>
  <si>
    <t xml:space="preserve">CS00122</t>
  </si>
  <si>
    <t xml:space="preserve">CS00123</t>
  </si>
  <si>
    <t xml:space="preserve">CS00124</t>
  </si>
  <si>
    <t xml:space="preserve">CS00125</t>
  </si>
  <si>
    <t xml:space="preserve">CS00126</t>
  </si>
  <si>
    <t xml:space="preserve">CS00127</t>
  </si>
  <si>
    <t xml:space="preserve">CS00128</t>
  </si>
  <si>
    <t xml:space="preserve">CS00129</t>
  </si>
  <si>
    <t xml:space="preserve">CS00130</t>
  </si>
  <si>
    <t xml:space="preserve">System_Affected</t>
  </si>
  <si>
    <t xml:space="preserve">Issue_Type</t>
  </si>
  <si>
    <t xml:space="preserve">Downtime_Minutes</t>
  </si>
  <si>
    <t xml:space="preserve">ITK00001</t>
  </si>
  <si>
    <t xml:space="preserve">Email/Collaboration</t>
  </si>
  <si>
    <t xml:space="preserve">Hardware Failure</t>
  </si>
  <si>
    <t xml:space="preserve">ITK00002</t>
  </si>
  <si>
    <t xml:space="preserve">Access Control System</t>
  </si>
  <si>
    <t xml:space="preserve">System Outage</t>
  </si>
  <si>
    <t xml:space="preserve">ITK00003</t>
  </si>
  <si>
    <t xml:space="preserve">Software Bug</t>
  </si>
  <si>
    <t xml:space="preserve">ITK00004</t>
  </si>
  <si>
    <t xml:space="preserve">SCADA</t>
  </si>
  <si>
    <t xml:space="preserve">Access Request</t>
  </si>
  <si>
    <t xml:space="preserve">ITK00005</t>
  </si>
  <si>
    <t xml:space="preserve">ITK00006</t>
  </si>
  <si>
    <t xml:space="preserve">ITK00007</t>
  </si>
  <si>
    <t xml:space="preserve">Corporate Network</t>
  </si>
  <si>
    <t xml:space="preserve">On Hold</t>
  </si>
  <si>
    <t xml:space="preserve">ITK00008</t>
  </si>
  <si>
    <t xml:space="preserve">Security Alert</t>
  </si>
  <si>
    <t xml:space="preserve">ITK00009</t>
  </si>
  <si>
    <t xml:space="preserve">ITK00010</t>
  </si>
  <si>
    <t xml:space="preserve">Performance Issue</t>
  </si>
  <si>
    <t xml:space="preserve">ITK00011</t>
  </si>
  <si>
    <t xml:space="preserve">ERP System</t>
  </si>
  <si>
    <t xml:space="preserve">ITK00012</t>
  </si>
  <si>
    <t xml:space="preserve">Critical</t>
  </si>
  <si>
    <t xml:space="preserve">ITK00013</t>
  </si>
  <si>
    <t xml:space="preserve">ITK00014</t>
  </si>
  <si>
    <t xml:space="preserve">ITK00015</t>
  </si>
  <si>
    <t xml:space="preserve">ITK00016</t>
  </si>
  <si>
    <t xml:space="preserve">ITK00017</t>
  </si>
  <si>
    <t xml:space="preserve">ITK00018</t>
  </si>
  <si>
    <t xml:space="preserve">ITK00019</t>
  </si>
  <si>
    <t xml:space="preserve">ITK00020</t>
  </si>
  <si>
    <t xml:space="preserve">CCTV/Security System</t>
  </si>
  <si>
    <t xml:space="preserve">ITK00021</t>
  </si>
  <si>
    <t xml:space="preserve">ITK00022</t>
  </si>
  <si>
    <t xml:space="preserve">ITK00023</t>
  </si>
  <si>
    <t xml:space="preserve">ITK00024</t>
  </si>
  <si>
    <t xml:space="preserve">ITK00025</t>
  </si>
  <si>
    <t xml:space="preserve">ITK00026</t>
  </si>
  <si>
    <t xml:space="preserve">ITK00027</t>
  </si>
  <si>
    <t xml:space="preserve">ITK00028</t>
  </si>
  <si>
    <t xml:space="preserve">ITK00029</t>
  </si>
  <si>
    <t xml:space="preserve">ITK00030</t>
  </si>
  <si>
    <t xml:space="preserve">ITK00031</t>
  </si>
  <si>
    <t xml:space="preserve">ITK00032</t>
  </si>
  <si>
    <t xml:space="preserve">ITK00033</t>
  </si>
  <si>
    <t xml:space="preserve">ITK00034</t>
  </si>
  <si>
    <t xml:space="preserve">ITK00035</t>
  </si>
  <si>
    <t xml:space="preserve">ITK00036</t>
  </si>
  <si>
    <t xml:space="preserve">ITK00037</t>
  </si>
  <si>
    <t xml:space="preserve">ITK00038</t>
  </si>
  <si>
    <t xml:space="preserve">ITK00039</t>
  </si>
  <si>
    <t xml:space="preserve">ITK00040</t>
  </si>
  <si>
    <t xml:space="preserve">ITK00041</t>
  </si>
  <si>
    <t xml:space="preserve">ITK00042</t>
  </si>
  <si>
    <t xml:space="preserve">ITK00043</t>
  </si>
  <si>
    <t xml:space="preserve">ITK00044</t>
  </si>
  <si>
    <t xml:space="preserve">ITK00045</t>
  </si>
  <si>
    <t xml:space="preserve">ITK00046</t>
  </si>
  <si>
    <t xml:space="preserve">ITK00047</t>
  </si>
  <si>
    <t xml:space="preserve">ITK00048</t>
  </si>
  <si>
    <t xml:space="preserve">ITK00049</t>
  </si>
  <si>
    <t xml:space="preserve">ITK00050</t>
  </si>
  <si>
    <t xml:space="preserve">ITK00051</t>
  </si>
  <si>
    <t xml:space="preserve">ITK00052</t>
  </si>
  <si>
    <t xml:space="preserve">ITK00053</t>
  </si>
  <si>
    <t xml:space="preserve">ITK00054</t>
  </si>
  <si>
    <t xml:space="preserve">ITK00055</t>
  </si>
  <si>
    <t xml:space="preserve">ITK00056</t>
  </si>
  <si>
    <t xml:space="preserve">ITK00057</t>
  </si>
  <si>
    <t xml:space="preserve">ITK00058</t>
  </si>
  <si>
    <t xml:space="preserve">ITK00059</t>
  </si>
  <si>
    <t xml:space="preserve">ITK00060</t>
  </si>
  <si>
    <t xml:space="preserve">ITK00061</t>
  </si>
  <si>
    <t xml:space="preserve">ITK00062</t>
  </si>
  <si>
    <t xml:space="preserve">ITK00063</t>
  </si>
  <si>
    <t xml:space="preserve">ITK00064</t>
  </si>
  <si>
    <t xml:space="preserve">ITK00065</t>
  </si>
  <si>
    <t xml:space="preserve">ITK00066</t>
  </si>
  <si>
    <t xml:space="preserve">ITK00067</t>
  </si>
  <si>
    <t xml:space="preserve">ITK00068</t>
  </si>
  <si>
    <t xml:space="preserve">ITK00069</t>
  </si>
  <si>
    <t xml:space="preserve">ITK00070</t>
  </si>
  <si>
    <t xml:space="preserve">ITK00071</t>
  </si>
  <si>
    <t xml:space="preserve">ITK00072</t>
  </si>
  <si>
    <t xml:space="preserve">ITK00073</t>
  </si>
  <si>
    <t xml:space="preserve">ITK00074</t>
  </si>
  <si>
    <t xml:space="preserve">ITK00075</t>
  </si>
  <si>
    <t xml:space="preserve">ITK00076</t>
  </si>
  <si>
    <t xml:space="preserve">ITK00077</t>
  </si>
  <si>
    <t xml:space="preserve">ITK00078</t>
  </si>
  <si>
    <t xml:space="preserve">ITK00079</t>
  </si>
  <si>
    <t xml:space="preserve">ITK00080</t>
  </si>
  <si>
    <t xml:space="preserve">ITK00081</t>
  </si>
  <si>
    <t xml:space="preserve">ITK00082</t>
  </si>
  <si>
    <t xml:space="preserve">ITK00083</t>
  </si>
  <si>
    <t xml:space="preserve">ITK00084</t>
  </si>
  <si>
    <t xml:space="preserve">ITK00085</t>
  </si>
  <si>
    <t xml:space="preserve">ITK00086</t>
  </si>
  <si>
    <t xml:space="preserve">ITK00087</t>
  </si>
  <si>
    <t xml:space="preserve">ITK00088</t>
  </si>
  <si>
    <t xml:space="preserve">ITK00089</t>
  </si>
  <si>
    <t xml:space="preserve">ITK00090</t>
  </si>
  <si>
    <t xml:space="preserve">ITK00091</t>
  </si>
  <si>
    <t xml:space="preserve">ITK00092</t>
  </si>
  <si>
    <t xml:space="preserve">ITK00093</t>
  </si>
  <si>
    <t xml:space="preserve">ITK00094</t>
  </si>
  <si>
    <t xml:space="preserve">ITK00095</t>
  </si>
  <si>
    <t xml:space="preserve">ITK00096</t>
  </si>
  <si>
    <t xml:space="preserve">ITK00097</t>
  </si>
  <si>
    <t xml:space="preserve">ITK00098</t>
  </si>
  <si>
    <t xml:space="preserve">ITK00099</t>
  </si>
  <si>
    <t xml:space="preserve">ITK00100</t>
  </si>
  <si>
    <t xml:space="preserve">ITK00101</t>
  </si>
  <si>
    <t xml:space="preserve">ITK00102</t>
  </si>
  <si>
    <t xml:space="preserve">ITK00103</t>
  </si>
  <si>
    <t xml:space="preserve">ITK00104</t>
  </si>
  <si>
    <t xml:space="preserve">ITK00105</t>
  </si>
  <si>
    <t xml:space="preserve">ITK00106</t>
  </si>
  <si>
    <t xml:space="preserve">ITK00107</t>
  </si>
  <si>
    <t xml:space="preserve">ITK00108</t>
  </si>
  <si>
    <t xml:space="preserve">ITK00109</t>
  </si>
  <si>
    <t xml:space="preserve">ITK00110</t>
  </si>
  <si>
    <t xml:space="preserve">ITK00111</t>
  </si>
  <si>
    <t xml:space="preserve">ITK00112</t>
  </si>
  <si>
    <t xml:space="preserve">ITK00113</t>
  </si>
  <si>
    <t xml:space="preserve">ITK00114</t>
  </si>
  <si>
    <t xml:space="preserve">ITK00115</t>
  </si>
  <si>
    <t xml:space="preserve">ITK00116</t>
  </si>
  <si>
    <t xml:space="preserve">ITK00117</t>
  </si>
  <si>
    <t xml:space="preserve">ITK00118</t>
  </si>
  <si>
    <t xml:space="preserve">ITK00119</t>
  </si>
  <si>
    <t xml:space="preserve">ITK00120</t>
  </si>
  <si>
    <t xml:space="preserve">Transaction_ID</t>
  </si>
  <si>
    <t xml:space="preserve">Transaction_Type</t>
  </si>
  <si>
    <t xml:space="preserve">Category</t>
  </si>
  <si>
    <t xml:space="preserve">Amount_NGN</t>
  </si>
  <si>
    <t xml:space="preserve">Budget_NGN</t>
  </si>
  <si>
    <t xml:space="preserve">Variance_NGN</t>
  </si>
  <si>
    <t xml:space="preserve">FIN00001</t>
  </si>
  <si>
    <t xml:space="preserve">Opex</t>
  </si>
  <si>
    <t xml:space="preserve">Payroll Recharge</t>
  </si>
  <si>
    <t xml:space="preserve">FIN00002</t>
  </si>
  <si>
    <t xml:space="preserve">FIN00003</t>
  </si>
  <si>
    <t xml:space="preserve">Utilities</t>
  </si>
  <si>
    <t xml:space="preserve">FIN00004</t>
  </si>
  <si>
    <t xml:space="preserve">Maintenance Cost</t>
  </si>
  <si>
    <t xml:space="preserve">FIN00005</t>
  </si>
  <si>
    <t xml:space="preserve">FIN00006</t>
  </si>
  <si>
    <t xml:space="preserve">Revenue</t>
  </si>
  <si>
    <t xml:space="preserve">Ancillary Services</t>
  </si>
  <si>
    <t xml:space="preserve">FIN00007</t>
  </si>
  <si>
    <t xml:space="preserve">Capex</t>
  </si>
  <si>
    <t xml:space="preserve">Facility Expansion</t>
  </si>
  <si>
    <t xml:space="preserve">FIN00008</t>
  </si>
  <si>
    <t xml:space="preserve">FIN00009</t>
  </si>
  <si>
    <t xml:space="preserve">Fuel Cost</t>
  </si>
  <si>
    <t xml:space="preserve">FIN00010</t>
  </si>
  <si>
    <t xml:space="preserve">FIN00011</t>
  </si>
  <si>
    <t xml:space="preserve">Capacity Payment</t>
  </si>
  <si>
    <t xml:space="preserve">FIN00012</t>
  </si>
  <si>
    <t xml:space="preserve">FIN00013</t>
  </si>
  <si>
    <t xml:space="preserve">FIN00014</t>
  </si>
  <si>
    <t xml:space="preserve">IT Infrastructure</t>
  </si>
  <si>
    <t xml:space="preserve">FIN00015</t>
  </si>
  <si>
    <t xml:space="preserve">FIN00016</t>
  </si>
  <si>
    <t xml:space="preserve">FIN00017</t>
  </si>
  <si>
    <t xml:space="preserve">FIN00018</t>
  </si>
  <si>
    <t xml:space="preserve">FIN00019</t>
  </si>
  <si>
    <t xml:space="preserve">FIN00020</t>
  </si>
  <si>
    <t xml:space="preserve">FIN00021</t>
  </si>
  <si>
    <t xml:space="preserve">Plant Upgrade</t>
  </si>
  <si>
    <t xml:space="preserve">FIN00022</t>
  </si>
  <si>
    <t xml:space="preserve">FIN00023</t>
  </si>
  <si>
    <t xml:space="preserve">FIN00024</t>
  </si>
  <si>
    <t xml:space="preserve">FIN00025</t>
  </si>
  <si>
    <t xml:space="preserve">FIN00026</t>
  </si>
  <si>
    <t xml:space="preserve">FIN00027</t>
  </si>
  <si>
    <t xml:space="preserve">Insurance</t>
  </si>
  <si>
    <t xml:space="preserve">FIN00028</t>
  </si>
  <si>
    <t xml:space="preserve">FIN00029</t>
  </si>
  <si>
    <t xml:space="preserve">Energy Sales - NBET</t>
  </si>
  <si>
    <t xml:space="preserve">FIN00030</t>
  </si>
  <si>
    <t xml:space="preserve">FIN00031</t>
  </si>
  <si>
    <t xml:space="preserve">FIN00032</t>
  </si>
  <si>
    <t xml:space="preserve">FIN00033</t>
  </si>
  <si>
    <t xml:space="preserve">FIN00034</t>
  </si>
  <si>
    <t xml:space="preserve">FIN00035</t>
  </si>
  <si>
    <t xml:space="preserve">FIN00036</t>
  </si>
  <si>
    <t xml:space="preserve">FIN00037</t>
  </si>
  <si>
    <t xml:space="preserve">FIN00038</t>
  </si>
  <si>
    <t xml:space="preserve">FIN00039</t>
  </si>
  <si>
    <t xml:space="preserve">FIN00040</t>
  </si>
  <si>
    <t xml:space="preserve">FIN00041</t>
  </si>
  <si>
    <t xml:space="preserve">FIN00042</t>
  </si>
  <si>
    <t xml:space="preserve">FIN00043</t>
  </si>
  <si>
    <t xml:space="preserve">FIN00044</t>
  </si>
  <si>
    <t xml:space="preserve">FIN00045</t>
  </si>
  <si>
    <t xml:space="preserve">FIN00046</t>
  </si>
  <si>
    <t xml:space="preserve">FIN00047</t>
  </si>
  <si>
    <t xml:space="preserve">FIN00048</t>
  </si>
  <si>
    <t xml:space="preserve">FIN00049</t>
  </si>
  <si>
    <t xml:space="preserve">New Equipment</t>
  </si>
  <si>
    <t xml:space="preserve">FIN00050</t>
  </si>
  <si>
    <t xml:space="preserve">FIN00051</t>
  </si>
  <si>
    <t xml:space="preserve">FIN00052</t>
  </si>
  <si>
    <t xml:space="preserve">FIN00053</t>
  </si>
  <si>
    <t xml:space="preserve">FIN00054</t>
  </si>
  <si>
    <t xml:space="preserve">FIN00055</t>
  </si>
  <si>
    <t xml:space="preserve">FIN00056</t>
  </si>
  <si>
    <t xml:space="preserve">FIN00057</t>
  </si>
  <si>
    <t xml:space="preserve">FIN00058</t>
  </si>
  <si>
    <t xml:space="preserve">FIN00059</t>
  </si>
  <si>
    <t xml:space="preserve">FIN00060</t>
  </si>
  <si>
    <t xml:space="preserve">FIN00061</t>
  </si>
  <si>
    <t xml:space="preserve">FIN00062</t>
  </si>
  <si>
    <t xml:space="preserve">FIN00063</t>
  </si>
  <si>
    <t xml:space="preserve">FIN00064</t>
  </si>
  <si>
    <t xml:space="preserve">FIN00065</t>
  </si>
  <si>
    <t xml:space="preserve">FIN00066</t>
  </si>
  <si>
    <t xml:space="preserve">FIN00067</t>
  </si>
  <si>
    <t xml:space="preserve">FIN00068</t>
  </si>
  <si>
    <t xml:space="preserve">FIN00069</t>
  </si>
  <si>
    <t xml:space="preserve">FIN00070</t>
  </si>
  <si>
    <t xml:space="preserve">FIN00071</t>
  </si>
  <si>
    <t xml:space="preserve">FIN00072</t>
  </si>
  <si>
    <t xml:space="preserve">FIN00073</t>
  </si>
  <si>
    <t xml:space="preserve">FIN00074</t>
  </si>
  <si>
    <t xml:space="preserve">FIN00075</t>
  </si>
  <si>
    <t xml:space="preserve">FIN00076</t>
  </si>
  <si>
    <t xml:space="preserve">FIN00077</t>
  </si>
  <si>
    <t xml:space="preserve">FIN00078</t>
  </si>
  <si>
    <t xml:space="preserve">FIN00079</t>
  </si>
  <si>
    <t xml:space="preserve">FIN00080</t>
  </si>
  <si>
    <t xml:space="preserve">FIN00081</t>
  </si>
  <si>
    <t xml:space="preserve">FIN00082</t>
  </si>
  <si>
    <t xml:space="preserve">FIN00083</t>
  </si>
  <si>
    <t xml:space="preserve">FIN00084</t>
  </si>
  <si>
    <t xml:space="preserve">FIN00085</t>
  </si>
  <si>
    <t xml:space="preserve">FIN00086</t>
  </si>
  <si>
    <t xml:space="preserve">FIN00087</t>
  </si>
  <si>
    <t xml:space="preserve">FIN00088</t>
  </si>
  <si>
    <t xml:space="preserve">FIN00089</t>
  </si>
  <si>
    <t xml:space="preserve">FIN00090</t>
  </si>
  <si>
    <t xml:space="preserve">FIN00091</t>
  </si>
  <si>
    <t xml:space="preserve">FIN00092</t>
  </si>
  <si>
    <t xml:space="preserve">FIN00093</t>
  </si>
  <si>
    <t xml:space="preserve">FIN00094</t>
  </si>
  <si>
    <t xml:space="preserve">FIN00095</t>
  </si>
  <si>
    <t xml:space="preserve">FIN00096</t>
  </si>
  <si>
    <t xml:space="preserve">FIN00097</t>
  </si>
  <si>
    <t xml:space="preserve">FIN00098</t>
  </si>
  <si>
    <t xml:space="preserve">FIN00099</t>
  </si>
  <si>
    <t xml:space="preserve">FIN00100</t>
  </si>
  <si>
    <t xml:space="preserve">FIN00101</t>
  </si>
  <si>
    <t xml:space="preserve">FIN00102</t>
  </si>
  <si>
    <t xml:space="preserve">FIN00103</t>
  </si>
  <si>
    <t xml:space="preserve">FIN00104</t>
  </si>
  <si>
    <t xml:space="preserve">FIN00105</t>
  </si>
  <si>
    <t xml:space="preserve">FIN00106</t>
  </si>
  <si>
    <t xml:space="preserve">FIN00107</t>
  </si>
  <si>
    <t xml:space="preserve">FIN00108</t>
  </si>
  <si>
    <t xml:space="preserve">FIN00109</t>
  </si>
  <si>
    <t xml:space="preserve">FIN00110</t>
  </si>
  <si>
    <t xml:space="preserve">FIN00111</t>
  </si>
  <si>
    <t xml:space="preserve">FIN00112</t>
  </si>
  <si>
    <t xml:space="preserve">FIN00113</t>
  </si>
  <si>
    <t xml:space="preserve">FIN00114</t>
  </si>
  <si>
    <t xml:space="preserve">FIN00115</t>
  </si>
  <si>
    <t xml:space="preserve">FIN00116</t>
  </si>
  <si>
    <t xml:space="preserve">FIN00117</t>
  </si>
  <si>
    <t xml:space="preserve">FIN00118</t>
  </si>
  <si>
    <t xml:space="preserve">FIN00119</t>
  </si>
  <si>
    <t xml:space="preserve">FIN00120</t>
  </si>
  <si>
    <t xml:space="preserve">FIN00121</t>
  </si>
  <si>
    <t xml:space="preserve">FIN00122</t>
  </si>
  <si>
    <t xml:space="preserve">FIN00123</t>
  </si>
  <si>
    <t xml:space="preserve">FIN00124</t>
  </si>
  <si>
    <t xml:space="preserve">FIN00125</t>
  </si>
  <si>
    <t xml:space="preserve">FIN00126</t>
  </si>
  <si>
    <t xml:space="preserve">FIN00127</t>
  </si>
  <si>
    <t xml:space="preserve">FIN00128</t>
  </si>
  <si>
    <t xml:space="preserve">FIN00129</t>
  </si>
  <si>
    <t xml:space="preserve">FIN00130</t>
  </si>
  <si>
    <t xml:space="preserve">FIN00131</t>
  </si>
  <si>
    <t xml:space="preserve">FIN00132</t>
  </si>
  <si>
    <t xml:space="preserve">FIN00133</t>
  </si>
  <si>
    <t xml:space="preserve">FIN00134</t>
  </si>
  <si>
    <t xml:space="preserve">FIN00135</t>
  </si>
  <si>
    <t xml:space="preserve">FIN00136</t>
  </si>
  <si>
    <t xml:space="preserve">FIN00137</t>
  </si>
  <si>
    <t xml:space="preserve">FIN00138</t>
  </si>
  <si>
    <t xml:space="preserve">FIN00139</t>
  </si>
  <si>
    <t xml:space="preserve">FIN00140</t>
  </si>
  <si>
    <t xml:space="preserve">FIN00141</t>
  </si>
  <si>
    <t xml:space="preserve">FIN00142</t>
  </si>
  <si>
    <t xml:space="preserve">FIN00143</t>
  </si>
  <si>
    <t xml:space="preserve">FIN00144</t>
  </si>
  <si>
    <t xml:space="preserve">FIN00145</t>
  </si>
  <si>
    <t xml:space="preserve">FIN00146</t>
  </si>
  <si>
    <t xml:space="preserve">FIN00147</t>
  </si>
  <si>
    <t xml:space="preserve">FIN00148</t>
  </si>
  <si>
    <t xml:space="preserve">FIN00149</t>
  </si>
  <si>
    <t xml:space="preserve">FIN00150</t>
  </si>
  <si>
    <t xml:space="preserve">FIN00151</t>
  </si>
  <si>
    <t xml:space="preserve">FIN00152</t>
  </si>
  <si>
    <t xml:space="preserve">FIN00153</t>
  </si>
  <si>
    <t xml:space="preserve">FIN00154</t>
  </si>
  <si>
    <t xml:space="preserve">FIN00155</t>
  </si>
  <si>
    <t xml:space="preserve">FIN00156</t>
  </si>
  <si>
    <t xml:space="preserve">FIN00157</t>
  </si>
  <si>
    <t xml:space="preserve">FIN00158</t>
  </si>
  <si>
    <t xml:space="preserve">FIN00159</t>
  </si>
  <si>
    <t xml:space="preserve">FIN00160</t>
  </si>
  <si>
    <t xml:space="preserve">Record_Type</t>
  </si>
  <si>
    <t xml:space="preserve">Details</t>
  </si>
  <si>
    <t xml:space="preserve">Days_Duration</t>
  </si>
  <si>
    <t xml:space="preserve">Performance_Rating</t>
  </si>
  <si>
    <t xml:space="preserve">HR00001</t>
  </si>
  <si>
    <t xml:space="preserve">Promotion</t>
  </si>
  <si>
    <t xml:space="preserve">Grade Level Advancement</t>
  </si>
  <si>
    <t xml:space="preserve">HR00002</t>
  </si>
  <si>
    <t xml:space="preserve">HR00003</t>
  </si>
  <si>
    <t xml:space="preserve">Performance Review</t>
  </si>
  <si>
    <t xml:space="preserve">Annual Appraisal</t>
  </si>
  <si>
    <t xml:space="preserve">HR00004</t>
  </si>
  <si>
    <t xml:space="preserve">Mid-Year Appraisal</t>
  </si>
  <si>
    <t xml:space="preserve">HR00005</t>
  </si>
  <si>
    <t xml:space="preserve">Leave</t>
  </si>
  <si>
    <t xml:space="preserve">Maternity/Paternity Leave</t>
  </si>
  <si>
    <t xml:space="preserve">HR00006</t>
  </si>
  <si>
    <t xml:space="preserve">Disciplinary Action</t>
  </si>
  <si>
    <t xml:space="preserve">Suspension</t>
  </si>
  <si>
    <t xml:space="preserve">HR00007</t>
  </si>
  <si>
    <t xml:space="preserve">HR00008</t>
  </si>
  <si>
    <t xml:space="preserve">Training</t>
  </si>
  <si>
    <t xml:space="preserve">HSE Refresher</t>
  </si>
  <si>
    <t xml:space="preserve">HR00009</t>
  </si>
  <si>
    <t xml:space="preserve">Technical Certification</t>
  </si>
  <si>
    <t xml:space="preserve">HR00010</t>
  </si>
  <si>
    <t xml:space="preserve">Confirmation</t>
  </si>
  <si>
    <t xml:space="preserve">Confirmation After Probation</t>
  </si>
  <si>
    <t xml:space="preserve">HR00011</t>
  </si>
  <si>
    <t xml:space="preserve">HR00012</t>
  </si>
  <si>
    <t xml:space="preserve">Query - Lateness</t>
  </si>
  <si>
    <t xml:space="preserve">HR00013</t>
  </si>
  <si>
    <t xml:space="preserve">HR00014</t>
  </si>
  <si>
    <t xml:space="preserve">HR00015</t>
  </si>
  <si>
    <t xml:space="preserve">HR00016</t>
  </si>
  <si>
    <t xml:space="preserve">HR00017</t>
  </si>
  <si>
    <t xml:space="preserve">HR00018</t>
  </si>
  <si>
    <t xml:space="preserve">Leadership Development</t>
  </si>
  <si>
    <t xml:space="preserve">HR00019</t>
  </si>
  <si>
    <t xml:space="preserve">HR00020</t>
  </si>
  <si>
    <t xml:space="preserve">HR00021</t>
  </si>
  <si>
    <t xml:space="preserve">Compassionate Leave</t>
  </si>
  <si>
    <t xml:space="preserve">HR00022</t>
  </si>
  <si>
    <t xml:space="preserve">HR00023</t>
  </si>
  <si>
    <t xml:space="preserve">HR00024</t>
  </si>
  <si>
    <t xml:space="preserve">HR00025</t>
  </si>
  <si>
    <t xml:space="preserve">HR00026</t>
  </si>
  <si>
    <t xml:space="preserve">HR00027</t>
  </si>
  <si>
    <t xml:space="preserve">Annual Leave</t>
  </si>
  <si>
    <t xml:space="preserve">HR00028</t>
  </si>
  <si>
    <t xml:space="preserve">HR00029</t>
  </si>
  <si>
    <t xml:space="preserve">HR00030</t>
  </si>
  <si>
    <t xml:space="preserve">HR00031</t>
  </si>
  <si>
    <t xml:space="preserve">HR00032</t>
  </si>
  <si>
    <t xml:space="preserve">HR00033</t>
  </si>
  <si>
    <t xml:space="preserve">HR00034</t>
  </si>
  <si>
    <t xml:space="preserve">HR00035</t>
  </si>
  <si>
    <t xml:space="preserve">HR00036</t>
  </si>
  <si>
    <t xml:space="preserve">HR00037</t>
  </si>
  <si>
    <t xml:space="preserve">HR00038</t>
  </si>
  <si>
    <t xml:space="preserve">HR00039</t>
  </si>
  <si>
    <t xml:space="preserve">Query - Policy Breach</t>
  </si>
  <si>
    <t xml:space="preserve">HR00040</t>
  </si>
  <si>
    <t xml:space="preserve">HR00041</t>
  </si>
  <si>
    <t xml:space="preserve">HR00042</t>
  </si>
  <si>
    <t xml:space="preserve">HR00043</t>
  </si>
  <si>
    <t xml:space="preserve">HR00044</t>
  </si>
  <si>
    <t xml:space="preserve">HR00045</t>
  </si>
  <si>
    <t xml:space="preserve">HR00046</t>
  </si>
  <si>
    <t xml:space="preserve">HR00047</t>
  </si>
  <si>
    <t xml:space="preserve">HR00048</t>
  </si>
  <si>
    <t xml:space="preserve">HR00049</t>
  </si>
  <si>
    <t xml:space="preserve">HR00050</t>
  </si>
  <si>
    <t xml:space="preserve">HR00051</t>
  </si>
  <si>
    <t xml:space="preserve">HR00052</t>
  </si>
  <si>
    <t xml:space="preserve">HR00053</t>
  </si>
  <si>
    <t xml:space="preserve">HR00054</t>
  </si>
  <si>
    <t xml:space="preserve">HR00055</t>
  </si>
  <si>
    <t xml:space="preserve">HR00056</t>
  </si>
  <si>
    <t xml:space="preserve">HR00057</t>
  </si>
  <si>
    <t xml:space="preserve">HR00058</t>
  </si>
  <si>
    <t xml:space="preserve">HR00059</t>
  </si>
  <si>
    <t xml:space="preserve">HR00060</t>
  </si>
  <si>
    <t xml:space="preserve">HR00061</t>
  </si>
  <si>
    <t xml:space="preserve">Tableau/Data Analytics Training</t>
  </si>
  <si>
    <t xml:space="preserve">HR00062</t>
  </si>
  <si>
    <t xml:space="preserve">HR00063</t>
  </si>
  <si>
    <t xml:space="preserve">HR00064</t>
  </si>
  <si>
    <t xml:space="preserve">HR00065</t>
  </si>
  <si>
    <t xml:space="preserve">HR00066</t>
  </si>
  <si>
    <t xml:space="preserve">HR00067</t>
  </si>
  <si>
    <t xml:space="preserve">HR00068</t>
  </si>
  <si>
    <t xml:space="preserve">HR00069</t>
  </si>
  <si>
    <t xml:space="preserve">HR00070</t>
  </si>
  <si>
    <t xml:space="preserve">HR00071</t>
  </si>
  <si>
    <t xml:space="preserve">HR00072</t>
  </si>
  <si>
    <t xml:space="preserve">HR00073</t>
  </si>
  <si>
    <t xml:space="preserve">HR00074</t>
  </si>
  <si>
    <t xml:space="preserve">HR00075</t>
  </si>
  <si>
    <t xml:space="preserve">HR00076</t>
  </si>
  <si>
    <t xml:space="preserve">HR00077</t>
  </si>
  <si>
    <t xml:space="preserve">HR00078</t>
  </si>
  <si>
    <t xml:space="preserve">HR00079</t>
  </si>
  <si>
    <t xml:space="preserve">HR00080</t>
  </si>
  <si>
    <t xml:space="preserve">HR00081</t>
  </si>
  <si>
    <t xml:space="preserve">HR00082</t>
  </si>
  <si>
    <t xml:space="preserve">HR00083</t>
  </si>
  <si>
    <t xml:space="preserve">HR00084</t>
  </si>
  <si>
    <t xml:space="preserve">HR00085</t>
  </si>
  <si>
    <t xml:space="preserve">HR00086</t>
  </si>
  <si>
    <t xml:space="preserve">HR00087</t>
  </si>
  <si>
    <t xml:space="preserve">HR00088</t>
  </si>
  <si>
    <t xml:space="preserve">HR00089</t>
  </si>
  <si>
    <t xml:space="preserve">HR00090</t>
  </si>
  <si>
    <t xml:space="preserve">HR00091</t>
  </si>
  <si>
    <t xml:space="preserve">HR00092</t>
  </si>
  <si>
    <t xml:space="preserve">HR00093</t>
  </si>
  <si>
    <t xml:space="preserve">HR00094</t>
  </si>
  <si>
    <t xml:space="preserve">HR00095</t>
  </si>
  <si>
    <t xml:space="preserve">HR00096</t>
  </si>
  <si>
    <t xml:space="preserve">HR00097</t>
  </si>
  <si>
    <t xml:space="preserve">HR00098</t>
  </si>
  <si>
    <t xml:space="preserve">HR00099</t>
  </si>
  <si>
    <t xml:space="preserve">HR00100</t>
  </si>
  <si>
    <t xml:space="preserve">HR00101</t>
  </si>
  <si>
    <t xml:space="preserve">HR00102</t>
  </si>
  <si>
    <t xml:space="preserve">HR00103</t>
  </si>
  <si>
    <t xml:space="preserve">HR00104</t>
  </si>
  <si>
    <t xml:space="preserve">HR00105</t>
  </si>
  <si>
    <t xml:space="preserve">HR00106</t>
  </si>
  <si>
    <t xml:space="preserve">HR00107</t>
  </si>
  <si>
    <t xml:space="preserve">HR00108</t>
  </si>
  <si>
    <t xml:space="preserve">HR00109</t>
  </si>
  <si>
    <t xml:space="preserve">HR00110</t>
  </si>
  <si>
    <t xml:space="preserve">HR00111</t>
  </si>
  <si>
    <t xml:space="preserve">HR00112</t>
  </si>
  <si>
    <t xml:space="preserve">HR00113</t>
  </si>
  <si>
    <t xml:space="preserve">HR00114</t>
  </si>
  <si>
    <t xml:space="preserve">HR00115</t>
  </si>
  <si>
    <t xml:space="preserve">HR00116</t>
  </si>
  <si>
    <t xml:space="preserve">HR00117</t>
  </si>
  <si>
    <t xml:space="preserve">HR00118</t>
  </si>
  <si>
    <t xml:space="preserve">HR00119</t>
  </si>
  <si>
    <t xml:space="preserve">Sick Leave</t>
  </si>
  <si>
    <t xml:space="preserve">HR00120</t>
  </si>
  <si>
    <t xml:space="preserve">HR00121</t>
  </si>
  <si>
    <t xml:space="preserve">HR00122</t>
  </si>
  <si>
    <t xml:space="preserve">HR00123</t>
  </si>
  <si>
    <t xml:space="preserve">HR00124</t>
  </si>
  <si>
    <t xml:space="preserve">HR00125</t>
  </si>
  <si>
    <t xml:space="preserve">HR00126</t>
  </si>
  <si>
    <t xml:space="preserve">HR00127</t>
  </si>
  <si>
    <t xml:space="preserve">HR00128</t>
  </si>
  <si>
    <t xml:space="preserve">HR00129</t>
  </si>
  <si>
    <t xml:space="preserve">HR00130</t>
  </si>
  <si>
    <t xml:space="preserve">HR00131</t>
  </si>
  <si>
    <t xml:space="preserve">HR00132</t>
  </si>
  <si>
    <t xml:space="preserve">HR00133</t>
  </si>
  <si>
    <t xml:space="preserve">HR00134</t>
  </si>
  <si>
    <t xml:space="preserve">HR00135</t>
  </si>
  <si>
    <t xml:space="preserve">HR00136</t>
  </si>
  <si>
    <t xml:space="preserve">HR00137</t>
  </si>
  <si>
    <t xml:space="preserve">HR00138</t>
  </si>
  <si>
    <t xml:space="preserve">HR00139</t>
  </si>
  <si>
    <t xml:space="preserve">HR00140</t>
  </si>
  <si>
    <t xml:space="preserve">HR00141</t>
  </si>
  <si>
    <t xml:space="preserve">HR00142</t>
  </si>
  <si>
    <t xml:space="preserve">HR00143</t>
  </si>
  <si>
    <t xml:space="preserve">HR00144</t>
  </si>
  <si>
    <t xml:space="preserve">HR00145</t>
  </si>
  <si>
    <t xml:space="preserve">HR00146</t>
  </si>
  <si>
    <t xml:space="preserve">HR00147</t>
  </si>
  <si>
    <t xml:space="preserve">HR00148</t>
  </si>
  <si>
    <t xml:space="preserve">HR00149</t>
  </si>
  <si>
    <t xml:space="preserve">HR00150</t>
  </si>
  <si>
    <t xml:space="preserve">HR00151</t>
  </si>
  <si>
    <t xml:space="preserve">HR00152</t>
  </si>
  <si>
    <t xml:space="preserve">HR00153</t>
  </si>
  <si>
    <t xml:space="preserve">HR00154</t>
  </si>
  <si>
    <t xml:space="preserve">HR00155</t>
  </si>
  <si>
    <t xml:space="preserve">HR00156</t>
  </si>
  <si>
    <t xml:space="preserve">HR00157</t>
  </si>
  <si>
    <t xml:space="preserve">HR00158</t>
  </si>
  <si>
    <t xml:space="preserve">HR00159</t>
  </si>
  <si>
    <t xml:space="preserve">HR00160</t>
  </si>
  <si>
    <t xml:space="preserve">HR00161</t>
  </si>
  <si>
    <t xml:space="preserve">HR00162</t>
  </si>
  <si>
    <t xml:space="preserve">HR00163</t>
  </si>
  <si>
    <t xml:space="preserve">HR00164</t>
  </si>
  <si>
    <t xml:space="preserve">HR00165</t>
  </si>
  <si>
    <t xml:space="preserve">HR00166</t>
  </si>
  <si>
    <t xml:space="preserve">HR00167</t>
  </si>
  <si>
    <t xml:space="preserve">HR00168</t>
  </si>
  <si>
    <t xml:space="preserve">HR00169</t>
  </si>
  <si>
    <t xml:space="preserve">HR00170</t>
  </si>
  <si>
    <t xml:space="preserve">HR00171</t>
  </si>
  <si>
    <t xml:space="preserve">HR00172</t>
  </si>
  <si>
    <t xml:space="preserve">HR00173</t>
  </si>
  <si>
    <t xml:space="preserve">HR00174</t>
  </si>
  <si>
    <t xml:space="preserve">HR00175</t>
  </si>
  <si>
    <t xml:space="preserve">HR00176</t>
  </si>
  <si>
    <t xml:space="preserve">HR00177</t>
  </si>
  <si>
    <t xml:space="preserve">HR00178</t>
  </si>
  <si>
    <t xml:space="preserve">HR00179</t>
  </si>
  <si>
    <t xml:space="preserve">HR00180</t>
  </si>
  <si>
    <t xml:space="preserve">HR00181</t>
  </si>
  <si>
    <t xml:space="preserve">HR00182</t>
  </si>
  <si>
    <t xml:space="preserve">HR00183</t>
  </si>
  <si>
    <t xml:space="preserve">HR00184</t>
  </si>
  <si>
    <t xml:space="preserve">HR00185</t>
  </si>
  <si>
    <t xml:space="preserve">HR00186</t>
  </si>
  <si>
    <t xml:space="preserve">HR00187</t>
  </si>
  <si>
    <t xml:space="preserve">HR00188</t>
  </si>
  <si>
    <t xml:space="preserve">HR00189</t>
  </si>
  <si>
    <t xml:space="preserve">HR00190</t>
  </si>
  <si>
    <t xml:space="preserve">HR00191</t>
  </si>
  <si>
    <t xml:space="preserve">HR00192</t>
  </si>
  <si>
    <t xml:space="preserve">HR00193</t>
  </si>
  <si>
    <t xml:space="preserve">HR00194</t>
  </si>
  <si>
    <t xml:space="preserve">HR00195</t>
  </si>
  <si>
    <t xml:space="preserve">HR00196</t>
  </si>
  <si>
    <t xml:space="preserve">HR00197</t>
  </si>
  <si>
    <t xml:space="preserve">HR00198</t>
  </si>
  <si>
    <t xml:space="preserve">HR00199</t>
  </si>
  <si>
    <t xml:space="preserve">HR00200</t>
  </si>
  <si>
    <t xml:space="preserve">Audit_ID</t>
  </si>
  <si>
    <t xml:space="preserve">Department_Audited</t>
  </si>
  <si>
    <t xml:space="preserve">Audit_Type</t>
  </si>
  <si>
    <t xml:space="preserve">Finding_Description</t>
  </si>
  <si>
    <t xml:space="preserve">Severity</t>
  </si>
  <si>
    <t xml:space="preserve">AUD0001</t>
  </si>
  <si>
    <t xml:space="preserve">Compliance Audit</t>
  </si>
  <si>
    <t xml:space="preserve">Budget variance unexplained</t>
  </si>
  <si>
    <t xml:space="preserve">In Remediation</t>
  </si>
  <si>
    <t xml:space="preserve">AUD0002</t>
  </si>
  <si>
    <t xml:space="preserve">Financial Audit</t>
  </si>
  <si>
    <t xml:space="preserve">AUD0003</t>
  </si>
  <si>
    <t xml:space="preserve">IT General Controls Audit</t>
  </si>
  <si>
    <t xml:space="preserve">Asset register discrepancy</t>
  </si>
  <si>
    <t xml:space="preserve">AUD0004</t>
  </si>
  <si>
    <t xml:space="preserve">Operational Audit</t>
  </si>
  <si>
    <t xml:space="preserve">No exceptions noted</t>
  </si>
  <si>
    <t xml:space="preserve">AUD0005</t>
  </si>
  <si>
    <t xml:space="preserve">Policy non-adherence</t>
  </si>
  <si>
    <t xml:space="preserve">AUD0006</t>
  </si>
  <si>
    <t xml:space="preserve">Procurement Audit</t>
  </si>
  <si>
    <t xml:space="preserve">AUD0007</t>
  </si>
  <si>
    <t xml:space="preserve">AUD0008</t>
  </si>
  <si>
    <t xml:space="preserve">AUD0009</t>
  </si>
  <si>
    <t xml:space="preserve">Late reconciliation</t>
  </si>
  <si>
    <t xml:space="preserve">AUD0010</t>
  </si>
  <si>
    <t xml:space="preserve">Segregation of duties gap</t>
  </si>
  <si>
    <t xml:space="preserve">AUD0011</t>
  </si>
  <si>
    <t xml:space="preserve">AUD0012</t>
  </si>
  <si>
    <t xml:space="preserve">AUD0013</t>
  </si>
  <si>
    <t xml:space="preserve">AUD0014</t>
  </si>
  <si>
    <t xml:space="preserve">AUD0015</t>
  </si>
  <si>
    <t xml:space="preserve">AUD0016</t>
  </si>
  <si>
    <t xml:space="preserve">Missing approval documentation</t>
  </si>
  <si>
    <t xml:space="preserve">AUD0017</t>
  </si>
  <si>
    <t xml:space="preserve">AUD0018</t>
  </si>
  <si>
    <t xml:space="preserve">AUD0019</t>
  </si>
  <si>
    <t xml:space="preserve">AUD0020</t>
  </si>
  <si>
    <t xml:space="preserve">AUD0021</t>
  </si>
  <si>
    <t xml:space="preserve">AUD0022</t>
  </si>
  <si>
    <t xml:space="preserve">AUD0023</t>
  </si>
  <si>
    <t xml:space="preserve">AUD0024</t>
  </si>
  <si>
    <t xml:space="preserve">AUD0025</t>
  </si>
  <si>
    <t xml:space="preserve">AUD0026</t>
  </si>
  <si>
    <t xml:space="preserve">AUD0027</t>
  </si>
  <si>
    <t xml:space="preserve">AUD0028</t>
  </si>
  <si>
    <t xml:space="preserve">AUD0029</t>
  </si>
  <si>
    <t xml:space="preserve">AUD0030</t>
  </si>
  <si>
    <t xml:space="preserve">AUD0031</t>
  </si>
  <si>
    <t xml:space="preserve">AUD0032</t>
  </si>
  <si>
    <t xml:space="preserve">AUD0033</t>
  </si>
  <si>
    <t xml:space="preserve">AUD0034</t>
  </si>
  <si>
    <t xml:space="preserve">AUD0035</t>
  </si>
  <si>
    <t xml:space="preserve">AUD0036</t>
  </si>
  <si>
    <t xml:space="preserve">AUD0037</t>
  </si>
  <si>
    <t xml:space="preserve">AUD0038</t>
  </si>
  <si>
    <t xml:space="preserve">AUD0039</t>
  </si>
  <si>
    <t xml:space="preserve">AUD0040</t>
  </si>
  <si>
    <t xml:space="preserve">AUD0041</t>
  </si>
  <si>
    <t xml:space="preserve">AUD0042</t>
  </si>
  <si>
    <t xml:space="preserve">AUD0043</t>
  </si>
  <si>
    <t xml:space="preserve">AUD0044</t>
  </si>
  <si>
    <t xml:space="preserve">AUD0045</t>
  </si>
  <si>
    <t xml:space="preserve">AUD0046</t>
  </si>
  <si>
    <t xml:space="preserve">AUD0047</t>
  </si>
  <si>
    <t xml:space="preserve">AUD0048</t>
  </si>
  <si>
    <t xml:space="preserve">AUD0049</t>
  </si>
  <si>
    <t xml:space="preserve">AUD0050</t>
  </si>
  <si>
    <t xml:space="preserve">AUD0051</t>
  </si>
  <si>
    <t xml:space="preserve">AUD0052</t>
  </si>
  <si>
    <t xml:space="preserve">AUD0053</t>
  </si>
  <si>
    <t xml:space="preserve">AUD0054</t>
  </si>
  <si>
    <t xml:space="preserve">AUD0055</t>
  </si>
  <si>
    <t xml:space="preserve">AUD0056</t>
  </si>
  <si>
    <t xml:space="preserve">AUD0057</t>
  </si>
  <si>
    <t xml:space="preserve">AUD0058</t>
  </si>
  <si>
    <t xml:space="preserve">AUD0059</t>
  </si>
  <si>
    <t xml:space="preserve">AUD0060</t>
  </si>
  <si>
    <t xml:space="preserve">AUD0061</t>
  </si>
  <si>
    <t xml:space="preserve">AUD0062</t>
  </si>
  <si>
    <t xml:space="preserve">AUD0063</t>
  </si>
  <si>
    <t xml:space="preserve">AUD0064</t>
  </si>
  <si>
    <t xml:space="preserve">AUD0065</t>
  </si>
  <si>
    <t xml:space="preserve">AUD0066</t>
  </si>
  <si>
    <t xml:space="preserve">AUD0067</t>
  </si>
  <si>
    <t xml:space="preserve">AUD0068</t>
  </si>
  <si>
    <t xml:space="preserve">AUD0069</t>
  </si>
  <si>
    <t xml:space="preserve">AUD0070</t>
  </si>
  <si>
    <t xml:space="preserve">AUD0071</t>
  </si>
  <si>
    <t xml:space="preserve">AUD0072</t>
  </si>
  <si>
    <t xml:space="preserve">AUD0073</t>
  </si>
  <si>
    <t xml:space="preserve">AUD0074</t>
  </si>
  <si>
    <t xml:space="preserve">AUD0075</t>
  </si>
  <si>
    <t xml:space="preserve">AUD0076</t>
  </si>
  <si>
    <t xml:space="preserve">AUD0077</t>
  </si>
  <si>
    <t xml:space="preserve">AUD0078</t>
  </si>
  <si>
    <t xml:space="preserve">AUD0079</t>
  </si>
  <si>
    <t xml:space="preserve">AUD0080</t>
  </si>
  <si>
    <t xml:space="preserve">Risk_ID</t>
  </si>
  <si>
    <t xml:space="preserve">Date_Identified</t>
  </si>
  <si>
    <t xml:space="preserve">Risk_Category</t>
  </si>
  <si>
    <t xml:space="preserve">Risk_Description</t>
  </si>
  <si>
    <t xml:space="preserve">Likelihood_1to5</t>
  </si>
  <si>
    <t xml:space="preserve">Impact_1to5</t>
  </si>
  <si>
    <t xml:space="preserve">Risk_Score</t>
  </si>
  <si>
    <t xml:space="preserve">Mitigation_Plan</t>
  </si>
  <si>
    <t xml:space="preserve">RSK0001</t>
  </si>
  <si>
    <t xml:space="preserve">HSE</t>
  </si>
  <si>
    <t xml:space="preserve">Gas supply disruption risk</t>
  </si>
  <si>
    <t xml:space="preserve">Diversify gas suppliers</t>
  </si>
  <si>
    <t xml:space="preserve">RSK0002</t>
  </si>
  <si>
    <t xml:space="preserve">Compliance/Regulatory</t>
  </si>
  <si>
    <t xml:space="preserve">RSK0003</t>
  </si>
  <si>
    <t xml:space="preserve">Financial</t>
  </si>
  <si>
    <t xml:space="preserve">Delayed capital project risk</t>
  </si>
  <si>
    <t xml:space="preserve">Enhance project governance and monitoring</t>
  </si>
  <si>
    <t xml:space="preserve">RSK0004</t>
  </si>
  <si>
    <t xml:space="preserve">NERC tariff review risk</t>
  </si>
  <si>
    <t xml:space="preserve">Engage regulator proactively</t>
  </si>
  <si>
    <t xml:space="preserve">RSK0005</t>
  </si>
  <si>
    <t xml:space="preserve">Operational</t>
  </si>
  <si>
    <t xml:space="preserve">Data breach on SCADA network</t>
  </si>
  <si>
    <t xml:space="preserve">Deploy network segmentation and monitoring</t>
  </si>
  <si>
    <t xml:space="preserve">Monitoring</t>
  </si>
  <si>
    <t xml:space="preserve">RSK0006</t>
  </si>
  <si>
    <t xml:space="preserve">Foreign exchange exposure on spares</t>
  </si>
  <si>
    <t xml:space="preserve">Hedge FX exposure</t>
  </si>
  <si>
    <t xml:space="preserve">RSK0007</t>
  </si>
  <si>
    <t xml:space="preserve">Cybersecurity</t>
  </si>
  <si>
    <t xml:space="preserve">RSK0008</t>
  </si>
  <si>
    <t xml:space="preserve">RSK0009</t>
  </si>
  <si>
    <t xml:space="preserve">Mitigated</t>
  </si>
  <si>
    <t xml:space="preserve">RSK0010</t>
  </si>
  <si>
    <t xml:space="preserve">Community/host relations risk</t>
  </si>
  <si>
    <t xml:space="preserve">Strengthen community engagement program</t>
  </si>
  <si>
    <t xml:space="preserve">RSK0011</t>
  </si>
  <si>
    <t xml:space="preserve">Key personnel attrition risk</t>
  </si>
  <si>
    <t xml:space="preserve">Succession planning and retention plan</t>
  </si>
  <si>
    <t xml:space="preserve">RSK0012</t>
  </si>
  <si>
    <t xml:space="preserve">RSK0013</t>
  </si>
  <si>
    <t xml:space="preserve">RSK0014</t>
  </si>
  <si>
    <t xml:space="preserve">RSK0015</t>
  </si>
  <si>
    <t xml:space="preserve">Turbine failure risk</t>
  </si>
  <si>
    <t xml:space="preserve">Increase preventive maintenance frequency</t>
  </si>
  <si>
    <t xml:space="preserve">RSK0016</t>
  </si>
  <si>
    <t xml:space="preserve">RSK0017</t>
  </si>
  <si>
    <t xml:space="preserve">Reputational</t>
  </si>
  <si>
    <t xml:space="preserve">RSK0018</t>
  </si>
  <si>
    <t xml:space="preserve">RSK0019</t>
  </si>
  <si>
    <t xml:space="preserve">RSK0020</t>
  </si>
  <si>
    <t xml:space="preserve">RSK0021</t>
  </si>
  <si>
    <t xml:space="preserve">RSK0022</t>
  </si>
  <si>
    <t xml:space="preserve">RSK0023</t>
  </si>
  <si>
    <t xml:space="preserve">RSK0024</t>
  </si>
  <si>
    <t xml:space="preserve">RSK0025</t>
  </si>
  <si>
    <t xml:space="preserve">RSK0026</t>
  </si>
  <si>
    <t xml:space="preserve">RSK0027</t>
  </si>
  <si>
    <t xml:space="preserve">RSK0028</t>
  </si>
  <si>
    <t xml:space="preserve">RSK0029</t>
  </si>
  <si>
    <t xml:space="preserve">RSK0030</t>
  </si>
  <si>
    <t xml:space="preserve">RSK0031</t>
  </si>
  <si>
    <t xml:space="preserve">RSK0032</t>
  </si>
  <si>
    <t xml:space="preserve">RSK0033</t>
  </si>
  <si>
    <t xml:space="preserve">RSK0034</t>
  </si>
  <si>
    <t xml:space="preserve">RSK0035</t>
  </si>
  <si>
    <t xml:space="preserve">RSK0036</t>
  </si>
  <si>
    <t xml:space="preserve">RSK0037</t>
  </si>
  <si>
    <t xml:space="preserve">RSK0038</t>
  </si>
  <si>
    <t xml:space="preserve">RSK0039</t>
  </si>
  <si>
    <t xml:space="preserve">RSK0040</t>
  </si>
  <si>
    <t xml:space="preserve">RSK0041</t>
  </si>
  <si>
    <t xml:space="preserve">RSK0042</t>
  </si>
  <si>
    <t xml:space="preserve">RSK0043</t>
  </si>
  <si>
    <t xml:space="preserve">RSK0044</t>
  </si>
  <si>
    <t xml:space="preserve">RSK0045</t>
  </si>
  <si>
    <t xml:space="preserve">RSK0046</t>
  </si>
  <si>
    <t xml:space="preserve">RSK0047</t>
  </si>
  <si>
    <t xml:space="preserve">RSK0048</t>
  </si>
  <si>
    <t xml:space="preserve">RSK0049</t>
  </si>
  <si>
    <t xml:space="preserve">RSK0050</t>
  </si>
  <si>
    <t xml:space="preserve">RSK0051</t>
  </si>
  <si>
    <t xml:space="preserve">RSK0052</t>
  </si>
  <si>
    <t xml:space="preserve">RSK0053</t>
  </si>
  <si>
    <t xml:space="preserve">RSK0054</t>
  </si>
  <si>
    <t xml:space="preserve">RSK0055</t>
  </si>
  <si>
    <t xml:space="preserve">RSK0056</t>
  </si>
  <si>
    <t xml:space="preserve">RSK0057</t>
  </si>
  <si>
    <t xml:space="preserve">RSK0058</t>
  </si>
  <si>
    <t xml:space="preserve">RSK0059</t>
  </si>
  <si>
    <t xml:space="preserve">RSK0060</t>
  </si>
  <si>
    <t xml:space="preserve">RSK0061</t>
  </si>
  <si>
    <t xml:space="preserve">RSK0062</t>
  </si>
  <si>
    <t xml:space="preserve">RSK0063</t>
  </si>
  <si>
    <t xml:space="preserve">RSK0064</t>
  </si>
  <si>
    <t xml:space="preserve">RSK0065</t>
  </si>
  <si>
    <t xml:space="preserve">RSK0066</t>
  </si>
  <si>
    <t xml:space="preserve">RSK0067</t>
  </si>
  <si>
    <t xml:space="preserve">RSK0068</t>
  </si>
  <si>
    <t xml:space="preserve">RSK0069</t>
  </si>
  <si>
    <t xml:space="preserve">RSK0070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</si>
</sst>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.0"/>
    <numFmt numFmtId="16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sz val="10"/>
      <color rgb="FF0061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65"/>
    <col collapsed="false" customWidth="true" hidden="false" outlineLevel="0" max="4" min="4" style="1" width="42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3" t="s">
        <v>3</v>
      </c>
    </row>
    <row r="9" customFormat="false" ht="15" hidden="false" customHeight="true" outlineLevel="0" collapsed="false">
      <c r="B9" s="5" t="s">
        <v>4</v>
      </c>
      <c r="C9" s="5" t="s">
        <v>5</v>
      </c>
      <c r="D9" s="5" t="s">
        <v>6</v>
      </c>
    </row>
    <row r="10" customFormat="false" ht="23.25" hidden="false" customHeight="true" outlineLevel="0" collapsed="false">
      <c r="B10" s="6" t="s">
        <v>7</v>
      </c>
      <c r="C10" s="6" t="s">
        <v>8</v>
      </c>
      <c r="D10" s="6" t="s">
        <v>9</v>
      </c>
    </row>
    <row r="11" customFormat="false" ht="23.25" hidden="false" customHeight="true" outlineLevel="0" collapsed="false">
      <c r="B11" s="6" t="s">
        <v>10</v>
      </c>
      <c r="C11" s="6" t="s">
        <v>11</v>
      </c>
      <c r="D11" s="6" t="s">
        <v>12</v>
      </c>
    </row>
    <row r="12" customFormat="false" ht="15" hidden="false" customHeight="true" outlineLevel="0" collapsed="false">
      <c r="B12" s="6" t="s">
        <v>13</v>
      </c>
      <c r="C12" s="6" t="s">
        <v>14</v>
      </c>
      <c r="D12" s="6" t="s">
        <v>15</v>
      </c>
    </row>
    <row r="13" customFormat="false" ht="15" hidden="false" customHeight="true" outlineLevel="0" collapsed="false">
      <c r="B13" s="6" t="s">
        <v>16</v>
      </c>
      <c r="C13" s="6" t="s">
        <v>17</v>
      </c>
      <c r="D13" s="6" t="s">
        <v>18</v>
      </c>
    </row>
    <row r="14" customFormat="false" ht="15" hidden="false" customHeight="true" outlineLevel="0" collapsed="false">
      <c r="B14" s="6" t="s">
        <v>19</v>
      </c>
      <c r="C14" s="6" t="s">
        <v>20</v>
      </c>
      <c r="D14" s="6" t="s">
        <v>21</v>
      </c>
    </row>
    <row r="15" customFormat="false" ht="15" hidden="false" customHeight="true" outlineLevel="0" collapsed="false">
      <c r="B15" s="6" t="s">
        <v>22</v>
      </c>
      <c r="C15" s="6" t="s">
        <v>23</v>
      </c>
      <c r="D15" s="6" t="s">
        <v>18</v>
      </c>
    </row>
    <row r="16" customFormat="false" ht="15" hidden="false" customHeight="true" outlineLevel="0" collapsed="false">
      <c r="B16" s="6" t="s">
        <v>24</v>
      </c>
      <c r="C16" s="6" t="s">
        <v>25</v>
      </c>
      <c r="D16" s="6" t="s">
        <v>18</v>
      </c>
    </row>
    <row r="17" customFormat="false" ht="15" hidden="false" customHeight="true" outlineLevel="0" collapsed="false">
      <c r="B17" s="6" t="s">
        <v>26</v>
      </c>
      <c r="C17" s="6" t="s">
        <v>27</v>
      </c>
      <c r="D17" s="6" t="s">
        <v>18</v>
      </c>
    </row>
    <row r="18" customFormat="false" ht="15" hidden="false" customHeight="true" outlineLevel="0" collapsed="false">
      <c r="B18" s="6" t="s">
        <v>28</v>
      </c>
      <c r="C18" s="6" t="s">
        <v>29</v>
      </c>
      <c r="D18" s="6" t="s">
        <v>18</v>
      </c>
    </row>
    <row r="19" customFormat="false" ht="15" hidden="false" customHeight="true" outlineLevel="0" collapsed="false">
      <c r="B19" s="6" t="s">
        <v>30</v>
      </c>
      <c r="C19" s="6" t="s">
        <v>31</v>
      </c>
      <c r="D19" s="6" t="s">
        <v>32</v>
      </c>
    </row>
    <row r="20" customFormat="false" ht="15" hidden="false" customHeight="true" outlineLevel="0" collapsed="false">
      <c r="B20" s="6" t="s">
        <v>33</v>
      </c>
      <c r="C20" s="6" t="s">
        <v>34</v>
      </c>
      <c r="D20" s="6" t="s">
        <v>35</v>
      </c>
    </row>
    <row r="21" customFormat="false" ht="15" hidden="false" customHeight="true" outlineLevel="0" collapsed="false">
      <c r="B21" s="6" t="s">
        <v>36</v>
      </c>
      <c r="C21" s="6" t="s">
        <v>37</v>
      </c>
      <c r="D21" s="6" t="s">
        <v>38</v>
      </c>
    </row>
    <row r="22" customFormat="false" ht="15" hidden="false" customHeight="true" outlineLevel="0" collapsed="false">
      <c r="B22" s="6" t="s">
        <v>39</v>
      </c>
      <c r="C22" s="6" t="s">
        <v>40</v>
      </c>
      <c r="D22" s="6" t="s">
        <v>41</v>
      </c>
    </row>
    <row r="25" customFormat="false" ht="15" hidden="false" customHeight="true" outlineLevel="0" collapsed="false">
      <c r="B25" s="4" t="s">
        <v>42</v>
      </c>
    </row>
    <row r="26" customFormat="false" ht="15" hidden="false" customHeight="true" outlineLevel="0" collapsed="false">
      <c r="B26" s="7" t="s">
        <v>43</v>
      </c>
    </row>
    <row r="27" customFormat="false" ht="15" hidden="false" customHeight="true" outlineLevel="0" collapsed="false">
      <c r="B27" s="8" t="s">
        <v>44</v>
      </c>
    </row>
    <row r="28" customFormat="false" ht="15" hidden="false" customHeight="true" outlineLevel="0" collapsed="false">
      <c r="B28" s="9" t="s">
        <v>45</v>
      </c>
    </row>
    <row r="30" customFormat="false" ht="15" hidden="false" customHeight="true" outlineLevel="0" collapsed="false">
      <c r="B30" s="4" t="s">
        <v>46</v>
      </c>
    </row>
    <row r="31" customFormat="false" ht="15" hidden="false" customHeight="true" outlineLevel="0" collapsed="false">
      <c r="B31" s="9" t="s">
        <v>47</v>
      </c>
    </row>
    <row r="32" customFormat="false" ht="15" hidden="false" customHeight="true" outlineLevel="0" collapsed="false">
      <c r="B32" s="9" t="s">
        <v>48</v>
      </c>
    </row>
    <row r="33" customFormat="false" ht="15" hidden="false" customHeight="true" outlineLevel="0" collapsed="false">
      <c r="B33" s="9" t="s">
        <v>49</v>
      </c>
    </row>
    <row r="34" customFormat="false" ht="15" hidden="false" customHeight="true" outlineLevel="0" collapsed="false">
      <c r="B34" s="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8" min="7" style="1" width="11"/>
  </cols>
  <sheetData>
    <row r="1" customFormat="false" ht="26.25" hidden="false" customHeight="true" outlineLevel="0" collapsed="false">
      <c r="A1" s="10" t="s">
        <v>9</v>
      </c>
      <c r="B1" s="10" t="s">
        <v>51</v>
      </c>
      <c r="C1" s="10" t="s">
        <v>52</v>
      </c>
      <c r="D1" s="10" t="s">
        <v>53</v>
      </c>
      <c r="E1" s="10" t="s">
        <v>54</v>
      </c>
      <c r="F1" s="10" t="s">
        <v>55</v>
      </c>
      <c r="G1" s="10" t="s">
        <v>56</v>
      </c>
      <c r="H1" s="10" t="s">
        <v>57</v>
      </c>
    </row>
    <row r="2" customFormat="false" ht="15" hidden="false" customHeight="true" outlineLevel="0" collapsed="false">
      <c r="A2" s="11" t="n">
        <v>45658</v>
      </c>
      <c r="B2" s="12" t="n">
        <v>2025</v>
      </c>
      <c r="C2" s="12" t="s">
        <v>58</v>
      </c>
      <c r="D2" s="12" t="n">
        <v>1</v>
      </c>
      <c r="E2" s="12" t="s">
        <v>59</v>
      </c>
      <c r="F2" s="12" t="n">
        <v>1</v>
      </c>
      <c r="G2" s="12" t="s">
        <v>60</v>
      </c>
      <c r="H2" s="12" t="s">
        <v>61</v>
      </c>
    </row>
    <row r="3" customFormat="false" ht="15" hidden="false" customHeight="true" outlineLevel="0" collapsed="false">
      <c r="A3" s="11" t="n">
        <v>45659</v>
      </c>
      <c r="B3" s="12" t="n">
        <v>2025</v>
      </c>
      <c r="C3" s="12" t="s">
        <v>58</v>
      </c>
      <c r="D3" s="12" t="n">
        <v>1</v>
      </c>
      <c r="E3" s="12" t="s">
        <v>59</v>
      </c>
      <c r="F3" s="12" t="n">
        <v>1</v>
      </c>
      <c r="G3" s="12" t="s">
        <v>62</v>
      </c>
      <c r="H3" s="12" t="s">
        <v>61</v>
      </c>
    </row>
    <row r="4" customFormat="false" ht="15" hidden="false" customHeight="true" outlineLevel="0" collapsed="false">
      <c r="A4" s="11" t="n">
        <v>45660</v>
      </c>
      <c r="B4" s="12" t="n">
        <v>2025</v>
      </c>
      <c r="C4" s="12" t="s">
        <v>58</v>
      </c>
      <c r="D4" s="12" t="n">
        <v>1</v>
      </c>
      <c r="E4" s="12" t="s">
        <v>59</v>
      </c>
      <c r="F4" s="12" t="n">
        <v>1</v>
      </c>
      <c r="G4" s="12" t="s">
        <v>63</v>
      </c>
      <c r="H4" s="12" t="s">
        <v>61</v>
      </c>
    </row>
    <row r="5" customFormat="false" ht="15" hidden="false" customHeight="true" outlineLevel="0" collapsed="false">
      <c r="A5" s="11" t="n">
        <v>45661</v>
      </c>
      <c r="B5" s="12" t="n">
        <v>2025</v>
      </c>
      <c r="C5" s="12" t="s">
        <v>58</v>
      </c>
      <c r="D5" s="12" t="n">
        <v>1</v>
      </c>
      <c r="E5" s="12" t="s">
        <v>59</v>
      </c>
      <c r="F5" s="12" t="n">
        <v>1</v>
      </c>
      <c r="G5" s="12" t="s">
        <v>64</v>
      </c>
      <c r="H5" s="12" t="s">
        <v>65</v>
      </c>
    </row>
    <row r="6" customFormat="false" ht="15" hidden="false" customHeight="true" outlineLevel="0" collapsed="false">
      <c r="A6" s="11" t="n">
        <v>45662</v>
      </c>
      <c r="B6" s="12" t="n">
        <v>2025</v>
      </c>
      <c r="C6" s="12" t="s">
        <v>58</v>
      </c>
      <c r="D6" s="12" t="n">
        <v>1</v>
      </c>
      <c r="E6" s="12" t="s">
        <v>59</v>
      </c>
      <c r="F6" s="12" t="n">
        <v>1</v>
      </c>
      <c r="G6" s="12" t="s">
        <v>66</v>
      </c>
      <c r="H6" s="12" t="s">
        <v>65</v>
      </c>
    </row>
    <row r="7" customFormat="false" ht="15" hidden="false" customHeight="true" outlineLevel="0" collapsed="false">
      <c r="A7" s="11" t="n">
        <v>45663</v>
      </c>
      <c r="B7" s="12" t="n">
        <v>2025</v>
      </c>
      <c r="C7" s="12" t="s">
        <v>58</v>
      </c>
      <c r="D7" s="12" t="n">
        <v>1</v>
      </c>
      <c r="E7" s="12" t="s">
        <v>59</v>
      </c>
      <c r="F7" s="12" t="n">
        <v>2</v>
      </c>
      <c r="G7" s="12" t="s">
        <v>67</v>
      </c>
      <c r="H7" s="12" t="s">
        <v>61</v>
      </c>
    </row>
    <row r="8" customFormat="false" ht="15" hidden="false" customHeight="true" outlineLevel="0" collapsed="false">
      <c r="A8" s="11" t="n">
        <v>45664</v>
      </c>
      <c r="B8" s="12" t="n">
        <v>2025</v>
      </c>
      <c r="C8" s="12" t="s">
        <v>58</v>
      </c>
      <c r="D8" s="12" t="n">
        <v>1</v>
      </c>
      <c r="E8" s="12" t="s">
        <v>59</v>
      </c>
      <c r="F8" s="12" t="n">
        <v>2</v>
      </c>
      <c r="G8" s="12" t="s">
        <v>68</v>
      </c>
      <c r="H8" s="12" t="s">
        <v>61</v>
      </c>
    </row>
    <row r="9" customFormat="false" ht="15" hidden="false" customHeight="true" outlineLevel="0" collapsed="false">
      <c r="A9" s="11" t="n">
        <v>45665</v>
      </c>
      <c r="B9" s="12" t="n">
        <v>2025</v>
      </c>
      <c r="C9" s="12" t="s">
        <v>58</v>
      </c>
      <c r="D9" s="12" t="n">
        <v>1</v>
      </c>
      <c r="E9" s="12" t="s">
        <v>59</v>
      </c>
      <c r="F9" s="12" t="n">
        <v>2</v>
      </c>
      <c r="G9" s="12" t="s">
        <v>60</v>
      </c>
      <c r="H9" s="12" t="s">
        <v>61</v>
      </c>
    </row>
    <row r="10" customFormat="false" ht="15" hidden="false" customHeight="true" outlineLevel="0" collapsed="false">
      <c r="A10" s="11" t="n">
        <v>45666</v>
      </c>
      <c r="B10" s="12" t="n">
        <v>2025</v>
      </c>
      <c r="C10" s="12" t="s">
        <v>58</v>
      </c>
      <c r="D10" s="12" t="n">
        <v>1</v>
      </c>
      <c r="E10" s="12" t="s">
        <v>59</v>
      </c>
      <c r="F10" s="12" t="n">
        <v>2</v>
      </c>
      <c r="G10" s="12" t="s">
        <v>62</v>
      </c>
      <c r="H10" s="12" t="s">
        <v>61</v>
      </c>
    </row>
    <row r="11" customFormat="false" ht="15" hidden="false" customHeight="true" outlineLevel="0" collapsed="false">
      <c r="A11" s="11" t="n">
        <v>45667</v>
      </c>
      <c r="B11" s="12" t="n">
        <v>2025</v>
      </c>
      <c r="C11" s="12" t="s">
        <v>58</v>
      </c>
      <c r="D11" s="12" t="n">
        <v>1</v>
      </c>
      <c r="E11" s="12" t="s">
        <v>59</v>
      </c>
      <c r="F11" s="12" t="n">
        <v>2</v>
      </c>
      <c r="G11" s="12" t="s">
        <v>63</v>
      </c>
      <c r="H11" s="12" t="s">
        <v>61</v>
      </c>
    </row>
    <row r="12" customFormat="false" ht="15" hidden="false" customHeight="true" outlineLevel="0" collapsed="false">
      <c r="A12" s="11" t="n">
        <v>45668</v>
      </c>
      <c r="B12" s="12" t="n">
        <v>2025</v>
      </c>
      <c r="C12" s="12" t="s">
        <v>58</v>
      </c>
      <c r="D12" s="12" t="n">
        <v>1</v>
      </c>
      <c r="E12" s="12" t="s">
        <v>59</v>
      </c>
      <c r="F12" s="12" t="n">
        <v>2</v>
      </c>
      <c r="G12" s="12" t="s">
        <v>64</v>
      </c>
      <c r="H12" s="12" t="s">
        <v>65</v>
      </c>
    </row>
    <row r="13" customFormat="false" ht="15" hidden="false" customHeight="true" outlineLevel="0" collapsed="false">
      <c r="A13" s="11" t="n">
        <v>45669</v>
      </c>
      <c r="B13" s="12" t="n">
        <v>2025</v>
      </c>
      <c r="C13" s="12" t="s">
        <v>58</v>
      </c>
      <c r="D13" s="12" t="n">
        <v>1</v>
      </c>
      <c r="E13" s="12" t="s">
        <v>59</v>
      </c>
      <c r="F13" s="12" t="n">
        <v>2</v>
      </c>
      <c r="G13" s="12" t="s">
        <v>66</v>
      </c>
      <c r="H13" s="12" t="s">
        <v>65</v>
      </c>
    </row>
    <row r="14" customFormat="false" ht="15" hidden="false" customHeight="true" outlineLevel="0" collapsed="false">
      <c r="A14" s="11" t="n">
        <v>45670</v>
      </c>
      <c r="B14" s="12" t="n">
        <v>2025</v>
      </c>
      <c r="C14" s="12" t="s">
        <v>58</v>
      </c>
      <c r="D14" s="12" t="n">
        <v>1</v>
      </c>
      <c r="E14" s="12" t="s">
        <v>59</v>
      </c>
      <c r="F14" s="12" t="n">
        <v>3</v>
      </c>
      <c r="G14" s="12" t="s">
        <v>67</v>
      </c>
      <c r="H14" s="12" t="s">
        <v>61</v>
      </c>
    </row>
    <row r="15" customFormat="false" ht="15" hidden="false" customHeight="true" outlineLevel="0" collapsed="false">
      <c r="A15" s="11" t="n">
        <v>45671</v>
      </c>
      <c r="B15" s="12" t="n">
        <v>2025</v>
      </c>
      <c r="C15" s="12" t="s">
        <v>58</v>
      </c>
      <c r="D15" s="12" t="n">
        <v>1</v>
      </c>
      <c r="E15" s="12" t="s">
        <v>59</v>
      </c>
      <c r="F15" s="12" t="n">
        <v>3</v>
      </c>
      <c r="G15" s="12" t="s">
        <v>68</v>
      </c>
      <c r="H15" s="12" t="s">
        <v>61</v>
      </c>
    </row>
    <row r="16" customFormat="false" ht="15" hidden="false" customHeight="true" outlineLevel="0" collapsed="false">
      <c r="A16" s="11" t="n">
        <v>45672</v>
      </c>
      <c r="B16" s="12" t="n">
        <v>2025</v>
      </c>
      <c r="C16" s="12" t="s">
        <v>58</v>
      </c>
      <c r="D16" s="12" t="n">
        <v>1</v>
      </c>
      <c r="E16" s="12" t="s">
        <v>59</v>
      </c>
      <c r="F16" s="12" t="n">
        <v>3</v>
      </c>
      <c r="G16" s="12" t="s">
        <v>60</v>
      </c>
      <c r="H16" s="12" t="s">
        <v>61</v>
      </c>
    </row>
    <row r="17" customFormat="false" ht="15" hidden="false" customHeight="true" outlineLevel="0" collapsed="false">
      <c r="A17" s="11" t="n">
        <v>45673</v>
      </c>
      <c r="B17" s="12" t="n">
        <v>2025</v>
      </c>
      <c r="C17" s="12" t="s">
        <v>58</v>
      </c>
      <c r="D17" s="12" t="n">
        <v>1</v>
      </c>
      <c r="E17" s="12" t="s">
        <v>59</v>
      </c>
      <c r="F17" s="12" t="n">
        <v>3</v>
      </c>
      <c r="G17" s="12" t="s">
        <v>62</v>
      </c>
      <c r="H17" s="12" t="s">
        <v>61</v>
      </c>
    </row>
    <row r="18" customFormat="false" ht="15" hidden="false" customHeight="true" outlineLevel="0" collapsed="false">
      <c r="A18" s="11" t="n">
        <v>45674</v>
      </c>
      <c r="B18" s="12" t="n">
        <v>2025</v>
      </c>
      <c r="C18" s="12" t="s">
        <v>58</v>
      </c>
      <c r="D18" s="12" t="n">
        <v>1</v>
      </c>
      <c r="E18" s="12" t="s">
        <v>59</v>
      </c>
      <c r="F18" s="12" t="n">
        <v>3</v>
      </c>
      <c r="G18" s="12" t="s">
        <v>63</v>
      </c>
      <c r="H18" s="12" t="s">
        <v>61</v>
      </c>
    </row>
    <row r="19" customFormat="false" ht="15" hidden="false" customHeight="true" outlineLevel="0" collapsed="false">
      <c r="A19" s="11" t="n">
        <v>45675</v>
      </c>
      <c r="B19" s="12" t="n">
        <v>2025</v>
      </c>
      <c r="C19" s="12" t="s">
        <v>58</v>
      </c>
      <c r="D19" s="12" t="n">
        <v>1</v>
      </c>
      <c r="E19" s="12" t="s">
        <v>59</v>
      </c>
      <c r="F19" s="12" t="n">
        <v>3</v>
      </c>
      <c r="G19" s="12" t="s">
        <v>64</v>
      </c>
      <c r="H19" s="12" t="s">
        <v>65</v>
      </c>
    </row>
    <row r="20" customFormat="false" ht="15" hidden="false" customHeight="true" outlineLevel="0" collapsed="false">
      <c r="A20" s="11" t="n">
        <v>45676</v>
      </c>
      <c r="B20" s="12" t="n">
        <v>2025</v>
      </c>
      <c r="C20" s="12" t="s">
        <v>58</v>
      </c>
      <c r="D20" s="12" t="n">
        <v>1</v>
      </c>
      <c r="E20" s="12" t="s">
        <v>59</v>
      </c>
      <c r="F20" s="12" t="n">
        <v>3</v>
      </c>
      <c r="G20" s="12" t="s">
        <v>66</v>
      </c>
      <c r="H20" s="12" t="s">
        <v>65</v>
      </c>
    </row>
    <row r="21" customFormat="false" ht="15" hidden="false" customHeight="true" outlineLevel="0" collapsed="false">
      <c r="A21" s="11" t="n">
        <v>45677</v>
      </c>
      <c r="B21" s="12" t="n">
        <v>2025</v>
      </c>
      <c r="C21" s="12" t="s">
        <v>58</v>
      </c>
      <c r="D21" s="12" t="n">
        <v>1</v>
      </c>
      <c r="E21" s="12" t="s">
        <v>59</v>
      </c>
      <c r="F21" s="12" t="n">
        <v>4</v>
      </c>
      <c r="G21" s="12" t="s">
        <v>67</v>
      </c>
      <c r="H21" s="12" t="s">
        <v>61</v>
      </c>
    </row>
    <row r="22" customFormat="false" ht="15" hidden="false" customHeight="true" outlineLevel="0" collapsed="false">
      <c r="A22" s="11" t="n">
        <v>45678</v>
      </c>
      <c r="B22" s="12" t="n">
        <v>2025</v>
      </c>
      <c r="C22" s="12" t="s">
        <v>58</v>
      </c>
      <c r="D22" s="12" t="n">
        <v>1</v>
      </c>
      <c r="E22" s="12" t="s">
        <v>59</v>
      </c>
      <c r="F22" s="12" t="n">
        <v>4</v>
      </c>
      <c r="G22" s="12" t="s">
        <v>68</v>
      </c>
      <c r="H22" s="12" t="s">
        <v>61</v>
      </c>
    </row>
    <row r="23" customFormat="false" ht="15" hidden="false" customHeight="true" outlineLevel="0" collapsed="false">
      <c r="A23" s="11" t="n">
        <v>45679</v>
      </c>
      <c r="B23" s="12" t="n">
        <v>2025</v>
      </c>
      <c r="C23" s="12" t="s">
        <v>58</v>
      </c>
      <c r="D23" s="12" t="n">
        <v>1</v>
      </c>
      <c r="E23" s="12" t="s">
        <v>59</v>
      </c>
      <c r="F23" s="12" t="n">
        <v>4</v>
      </c>
      <c r="G23" s="12" t="s">
        <v>60</v>
      </c>
      <c r="H23" s="12" t="s">
        <v>61</v>
      </c>
    </row>
    <row r="24" customFormat="false" ht="15" hidden="false" customHeight="true" outlineLevel="0" collapsed="false">
      <c r="A24" s="11" t="n">
        <v>45680</v>
      </c>
      <c r="B24" s="12" t="n">
        <v>2025</v>
      </c>
      <c r="C24" s="12" t="s">
        <v>58</v>
      </c>
      <c r="D24" s="12" t="n">
        <v>1</v>
      </c>
      <c r="E24" s="12" t="s">
        <v>59</v>
      </c>
      <c r="F24" s="12" t="n">
        <v>4</v>
      </c>
      <c r="G24" s="12" t="s">
        <v>62</v>
      </c>
      <c r="H24" s="12" t="s">
        <v>61</v>
      </c>
    </row>
    <row r="25" customFormat="false" ht="15" hidden="false" customHeight="true" outlineLevel="0" collapsed="false">
      <c r="A25" s="11" t="n">
        <v>45681</v>
      </c>
      <c r="B25" s="12" t="n">
        <v>2025</v>
      </c>
      <c r="C25" s="12" t="s">
        <v>58</v>
      </c>
      <c r="D25" s="12" t="n">
        <v>1</v>
      </c>
      <c r="E25" s="12" t="s">
        <v>59</v>
      </c>
      <c r="F25" s="12" t="n">
        <v>4</v>
      </c>
      <c r="G25" s="12" t="s">
        <v>63</v>
      </c>
      <c r="H25" s="12" t="s">
        <v>61</v>
      </c>
    </row>
    <row r="26" customFormat="false" ht="15" hidden="false" customHeight="true" outlineLevel="0" collapsed="false">
      <c r="A26" s="11" t="n">
        <v>45682</v>
      </c>
      <c r="B26" s="12" t="n">
        <v>2025</v>
      </c>
      <c r="C26" s="12" t="s">
        <v>58</v>
      </c>
      <c r="D26" s="12" t="n">
        <v>1</v>
      </c>
      <c r="E26" s="12" t="s">
        <v>59</v>
      </c>
      <c r="F26" s="12" t="n">
        <v>4</v>
      </c>
      <c r="G26" s="12" t="s">
        <v>64</v>
      </c>
      <c r="H26" s="12" t="s">
        <v>65</v>
      </c>
    </row>
    <row r="27" customFormat="false" ht="15" hidden="false" customHeight="true" outlineLevel="0" collapsed="false">
      <c r="A27" s="11" t="n">
        <v>45683</v>
      </c>
      <c r="B27" s="12" t="n">
        <v>2025</v>
      </c>
      <c r="C27" s="12" t="s">
        <v>58</v>
      </c>
      <c r="D27" s="12" t="n">
        <v>1</v>
      </c>
      <c r="E27" s="12" t="s">
        <v>59</v>
      </c>
      <c r="F27" s="12" t="n">
        <v>4</v>
      </c>
      <c r="G27" s="12" t="s">
        <v>66</v>
      </c>
      <c r="H27" s="12" t="s">
        <v>65</v>
      </c>
    </row>
    <row r="28" customFormat="false" ht="15" hidden="false" customHeight="true" outlineLevel="0" collapsed="false">
      <c r="A28" s="11" t="n">
        <v>45684</v>
      </c>
      <c r="B28" s="12" t="n">
        <v>2025</v>
      </c>
      <c r="C28" s="12" t="s">
        <v>58</v>
      </c>
      <c r="D28" s="12" t="n">
        <v>1</v>
      </c>
      <c r="E28" s="12" t="s">
        <v>59</v>
      </c>
      <c r="F28" s="12" t="n">
        <v>5</v>
      </c>
      <c r="G28" s="12" t="s">
        <v>67</v>
      </c>
      <c r="H28" s="12" t="s">
        <v>61</v>
      </c>
    </row>
    <row r="29" customFormat="false" ht="15" hidden="false" customHeight="true" outlineLevel="0" collapsed="false">
      <c r="A29" s="11" t="n">
        <v>45685</v>
      </c>
      <c r="B29" s="12" t="n">
        <v>2025</v>
      </c>
      <c r="C29" s="12" t="s">
        <v>58</v>
      </c>
      <c r="D29" s="12" t="n">
        <v>1</v>
      </c>
      <c r="E29" s="12" t="s">
        <v>59</v>
      </c>
      <c r="F29" s="12" t="n">
        <v>5</v>
      </c>
      <c r="G29" s="12" t="s">
        <v>68</v>
      </c>
      <c r="H29" s="12" t="s">
        <v>61</v>
      </c>
    </row>
    <row r="30" customFormat="false" ht="15" hidden="false" customHeight="true" outlineLevel="0" collapsed="false">
      <c r="A30" s="11" t="n">
        <v>45686</v>
      </c>
      <c r="B30" s="12" t="n">
        <v>2025</v>
      </c>
      <c r="C30" s="12" t="s">
        <v>58</v>
      </c>
      <c r="D30" s="12" t="n">
        <v>1</v>
      </c>
      <c r="E30" s="12" t="s">
        <v>59</v>
      </c>
      <c r="F30" s="12" t="n">
        <v>5</v>
      </c>
      <c r="G30" s="12" t="s">
        <v>60</v>
      </c>
      <c r="H30" s="12" t="s">
        <v>61</v>
      </c>
    </row>
    <row r="31" customFormat="false" ht="15" hidden="false" customHeight="true" outlineLevel="0" collapsed="false">
      <c r="A31" s="11" t="n">
        <v>45687</v>
      </c>
      <c r="B31" s="12" t="n">
        <v>2025</v>
      </c>
      <c r="C31" s="12" t="s">
        <v>58</v>
      </c>
      <c r="D31" s="12" t="n">
        <v>1</v>
      </c>
      <c r="E31" s="12" t="s">
        <v>59</v>
      </c>
      <c r="F31" s="12" t="n">
        <v>5</v>
      </c>
      <c r="G31" s="12" t="s">
        <v>62</v>
      </c>
      <c r="H31" s="12" t="s">
        <v>61</v>
      </c>
    </row>
    <row r="32" customFormat="false" ht="15" hidden="false" customHeight="true" outlineLevel="0" collapsed="false">
      <c r="A32" s="11" t="n">
        <v>45688</v>
      </c>
      <c r="B32" s="12" t="n">
        <v>2025</v>
      </c>
      <c r="C32" s="12" t="s">
        <v>58</v>
      </c>
      <c r="D32" s="12" t="n">
        <v>1</v>
      </c>
      <c r="E32" s="12" t="s">
        <v>59</v>
      </c>
      <c r="F32" s="12" t="n">
        <v>5</v>
      </c>
      <c r="G32" s="12" t="s">
        <v>63</v>
      </c>
      <c r="H32" s="12" t="s">
        <v>61</v>
      </c>
    </row>
    <row r="33" customFormat="false" ht="15" hidden="false" customHeight="true" outlineLevel="0" collapsed="false">
      <c r="A33" s="11" t="n">
        <v>45689</v>
      </c>
      <c r="B33" s="12" t="n">
        <v>2025</v>
      </c>
      <c r="C33" s="12" t="s">
        <v>58</v>
      </c>
      <c r="D33" s="12" t="n">
        <v>2</v>
      </c>
      <c r="E33" s="12" t="s">
        <v>69</v>
      </c>
      <c r="F33" s="12" t="n">
        <v>5</v>
      </c>
      <c r="G33" s="12" t="s">
        <v>64</v>
      </c>
      <c r="H33" s="12" t="s">
        <v>65</v>
      </c>
    </row>
    <row r="34" customFormat="false" ht="15" hidden="false" customHeight="true" outlineLevel="0" collapsed="false">
      <c r="A34" s="11" t="n">
        <v>45690</v>
      </c>
      <c r="B34" s="12" t="n">
        <v>2025</v>
      </c>
      <c r="C34" s="12" t="s">
        <v>58</v>
      </c>
      <c r="D34" s="12" t="n">
        <v>2</v>
      </c>
      <c r="E34" s="12" t="s">
        <v>69</v>
      </c>
      <c r="F34" s="12" t="n">
        <v>5</v>
      </c>
      <c r="G34" s="12" t="s">
        <v>66</v>
      </c>
      <c r="H34" s="12" t="s">
        <v>65</v>
      </c>
    </row>
    <row r="35" customFormat="false" ht="15" hidden="false" customHeight="true" outlineLevel="0" collapsed="false">
      <c r="A35" s="11" t="n">
        <v>45691</v>
      </c>
      <c r="B35" s="12" t="n">
        <v>2025</v>
      </c>
      <c r="C35" s="12" t="s">
        <v>58</v>
      </c>
      <c r="D35" s="12" t="n">
        <v>2</v>
      </c>
      <c r="E35" s="12" t="s">
        <v>69</v>
      </c>
      <c r="F35" s="12" t="n">
        <v>6</v>
      </c>
      <c r="G35" s="12" t="s">
        <v>67</v>
      </c>
      <c r="H35" s="12" t="s">
        <v>61</v>
      </c>
    </row>
    <row r="36" customFormat="false" ht="15" hidden="false" customHeight="true" outlineLevel="0" collapsed="false">
      <c r="A36" s="11" t="n">
        <v>45692</v>
      </c>
      <c r="B36" s="12" t="n">
        <v>2025</v>
      </c>
      <c r="C36" s="12" t="s">
        <v>58</v>
      </c>
      <c r="D36" s="12" t="n">
        <v>2</v>
      </c>
      <c r="E36" s="12" t="s">
        <v>69</v>
      </c>
      <c r="F36" s="12" t="n">
        <v>6</v>
      </c>
      <c r="G36" s="12" t="s">
        <v>68</v>
      </c>
      <c r="H36" s="12" t="s">
        <v>61</v>
      </c>
    </row>
    <row r="37" customFormat="false" ht="15" hidden="false" customHeight="true" outlineLevel="0" collapsed="false">
      <c r="A37" s="11" t="n">
        <v>45693</v>
      </c>
      <c r="B37" s="12" t="n">
        <v>2025</v>
      </c>
      <c r="C37" s="12" t="s">
        <v>58</v>
      </c>
      <c r="D37" s="12" t="n">
        <v>2</v>
      </c>
      <c r="E37" s="12" t="s">
        <v>69</v>
      </c>
      <c r="F37" s="12" t="n">
        <v>6</v>
      </c>
      <c r="G37" s="12" t="s">
        <v>60</v>
      </c>
      <c r="H37" s="12" t="s">
        <v>61</v>
      </c>
    </row>
    <row r="38" customFormat="false" ht="15" hidden="false" customHeight="true" outlineLevel="0" collapsed="false">
      <c r="A38" s="11" t="n">
        <v>45694</v>
      </c>
      <c r="B38" s="12" t="n">
        <v>2025</v>
      </c>
      <c r="C38" s="12" t="s">
        <v>58</v>
      </c>
      <c r="D38" s="12" t="n">
        <v>2</v>
      </c>
      <c r="E38" s="12" t="s">
        <v>69</v>
      </c>
      <c r="F38" s="12" t="n">
        <v>6</v>
      </c>
      <c r="G38" s="12" t="s">
        <v>62</v>
      </c>
      <c r="H38" s="12" t="s">
        <v>61</v>
      </c>
    </row>
    <row r="39" customFormat="false" ht="15" hidden="false" customHeight="true" outlineLevel="0" collapsed="false">
      <c r="A39" s="11" t="n">
        <v>45695</v>
      </c>
      <c r="B39" s="12" t="n">
        <v>2025</v>
      </c>
      <c r="C39" s="12" t="s">
        <v>58</v>
      </c>
      <c r="D39" s="12" t="n">
        <v>2</v>
      </c>
      <c r="E39" s="12" t="s">
        <v>69</v>
      </c>
      <c r="F39" s="12" t="n">
        <v>6</v>
      </c>
      <c r="G39" s="12" t="s">
        <v>63</v>
      </c>
      <c r="H39" s="12" t="s">
        <v>61</v>
      </c>
    </row>
    <row r="40" customFormat="false" ht="15" hidden="false" customHeight="true" outlineLevel="0" collapsed="false">
      <c r="A40" s="11" t="n">
        <v>45696</v>
      </c>
      <c r="B40" s="12" t="n">
        <v>2025</v>
      </c>
      <c r="C40" s="12" t="s">
        <v>58</v>
      </c>
      <c r="D40" s="12" t="n">
        <v>2</v>
      </c>
      <c r="E40" s="12" t="s">
        <v>69</v>
      </c>
      <c r="F40" s="12" t="n">
        <v>6</v>
      </c>
      <c r="G40" s="12" t="s">
        <v>64</v>
      </c>
      <c r="H40" s="12" t="s">
        <v>65</v>
      </c>
    </row>
    <row r="41" customFormat="false" ht="15" hidden="false" customHeight="true" outlineLevel="0" collapsed="false">
      <c r="A41" s="11" t="n">
        <v>45697</v>
      </c>
      <c r="B41" s="12" t="n">
        <v>2025</v>
      </c>
      <c r="C41" s="12" t="s">
        <v>58</v>
      </c>
      <c r="D41" s="12" t="n">
        <v>2</v>
      </c>
      <c r="E41" s="12" t="s">
        <v>69</v>
      </c>
      <c r="F41" s="12" t="n">
        <v>6</v>
      </c>
      <c r="G41" s="12" t="s">
        <v>66</v>
      </c>
      <c r="H41" s="12" t="s">
        <v>65</v>
      </c>
    </row>
    <row r="42" customFormat="false" ht="15" hidden="false" customHeight="true" outlineLevel="0" collapsed="false">
      <c r="A42" s="11" t="n">
        <v>45698</v>
      </c>
      <c r="B42" s="12" t="n">
        <v>2025</v>
      </c>
      <c r="C42" s="12" t="s">
        <v>58</v>
      </c>
      <c r="D42" s="12" t="n">
        <v>2</v>
      </c>
      <c r="E42" s="12" t="s">
        <v>69</v>
      </c>
      <c r="F42" s="12" t="n">
        <v>7</v>
      </c>
      <c r="G42" s="12" t="s">
        <v>67</v>
      </c>
      <c r="H42" s="12" t="s">
        <v>61</v>
      </c>
    </row>
    <row r="43" customFormat="false" ht="15" hidden="false" customHeight="true" outlineLevel="0" collapsed="false">
      <c r="A43" s="11" t="n">
        <v>45699</v>
      </c>
      <c r="B43" s="12" t="n">
        <v>2025</v>
      </c>
      <c r="C43" s="12" t="s">
        <v>58</v>
      </c>
      <c r="D43" s="12" t="n">
        <v>2</v>
      </c>
      <c r="E43" s="12" t="s">
        <v>69</v>
      </c>
      <c r="F43" s="12" t="n">
        <v>7</v>
      </c>
      <c r="G43" s="12" t="s">
        <v>68</v>
      </c>
      <c r="H43" s="12" t="s">
        <v>61</v>
      </c>
    </row>
    <row r="44" customFormat="false" ht="15" hidden="false" customHeight="true" outlineLevel="0" collapsed="false">
      <c r="A44" s="11" t="n">
        <v>45700</v>
      </c>
      <c r="B44" s="12" t="n">
        <v>2025</v>
      </c>
      <c r="C44" s="12" t="s">
        <v>58</v>
      </c>
      <c r="D44" s="12" t="n">
        <v>2</v>
      </c>
      <c r="E44" s="12" t="s">
        <v>69</v>
      </c>
      <c r="F44" s="12" t="n">
        <v>7</v>
      </c>
      <c r="G44" s="12" t="s">
        <v>60</v>
      </c>
      <c r="H44" s="12" t="s">
        <v>61</v>
      </c>
    </row>
    <row r="45" customFormat="false" ht="15" hidden="false" customHeight="true" outlineLevel="0" collapsed="false">
      <c r="A45" s="11" t="n">
        <v>45701</v>
      </c>
      <c r="B45" s="12" t="n">
        <v>2025</v>
      </c>
      <c r="C45" s="12" t="s">
        <v>58</v>
      </c>
      <c r="D45" s="12" t="n">
        <v>2</v>
      </c>
      <c r="E45" s="12" t="s">
        <v>69</v>
      </c>
      <c r="F45" s="12" t="n">
        <v>7</v>
      </c>
      <c r="G45" s="12" t="s">
        <v>62</v>
      </c>
      <c r="H45" s="12" t="s">
        <v>61</v>
      </c>
    </row>
    <row r="46" customFormat="false" ht="15" hidden="false" customHeight="true" outlineLevel="0" collapsed="false">
      <c r="A46" s="11" t="n">
        <v>45702</v>
      </c>
      <c r="B46" s="12" t="n">
        <v>2025</v>
      </c>
      <c r="C46" s="12" t="s">
        <v>58</v>
      </c>
      <c r="D46" s="12" t="n">
        <v>2</v>
      </c>
      <c r="E46" s="12" t="s">
        <v>69</v>
      </c>
      <c r="F46" s="12" t="n">
        <v>7</v>
      </c>
      <c r="G46" s="12" t="s">
        <v>63</v>
      </c>
      <c r="H46" s="12" t="s">
        <v>61</v>
      </c>
    </row>
    <row r="47" customFormat="false" ht="15" hidden="false" customHeight="true" outlineLevel="0" collapsed="false">
      <c r="A47" s="11" t="n">
        <v>45703</v>
      </c>
      <c r="B47" s="12" t="n">
        <v>2025</v>
      </c>
      <c r="C47" s="12" t="s">
        <v>58</v>
      </c>
      <c r="D47" s="12" t="n">
        <v>2</v>
      </c>
      <c r="E47" s="12" t="s">
        <v>69</v>
      </c>
      <c r="F47" s="12" t="n">
        <v>7</v>
      </c>
      <c r="G47" s="12" t="s">
        <v>64</v>
      </c>
      <c r="H47" s="12" t="s">
        <v>65</v>
      </c>
    </row>
    <row r="48" customFormat="false" ht="15" hidden="false" customHeight="true" outlineLevel="0" collapsed="false">
      <c r="A48" s="11" t="n">
        <v>45704</v>
      </c>
      <c r="B48" s="12" t="n">
        <v>2025</v>
      </c>
      <c r="C48" s="12" t="s">
        <v>58</v>
      </c>
      <c r="D48" s="12" t="n">
        <v>2</v>
      </c>
      <c r="E48" s="12" t="s">
        <v>69</v>
      </c>
      <c r="F48" s="12" t="n">
        <v>7</v>
      </c>
      <c r="G48" s="12" t="s">
        <v>66</v>
      </c>
      <c r="H48" s="12" t="s">
        <v>65</v>
      </c>
    </row>
    <row r="49" customFormat="false" ht="15" hidden="false" customHeight="true" outlineLevel="0" collapsed="false">
      <c r="A49" s="11" t="n">
        <v>45705</v>
      </c>
      <c r="B49" s="12" t="n">
        <v>2025</v>
      </c>
      <c r="C49" s="12" t="s">
        <v>58</v>
      </c>
      <c r="D49" s="12" t="n">
        <v>2</v>
      </c>
      <c r="E49" s="12" t="s">
        <v>69</v>
      </c>
      <c r="F49" s="12" t="n">
        <v>8</v>
      </c>
      <c r="G49" s="12" t="s">
        <v>67</v>
      </c>
      <c r="H49" s="12" t="s">
        <v>61</v>
      </c>
    </row>
    <row r="50" customFormat="false" ht="15" hidden="false" customHeight="true" outlineLevel="0" collapsed="false">
      <c r="A50" s="11" t="n">
        <v>45706</v>
      </c>
      <c r="B50" s="12" t="n">
        <v>2025</v>
      </c>
      <c r="C50" s="12" t="s">
        <v>58</v>
      </c>
      <c r="D50" s="12" t="n">
        <v>2</v>
      </c>
      <c r="E50" s="12" t="s">
        <v>69</v>
      </c>
      <c r="F50" s="12" t="n">
        <v>8</v>
      </c>
      <c r="G50" s="12" t="s">
        <v>68</v>
      </c>
      <c r="H50" s="12" t="s">
        <v>61</v>
      </c>
    </row>
    <row r="51" customFormat="false" ht="15" hidden="false" customHeight="true" outlineLevel="0" collapsed="false">
      <c r="A51" s="11" t="n">
        <v>45707</v>
      </c>
      <c r="B51" s="12" t="n">
        <v>2025</v>
      </c>
      <c r="C51" s="12" t="s">
        <v>58</v>
      </c>
      <c r="D51" s="12" t="n">
        <v>2</v>
      </c>
      <c r="E51" s="12" t="s">
        <v>69</v>
      </c>
      <c r="F51" s="12" t="n">
        <v>8</v>
      </c>
      <c r="G51" s="12" t="s">
        <v>60</v>
      </c>
      <c r="H51" s="12" t="s">
        <v>61</v>
      </c>
    </row>
    <row r="52" customFormat="false" ht="15" hidden="false" customHeight="true" outlineLevel="0" collapsed="false">
      <c r="A52" s="11" t="n">
        <v>45708</v>
      </c>
      <c r="B52" s="12" t="n">
        <v>2025</v>
      </c>
      <c r="C52" s="12" t="s">
        <v>58</v>
      </c>
      <c r="D52" s="12" t="n">
        <v>2</v>
      </c>
      <c r="E52" s="12" t="s">
        <v>69</v>
      </c>
      <c r="F52" s="12" t="n">
        <v>8</v>
      </c>
      <c r="G52" s="12" t="s">
        <v>62</v>
      </c>
      <c r="H52" s="12" t="s">
        <v>61</v>
      </c>
    </row>
    <row r="53" customFormat="false" ht="15" hidden="false" customHeight="true" outlineLevel="0" collapsed="false">
      <c r="A53" s="11" t="n">
        <v>45709</v>
      </c>
      <c r="B53" s="12" t="n">
        <v>2025</v>
      </c>
      <c r="C53" s="12" t="s">
        <v>58</v>
      </c>
      <c r="D53" s="12" t="n">
        <v>2</v>
      </c>
      <c r="E53" s="12" t="s">
        <v>69</v>
      </c>
      <c r="F53" s="12" t="n">
        <v>8</v>
      </c>
      <c r="G53" s="12" t="s">
        <v>63</v>
      </c>
      <c r="H53" s="12" t="s">
        <v>61</v>
      </c>
    </row>
    <row r="54" customFormat="false" ht="15" hidden="false" customHeight="true" outlineLevel="0" collapsed="false">
      <c r="A54" s="11" t="n">
        <v>45710</v>
      </c>
      <c r="B54" s="12" t="n">
        <v>2025</v>
      </c>
      <c r="C54" s="12" t="s">
        <v>58</v>
      </c>
      <c r="D54" s="12" t="n">
        <v>2</v>
      </c>
      <c r="E54" s="12" t="s">
        <v>69</v>
      </c>
      <c r="F54" s="12" t="n">
        <v>8</v>
      </c>
      <c r="G54" s="12" t="s">
        <v>64</v>
      </c>
      <c r="H54" s="12" t="s">
        <v>65</v>
      </c>
    </row>
    <row r="55" customFormat="false" ht="15" hidden="false" customHeight="true" outlineLevel="0" collapsed="false">
      <c r="A55" s="11" t="n">
        <v>45711</v>
      </c>
      <c r="B55" s="12" t="n">
        <v>2025</v>
      </c>
      <c r="C55" s="12" t="s">
        <v>58</v>
      </c>
      <c r="D55" s="12" t="n">
        <v>2</v>
      </c>
      <c r="E55" s="12" t="s">
        <v>69</v>
      </c>
      <c r="F55" s="12" t="n">
        <v>8</v>
      </c>
      <c r="G55" s="12" t="s">
        <v>66</v>
      </c>
      <c r="H55" s="12" t="s">
        <v>65</v>
      </c>
    </row>
    <row r="56" customFormat="false" ht="15" hidden="false" customHeight="true" outlineLevel="0" collapsed="false">
      <c r="A56" s="11" t="n">
        <v>45712</v>
      </c>
      <c r="B56" s="12" t="n">
        <v>2025</v>
      </c>
      <c r="C56" s="12" t="s">
        <v>58</v>
      </c>
      <c r="D56" s="12" t="n">
        <v>2</v>
      </c>
      <c r="E56" s="12" t="s">
        <v>69</v>
      </c>
      <c r="F56" s="12" t="n">
        <v>9</v>
      </c>
      <c r="G56" s="12" t="s">
        <v>67</v>
      </c>
      <c r="H56" s="12" t="s">
        <v>61</v>
      </c>
    </row>
    <row r="57" customFormat="false" ht="15" hidden="false" customHeight="true" outlineLevel="0" collapsed="false">
      <c r="A57" s="11" t="n">
        <v>45713</v>
      </c>
      <c r="B57" s="12" t="n">
        <v>2025</v>
      </c>
      <c r="C57" s="12" t="s">
        <v>58</v>
      </c>
      <c r="D57" s="12" t="n">
        <v>2</v>
      </c>
      <c r="E57" s="12" t="s">
        <v>69</v>
      </c>
      <c r="F57" s="12" t="n">
        <v>9</v>
      </c>
      <c r="G57" s="12" t="s">
        <v>68</v>
      </c>
      <c r="H57" s="12" t="s">
        <v>61</v>
      </c>
    </row>
    <row r="58" customFormat="false" ht="15" hidden="false" customHeight="true" outlineLevel="0" collapsed="false">
      <c r="A58" s="11" t="n">
        <v>45714</v>
      </c>
      <c r="B58" s="12" t="n">
        <v>2025</v>
      </c>
      <c r="C58" s="12" t="s">
        <v>58</v>
      </c>
      <c r="D58" s="12" t="n">
        <v>2</v>
      </c>
      <c r="E58" s="12" t="s">
        <v>69</v>
      </c>
      <c r="F58" s="12" t="n">
        <v>9</v>
      </c>
      <c r="G58" s="12" t="s">
        <v>60</v>
      </c>
      <c r="H58" s="12" t="s">
        <v>61</v>
      </c>
    </row>
    <row r="59" customFormat="false" ht="15" hidden="false" customHeight="true" outlineLevel="0" collapsed="false">
      <c r="A59" s="11" t="n">
        <v>45715</v>
      </c>
      <c r="B59" s="12" t="n">
        <v>2025</v>
      </c>
      <c r="C59" s="12" t="s">
        <v>58</v>
      </c>
      <c r="D59" s="12" t="n">
        <v>2</v>
      </c>
      <c r="E59" s="12" t="s">
        <v>69</v>
      </c>
      <c r="F59" s="12" t="n">
        <v>9</v>
      </c>
      <c r="G59" s="12" t="s">
        <v>62</v>
      </c>
      <c r="H59" s="12" t="s">
        <v>61</v>
      </c>
    </row>
    <row r="60" customFormat="false" ht="15" hidden="false" customHeight="true" outlineLevel="0" collapsed="false">
      <c r="A60" s="11" t="n">
        <v>45716</v>
      </c>
      <c r="B60" s="12" t="n">
        <v>2025</v>
      </c>
      <c r="C60" s="12" t="s">
        <v>58</v>
      </c>
      <c r="D60" s="12" t="n">
        <v>2</v>
      </c>
      <c r="E60" s="12" t="s">
        <v>69</v>
      </c>
      <c r="F60" s="12" t="n">
        <v>9</v>
      </c>
      <c r="G60" s="12" t="s">
        <v>63</v>
      </c>
      <c r="H60" s="12" t="s">
        <v>61</v>
      </c>
    </row>
    <row r="61" customFormat="false" ht="15" hidden="false" customHeight="true" outlineLevel="0" collapsed="false">
      <c r="A61" s="11" t="n">
        <v>45717</v>
      </c>
      <c r="B61" s="12" t="n">
        <v>2025</v>
      </c>
      <c r="C61" s="12" t="s">
        <v>58</v>
      </c>
      <c r="D61" s="12" t="n">
        <v>3</v>
      </c>
      <c r="E61" s="12" t="s">
        <v>70</v>
      </c>
      <c r="F61" s="12" t="n">
        <v>9</v>
      </c>
      <c r="G61" s="12" t="s">
        <v>64</v>
      </c>
      <c r="H61" s="12" t="s">
        <v>65</v>
      </c>
    </row>
    <row r="62" customFormat="false" ht="15" hidden="false" customHeight="true" outlineLevel="0" collapsed="false">
      <c r="A62" s="11" t="n">
        <v>45718</v>
      </c>
      <c r="B62" s="12" t="n">
        <v>2025</v>
      </c>
      <c r="C62" s="12" t="s">
        <v>58</v>
      </c>
      <c r="D62" s="12" t="n">
        <v>3</v>
      </c>
      <c r="E62" s="12" t="s">
        <v>70</v>
      </c>
      <c r="F62" s="12" t="n">
        <v>9</v>
      </c>
      <c r="G62" s="12" t="s">
        <v>66</v>
      </c>
      <c r="H62" s="12" t="s">
        <v>65</v>
      </c>
    </row>
    <row r="63" customFormat="false" ht="15" hidden="false" customHeight="true" outlineLevel="0" collapsed="false">
      <c r="A63" s="11" t="n">
        <v>45719</v>
      </c>
      <c r="B63" s="12" t="n">
        <v>2025</v>
      </c>
      <c r="C63" s="12" t="s">
        <v>58</v>
      </c>
      <c r="D63" s="12" t="n">
        <v>3</v>
      </c>
      <c r="E63" s="12" t="s">
        <v>70</v>
      </c>
      <c r="F63" s="12" t="n">
        <v>10</v>
      </c>
      <c r="G63" s="12" t="s">
        <v>67</v>
      </c>
      <c r="H63" s="12" t="s">
        <v>61</v>
      </c>
    </row>
    <row r="64" customFormat="false" ht="15" hidden="false" customHeight="true" outlineLevel="0" collapsed="false">
      <c r="A64" s="11" t="n">
        <v>45720</v>
      </c>
      <c r="B64" s="12" t="n">
        <v>2025</v>
      </c>
      <c r="C64" s="12" t="s">
        <v>58</v>
      </c>
      <c r="D64" s="12" t="n">
        <v>3</v>
      </c>
      <c r="E64" s="12" t="s">
        <v>70</v>
      </c>
      <c r="F64" s="12" t="n">
        <v>10</v>
      </c>
      <c r="G64" s="12" t="s">
        <v>68</v>
      </c>
      <c r="H64" s="12" t="s">
        <v>61</v>
      </c>
    </row>
    <row r="65" customFormat="false" ht="15" hidden="false" customHeight="true" outlineLevel="0" collapsed="false">
      <c r="A65" s="11" t="n">
        <v>45721</v>
      </c>
      <c r="B65" s="12" t="n">
        <v>2025</v>
      </c>
      <c r="C65" s="12" t="s">
        <v>58</v>
      </c>
      <c r="D65" s="12" t="n">
        <v>3</v>
      </c>
      <c r="E65" s="12" t="s">
        <v>70</v>
      </c>
      <c r="F65" s="12" t="n">
        <v>10</v>
      </c>
      <c r="G65" s="12" t="s">
        <v>60</v>
      </c>
      <c r="H65" s="12" t="s">
        <v>61</v>
      </c>
    </row>
    <row r="66" customFormat="false" ht="15" hidden="false" customHeight="true" outlineLevel="0" collapsed="false">
      <c r="A66" s="11" t="n">
        <v>45722</v>
      </c>
      <c r="B66" s="12" t="n">
        <v>2025</v>
      </c>
      <c r="C66" s="12" t="s">
        <v>58</v>
      </c>
      <c r="D66" s="12" t="n">
        <v>3</v>
      </c>
      <c r="E66" s="12" t="s">
        <v>70</v>
      </c>
      <c r="F66" s="12" t="n">
        <v>10</v>
      </c>
      <c r="G66" s="12" t="s">
        <v>62</v>
      </c>
      <c r="H66" s="12" t="s">
        <v>61</v>
      </c>
    </row>
    <row r="67" customFormat="false" ht="15" hidden="false" customHeight="true" outlineLevel="0" collapsed="false">
      <c r="A67" s="11" t="n">
        <v>45723</v>
      </c>
      <c r="B67" s="12" t="n">
        <v>2025</v>
      </c>
      <c r="C67" s="12" t="s">
        <v>58</v>
      </c>
      <c r="D67" s="12" t="n">
        <v>3</v>
      </c>
      <c r="E67" s="12" t="s">
        <v>70</v>
      </c>
      <c r="F67" s="12" t="n">
        <v>10</v>
      </c>
      <c r="G67" s="12" t="s">
        <v>63</v>
      </c>
      <c r="H67" s="12" t="s">
        <v>61</v>
      </c>
    </row>
    <row r="68" customFormat="false" ht="15" hidden="false" customHeight="true" outlineLevel="0" collapsed="false">
      <c r="A68" s="11" t="n">
        <v>45724</v>
      </c>
      <c r="B68" s="12" t="n">
        <v>2025</v>
      </c>
      <c r="C68" s="12" t="s">
        <v>58</v>
      </c>
      <c r="D68" s="12" t="n">
        <v>3</v>
      </c>
      <c r="E68" s="12" t="s">
        <v>70</v>
      </c>
      <c r="F68" s="12" t="n">
        <v>10</v>
      </c>
      <c r="G68" s="12" t="s">
        <v>64</v>
      </c>
      <c r="H68" s="12" t="s">
        <v>65</v>
      </c>
    </row>
    <row r="69" customFormat="false" ht="15" hidden="false" customHeight="true" outlineLevel="0" collapsed="false">
      <c r="A69" s="11" t="n">
        <v>45725</v>
      </c>
      <c r="B69" s="12" t="n">
        <v>2025</v>
      </c>
      <c r="C69" s="12" t="s">
        <v>58</v>
      </c>
      <c r="D69" s="12" t="n">
        <v>3</v>
      </c>
      <c r="E69" s="12" t="s">
        <v>70</v>
      </c>
      <c r="F69" s="12" t="n">
        <v>10</v>
      </c>
      <c r="G69" s="12" t="s">
        <v>66</v>
      </c>
      <c r="H69" s="12" t="s">
        <v>65</v>
      </c>
    </row>
    <row r="70" customFormat="false" ht="15" hidden="false" customHeight="true" outlineLevel="0" collapsed="false">
      <c r="A70" s="11" t="n">
        <v>45726</v>
      </c>
      <c r="B70" s="12" t="n">
        <v>2025</v>
      </c>
      <c r="C70" s="12" t="s">
        <v>58</v>
      </c>
      <c r="D70" s="12" t="n">
        <v>3</v>
      </c>
      <c r="E70" s="12" t="s">
        <v>70</v>
      </c>
      <c r="F70" s="12" t="n">
        <v>11</v>
      </c>
      <c r="G70" s="12" t="s">
        <v>67</v>
      </c>
      <c r="H70" s="12" t="s">
        <v>61</v>
      </c>
    </row>
    <row r="71" customFormat="false" ht="15" hidden="false" customHeight="true" outlineLevel="0" collapsed="false">
      <c r="A71" s="11" t="n">
        <v>45727</v>
      </c>
      <c r="B71" s="12" t="n">
        <v>2025</v>
      </c>
      <c r="C71" s="12" t="s">
        <v>58</v>
      </c>
      <c r="D71" s="12" t="n">
        <v>3</v>
      </c>
      <c r="E71" s="12" t="s">
        <v>70</v>
      </c>
      <c r="F71" s="12" t="n">
        <v>11</v>
      </c>
      <c r="G71" s="12" t="s">
        <v>68</v>
      </c>
      <c r="H71" s="12" t="s">
        <v>61</v>
      </c>
    </row>
    <row r="72" customFormat="false" ht="15" hidden="false" customHeight="true" outlineLevel="0" collapsed="false">
      <c r="A72" s="11" t="n">
        <v>45728</v>
      </c>
      <c r="B72" s="12" t="n">
        <v>2025</v>
      </c>
      <c r="C72" s="12" t="s">
        <v>58</v>
      </c>
      <c r="D72" s="12" t="n">
        <v>3</v>
      </c>
      <c r="E72" s="12" t="s">
        <v>70</v>
      </c>
      <c r="F72" s="12" t="n">
        <v>11</v>
      </c>
      <c r="G72" s="12" t="s">
        <v>60</v>
      </c>
      <c r="H72" s="12" t="s">
        <v>61</v>
      </c>
    </row>
    <row r="73" customFormat="false" ht="15" hidden="false" customHeight="true" outlineLevel="0" collapsed="false">
      <c r="A73" s="11" t="n">
        <v>45729</v>
      </c>
      <c r="B73" s="12" t="n">
        <v>2025</v>
      </c>
      <c r="C73" s="12" t="s">
        <v>58</v>
      </c>
      <c r="D73" s="12" t="n">
        <v>3</v>
      </c>
      <c r="E73" s="12" t="s">
        <v>70</v>
      </c>
      <c r="F73" s="12" t="n">
        <v>11</v>
      </c>
      <c r="G73" s="12" t="s">
        <v>62</v>
      </c>
      <c r="H73" s="12" t="s">
        <v>61</v>
      </c>
    </row>
    <row r="74" customFormat="false" ht="15" hidden="false" customHeight="true" outlineLevel="0" collapsed="false">
      <c r="A74" s="11" t="n">
        <v>45730</v>
      </c>
      <c r="B74" s="12" t="n">
        <v>2025</v>
      </c>
      <c r="C74" s="12" t="s">
        <v>58</v>
      </c>
      <c r="D74" s="12" t="n">
        <v>3</v>
      </c>
      <c r="E74" s="12" t="s">
        <v>70</v>
      </c>
      <c r="F74" s="12" t="n">
        <v>11</v>
      </c>
      <c r="G74" s="12" t="s">
        <v>63</v>
      </c>
      <c r="H74" s="12" t="s">
        <v>61</v>
      </c>
    </row>
    <row r="75" customFormat="false" ht="15" hidden="false" customHeight="true" outlineLevel="0" collapsed="false">
      <c r="A75" s="11" t="n">
        <v>45731</v>
      </c>
      <c r="B75" s="12" t="n">
        <v>2025</v>
      </c>
      <c r="C75" s="12" t="s">
        <v>58</v>
      </c>
      <c r="D75" s="12" t="n">
        <v>3</v>
      </c>
      <c r="E75" s="12" t="s">
        <v>70</v>
      </c>
      <c r="F75" s="12" t="n">
        <v>11</v>
      </c>
      <c r="G75" s="12" t="s">
        <v>64</v>
      </c>
      <c r="H75" s="12" t="s">
        <v>65</v>
      </c>
    </row>
    <row r="76" customFormat="false" ht="15" hidden="false" customHeight="true" outlineLevel="0" collapsed="false">
      <c r="A76" s="11" t="n">
        <v>45732</v>
      </c>
      <c r="B76" s="12" t="n">
        <v>2025</v>
      </c>
      <c r="C76" s="12" t="s">
        <v>58</v>
      </c>
      <c r="D76" s="12" t="n">
        <v>3</v>
      </c>
      <c r="E76" s="12" t="s">
        <v>70</v>
      </c>
      <c r="F76" s="12" t="n">
        <v>11</v>
      </c>
      <c r="G76" s="12" t="s">
        <v>66</v>
      </c>
      <c r="H76" s="12" t="s">
        <v>65</v>
      </c>
    </row>
    <row r="77" customFormat="false" ht="15" hidden="false" customHeight="true" outlineLevel="0" collapsed="false">
      <c r="A77" s="11" t="n">
        <v>45733</v>
      </c>
      <c r="B77" s="12" t="n">
        <v>2025</v>
      </c>
      <c r="C77" s="12" t="s">
        <v>58</v>
      </c>
      <c r="D77" s="12" t="n">
        <v>3</v>
      </c>
      <c r="E77" s="12" t="s">
        <v>70</v>
      </c>
      <c r="F77" s="12" t="n">
        <v>12</v>
      </c>
      <c r="G77" s="12" t="s">
        <v>67</v>
      </c>
      <c r="H77" s="12" t="s">
        <v>61</v>
      </c>
    </row>
    <row r="78" customFormat="false" ht="15" hidden="false" customHeight="true" outlineLevel="0" collapsed="false">
      <c r="A78" s="11" t="n">
        <v>45734</v>
      </c>
      <c r="B78" s="12" t="n">
        <v>2025</v>
      </c>
      <c r="C78" s="12" t="s">
        <v>58</v>
      </c>
      <c r="D78" s="12" t="n">
        <v>3</v>
      </c>
      <c r="E78" s="12" t="s">
        <v>70</v>
      </c>
      <c r="F78" s="12" t="n">
        <v>12</v>
      </c>
      <c r="G78" s="12" t="s">
        <v>68</v>
      </c>
      <c r="H78" s="12" t="s">
        <v>61</v>
      </c>
    </row>
    <row r="79" customFormat="false" ht="15" hidden="false" customHeight="true" outlineLevel="0" collapsed="false">
      <c r="A79" s="11" t="n">
        <v>45735</v>
      </c>
      <c r="B79" s="12" t="n">
        <v>2025</v>
      </c>
      <c r="C79" s="12" t="s">
        <v>58</v>
      </c>
      <c r="D79" s="12" t="n">
        <v>3</v>
      </c>
      <c r="E79" s="12" t="s">
        <v>70</v>
      </c>
      <c r="F79" s="12" t="n">
        <v>12</v>
      </c>
      <c r="G79" s="12" t="s">
        <v>60</v>
      </c>
      <c r="H79" s="12" t="s">
        <v>61</v>
      </c>
    </row>
    <row r="80" customFormat="false" ht="15" hidden="false" customHeight="true" outlineLevel="0" collapsed="false">
      <c r="A80" s="11" t="n">
        <v>45736</v>
      </c>
      <c r="B80" s="12" t="n">
        <v>2025</v>
      </c>
      <c r="C80" s="12" t="s">
        <v>58</v>
      </c>
      <c r="D80" s="12" t="n">
        <v>3</v>
      </c>
      <c r="E80" s="12" t="s">
        <v>70</v>
      </c>
      <c r="F80" s="12" t="n">
        <v>12</v>
      </c>
      <c r="G80" s="12" t="s">
        <v>62</v>
      </c>
      <c r="H80" s="12" t="s">
        <v>61</v>
      </c>
    </row>
    <row r="81" customFormat="false" ht="15" hidden="false" customHeight="true" outlineLevel="0" collapsed="false">
      <c r="A81" s="11" t="n">
        <v>45737</v>
      </c>
      <c r="B81" s="12" t="n">
        <v>2025</v>
      </c>
      <c r="C81" s="12" t="s">
        <v>58</v>
      </c>
      <c r="D81" s="12" t="n">
        <v>3</v>
      </c>
      <c r="E81" s="12" t="s">
        <v>70</v>
      </c>
      <c r="F81" s="12" t="n">
        <v>12</v>
      </c>
      <c r="G81" s="12" t="s">
        <v>63</v>
      </c>
      <c r="H81" s="12" t="s">
        <v>61</v>
      </c>
    </row>
    <row r="82" customFormat="false" ht="15" hidden="false" customHeight="true" outlineLevel="0" collapsed="false">
      <c r="A82" s="11" t="n">
        <v>45738</v>
      </c>
      <c r="B82" s="12" t="n">
        <v>2025</v>
      </c>
      <c r="C82" s="12" t="s">
        <v>58</v>
      </c>
      <c r="D82" s="12" t="n">
        <v>3</v>
      </c>
      <c r="E82" s="12" t="s">
        <v>70</v>
      </c>
      <c r="F82" s="12" t="n">
        <v>12</v>
      </c>
      <c r="G82" s="12" t="s">
        <v>64</v>
      </c>
      <c r="H82" s="12" t="s">
        <v>65</v>
      </c>
    </row>
    <row r="83" customFormat="false" ht="15" hidden="false" customHeight="true" outlineLevel="0" collapsed="false">
      <c r="A83" s="11" t="n">
        <v>45739</v>
      </c>
      <c r="B83" s="12" t="n">
        <v>2025</v>
      </c>
      <c r="C83" s="12" t="s">
        <v>58</v>
      </c>
      <c r="D83" s="12" t="n">
        <v>3</v>
      </c>
      <c r="E83" s="12" t="s">
        <v>70</v>
      </c>
      <c r="F83" s="12" t="n">
        <v>12</v>
      </c>
      <c r="G83" s="12" t="s">
        <v>66</v>
      </c>
      <c r="H83" s="12" t="s">
        <v>65</v>
      </c>
    </row>
    <row r="84" customFormat="false" ht="15" hidden="false" customHeight="true" outlineLevel="0" collapsed="false">
      <c r="A84" s="11" t="n">
        <v>45740</v>
      </c>
      <c r="B84" s="12" t="n">
        <v>2025</v>
      </c>
      <c r="C84" s="12" t="s">
        <v>58</v>
      </c>
      <c r="D84" s="12" t="n">
        <v>3</v>
      </c>
      <c r="E84" s="12" t="s">
        <v>70</v>
      </c>
      <c r="F84" s="12" t="n">
        <v>13</v>
      </c>
      <c r="G84" s="12" t="s">
        <v>67</v>
      </c>
      <c r="H84" s="12" t="s">
        <v>61</v>
      </c>
    </row>
    <row r="85" customFormat="false" ht="15" hidden="false" customHeight="true" outlineLevel="0" collapsed="false">
      <c r="A85" s="11" t="n">
        <v>45741</v>
      </c>
      <c r="B85" s="12" t="n">
        <v>2025</v>
      </c>
      <c r="C85" s="12" t="s">
        <v>58</v>
      </c>
      <c r="D85" s="12" t="n">
        <v>3</v>
      </c>
      <c r="E85" s="12" t="s">
        <v>70</v>
      </c>
      <c r="F85" s="12" t="n">
        <v>13</v>
      </c>
      <c r="G85" s="12" t="s">
        <v>68</v>
      </c>
      <c r="H85" s="12" t="s">
        <v>61</v>
      </c>
    </row>
    <row r="86" customFormat="false" ht="15" hidden="false" customHeight="true" outlineLevel="0" collapsed="false">
      <c r="A86" s="11" t="n">
        <v>45742</v>
      </c>
      <c r="B86" s="12" t="n">
        <v>2025</v>
      </c>
      <c r="C86" s="12" t="s">
        <v>58</v>
      </c>
      <c r="D86" s="12" t="n">
        <v>3</v>
      </c>
      <c r="E86" s="12" t="s">
        <v>70</v>
      </c>
      <c r="F86" s="12" t="n">
        <v>13</v>
      </c>
      <c r="G86" s="12" t="s">
        <v>60</v>
      </c>
      <c r="H86" s="12" t="s">
        <v>61</v>
      </c>
    </row>
    <row r="87" customFormat="false" ht="15" hidden="false" customHeight="true" outlineLevel="0" collapsed="false">
      <c r="A87" s="11" t="n">
        <v>45743</v>
      </c>
      <c r="B87" s="12" t="n">
        <v>2025</v>
      </c>
      <c r="C87" s="12" t="s">
        <v>58</v>
      </c>
      <c r="D87" s="12" t="n">
        <v>3</v>
      </c>
      <c r="E87" s="12" t="s">
        <v>70</v>
      </c>
      <c r="F87" s="12" t="n">
        <v>13</v>
      </c>
      <c r="G87" s="12" t="s">
        <v>62</v>
      </c>
      <c r="H87" s="12" t="s">
        <v>61</v>
      </c>
    </row>
    <row r="88" customFormat="false" ht="15" hidden="false" customHeight="true" outlineLevel="0" collapsed="false">
      <c r="A88" s="11" t="n">
        <v>45744</v>
      </c>
      <c r="B88" s="12" t="n">
        <v>2025</v>
      </c>
      <c r="C88" s="12" t="s">
        <v>58</v>
      </c>
      <c r="D88" s="12" t="n">
        <v>3</v>
      </c>
      <c r="E88" s="12" t="s">
        <v>70</v>
      </c>
      <c r="F88" s="12" t="n">
        <v>13</v>
      </c>
      <c r="G88" s="12" t="s">
        <v>63</v>
      </c>
      <c r="H88" s="12" t="s">
        <v>61</v>
      </c>
    </row>
    <row r="89" customFormat="false" ht="15" hidden="false" customHeight="true" outlineLevel="0" collapsed="false">
      <c r="A89" s="11" t="n">
        <v>45745</v>
      </c>
      <c r="B89" s="12" t="n">
        <v>2025</v>
      </c>
      <c r="C89" s="12" t="s">
        <v>58</v>
      </c>
      <c r="D89" s="12" t="n">
        <v>3</v>
      </c>
      <c r="E89" s="12" t="s">
        <v>70</v>
      </c>
      <c r="F89" s="12" t="n">
        <v>13</v>
      </c>
      <c r="G89" s="12" t="s">
        <v>64</v>
      </c>
      <c r="H89" s="12" t="s">
        <v>65</v>
      </c>
    </row>
    <row r="90" customFormat="false" ht="15" hidden="false" customHeight="true" outlineLevel="0" collapsed="false">
      <c r="A90" s="11" t="n">
        <v>45746</v>
      </c>
      <c r="B90" s="12" t="n">
        <v>2025</v>
      </c>
      <c r="C90" s="12" t="s">
        <v>58</v>
      </c>
      <c r="D90" s="12" t="n">
        <v>3</v>
      </c>
      <c r="E90" s="12" t="s">
        <v>70</v>
      </c>
      <c r="F90" s="12" t="n">
        <v>13</v>
      </c>
      <c r="G90" s="12" t="s">
        <v>66</v>
      </c>
      <c r="H90" s="12" t="s">
        <v>65</v>
      </c>
    </row>
    <row r="91" customFormat="false" ht="15" hidden="false" customHeight="true" outlineLevel="0" collapsed="false">
      <c r="A91" s="11" t="n">
        <v>45747</v>
      </c>
      <c r="B91" s="12" t="n">
        <v>2025</v>
      </c>
      <c r="C91" s="12" t="s">
        <v>58</v>
      </c>
      <c r="D91" s="12" t="n">
        <v>3</v>
      </c>
      <c r="E91" s="12" t="s">
        <v>70</v>
      </c>
      <c r="F91" s="12" t="n">
        <v>14</v>
      </c>
      <c r="G91" s="12" t="s">
        <v>67</v>
      </c>
      <c r="H91" s="12" t="s">
        <v>61</v>
      </c>
    </row>
    <row r="92" customFormat="false" ht="15" hidden="false" customHeight="true" outlineLevel="0" collapsed="false">
      <c r="A92" s="11" t="n">
        <v>45748</v>
      </c>
      <c r="B92" s="12" t="n">
        <v>2025</v>
      </c>
      <c r="C92" s="12" t="s">
        <v>71</v>
      </c>
      <c r="D92" s="12" t="n">
        <v>4</v>
      </c>
      <c r="E92" s="12" t="s">
        <v>72</v>
      </c>
      <c r="F92" s="12" t="n">
        <v>14</v>
      </c>
      <c r="G92" s="12" t="s">
        <v>68</v>
      </c>
      <c r="H92" s="12" t="s">
        <v>61</v>
      </c>
    </row>
    <row r="93" customFormat="false" ht="15" hidden="false" customHeight="true" outlineLevel="0" collapsed="false">
      <c r="A93" s="11" t="n">
        <v>45749</v>
      </c>
      <c r="B93" s="12" t="n">
        <v>2025</v>
      </c>
      <c r="C93" s="12" t="s">
        <v>71</v>
      </c>
      <c r="D93" s="12" t="n">
        <v>4</v>
      </c>
      <c r="E93" s="12" t="s">
        <v>72</v>
      </c>
      <c r="F93" s="12" t="n">
        <v>14</v>
      </c>
      <c r="G93" s="12" t="s">
        <v>60</v>
      </c>
      <c r="H93" s="12" t="s">
        <v>61</v>
      </c>
    </row>
    <row r="94" customFormat="false" ht="15" hidden="false" customHeight="true" outlineLevel="0" collapsed="false">
      <c r="A94" s="11" t="n">
        <v>45750</v>
      </c>
      <c r="B94" s="12" t="n">
        <v>2025</v>
      </c>
      <c r="C94" s="12" t="s">
        <v>71</v>
      </c>
      <c r="D94" s="12" t="n">
        <v>4</v>
      </c>
      <c r="E94" s="12" t="s">
        <v>72</v>
      </c>
      <c r="F94" s="12" t="n">
        <v>14</v>
      </c>
      <c r="G94" s="12" t="s">
        <v>62</v>
      </c>
      <c r="H94" s="12" t="s">
        <v>61</v>
      </c>
    </row>
    <row r="95" customFormat="false" ht="15" hidden="false" customHeight="true" outlineLevel="0" collapsed="false">
      <c r="A95" s="11" t="n">
        <v>45751</v>
      </c>
      <c r="B95" s="12" t="n">
        <v>2025</v>
      </c>
      <c r="C95" s="12" t="s">
        <v>71</v>
      </c>
      <c r="D95" s="12" t="n">
        <v>4</v>
      </c>
      <c r="E95" s="12" t="s">
        <v>72</v>
      </c>
      <c r="F95" s="12" t="n">
        <v>14</v>
      </c>
      <c r="G95" s="12" t="s">
        <v>63</v>
      </c>
      <c r="H95" s="12" t="s">
        <v>61</v>
      </c>
    </row>
    <row r="96" customFormat="false" ht="15" hidden="false" customHeight="true" outlineLevel="0" collapsed="false">
      <c r="A96" s="11" t="n">
        <v>45752</v>
      </c>
      <c r="B96" s="12" t="n">
        <v>2025</v>
      </c>
      <c r="C96" s="12" t="s">
        <v>71</v>
      </c>
      <c r="D96" s="12" t="n">
        <v>4</v>
      </c>
      <c r="E96" s="12" t="s">
        <v>72</v>
      </c>
      <c r="F96" s="12" t="n">
        <v>14</v>
      </c>
      <c r="G96" s="12" t="s">
        <v>64</v>
      </c>
      <c r="H96" s="12" t="s">
        <v>65</v>
      </c>
    </row>
    <row r="97" customFormat="false" ht="15" hidden="false" customHeight="true" outlineLevel="0" collapsed="false">
      <c r="A97" s="11" t="n">
        <v>45753</v>
      </c>
      <c r="B97" s="12" t="n">
        <v>2025</v>
      </c>
      <c r="C97" s="12" t="s">
        <v>71</v>
      </c>
      <c r="D97" s="12" t="n">
        <v>4</v>
      </c>
      <c r="E97" s="12" t="s">
        <v>72</v>
      </c>
      <c r="F97" s="12" t="n">
        <v>14</v>
      </c>
      <c r="G97" s="12" t="s">
        <v>66</v>
      </c>
      <c r="H97" s="12" t="s">
        <v>65</v>
      </c>
    </row>
    <row r="98" customFormat="false" ht="15" hidden="false" customHeight="true" outlineLevel="0" collapsed="false">
      <c r="A98" s="11" t="n">
        <v>45754</v>
      </c>
      <c r="B98" s="12" t="n">
        <v>2025</v>
      </c>
      <c r="C98" s="12" t="s">
        <v>71</v>
      </c>
      <c r="D98" s="12" t="n">
        <v>4</v>
      </c>
      <c r="E98" s="12" t="s">
        <v>72</v>
      </c>
      <c r="F98" s="12" t="n">
        <v>15</v>
      </c>
      <c r="G98" s="12" t="s">
        <v>67</v>
      </c>
      <c r="H98" s="12" t="s">
        <v>61</v>
      </c>
    </row>
    <row r="99" customFormat="false" ht="15" hidden="false" customHeight="true" outlineLevel="0" collapsed="false">
      <c r="A99" s="11" t="n">
        <v>45755</v>
      </c>
      <c r="B99" s="12" t="n">
        <v>2025</v>
      </c>
      <c r="C99" s="12" t="s">
        <v>71</v>
      </c>
      <c r="D99" s="12" t="n">
        <v>4</v>
      </c>
      <c r="E99" s="12" t="s">
        <v>72</v>
      </c>
      <c r="F99" s="12" t="n">
        <v>15</v>
      </c>
      <c r="G99" s="12" t="s">
        <v>68</v>
      </c>
      <c r="H99" s="12" t="s">
        <v>61</v>
      </c>
    </row>
    <row r="100" customFormat="false" ht="15" hidden="false" customHeight="true" outlineLevel="0" collapsed="false">
      <c r="A100" s="11" t="n">
        <v>45756</v>
      </c>
      <c r="B100" s="12" t="n">
        <v>2025</v>
      </c>
      <c r="C100" s="12" t="s">
        <v>71</v>
      </c>
      <c r="D100" s="12" t="n">
        <v>4</v>
      </c>
      <c r="E100" s="12" t="s">
        <v>72</v>
      </c>
      <c r="F100" s="12" t="n">
        <v>15</v>
      </c>
      <c r="G100" s="12" t="s">
        <v>60</v>
      </c>
      <c r="H100" s="12" t="s">
        <v>61</v>
      </c>
    </row>
    <row r="101" customFormat="false" ht="15" hidden="false" customHeight="true" outlineLevel="0" collapsed="false">
      <c r="A101" s="11" t="n">
        <v>45757</v>
      </c>
      <c r="B101" s="12" t="n">
        <v>2025</v>
      </c>
      <c r="C101" s="12" t="s">
        <v>71</v>
      </c>
      <c r="D101" s="12" t="n">
        <v>4</v>
      </c>
      <c r="E101" s="12" t="s">
        <v>72</v>
      </c>
      <c r="F101" s="12" t="n">
        <v>15</v>
      </c>
      <c r="G101" s="12" t="s">
        <v>62</v>
      </c>
      <c r="H101" s="12" t="s">
        <v>61</v>
      </c>
    </row>
    <row r="102" customFormat="false" ht="15" hidden="false" customHeight="true" outlineLevel="0" collapsed="false">
      <c r="A102" s="11" t="n">
        <v>45758</v>
      </c>
      <c r="B102" s="12" t="n">
        <v>2025</v>
      </c>
      <c r="C102" s="12" t="s">
        <v>71</v>
      </c>
      <c r="D102" s="12" t="n">
        <v>4</v>
      </c>
      <c r="E102" s="12" t="s">
        <v>72</v>
      </c>
      <c r="F102" s="12" t="n">
        <v>15</v>
      </c>
      <c r="G102" s="12" t="s">
        <v>63</v>
      </c>
      <c r="H102" s="12" t="s">
        <v>61</v>
      </c>
    </row>
    <row r="103" customFormat="false" ht="15" hidden="false" customHeight="true" outlineLevel="0" collapsed="false">
      <c r="A103" s="11" t="n">
        <v>45759</v>
      </c>
      <c r="B103" s="12" t="n">
        <v>2025</v>
      </c>
      <c r="C103" s="12" t="s">
        <v>71</v>
      </c>
      <c r="D103" s="12" t="n">
        <v>4</v>
      </c>
      <c r="E103" s="12" t="s">
        <v>72</v>
      </c>
      <c r="F103" s="12" t="n">
        <v>15</v>
      </c>
      <c r="G103" s="12" t="s">
        <v>64</v>
      </c>
      <c r="H103" s="12" t="s">
        <v>65</v>
      </c>
    </row>
    <row r="104" customFormat="false" ht="15" hidden="false" customHeight="true" outlineLevel="0" collapsed="false">
      <c r="A104" s="11" t="n">
        <v>45760</v>
      </c>
      <c r="B104" s="12" t="n">
        <v>2025</v>
      </c>
      <c r="C104" s="12" t="s">
        <v>71</v>
      </c>
      <c r="D104" s="12" t="n">
        <v>4</v>
      </c>
      <c r="E104" s="12" t="s">
        <v>72</v>
      </c>
      <c r="F104" s="12" t="n">
        <v>15</v>
      </c>
      <c r="G104" s="12" t="s">
        <v>66</v>
      </c>
      <c r="H104" s="12" t="s">
        <v>65</v>
      </c>
    </row>
    <row r="105" customFormat="false" ht="15" hidden="false" customHeight="true" outlineLevel="0" collapsed="false">
      <c r="A105" s="11" t="n">
        <v>45761</v>
      </c>
      <c r="B105" s="12" t="n">
        <v>2025</v>
      </c>
      <c r="C105" s="12" t="s">
        <v>71</v>
      </c>
      <c r="D105" s="12" t="n">
        <v>4</v>
      </c>
      <c r="E105" s="12" t="s">
        <v>72</v>
      </c>
      <c r="F105" s="12" t="n">
        <v>16</v>
      </c>
      <c r="G105" s="12" t="s">
        <v>67</v>
      </c>
      <c r="H105" s="12" t="s">
        <v>61</v>
      </c>
    </row>
    <row r="106" customFormat="false" ht="15" hidden="false" customHeight="true" outlineLevel="0" collapsed="false">
      <c r="A106" s="11" t="n">
        <v>45762</v>
      </c>
      <c r="B106" s="12" t="n">
        <v>2025</v>
      </c>
      <c r="C106" s="12" t="s">
        <v>71</v>
      </c>
      <c r="D106" s="12" t="n">
        <v>4</v>
      </c>
      <c r="E106" s="12" t="s">
        <v>72</v>
      </c>
      <c r="F106" s="12" t="n">
        <v>16</v>
      </c>
      <c r="G106" s="12" t="s">
        <v>68</v>
      </c>
      <c r="H106" s="12" t="s">
        <v>61</v>
      </c>
    </row>
    <row r="107" customFormat="false" ht="15" hidden="false" customHeight="true" outlineLevel="0" collapsed="false">
      <c r="A107" s="11" t="n">
        <v>45763</v>
      </c>
      <c r="B107" s="12" t="n">
        <v>2025</v>
      </c>
      <c r="C107" s="12" t="s">
        <v>71</v>
      </c>
      <c r="D107" s="12" t="n">
        <v>4</v>
      </c>
      <c r="E107" s="12" t="s">
        <v>72</v>
      </c>
      <c r="F107" s="12" t="n">
        <v>16</v>
      </c>
      <c r="G107" s="12" t="s">
        <v>60</v>
      </c>
      <c r="H107" s="12" t="s">
        <v>61</v>
      </c>
    </row>
    <row r="108" customFormat="false" ht="15" hidden="false" customHeight="true" outlineLevel="0" collapsed="false">
      <c r="A108" s="11" t="n">
        <v>45764</v>
      </c>
      <c r="B108" s="12" t="n">
        <v>2025</v>
      </c>
      <c r="C108" s="12" t="s">
        <v>71</v>
      </c>
      <c r="D108" s="12" t="n">
        <v>4</v>
      </c>
      <c r="E108" s="12" t="s">
        <v>72</v>
      </c>
      <c r="F108" s="12" t="n">
        <v>16</v>
      </c>
      <c r="G108" s="12" t="s">
        <v>62</v>
      </c>
      <c r="H108" s="12" t="s">
        <v>61</v>
      </c>
    </row>
    <row r="109" customFormat="false" ht="15" hidden="false" customHeight="true" outlineLevel="0" collapsed="false">
      <c r="A109" s="11" t="n">
        <v>45765</v>
      </c>
      <c r="B109" s="12" t="n">
        <v>2025</v>
      </c>
      <c r="C109" s="12" t="s">
        <v>71</v>
      </c>
      <c r="D109" s="12" t="n">
        <v>4</v>
      </c>
      <c r="E109" s="12" t="s">
        <v>72</v>
      </c>
      <c r="F109" s="12" t="n">
        <v>16</v>
      </c>
      <c r="G109" s="12" t="s">
        <v>63</v>
      </c>
      <c r="H109" s="12" t="s">
        <v>61</v>
      </c>
    </row>
    <row r="110" customFormat="false" ht="15" hidden="false" customHeight="true" outlineLevel="0" collapsed="false">
      <c r="A110" s="11" t="n">
        <v>45766</v>
      </c>
      <c r="B110" s="12" t="n">
        <v>2025</v>
      </c>
      <c r="C110" s="12" t="s">
        <v>71</v>
      </c>
      <c r="D110" s="12" t="n">
        <v>4</v>
      </c>
      <c r="E110" s="12" t="s">
        <v>72</v>
      </c>
      <c r="F110" s="12" t="n">
        <v>16</v>
      </c>
      <c r="G110" s="12" t="s">
        <v>64</v>
      </c>
      <c r="H110" s="12" t="s">
        <v>65</v>
      </c>
    </row>
    <row r="111" customFormat="false" ht="15" hidden="false" customHeight="true" outlineLevel="0" collapsed="false">
      <c r="A111" s="11" t="n">
        <v>45767</v>
      </c>
      <c r="B111" s="12" t="n">
        <v>2025</v>
      </c>
      <c r="C111" s="12" t="s">
        <v>71</v>
      </c>
      <c r="D111" s="12" t="n">
        <v>4</v>
      </c>
      <c r="E111" s="12" t="s">
        <v>72</v>
      </c>
      <c r="F111" s="12" t="n">
        <v>16</v>
      </c>
      <c r="G111" s="12" t="s">
        <v>66</v>
      </c>
      <c r="H111" s="12" t="s">
        <v>65</v>
      </c>
    </row>
    <row r="112" customFormat="false" ht="15" hidden="false" customHeight="true" outlineLevel="0" collapsed="false">
      <c r="A112" s="11" t="n">
        <v>45768</v>
      </c>
      <c r="B112" s="12" t="n">
        <v>2025</v>
      </c>
      <c r="C112" s="12" t="s">
        <v>71</v>
      </c>
      <c r="D112" s="12" t="n">
        <v>4</v>
      </c>
      <c r="E112" s="12" t="s">
        <v>72</v>
      </c>
      <c r="F112" s="12" t="n">
        <v>17</v>
      </c>
      <c r="G112" s="12" t="s">
        <v>67</v>
      </c>
      <c r="H112" s="12" t="s">
        <v>61</v>
      </c>
    </row>
    <row r="113" customFormat="false" ht="15" hidden="false" customHeight="true" outlineLevel="0" collapsed="false">
      <c r="A113" s="11" t="n">
        <v>45769</v>
      </c>
      <c r="B113" s="12" t="n">
        <v>2025</v>
      </c>
      <c r="C113" s="12" t="s">
        <v>71</v>
      </c>
      <c r="D113" s="12" t="n">
        <v>4</v>
      </c>
      <c r="E113" s="12" t="s">
        <v>72</v>
      </c>
      <c r="F113" s="12" t="n">
        <v>17</v>
      </c>
      <c r="G113" s="12" t="s">
        <v>68</v>
      </c>
      <c r="H113" s="12" t="s">
        <v>61</v>
      </c>
    </row>
    <row r="114" customFormat="false" ht="15" hidden="false" customHeight="true" outlineLevel="0" collapsed="false">
      <c r="A114" s="11" t="n">
        <v>45770</v>
      </c>
      <c r="B114" s="12" t="n">
        <v>2025</v>
      </c>
      <c r="C114" s="12" t="s">
        <v>71</v>
      </c>
      <c r="D114" s="12" t="n">
        <v>4</v>
      </c>
      <c r="E114" s="12" t="s">
        <v>72</v>
      </c>
      <c r="F114" s="12" t="n">
        <v>17</v>
      </c>
      <c r="G114" s="12" t="s">
        <v>60</v>
      </c>
      <c r="H114" s="12" t="s">
        <v>61</v>
      </c>
    </row>
    <row r="115" customFormat="false" ht="15" hidden="false" customHeight="true" outlineLevel="0" collapsed="false">
      <c r="A115" s="11" t="n">
        <v>45771</v>
      </c>
      <c r="B115" s="12" t="n">
        <v>2025</v>
      </c>
      <c r="C115" s="12" t="s">
        <v>71</v>
      </c>
      <c r="D115" s="12" t="n">
        <v>4</v>
      </c>
      <c r="E115" s="12" t="s">
        <v>72</v>
      </c>
      <c r="F115" s="12" t="n">
        <v>17</v>
      </c>
      <c r="G115" s="12" t="s">
        <v>62</v>
      </c>
      <c r="H115" s="12" t="s">
        <v>61</v>
      </c>
    </row>
    <row r="116" customFormat="false" ht="15" hidden="false" customHeight="true" outlineLevel="0" collapsed="false">
      <c r="A116" s="11" t="n">
        <v>45772</v>
      </c>
      <c r="B116" s="12" t="n">
        <v>2025</v>
      </c>
      <c r="C116" s="12" t="s">
        <v>71</v>
      </c>
      <c r="D116" s="12" t="n">
        <v>4</v>
      </c>
      <c r="E116" s="12" t="s">
        <v>72</v>
      </c>
      <c r="F116" s="12" t="n">
        <v>17</v>
      </c>
      <c r="G116" s="12" t="s">
        <v>63</v>
      </c>
      <c r="H116" s="12" t="s">
        <v>61</v>
      </c>
    </row>
    <row r="117" customFormat="false" ht="15" hidden="false" customHeight="true" outlineLevel="0" collapsed="false">
      <c r="A117" s="11" t="n">
        <v>45773</v>
      </c>
      <c r="B117" s="12" t="n">
        <v>2025</v>
      </c>
      <c r="C117" s="12" t="s">
        <v>71</v>
      </c>
      <c r="D117" s="12" t="n">
        <v>4</v>
      </c>
      <c r="E117" s="12" t="s">
        <v>72</v>
      </c>
      <c r="F117" s="12" t="n">
        <v>17</v>
      </c>
      <c r="G117" s="12" t="s">
        <v>64</v>
      </c>
      <c r="H117" s="12" t="s">
        <v>65</v>
      </c>
    </row>
    <row r="118" customFormat="false" ht="15" hidden="false" customHeight="true" outlineLevel="0" collapsed="false">
      <c r="A118" s="11" t="n">
        <v>45774</v>
      </c>
      <c r="B118" s="12" t="n">
        <v>2025</v>
      </c>
      <c r="C118" s="12" t="s">
        <v>71</v>
      </c>
      <c r="D118" s="12" t="n">
        <v>4</v>
      </c>
      <c r="E118" s="12" t="s">
        <v>72</v>
      </c>
      <c r="F118" s="12" t="n">
        <v>17</v>
      </c>
      <c r="G118" s="12" t="s">
        <v>66</v>
      </c>
      <c r="H118" s="12" t="s">
        <v>65</v>
      </c>
    </row>
    <row r="119" customFormat="false" ht="15" hidden="false" customHeight="true" outlineLevel="0" collapsed="false">
      <c r="A119" s="11" t="n">
        <v>45775</v>
      </c>
      <c r="B119" s="12" t="n">
        <v>2025</v>
      </c>
      <c r="C119" s="12" t="s">
        <v>71</v>
      </c>
      <c r="D119" s="12" t="n">
        <v>4</v>
      </c>
      <c r="E119" s="12" t="s">
        <v>72</v>
      </c>
      <c r="F119" s="12" t="n">
        <v>18</v>
      </c>
      <c r="G119" s="12" t="s">
        <v>67</v>
      </c>
      <c r="H119" s="12" t="s">
        <v>61</v>
      </c>
    </row>
    <row r="120" customFormat="false" ht="15" hidden="false" customHeight="true" outlineLevel="0" collapsed="false">
      <c r="A120" s="11" t="n">
        <v>45776</v>
      </c>
      <c r="B120" s="12" t="n">
        <v>2025</v>
      </c>
      <c r="C120" s="12" t="s">
        <v>71</v>
      </c>
      <c r="D120" s="12" t="n">
        <v>4</v>
      </c>
      <c r="E120" s="12" t="s">
        <v>72</v>
      </c>
      <c r="F120" s="12" t="n">
        <v>18</v>
      </c>
      <c r="G120" s="12" t="s">
        <v>68</v>
      </c>
      <c r="H120" s="12" t="s">
        <v>61</v>
      </c>
    </row>
    <row r="121" customFormat="false" ht="15" hidden="false" customHeight="true" outlineLevel="0" collapsed="false">
      <c r="A121" s="11" t="n">
        <v>45777</v>
      </c>
      <c r="B121" s="12" t="n">
        <v>2025</v>
      </c>
      <c r="C121" s="12" t="s">
        <v>71</v>
      </c>
      <c r="D121" s="12" t="n">
        <v>4</v>
      </c>
      <c r="E121" s="12" t="s">
        <v>72</v>
      </c>
      <c r="F121" s="12" t="n">
        <v>18</v>
      </c>
      <c r="G121" s="12" t="s">
        <v>60</v>
      </c>
      <c r="H121" s="12" t="s">
        <v>61</v>
      </c>
    </row>
    <row r="122" customFormat="false" ht="15" hidden="false" customHeight="true" outlineLevel="0" collapsed="false">
      <c r="A122" s="11" t="n">
        <v>45778</v>
      </c>
      <c r="B122" s="12" t="n">
        <v>2025</v>
      </c>
      <c r="C122" s="12" t="s">
        <v>71</v>
      </c>
      <c r="D122" s="12" t="n">
        <v>5</v>
      </c>
      <c r="E122" s="12" t="s">
        <v>73</v>
      </c>
      <c r="F122" s="12" t="n">
        <v>18</v>
      </c>
      <c r="G122" s="12" t="s">
        <v>62</v>
      </c>
      <c r="H122" s="12" t="s">
        <v>61</v>
      </c>
    </row>
    <row r="123" customFormat="false" ht="15" hidden="false" customHeight="true" outlineLevel="0" collapsed="false">
      <c r="A123" s="11" t="n">
        <v>45779</v>
      </c>
      <c r="B123" s="12" t="n">
        <v>2025</v>
      </c>
      <c r="C123" s="12" t="s">
        <v>71</v>
      </c>
      <c r="D123" s="12" t="n">
        <v>5</v>
      </c>
      <c r="E123" s="12" t="s">
        <v>73</v>
      </c>
      <c r="F123" s="12" t="n">
        <v>18</v>
      </c>
      <c r="G123" s="12" t="s">
        <v>63</v>
      </c>
      <c r="H123" s="12" t="s">
        <v>61</v>
      </c>
    </row>
    <row r="124" customFormat="false" ht="15" hidden="false" customHeight="true" outlineLevel="0" collapsed="false">
      <c r="A124" s="11" t="n">
        <v>45780</v>
      </c>
      <c r="B124" s="12" t="n">
        <v>2025</v>
      </c>
      <c r="C124" s="12" t="s">
        <v>71</v>
      </c>
      <c r="D124" s="12" t="n">
        <v>5</v>
      </c>
      <c r="E124" s="12" t="s">
        <v>73</v>
      </c>
      <c r="F124" s="12" t="n">
        <v>18</v>
      </c>
      <c r="G124" s="12" t="s">
        <v>64</v>
      </c>
      <c r="H124" s="12" t="s">
        <v>65</v>
      </c>
    </row>
    <row r="125" customFormat="false" ht="15" hidden="false" customHeight="true" outlineLevel="0" collapsed="false">
      <c r="A125" s="11" t="n">
        <v>45781</v>
      </c>
      <c r="B125" s="12" t="n">
        <v>2025</v>
      </c>
      <c r="C125" s="12" t="s">
        <v>71</v>
      </c>
      <c r="D125" s="12" t="n">
        <v>5</v>
      </c>
      <c r="E125" s="12" t="s">
        <v>73</v>
      </c>
      <c r="F125" s="12" t="n">
        <v>18</v>
      </c>
      <c r="G125" s="12" t="s">
        <v>66</v>
      </c>
      <c r="H125" s="12" t="s">
        <v>65</v>
      </c>
    </row>
    <row r="126" customFormat="false" ht="15" hidden="false" customHeight="true" outlineLevel="0" collapsed="false">
      <c r="A126" s="11" t="n">
        <v>45782</v>
      </c>
      <c r="B126" s="12" t="n">
        <v>2025</v>
      </c>
      <c r="C126" s="12" t="s">
        <v>71</v>
      </c>
      <c r="D126" s="12" t="n">
        <v>5</v>
      </c>
      <c r="E126" s="12" t="s">
        <v>73</v>
      </c>
      <c r="F126" s="12" t="n">
        <v>19</v>
      </c>
      <c r="G126" s="12" t="s">
        <v>67</v>
      </c>
      <c r="H126" s="12" t="s">
        <v>61</v>
      </c>
    </row>
    <row r="127" customFormat="false" ht="15" hidden="false" customHeight="true" outlineLevel="0" collapsed="false">
      <c r="A127" s="11" t="n">
        <v>45783</v>
      </c>
      <c r="B127" s="12" t="n">
        <v>2025</v>
      </c>
      <c r="C127" s="12" t="s">
        <v>71</v>
      </c>
      <c r="D127" s="12" t="n">
        <v>5</v>
      </c>
      <c r="E127" s="12" t="s">
        <v>73</v>
      </c>
      <c r="F127" s="12" t="n">
        <v>19</v>
      </c>
      <c r="G127" s="12" t="s">
        <v>68</v>
      </c>
      <c r="H127" s="12" t="s">
        <v>61</v>
      </c>
    </row>
    <row r="128" customFormat="false" ht="15" hidden="false" customHeight="true" outlineLevel="0" collapsed="false">
      <c r="A128" s="11" t="n">
        <v>45784</v>
      </c>
      <c r="B128" s="12" t="n">
        <v>2025</v>
      </c>
      <c r="C128" s="12" t="s">
        <v>71</v>
      </c>
      <c r="D128" s="12" t="n">
        <v>5</v>
      </c>
      <c r="E128" s="12" t="s">
        <v>73</v>
      </c>
      <c r="F128" s="12" t="n">
        <v>19</v>
      </c>
      <c r="G128" s="12" t="s">
        <v>60</v>
      </c>
      <c r="H128" s="12" t="s">
        <v>61</v>
      </c>
    </row>
    <row r="129" customFormat="false" ht="15" hidden="false" customHeight="true" outlineLevel="0" collapsed="false">
      <c r="A129" s="11" t="n">
        <v>45785</v>
      </c>
      <c r="B129" s="12" t="n">
        <v>2025</v>
      </c>
      <c r="C129" s="12" t="s">
        <v>71</v>
      </c>
      <c r="D129" s="12" t="n">
        <v>5</v>
      </c>
      <c r="E129" s="12" t="s">
        <v>73</v>
      </c>
      <c r="F129" s="12" t="n">
        <v>19</v>
      </c>
      <c r="G129" s="12" t="s">
        <v>62</v>
      </c>
      <c r="H129" s="12" t="s">
        <v>61</v>
      </c>
    </row>
    <row r="130" customFormat="false" ht="15" hidden="false" customHeight="true" outlineLevel="0" collapsed="false">
      <c r="A130" s="11" t="n">
        <v>45786</v>
      </c>
      <c r="B130" s="12" t="n">
        <v>2025</v>
      </c>
      <c r="C130" s="12" t="s">
        <v>71</v>
      </c>
      <c r="D130" s="12" t="n">
        <v>5</v>
      </c>
      <c r="E130" s="12" t="s">
        <v>73</v>
      </c>
      <c r="F130" s="12" t="n">
        <v>19</v>
      </c>
      <c r="G130" s="12" t="s">
        <v>63</v>
      </c>
      <c r="H130" s="12" t="s">
        <v>61</v>
      </c>
    </row>
    <row r="131" customFormat="false" ht="15" hidden="false" customHeight="true" outlineLevel="0" collapsed="false">
      <c r="A131" s="11" t="n">
        <v>45787</v>
      </c>
      <c r="B131" s="12" t="n">
        <v>2025</v>
      </c>
      <c r="C131" s="12" t="s">
        <v>71</v>
      </c>
      <c r="D131" s="12" t="n">
        <v>5</v>
      </c>
      <c r="E131" s="12" t="s">
        <v>73</v>
      </c>
      <c r="F131" s="12" t="n">
        <v>19</v>
      </c>
      <c r="G131" s="12" t="s">
        <v>64</v>
      </c>
      <c r="H131" s="12" t="s">
        <v>65</v>
      </c>
    </row>
    <row r="132" customFormat="false" ht="15" hidden="false" customHeight="true" outlineLevel="0" collapsed="false">
      <c r="A132" s="11" t="n">
        <v>45788</v>
      </c>
      <c r="B132" s="12" t="n">
        <v>2025</v>
      </c>
      <c r="C132" s="12" t="s">
        <v>71</v>
      </c>
      <c r="D132" s="12" t="n">
        <v>5</v>
      </c>
      <c r="E132" s="12" t="s">
        <v>73</v>
      </c>
      <c r="F132" s="12" t="n">
        <v>19</v>
      </c>
      <c r="G132" s="12" t="s">
        <v>66</v>
      </c>
      <c r="H132" s="12" t="s">
        <v>65</v>
      </c>
    </row>
    <row r="133" customFormat="false" ht="15" hidden="false" customHeight="true" outlineLevel="0" collapsed="false">
      <c r="A133" s="11" t="n">
        <v>45789</v>
      </c>
      <c r="B133" s="12" t="n">
        <v>2025</v>
      </c>
      <c r="C133" s="12" t="s">
        <v>71</v>
      </c>
      <c r="D133" s="12" t="n">
        <v>5</v>
      </c>
      <c r="E133" s="12" t="s">
        <v>73</v>
      </c>
      <c r="F133" s="12" t="n">
        <v>20</v>
      </c>
      <c r="G133" s="12" t="s">
        <v>67</v>
      </c>
      <c r="H133" s="12" t="s">
        <v>61</v>
      </c>
    </row>
    <row r="134" customFormat="false" ht="15" hidden="false" customHeight="true" outlineLevel="0" collapsed="false">
      <c r="A134" s="11" t="n">
        <v>45790</v>
      </c>
      <c r="B134" s="12" t="n">
        <v>2025</v>
      </c>
      <c r="C134" s="12" t="s">
        <v>71</v>
      </c>
      <c r="D134" s="12" t="n">
        <v>5</v>
      </c>
      <c r="E134" s="12" t="s">
        <v>73</v>
      </c>
      <c r="F134" s="12" t="n">
        <v>20</v>
      </c>
      <c r="G134" s="12" t="s">
        <v>68</v>
      </c>
      <c r="H134" s="12" t="s">
        <v>61</v>
      </c>
    </row>
    <row r="135" customFormat="false" ht="15" hidden="false" customHeight="true" outlineLevel="0" collapsed="false">
      <c r="A135" s="11" t="n">
        <v>45791</v>
      </c>
      <c r="B135" s="12" t="n">
        <v>2025</v>
      </c>
      <c r="C135" s="12" t="s">
        <v>71</v>
      </c>
      <c r="D135" s="12" t="n">
        <v>5</v>
      </c>
      <c r="E135" s="12" t="s">
        <v>73</v>
      </c>
      <c r="F135" s="12" t="n">
        <v>20</v>
      </c>
      <c r="G135" s="12" t="s">
        <v>60</v>
      </c>
      <c r="H135" s="12" t="s">
        <v>61</v>
      </c>
    </row>
    <row r="136" customFormat="false" ht="15" hidden="false" customHeight="true" outlineLevel="0" collapsed="false">
      <c r="A136" s="11" t="n">
        <v>45792</v>
      </c>
      <c r="B136" s="12" t="n">
        <v>2025</v>
      </c>
      <c r="C136" s="12" t="s">
        <v>71</v>
      </c>
      <c r="D136" s="12" t="n">
        <v>5</v>
      </c>
      <c r="E136" s="12" t="s">
        <v>73</v>
      </c>
      <c r="F136" s="12" t="n">
        <v>20</v>
      </c>
      <c r="G136" s="12" t="s">
        <v>62</v>
      </c>
      <c r="H136" s="12" t="s">
        <v>61</v>
      </c>
    </row>
    <row r="137" customFormat="false" ht="15" hidden="false" customHeight="true" outlineLevel="0" collapsed="false">
      <c r="A137" s="11" t="n">
        <v>45793</v>
      </c>
      <c r="B137" s="12" t="n">
        <v>2025</v>
      </c>
      <c r="C137" s="12" t="s">
        <v>71</v>
      </c>
      <c r="D137" s="12" t="n">
        <v>5</v>
      </c>
      <c r="E137" s="12" t="s">
        <v>73</v>
      </c>
      <c r="F137" s="12" t="n">
        <v>20</v>
      </c>
      <c r="G137" s="12" t="s">
        <v>63</v>
      </c>
      <c r="H137" s="12" t="s">
        <v>61</v>
      </c>
    </row>
    <row r="138" customFormat="false" ht="15" hidden="false" customHeight="true" outlineLevel="0" collapsed="false">
      <c r="A138" s="11" t="n">
        <v>45794</v>
      </c>
      <c r="B138" s="12" t="n">
        <v>2025</v>
      </c>
      <c r="C138" s="12" t="s">
        <v>71</v>
      </c>
      <c r="D138" s="12" t="n">
        <v>5</v>
      </c>
      <c r="E138" s="12" t="s">
        <v>73</v>
      </c>
      <c r="F138" s="12" t="n">
        <v>20</v>
      </c>
      <c r="G138" s="12" t="s">
        <v>64</v>
      </c>
      <c r="H138" s="12" t="s">
        <v>65</v>
      </c>
    </row>
    <row r="139" customFormat="false" ht="15" hidden="false" customHeight="true" outlineLevel="0" collapsed="false">
      <c r="A139" s="11" t="n">
        <v>45795</v>
      </c>
      <c r="B139" s="12" t="n">
        <v>2025</v>
      </c>
      <c r="C139" s="12" t="s">
        <v>71</v>
      </c>
      <c r="D139" s="12" t="n">
        <v>5</v>
      </c>
      <c r="E139" s="12" t="s">
        <v>73</v>
      </c>
      <c r="F139" s="12" t="n">
        <v>20</v>
      </c>
      <c r="G139" s="12" t="s">
        <v>66</v>
      </c>
      <c r="H139" s="12" t="s">
        <v>65</v>
      </c>
    </row>
    <row r="140" customFormat="false" ht="15" hidden="false" customHeight="true" outlineLevel="0" collapsed="false">
      <c r="A140" s="11" t="n">
        <v>45796</v>
      </c>
      <c r="B140" s="12" t="n">
        <v>2025</v>
      </c>
      <c r="C140" s="12" t="s">
        <v>71</v>
      </c>
      <c r="D140" s="12" t="n">
        <v>5</v>
      </c>
      <c r="E140" s="12" t="s">
        <v>73</v>
      </c>
      <c r="F140" s="12" t="n">
        <v>21</v>
      </c>
      <c r="G140" s="12" t="s">
        <v>67</v>
      </c>
      <c r="H140" s="12" t="s">
        <v>61</v>
      </c>
    </row>
    <row r="141" customFormat="false" ht="15" hidden="false" customHeight="true" outlineLevel="0" collapsed="false">
      <c r="A141" s="11" t="n">
        <v>45797</v>
      </c>
      <c r="B141" s="12" t="n">
        <v>2025</v>
      </c>
      <c r="C141" s="12" t="s">
        <v>71</v>
      </c>
      <c r="D141" s="12" t="n">
        <v>5</v>
      </c>
      <c r="E141" s="12" t="s">
        <v>73</v>
      </c>
      <c r="F141" s="12" t="n">
        <v>21</v>
      </c>
      <c r="G141" s="12" t="s">
        <v>68</v>
      </c>
      <c r="H141" s="12" t="s">
        <v>61</v>
      </c>
    </row>
    <row r="142" customFormat="false" ht="15" hidden="false" customHeight="true" outlineLevel="0" collapsed="false">
      <c r="A142" s="11" t="n">
        <v>45798</v>
      </c>
      <c r="B142" s="12" t="n">
        <v>2025</v>
      </c>
      <c r="C142" s="12" t="s">
        <v>71</v>
      </c>
      <c r="D142" s="12" t="n">
        <v>5</v>
      </c>
      <c r="E142" s="12" t="s">
        <v>73</v>
      </c>
      <c r="F142" s="12" t="n">
        <v>21</v>
      </c>
      <c r="G142" s="12" t="s">
        <v>60</v>
      </c>
      <c r="H142" s="12" t="s">
        <v>61</v>
      </c>
    </row>
    <row r="143" customFormat="false" ht="15" hidden="false" customHeight="true" outlineLevel="0" collapsed="false">
      <c r="A143" s="11" t="n">
        <v>45799</v>
      </c>
      <c r="B143" s="12" t="n">
        <v>2025</v>
      </c>
      <c r="C143" s="12" t="s">
        <v>71</v>
      </c>
      <c r="D143" s="12" t="n">
        <v>5</v>
      </c>
      <c r="E143" s="12" t="s">
        <v>73</v>
      </c>
      <c r="F143" s="12" t="n">
        <v>21</v>
      </c>
      <c r="G143" s="12" t="s">
        <v>62</v>
      </c>
      <c r="H143" s="12" t="s">
        <v>61</v>
      </c>
    </row>
    <row r="144" customFormat="false" ht="15" hidden="false" customHeight="true" outlineLevel="0" collapsed="false">
      <c r="A144" s="11" t="n">
        <v>45800</v>
      </c>
      <c r="B144" s="12" t="n">
        <v>2025</v>
      </c>
      <c r="C144" s="12" t="s">
        <v>71</v>
      </c>
      <c r="D144" s="12" t="n">
        <v>5</v>
      </c>
      <c r="E144" s="12" t="s">
        <v>73</v>
      </c>
      <c r="F144" s="12" t="n">
        <v>21</v>
      </c>
      <c r="G144" s="12" t="s">
        <v>63</v>
      </c>
      <c r="H144" s="12" t="s">
        <v>61</v>
      </c>
    </row>
    <row r="145" customFormat="false" ht="15" hidden="false" customHeight="true" outlineLevel="0" collapsed="false">
      <c r="A145" s="11" t="n">
        <v>45801</v>
      </c>
      <c r="B145" s="12" t="n">
        <v>2025</v>
      </c>
      <c r="C145" s="12" t="s">
        <v>71</v>
      </c>
      <c r="D145" s="12" t="n">
        <v>5</v>
      </c>
      <c r="E145" s="12" t="s">
        <v>73</v>
      </c>
      <c r="F145" s="12" t="n">
        <v>21</v>
      </c>
      <c r="G145" s="12" t="s">
        <v>64</v>
      </c>
      <c r="H145" s="12" t="s">
        <v>65</v>
      </c>
    </row>
    <row r="146" customFormat="false" ht="15" hidden="false" customHeight="true" outlineLevel="0" collapsed="false">
      <c r="A146" s="11" t="n">
        <v>45802</v>
      </c>
      <c r="B146" s="12" t="n">
        <v>2025</v>
      </c>
      <c r="C146" s="12" t="s">
        <v>71</v>
      </c>
      <c r="D146" s="12" t="n">
        <v>5</v>
      </c>
      <c r="E146" s="12" t="s">
        <v>73</v>
      </c>
      <c r="F146" s="12" t="n">
        <v>21</v>
      </c>
      <c r="G146" s="12" t="s">
        <v>66</v>
      </c>
      <c r="H146" s="12" t="s">
        <v>65</v>
      </c>
    </row>
    <row r="147" customFormat="false" ht="15" hidden="false" customHeight="true" outlineLevel="0" collapsed="false">
      <c r="A147" s="11" t="n">
        <v>45803</v>
      </c>
      <c r="B147" s="12" t="n">
        <v>2025</v>
      </c>
      <c r="C147" s="12" t="s">
        <v>71</v>
      </c>
      <c r="D147" s="12" t="n">
        <v>5</v>
      </c>
      <c r="E147" s="12" t="s">
        <v>73</v>
      </c>
      <c r="F147" s="12" t="n">
        <v>22</v>
      </c>
      <c r="G147" s="12" t="s">
        <v>67</v>
      </c>
      <c r="H147" s="12" t="s">
        <v>61</v>
      </c>
    </row>
    <row r="148" customFormat="false" ht="15" hidden="false" customHeight="true" outlineLevel="0" collapsed="false">
      <c r="A148" s="11" t="n">
        <v>45804</v>
      </c>
      <c r="B148" s="12" t="n">
        <v>2025</v>
      </c>
      <c r="C148" s="12" t="s">
        <v>71</v>
      </c>
      <c r="D148" s="12" t="n">
        <v>5</v>
      </c>
      <c r="E148" s="12" t="s">
        <v>73</v>
      </c>
      <c r="F148" s="12" t="n">
        <v>22</v>
      </c>
      <c r="G148" s="12" t="s">
        <v>68</v>
      </c>
      <c r="H148" s="12" t="s">
        <v>61</v>
      </c>
    </row>
    <row r="149" customFormat="false" ht="15" hidden="false" customHeight="true" outlineLevel="0" collapsed="false">
      <c r="A149" s="11" t="n">
        <v>45805</v>
      </c>
      <c r="B149" s="12" t="n">
        <v>2025</v>
      </c>
      <c r="C149" s="12" t="s">
        <v>71</v>
      </c>
      <c r="D149" s="12" t="n">
        <v>5</v>
      </c>
      <c r="E149" s="12" t="s">
        <v>73</v>
      </c>
      <c r="F149" s="12" t="n">
        <v>22</v>
      </c>
      <c r="G149" s="12" t="s">
        <v>60</v>
      </c>
      <c r="H149" s="12" t="s">
        <v>61</v>
      </c>
    </row>
    <row r="150" customFormat="false" ht="15" hidden="false" customHeight="true" outlineLevel="0" collapsed="false">
      <c r="A150" s="11" t="n">
        <v>45806</v>
      </c>
      <c r="B150" s="12" t="n">
        <v>2025</v>
      </c>
      <c r="C150" s="12" t="s">
        <v>71</v>
      </c>
      <c r="D150" s="12" t="n">
        <v>5</v>
      </c>
      <c r="E150" s="12" t="s">
        <v>73</v>
      </c>
      <c r="F150" s="12" t="n">
        <v>22</v>
      </c>
      <c r="G150" s="12" t="s">
        <v>62</v>
      </c>
      <c r="H150" s="12" t="s">
        <v>61</v>
      </c>
    </row>
    <row r="151" customFormat="false" ht="15" hidden="false" customHeight="true" outlineLevel="0" collapsed="false">
      <c r="A151" s="11" t="n">
        <v>45807</v>
      </c>
      <c r="B151" s="12" t="n">
        <v>2025</v>
      </c>
      <c r="C151" s="12" t="s">
        <v>71</v>
      </c>
      <c r="D151" s="12" t="n">
        <v>5</v>
      </c>
      <c r="E151" s="12" t="s">
        <v>73</v>
      </c>
      <c r="F151" s="12" t="n">
        <v>22</v>
      </c>
      <c r="G151" s="12" t="s">
        <v>63</v>
      </c>
      <c r="H151" s="12" t="s">
        <v>61</v>
      </c>
    </row>
    <row r="152" customFormat="false" ht="15" hidden="false" customHeight="true" outlineLevel="0" collapsed="false">
      <c r="A152" s="11" t="n">
        <v>45808</v>
      </c>
      <c r="B152" s="12" t="n">
        <v>2025</v>
      </c>
      <c r="C152" s="12" t="s">
        <v>71</v>
      </c>
      <c r="D152" s="12" t="n">
        <v>5</v>
      </c>
      <c r="E152" s="12" t="s">
        <v>73</v>
      </c>
      <c r="F152" s="12" t="n">
        <v>22</v>
      </c>
      <c r="G152" s="12" t="s">
        <v>64</v>
      </c>
      <c r="H152" s="12" t="s">
        <v>65</v>
      </c>
    </row>
    <row r="153" customFormat="false" ht="15" hidden="false" customHeight="true" outlineLevel="0" collapsed="false">
      <c r="A153" s="11" t="n">
        <v>45809</v>
      </c>
      <c r="B153" s="12" t="n">
        <v>2025</v>
      </c>
      <c r="C153" s="12" t="s">
        <v>71</v>
      </c>
      <c r="D153" s="12" t="n">
        <v>6</v>
      </c>
      <c r="E153" s="12" t="s">
        <v>74</v>
      </c>
      <c r="F153" s="12" t="n">
        <v>22</v>
      </c>
      <c r="G153" s="12" t="s">
        <v>66</v>
      </c>
      <c r="H153" s="12" t="s">
        <v>65</v>
      </c>
    </row>
    <row r="154" customFormat="false" ht="15" hidden="false" customHeight="true" outlineLevel="0" collapsed="false">
      <c r="A154" s="11" t="n">
        <v>45810</v>
      </c>
      <c r="B154" s="12" t="n">
        <v>2025</v>
      </c>
      <c r="C154" s="12" t="s">
        <v>71</v>
      </c>
      <c r="D154" s="12" t="n">
        <v>6</v>
      </c>
      <c r="E154" s="12" t="s">
        <v>74</v>
      </c>
      <c r="F154" s="12" t="n">
        <v>23</v>
      </c>
      <c r="G154" s="12" t="s">
        <v>67</v>
      </c>
      <c r="H154" s="12" t="s">
        <v>61</v>
      </c>
    </row>
    <row r="155" customFormat="false" ht="15" hidden="false" customHeight="true" outlineLevel="0" collapsed="false">
      <c r="A155" s="11" t="n">
        <v>45811</v>
      </c>
      <c r="B155" s="12" t="n">
        <v>2025</v>
      </c>
      <c r="C155" s="12" t="s">
        <v>71</v>
      </c>
      <c r="D155" s="12" t="n">
        <v>6</v>
      </c>
      <c r="E155" s="12" t="s">
        <v>74</v>
      </c>
      <c r="F155" s="12" t="n">
        <v>23</v>
      </c>
      <c r="G155" s="12" t="s">
        <v>68</v>
      </c>
      <c r="H155" s="12" t="s">
        <v>61</v>
      </c>
    </row>
    <row r="156" customFormat="false" ht="15" hidden="false" customHeight="true" outlineLevel="0" collapsed="false">
      <c r="A156" s="11" t="n">
        <v>45812</v>
      </c>
      <c r="B156" s="12" t="n">
        <v>2025</v>
      </c>
      <c r="C156" s="12" t="s">
        <v>71</v>
      </c>
      <c r="D156" s="12" t="n">
        <v>6</v>
      </c>
      <c r="E156" s="12" t="s">
        <v>74</v>
      </c>
      <c r="F156" s="12" t="n">
        <v>23</v>
      </c>
      <c r="G156" s="12" t="s">
        <v>60</v>
      </c>
      <c r="H156" s="12" t="s">
        <v>61</v>
      </c>
    </row>
    <row r="157" customFormat="false" ht="15" hidden="false" customHeight="true" outlineLevel="0" collapsed="false">
      <c r="A157" s="11" t="n">
        <v>45813</v>
      </c>
      <c r="B157" s="12" t="n">
        <v>2025</v>
      </c>
      <c r="C157" s="12" t="s">
        <v>71</v>
      </c>
      <c r="D157" s="12" t="n">
        <v>6</v>
      </c>
      <c r="E157" s="12" t="s">
        <v>74</v>
      </c>
      <c r="F157" s="12" t="n">
        <v>23</v>
      </c>
      <c r="G157" s="12" t="s">
        <v>62</v>
      </c>
      <c r="H157" s="12" t="s">
        <v>61</v>
      </c>
    </row>
    <row r="158" customFormat="false" ht="15" hidden="false" customHeight="true" outlineLevel="0" collapsed="false">
      <c r="A158" s="11" t="n">
        <v>45814</v>
      </c>
      <c r="B158" s="12" t="n">
        <v>2025</v>
      </c>
      <c r="C158" s="12" t="s">
        <v>71</v>
      </c>
      <c r="D158" s="12" t="n">
        <v>6</v>
      </c>
      <c r="E158" s="12" t="s">
        <v>74</v>
      </c>
      <c r="F158" s="12" t="n">
        <v>23</v>
      </c>
      <c r="G158" s="12" t="s">
        <v>63</v>
      </c>
      <c r="H158" s="12" t="s">
        <v>61</v>
      </c>
    </row>
    <row r="159" customFormat="false" ht="15" hidden="false" customHeight="true" outlineLevel="0" collapsed="false">
      <c r="A159" s="11" t="n">
        <v>45815</v>
      </c>
      <c r="B159" s="12" t="n">
        <v>2025</v>
      </c>
      <c r="C159" s="12" t="s">
        <v>71</v>
      </c>
      <c r="D159" s="12" t="n">
        <v>6</v>
      </c>
      <c r="E159" s="12" t="s">
        <v>74</v>
      </c>
      <c r="F159" s="12" t="n">
        <v>23</v>
      </c>
      <c r="G159" s="12" t="s">
        <v>64</v>
      </c>
      <c r="H159" s="12" t="s">
        <v>65</v>
      </c>
    </row>
    <row r="160" customFormat="false" ht="15" hidden="false" customHeight="true" outlineLevel="0" collapsed="false">
      <c r="A160" s="11" t="n">
        <v>45816</v>
      </c>
      <c r="B160" s="12" t="n">
        <v>2025</v>
      </c>
      <c r="C160" s="12" t="s">
        <v>71</v>
      </c>
      <c r="D160" s="12" t="n">
        <v>6</v>
      </c>
      <c r="E160" s="12" t="s">
        <v>74</v>
      </c>
      <c r="F160" s="12" t="n">
        <v>23</v>
      </c>
      <c r="G160" s="12" t="s">
        <v>66</v>
      </c>
      <c r="H160" s="12" t="s">
        <v>65</v>
      </c>
    </row>
    <row r="161" customFormat="false" ht="15" hidden="false" customHeight="true" outlineLevel="0" collapsed="false">
      <c r="A161" s="11" t="n">
        <v>45817</v>
      </c>
      <c r="B161" s="12" t="n">
        <v>2025</v>
      </c>
      <c r="C161" s="12" t="s">
        <v>71</v>
      </c>
      <c r="D161" s="12" t="n">
        <v>6</v>
      </c>
      <c r="E161" s="12" t="s">
        <v>74</v>
      </c>
      <c r="F161" s="12" t="n">
        <v>24</v>
      </c>
      <c r="G161" s="12" t="s">
        <v>67</v>
      </c>
      <c r="H161" s="12" t="s">
        <v>61</v>
      </c>
    </row>
    <row r="162" customFormat="false" ht="15" hidden="false" customHeight="true" outlineLevel="0" collapsed="false">
      <c r="A162" s="11" t="n">
        <v>45818</v>
      </c>
      <c r="B162" s="12" t="n">
        <v>2025</v>
      </c>
      <c r="C162" s="12" t="s">
        <v>71</v>
      </c>
      <c r="D162" s="12" t="n">
        <v>6</v>
      </c>
      <c r="E162" s="12" t="s">
        <v>74</v>
      </c>
      <c r="F162" s="12" t="n">
        <v>24</v>
      </c>
      <c r="G162" s="12" t="s">
        <v>68</v>
      </c>
      <c r="H162" s="12" t="s">
        <v>61</v>
      </c>
    </row>
    <row r="163" customFormat="false" ht="15" hidden="false" customHeight="true" outlineLevel="0" collapsed="false">
      <c r="A163" s="11" t="n">
        <v>45819</v>
      </c>
      <c r="B163" s="12" t="n">
        <v>2025</v>
      </c>
      <c r="C163" s="12" t="s">
        <v>71</v>
      </c>
      <c r="D163" s="12" t="n">
        <v>6</v>
      </c>
      <c r="E163" s="12" t="s">
        <v>74</v>
      </c>
      <c r="F163" s="12" t="n">
        <v>24</v>
      </c>
      <c r="G163" s="12" t="s">
        <v>60</v>
      </c>
      <c r="H163" s="12" t="s">
        <v>61</v>
      </c>
    </row>
    <row r="164" customFormat="false" ht="15" hidden="false" customHeight="true" outlineLevel="0" collapsed="false">
      <c r="A164" s="11" t="n">
        <v>45820</v>
      </c>
      <c r="B164" s="12" t="n">
        <v>2025</v>
      </c>
      <c r="C164" s="12" t="s">
        <v>71</v>
      </c>
      <c r="D164" s="12" t="n">
        <v>6</v>
      </c>
      <c r="E164" s="12" t="s">
        <v>74</v>
      </c>
      <c r="F164" s="12" t="n">
        <v>24</v>
      </c>
      <c r="G164" s="12" t="s">
        <v>62</v>
      </c>
      <c r="H164" s="12" t="s">
        <v>61</v>
      </c>
    </row>
    <row r="165" customFormat="false" ht="15" hidden="false" customHeight="true" outlineLevel="0" collapsed="false">
      <c r="A165" s="11" t="n">
        <v>45821</v>
      </c>
      <c r="B165" s="12" t="n">
        <v>2025</v>
      </c>
      <c r="C165" s="12" t="s">
        <v>71</v>
      </c>
      <c r="D165" s="12" t="n">
        <v>6</v>
      </c>
      <c r="E165" s="12" t="s">
        <v>74</v>
      </c>
      <c r="F165" s="12" t="n">
        <v>24</v>
      </c>
      <c r="G165" s="12" t="s">
        <v>63</v>
      </c>
      <c r="H165" s="12" t="s">
        <v>61</v>
      </c>
    </row>
    <row r="166" customFormat="false" ht="15" hidden="false" customHeight="true" outlineLevel="0" collapsed="false">
      <c r="A166" s="11" t="n">
        <v>45822</v>
      </c>
      <c r="B166" s="12" t="n">
        <v>2025</v>
      </c>
      <c r="C166" s="12" t="s">
        <v>71</v>
      </c>
      <c r="D166" s="12" t="n">
        <v>6</v>
      </c>
      <c r="E166" s="12" t="s">
        <v>74</v>
      </c>
      <c r="F166" s="12" t="n">
        <v>24</v>
      </c>
      <c r="G166" s="12" t="s">
        <v>64</v>
      </c>
      <c r="H166" s="12" t="s">
        <v>65</v>
      </c>
    </row>
    <row r="167" customFormat="false" ht="15" hidden="false" customHeight="true" outlineLevel="0" collapsed="false">
      <c r="A167" s="11" t="n">
        <v>45823</v>
      </c>
      <c r="B167" s="12" t="n">
        <v>2025</v>
      </c>
      <c r="C167" s="12" t="s">
        <v>71</v>
      </c>
      <c r="D167" s="12" t="n">
        <v>6</v>
      </c>
      <c r="E167" s="12" t="s">
        <v>74</v>
      </c>
      <c r="F167" s="12" t="n">
        <v>24</v>
      </c>
      <c r="G167" s="12" t="s">
        <v>66</v>
      </c>
      <c r="H167" s="12" t="s">
        <v>65</v>
      </c>
    </row>
    <row r="168" customFormat="false" ht="15" hidden="false" customHeight="true" outlineLevel="0" collapsed="false">
      <c r="A168" s="11" t="n">
        <v>45824</v>
      </c>
      <c r="B168" s="12" t="n">
        <v>2025</v>
      </c>
      <c r="C168" s="12" t="s">
        <v>71</v>
      </c>
      <c r="D168" s="12" t="n">
        <v>6</v>
      </c>
      <c r="E168" s="12" t="s">
        <v>74</v>
      </c>
      <c r="F168" s="12" t="n">
        <v>25</v>
      </c>
      <c r="G168" s="12" t="s">
        <v>67</v>
      </c>
      <c r="H168" s="12" t="s">
        <v>61</v>
      </c>
    </row>
    <row r="169" customFormat="false" ht="15" hidden="false" customHeight="true" outlineLevel="0" collapsed="false">
      <c r="A169" s="11" t="n">
        <v>45825</v>
      </c>
      <c r="B169" s="12" t="n">
        <v>2025</v>
      </c>
      <c r="C169" s="12" t="s">
        <v>71</v>
      </c>
      <c r="D169" s="12" t="n">
        <v>6</v>
      </c>
      <c r="E169" s="12" t="s">
        <v>74</v>
      </c>
      <c r="F169" s="12" t="n">
        <v>25</v>
      </c>
      <c r="G169" s="12" t="s">
        <v>68</v>
      </c>
      <c r="H169" s="12" t="s">
        <v>61</v>
      </c>
    </row>
    <row r="170" customFormat="false" ht="15" hidden="false" customHeight="true" outlineLevel="0" collapsed="false">
      <c r="A170" s="11" t="n">
        <v>45826</v>
      </c>
      <c r="B170" s="12" t="n">
        <v>2025</v>
      </c>
      <c r="C170" s="12" t="s">
        <v>71</v>
      </c>
      <c r="D170" s="12" t="n">
        <v>6</v>
      </c>
      <c r="E170" s="12" t="s">
        <v>74</v>
      </c>
      <c r="F170" s="12" t="n">
        <v>25</v>
      </c>
      <c r="G170" s="12" t="s">
        <v>60</v>
      </c>
      <c r="H170" s="12" t="s">
        <v>61</v>
      </c>
    </row>
    <row r="171" customFormat="false" ht="15" hidden="false" customHeight="true" outlineLevel="0" collapsed="false">
      <c r="A171" s="11" t="n">
        <v>45827</v>
      </c>
      <c r="B171" s="12" t="n">
        <v>2025</v>
      </c>
      <c r="C171" s="12" t="s">
        <v>71</v>
      </c>
      <c r="D171" s="12" t="n">
        <v>6</v>
      </c>
      <c r="E171" s="12" t="s">
        <v>74</v>
      </c>
      <c r="F171" s="12" t="n">
        <v>25</v>
      </c>
      <c r="G171" s="12" t="s">
        <v>62</v>
      </c>
      <c r="H171" s="12" t="s">
        <v>61</v>
      </c>
    </row>
    <row r="172" customFormat="false" ht="15" hidden="false" customHeight="true" outlineLevel="0" collapsed="false">
      <c r="A172" s="11" t="n">
        <v>45828</v>
      </c>
      <c r="B172" s="12" t="n">
        <v>2025</v>
      </c>
      <c r="C172" s="12" t="s">
        <v>71</v>
      </c>
      <c r="D172" s="12" t="n">
        <v>6</v>
      </c>
      <c r="E172" s="12" t="s">
        <v>74</v>
      </c>
      <c r="F172" s="12" t="n">
        <v>25</v>
      </c>
      <c r="G172" s="12" t="s">
        <v>63</v>
      </c>
      <c r="H172" s="12" t="s">
        <v>61</v>
      </c>
    </row>
    <row r="173" customFormat="false" ht="15" hidden="false" customHeight="true" outlineLevel="0" collapsed="false">
      <c r="A173" s="11" t="n">
        <v>45829</v>
      </c>
      <c r="B173" s="12" t="n">
        <v>2025</v>
      </c>
      <c r="C173" s="12" t="s">
        <v>71</v>
      </c>
      <c r="D173" s="12" t="n">
        <v>6</v>
      </c>
      <c r="E173" s="12" t="s">
        <v>74</v>
      </c>
      <c r="F173" s="12" t="n">
        <v>25</v>
      </c>
      <c r="G173" s="12" t="s">
        <v>64</v>
      </c>
      <c r="H173" s="12" t="s">
        <v>65</v>
      </c>
    </row>
    <row r="174" customFormat="false" ht="15" hidden="false" customHeight="true" outlineLevel="0" collapsed="false">
      <c r="A174" s="11" t="n">
        <v>45830</v>
      </c>
      <c r="B174" s="12" t="n">
        <v>2025</v>
      </c>
      <c r="C174" s="12" t="s">
        <v>71</v>
      </c>
      <c r="D174" s="12" t="n">
        <v>6</v>
      </c>
      <c r="E174" s="12" t="s">
        <v>74</v>
      </c>
      <c r="F174" s="12" t="n">
        <v>25</v>
      </c>
      <c r="G174" s="12" t="s">
        <v>66</v>
      </c>
      <c r="H174" s="12" t="s">
        <v>65</v>
      </c>
    </row>
    <row r="175" customFormat="false" ht="15" hidden="false" customHeight="true" outlineLevel="0" collapsed="false">
      <c r="A175" s="11" t="n">
        <v>45831</v>
      </c>
      <c r="B175" s="12" t="n">
        <v>2025</v>
      </c>
      <c r="C175" s="12" t="s">
        <v>71</v>
      </c>
      <c r="D175" s="12" t="n">
        <v>6</v>
      </c>
      <c r="E175" s="12" t="s">
        <v>74</v>
      </c>
      <c r="F175" s="12" t="n">
        <v>26</v>
      </c>
      <c r="G175" s="12" t="s">
        <v>67</v>
      </c>
      <c r="H175" s="12" t="s">
        <v>61</v>
      </c>
    </row>
    <row r="176" customFormat="false" ht="15" hidden="false" customHeight="true" outlineLevel="0" collapsed="false">
      <c r="A176" s="11" t="n">
        <v>45832</v>
      </c>
      <c r="B176" s="12" t="n">
        <v>2025</v>
      </c>
      <c r="C176" s="12" t="s">
        <v>71</v>
      </c>
      <c r="D176" s="12" t="n">
        <v>6</v>
      </c>
      <c r="E176" s="12" t="s">
        <v>74</v>
      </c>
      <c r="F176" s="12" t="n">
        <v>26</v>
      </c>
      <c r="G176" s="12" t="s">
        <v>68</v>
      </c>
      <c r="H176" s="12" t="s">
        <v>61</v>
      </c>
    </row>
    <row r="177" customFormat="false" ht="15" hidden="false" customHeight="true" outlineLevel="0" collapsed="false">
      <c r="A177" s="11" t="n">
        <v>45833</v>
      </c>
      <c r="B177" s="12" t="n">
        <v>2025</v>
      </c>
      <c r="C177" s="12" t="s">
        <v>71</v>
      </c>
      <c r="D177" s="12" t="n">
        <v>6</v>
      </c>
      <c r="E177" s="12" t="s">
        <v>74</v>
      </c>
      <c r="F177" s="12" t="n">
        <v>26</v>
      </c>
      <c r="G177" s="12" t="s">
        <v>60</v>
      </c>
      <c r="H177" s="12" t="s">
        <v>61</v>
      </c>
    </row>
    <row r="178" customFormat="false" ht="15" hidden="false" customHeight="true" outlineLevel="0" collapsed="false">
      <c r="A178" s="11" t="n">
        <v>45834</v>
      </c>
      <c r="B178" s="12" t="n">
        <v>2025</v>
      </c>
      <c r="C178" s="12" t="s">
        <v>71</v>
      </c>
      <c r="D178" s="12" t="n">
        <v>6</v>
      </c>
      <c r="E178" s="12" t="s">
        <v>74</v>
      </c>
      <c r="F178" s="12" t="n">
        <v>26</v>
      </c>
      <c r="G178" s="12" t="s">
        <v>62</v>
      </c>
      <c r="H178" s="12" t="s">
        <v>61</v>
      </c>
    </row>
    <row r="179" customFormat="false" ht="15" hidden="false" customHeight="true" outlineLevel="0" collapsed="false">
      <c r="A179" s="11" t="n">
        <v>45835</v>
      </c>
      <c r="B179" s="12" t="n">
        <v>2025</v>
      </c>
      <c r="C179" s="12" t="s">
        <v>71</v>
      </c>
      <c r="D179" s="12" t="n">
        <v>6</v>
      </c>
      <c r="E179" s="12" t="s">
        <v>74</v>
      </c>
      <c r="F179" s="12" t="n">
        <v>26</v>
      </c>
      <c r="G179" s="12" t="s">
        <v>63</v>
      </c>
      <c r="H179" s="12" t="s">
        <v>61</v>
      </c>
    </row>
    <row r="180" customFormat="false" ht="15" hidden="false" customHeight="true" outlineLevel="0" collapsed="false">
      <c r="A180" s="11" t="n">
        <v>45836</v>
      </c>
      <c r="B180" s="12" t="n">
        <v>2025</v>
      </c>
      <c r="C180" s="12" t="s">
        <v>71</v>
      </c>
      <c r="D180" s="12" t="n">
        <v>6</v>
      </c>
      <c r="E180" s="12" t="s">
        <v>74</v>
      </c>
      <c r="F180" s="12" t="n">
        <v>26</v>
      </c>
      <c r="G180" s="12" t="s">
        <v>64</v>
      </c>
      <c r="H180" s="12" t="s">
        <v>65</v>
      </c>
    </row>
    <row r="181" customFormat="false" ht="15" hidden="false" customHeight="true" outlineLevel="0" collapsed="false">
      <c r="A181" s="11" t="n">
        <v>45837</v>
      </c>
      <c r="B181" s="12" t="n">
        <v>2025</v>
      </c>
      <c r="C181" s="12" t="s">
        <v>71</v>
      </c>
      <c r="D181" s="12" t="n">
        <v>6</v>
      </c>
      <c r="E181" s="12" t="s">
        <v>74</v>
      </c>
      <c r="F181" s="12" t="n">
        <v>26</v>
      </c>
      <c r="G181" s="12" t="s">
        <v>66</v>
      </c>
      <c r="H181" s="12" t="s">
        <v>65</v>
      </c>
    </row>
    <row r="182" customFormat="false" ht="15" hidden="false" customHeight="true" outlineLevel="0" collapsed="false">
      <c r="A182" s="11" t="n">
        <v>45838</v>
      </c>
      <c r="B182" s="12" t="n">
        <v>2025</v>
      </c>
      <c r="C182" s="12" t="s">
        <v>71</v>
      </c>
      <c r="D182" s="12" t="n">
        <v>6</v>
      </c>
      <c r="E182" s="12" t="s">
        <v>74</v>
      </c>
      <c r="F182" s="12" t="n">
        <v>27</v>
      </c>
      <c r="G182" s="12" t="s">
        <v>67</v>
      </c>
      <c r="H182" s="12" t="s">
        <v>61</v>
      </c>
    </row>
    <row r="183" customFormat="false" ht="15" hidden="false" customHeight="true" outlineLevel="0" collapsed="false">
      <c r="A183" s="11" t="n">
        <v>45839</v>
      </c>
      <c r="B183" s="12" t="n">
        <v>2025</v>
      </c>
      <c r="C183" s="12" t="s">
        <v>75</v>
      </c>
      <c r="D183" s="12" t="n">
        <v>7</v>
      </c>
      <c r="E183" s="12" t="s">
        <v>76</v>
      </c>
      <c r="F183" s="12" t="n">
        <v>27</v>
      </c>
      <c r="G183" s="12" t="s">
        <v>68</v>
      </c>
      <c r="H183" s="12" t="s">
        <v>61</v>
      </c>
    </row>
    <row r="184" customFormat="false" ht="15" hidden="false" customHeight="true" outlineLevel="0" collapsed="false">
      <c r="A184" s="11" t="n">
        <v>45840</v>
      </c>
      <c r="B184" s="12" t="n">
        <v>2025</v>
      </c>
      <c r="C184" s="12" t="s">
        <v>75</v>
      </c>
      <c r="D184" s="12" t="n">
        <v>7</v>
      </c>
      <c r="E184" s="12" t="s">
        <v>76</v>
      </c>
      <c r="F184" s="12" t="n">
        <v>27</v>
      </c>
      <c r="G184" s="12" t="s">
        <v>60</v>
      </c>
      <c r="H184" s="12" t="s">
        <v>61</v>
      </c>
    </row>
    <row r="185" customFormat="false" ht="15" hidden="false" customHeight="true" outlineLevel="0" collapsed="false">
      <c r="A185" s="11" t="n">
        <v>45841</v>
      </c>
      <c r="B185" s="12" t="n">
        <v>2025</v>
      </c>
      <c r="C185" s="12" t="s">
        <v>75</v>
      </c>
      <c r="D185" s="12" t="n">
        <v>7</v>
      </c>
      <c r="E185" s="12" t="s">
        <v>76</v>
      </c>
      <c r="F185" s="12" t="n">
        <v>27</v>
      </c>
      <c r="G185" s="12" t="s">
        <v>62</v>
      </c>
      <c r="H185" s="12" t="s">
        <v>61</v>
      </c>
    </row>
    <row r="186" customFormat="false" ht="15" hidden="false" customHeight="true" outlineLevel="0" collapsed="false">
      <c r="A186" s="11" t="n">
        <v>45842</v>
      </c>
      <c r="B186" s="12" t="n">
        <v>2025</v>
      </c>
      <c r="C186" s="12" t="s">
        <v>75</v>
      </c>
      <c r="D186" s="12" t="n">
        <v>7</v>
      </c>
      <c r="E186" s="12" t="s">
        <v>76</v>
      </c>
      <c r="F186" s="12" t="n">
        <v>27</v>
      </c>
      <c r="G186" s="12" t="s">
        <v>63</v>
      </c>
      <c r="H186" s="12" t="s">
        <v>61</v>
      </c>
    </row>
    <row r="187" customFormat="false" ht="15" hidden="false" customHeight="true" outlineLevel="0" collapsed="false">
      <c r="A187" s="11" t="n">
        <v>45843</v>
      </c>
      <c r="B187" s="12" t="n">
        <v>2025</v>
      </c>
      <c r="C187" s="12" t="s">
        <v>75</v>
      </c>
      <c r="D187" s="12" t="n">
        <v>7</v>
      </c>
      <c r="E187" s="12" t="s">
        <v>76</v>
      </c>
      <c r="F187" s="12" t="n">
        <v>27</v>
      </c>
      <c r="G187" s="12" t="s">
        <v>64</v>
      </c>
      <c r="H187" s="12" t="s">
        <v>65</v>
      </c>
    </row>
    <row r="188" customFormat="false" ht="15" hidden="false" customHeight="true" outlineLevel="0" collapsed="false">
      <c r="A188" s="11" t="n">
        <v>45844</v>
      </c>
      <c r="B188" s="12" t="n">
        <v>2025</v>
      </c>
      <c r="C188" s="12" t="s">
        <v>75</v>
      </c>
      <c r="D188" s="12" t="n">
        <v>7</v>
      </c>
      <c r="E188" s="12" t="s">
        <v>76</v>
      </c>
      <c r="F188" s="12" t="n">
        <v>27</v>
      </c>
      <c r="G188" s="12" t="s">
        <v>66</v>
      </c>
      <c r="H188" s="12" t="s">
        <v>65</v>
      </c>
    </row>
    <row r="189" customFormat="false" ht="15" hidden="false" customHeight="true" outlineLevel="0" collapsed="false">
      <c r="A189" s="11" t="n">
        <v>45845</v>
      </c>
      <c r="B189" s="12" t="n">
        <v>2025</v>
      </c>
      <c r="C189" s="12" t="s">
        <v>75</v>
      </c>
      <c r="D189" s="12" t="n">
        <v>7</v>
      </c>
      <c r="E189" s="12" t="s">
        <v>76</v>
      </c>
      <c r="F189" s="12" t="n">
        <v>28</v>
      </c>
      <c r="G189" s="12" t="s">
        <v>67</v>
      </c>
      <c r="H189" s="12" t="s">
        <v>61</v>
      </c>
    </row>
    <row r="190" customFormat="false" ht="15" hidden="false" customHeight="true" outlineLevel="0" collapsed="false">
      <c r="A190" s="11" t="n">
        <v>45846</v>
      </c>
      <c r="B190" s="12" t="n">
        <v>2025</v>
      </c>
      <c r="C190" s="12" t="s">
        <v>75</v>
      </c>
      <c r="D190" s="12" t="n">
        <v>7</v>
      </c>
      <c r="E190" s="12" t="s">
        <v>76</v>
      </c>
      <c r="F190" s="12" t="n">
        <v>28</v>
      </c>
      <c r="G190" s="12" t="s">
        <v>68</v>
      </c>
      <c r="H190" s="12" t="s">
        <v>61</v>
      </c>
    </row>
    <row r="191" customFormat="false" ht="15" hidden="false" customHeight="true" outlineLevel="0" collapsed="false">
      <c r="A191" s="11" t="n">
        <v>45847</v>
      </c>
      <c r="B191" s="12" t="n">
        <v>2025</v>
      </c>
      <c r="C191" s="12" t="s">
        <v>75</v>
      </c>
      <c r="D191" s="12" t="n">
        <v>7</v>
      </c>
      <c r="E191" s="12" t="s">
        <v>76</v>
      </c>
      <c r="F191" s="12" t="n">
        <v>28</v>
      </c>
      <c r="G191" s="12" t="s">
        <v>60</v>
      </c>
      <c r="H191" s="12" t="s">
        <v>61</v>
      </c>
    </row>
    <row r="192" customFormat="false" ht="15" hidden="false" customHeight="true" outlineLevel="0" collapsed="false">
      <c r="A192" s="11" t="n">
        <v>45848</v>
      </c>
      <c r="B192" s="12" t="n">
        <v>2025</v>
      </c>
      <c r="C192" s="12" t="s">
        <v>75</v>
      </c>
      <c r="D192" s="12" t="n">
        <v>7</v>
      </c>
      <c r="E192" s="12" t="s">
        <v>76</v>
      </c>
      <c r="F192" s="12" t="n">
        <v>28</v>
      </c>
      <c r="G192" s="12" t="s">
        <v>62</v>
      </c>
      <c r="H192" s="12" t="s">
        <v>61</v>
      </c>
    </row>
    <row r="193" customFormat="false" ht="15" hidden="false" customHeight="true" outlineLevel="0" collapsed="false">
      <c r="A193" s="11" t="n">
        <v>45849</v>
      </c>
      <c r="B193" s="12" t="n">
        <v>2025</v>
      </c>
      <c r="C193" s="12" t="s">
        <v>75</v>
      </c>
      <c r="D193" s="12" t="n">
        <v>7</v>
      </c>
      <c r="E193" s="12" t="s">
        <v>76</v>
      </c>
      <c r="F193" s="12" t="n">
        <v>28</v>
      </c>
      <c r="G193" s="12" t="s">
        <v>63</v>
      </c>
      <c r="H193" s="12" t="s">
        <v>61</v>
      </c>
    </row>
    <row r="194" customFormat="false" ht="15" hidden="false" customHeight="true" outlineLevel="0" collapsed="false">
      <c r="A194" s="11" t="n">
        <v>45850</v>
      </c>
      <c r="B194" s="12" t="n">
        <v>2025</v>
      </c>
      <c r="C194" s="12" t="s">
        <v>75</v>
      </c>
      <c r="D194" s="12" t="n">
        <v>7</v>
      </c>
      <c r="E194" s="12" t="s">
        <v>76</v>
      </c>
      <c r="F194" s="12" t="n">
        <v>28</v>
      </c>
      <c r="G194" s="12" t="s">
        <v>64</v>
      </c>
      <c r="H194" s="12" t="s">
        <v>65</v>
      </c>
    </row>
    <row r="195" customFormat="false" ht="15" hidden="false" customHeight="true" outlineLevel="0" collapsed="false">
      <c r="A195" s="11" t="n">
        <v>45851</v>
      </c>
      <c r="B195" s="12" t="n">
        <v>2025</v>
      </c>
      <c r="C195" s="12" t="s">
        <v>75</v>
      </c>
      <c r="D195" s="12" t="n">
        <v>7</v>
      </c>
      <c r="E195" s="12" t="s">
        <v>76</v>
      </c>
      <c r="F195" s="12" t="n">
        <v>28</v>
      </c>
      <c r="G195" s="12" t="s">
        <v>66</v>
      </c>
      <c r="H195" s="12" t="s">
        <v>65</v>
      </c>
    </row>
    <row r="196" customFormat="false" ht="15" hidden="false" customHeight="true" outlineLevel="0" collapsed="false">
      <c r="A196" s="11" t="n">
        <v>45852</v>
      </c>
      <c r="B196" s="12" t="n">
        <v>2025</v>
      </c>
      <c r="C196" s="12" t="s">
        <v>75</v>
      </c>
      <c r="D196" s="12" t="n">
        <v>7</v>
      </c>
      <c r="E196" s="12" t="s">
        <v>76</v>
      </c>
      <c r="F196" s="12" t="n">
        <v>29</v>
      </c>
      <c r="G196" s="12" t="s">
        <v>67</v>
      </c>
      <c r="H196" s="12" t="s">
        <v>61</v>
      </c>
    </row>
    <row r="197" customFormat="false" ht="15" hidden="false" customHeight="true" outlineLevel="0" collapsed="false">
      <c r="A197" s="11" t="n">
        <v>45853</v>
      </c>
      <c r="B197" s="12" t="n">
        <v>2025</v>
      </c>
      <c r="C197" s="12" t="s">
        <v>75</v>
      </c>
      <c r="D197" s="12" t="n">
        <v>7</v>
      </c>
      <c r="E197" s="12" t="s">
        <v>76</v>
      </c>
      <c r="F197" s="12" t="n">
        <v>29</v>
      </c>
      <c r="G197" s="12" t="s">
        <v>68</v>
      </c>
      <c r="H197" s="12" t="s">
        <v>61</v>
      </c>
    </row>
    <row r="198" customFormat="false" ht="15" hidden="false" customHeight="true" outlineLevel="0" collapsed="false">
      <c r="A198" s="11" t="n">
        <v>45854</v>
      </c>
      <c r="B198" s="12" t="n">
        <v>2025</v>
      </c>
      <c r="C198" s="12" t="s">
        <v>75</v>
      </c>
      <c r="D198" s="12" t="n">
        <v>7</v>
      </c>
      <c r="E198" s="12" t="s">
        <v>76</v>
      </c>
      <c r="F198" s="12" t="n">
        <v>29</v>
      </c>
      <c r="G198" s="12" t="s">
        <v>60</v>
      </c>
      <c r="H198" s="12" t="s">
        <v>61</v>
      </c>
    </row>
    <row r="199" customFormat="false" ht="15" hidden="false" customHeight="true" outlineLevel="0" collapsed="false">
      <c r="A199" s="11" t="n">
        <v>45855</v>
      </c>
      <c r="B199" s="12" t="n">
        <v>2025</v>
      </c>
      <c r="C199" s="12" t="s">
        <v>75</v>
      </c>
      <c r="D199" s="12" t="n">
        <v>7</v>
      </c>
      <c r="E199" s="12" t="s">
        <v>76</v>
      </c>
      <c r="F199" s="12" t="n">
        <v>29</v>
      </c>
      <c r="G199" s="12" t="s">
        <v>62</v>
      </c>
      <c r="H199" s="12" t="s">
        <v>61</v>
      </c>
    </row>
    <row r="200" customFormat="false" ht="15" hidden="false" customHeight="true" outlineLevel="0" collapsed="false">
      <c r="A200" s="11" t="n">
        <v>45856</v>
      </c>
      <c r="B200" s="12" t="n">
        <v>2025</v>
      </c>
      <c r="C200" s="12" t="s">
        <v>75</v>
      </c>
      <c r="D200" s="12" t="n">
        <v>7</v>
      </c>
      <c r="E200" s="12" t="s">
        <v>76</v>
      </c>
      <c r="F200" s="12" t="n">
        <v>29</v>
      </c>
      <c r="G200" s="12" t="s">
        <v>63</v>
      </c>
      <c r="H200" s="12" t="s">
        <v>61</v>
      </c>
    </row>
    <row r="201" customFormat="false" ht="15" hidden="false" customHeight="true" outlineLevel="0" collapsed="false">
      <c r="A201" s="11" t="n">
        <v>45857</v>
      </c>
      <c r="B201" s="12" t="n">
        <v>2025</v>
      </c>
      <c r="C201" s="12" t="s">
        <v>75</v>
      </c>
      <c r="D201" s="12" t="n">
        <v>7</v>
      </c>
      <c r="E201" s="12" t="s">
        <v>76</v>
      </c>
      <c r="F201" s="12" t="n">
        <v>29</v>
      </c>
      <c r="G201" s="12" t="s">
        <v>64</v>
      </c>
      <c r="H201" s="12" t="s">
        <v>65</v>
      </c>
    </row>
    <row r="202" customFormat="false" ht="15" hidden="false" customHeight="true" outlineLevel="0" collapsed="false">
      <c r="A202" s="11" t="n">
        <v>45858</v>
      </c>
      <c r="B202" s="12" t="n">
        <v>2025</v>
      </c>
      <c r="C202" s="12" t="s">
        <v>75</v>
      </c>
      <c r="D202" s="12" t="n">
        <v>7</v>
      </c>
      <c r="E202" s="12" t="s">
        <v>76</v>
      </c>
      <c r="F202" s="12" t="n">
        <v>29</v>
      </c>
      <c r="G202" s="12" t="s">
        <v>66</v>
      </c>
      <c r="H202" s="12" t="s">
        <v>65</v>
      </c>
    </row>
    <row r="203" customFormat="false" ht="15" hidden="false" customHeight="true" outlineLevel="0" collapsed="false">
      <c r="A203" s="11" t="n">
        <v>45859</v>
      </c>
      <c r="B203" s="12" t="n">
        <v>2025</v>
      </c>
      <c r="C203" s="12" t="s">
        <v>75</v>
      </c>
      <c r="D203" s="12" t="n">
        <v>7</v>
      </c>
      <c r="E203" s="12" t="s">
        <v>76</v>
      </c>
      <c r="F203" s="12" t="n">
        <v>30</v>
      </c>
      <c r="G203" s="12" t="s">
        <v>67</v>
      </c>
      <c r="H203" s="12" t="s">
        <v>61</v>
      </c>
    </row>
    <row r="204" customFormat="false" ht="15" hidden="false" customHeight="true" outlineLevel="0" collapsed="false">
      <c r="A204" s="11" t="n">
        <v>45860</v>
      </c>
      <c r="B204" s="12" t="n">
        <v>2025</v>
      </c>
      <c r="C204" s="12" t="s">
        <v>75</v>
      </c>
      <c r="D204" s="12" t="n">
        <v>7</v>
      </c>
      <c r="E204" s="12" t="s">
        <v>76</v>
      </c>
      <c r="F204" s="12" t="n">
        <v>30</v>
      </c>
      <c r="G204" s="12" t="s">
        <v>68</v>
      </c>
      <c r="H204" s="12" t="s">
        <v>61</v>
      </c>
    </row>
    <row r="205" customFormat="false" ht="15" hidden="false" customHeight="true" outlineLevel="0" collapsed="false">
      <c r="A205" s="11" t="n">
        <v>45861</v>
      </c>
      <c r="B205" s="12" t="n">
        <v>2025</v>
      </c>
      <c r="C205" s="12" t="s">
        <v>75</v>
      </c>
      <c r="D205" s="12" t="n">
        <v>7</v>
      </c>
      <c r="E205" s="12" t="s">
        <v>76</v>
      </c>
      <c r="F205" s="12" t="n">
        <v>30</v>
      </c>
      <c r="G205" s="12" t="s">
        <v>60</v>
      </c>
      <c r="H205" s="12" t="s">
        <v>61</v>
      </c>
    </row>
    <row r="206" customFormat="false" ht="15" hidden="false" customHeight="true" outlineLevel="0" collapsed="false">
      <c r="A206" s="11" t="n">
        <v>45862</v>
      </c>
      <c r="B206" s="12" t="n">
        <v>2025</v>
      </c>
      <c r="C206" s="12" t="s">
        <v>75</v>
      </c>
      <c r="D206" s="12" t="n">
        <v>7</v>
      </c>
      <c r="E206" s="12" t="s">
        <v>76</v>
      </c>
      <c r="F206" s="12" t="n">
        <v>30</v>
      </c>
      <c r="G206" s="12" t="s">
        <v>62</v>
      </c>
      <c r="H206" s="12" t="s">
        <v>61</v>
      </c>
    </row>
    <row r="207" customFormat="false" ht="15" hidden="false" customHeight="true" outlineLevel="0" collapsed="false">
      <c r="A207" s="11" t="n">
        <v>45863</v>
      </c>
      <c r="B207" s="12" t="n">
        <v>2025</v>
      </c>
      <c r="C207" s="12" t="s">
        <v>75</v>
      </c>
      <c r="D207" s="12" t="n">
        <v>7</v>
      </c>
      <c r="E207" s="12" t="s">
        <v>76</v>
      </c>
      <c r="F207" s="12" t="n">
        <v>30</v>
      </c>
      <c r="G207" s="12" t="s">
        <v>63</v>
      </c>
      <c r="H207" s="12" t="s">
        <v>61</v>
      </c>
    </row>
    <row r="208" customFormat="false" ht="15" hidden="false" customHeight="true" outlineLevel="0" collapsed="false">
      <c r="A208" s="11" t="n">
        <v>45864</v>
      </c>
      <c r="B208" s="12" t="n">
        <v>2025</v>
      </c>
      <c r="C208" s="12" t="s">
        <v>75</v>
      </c>
      <c r="D208" s="12" t="n">
        <v>7</v>
      </c>
      <c r="E208" s="12" t="s">
        <v>76</v>
      </c>
      <c r="F208" s="12" t="n">
        <v>30</v>
      </c>
      <c r="G208" s="12" t="s">
        <v>64</v>
      </c>
      <c r="H208" s="12" t="s">
        <v>65</v>
      </c>
    </row>
    <row r="209" customFormat="false" ht="15" hidden="false" customHeight="true" outlineLevel="0" collapsed="false">
      <c r="A209" s="11" t="n">
        <v>45865</v>
      </c>
      <c r="B209" s="12" t="n">
        <v>2025</v>
      </c>
      <c r="C209" s="12" t="s">
        <v>75</v>
      </c>
      <c r="D209" s="12" t="n">
        <v>7</v>
      </c>
      <c r="E209" s="12" t="s">
        <v>76</v>
      </c>
      <c r="F209" s="12" t="n">
        <v>30</v>
      </c>
      <c r="G209" s="12" t="s">
        <v>66</v>
      </c>
      <c r="H209" s="12" t="s">
        <v>65</v>
      </c>
    </row>
    <row r="210" customFormat="false" ht="15" hidden="false" customHeight="true" outlineLevel="0" collapsed="false">
      <c r="A210" s="11" t="n">
        <v>45866</v>
      </c>
      <c r="B210" s="12" t="n">
        <v>2025</v>
      </c>
      <c r="C210" s="12" t="s">
        <v>75</v>
      </c>
      <c r="D210" s="12" t="n">
        <v>7</v>
      </c>
      <c r="E210" s="12" t="s">
        <v>76</v>
      </c>
      <c r="F210" s="12" t="n">
        <v>31</v>
      </c>
      <c r="G210" s="12" t="s">
        <v>67</v>
      </c>
      <c r="H210" s="12" t="s">
        <v>61</v>
      </c>
    </row>
    <row r="211" customFormat="false" ht="15" hidden="false" customHeight="true" outlineLevel="0" collapsed="false">
      <c r="A211" s="11" t="n">
        <v>45867</v>
      </c>
      <c r="B211" s="12" t="n">
        <v>2025</v>
      </c>
      <c r="C211" s="12" t="s">
        <v>75</v>
      </c>
      <c r="D211" s="12" t="n">
        <v>7</v>
      </c>
      <c r="E211" s="12" t="s">
        <v>76</v>
      </c>
      <c r="F211" s="12" t="n">
        <v>31</v>
      </c>
      <c r="G211" s="12" t="s">
        <v>68</v>
      </c>
      <c r="H211" s="12" t="s">
        <v>61</v>
      </c>
    </row>
    <row r="212" customFormat="false" ht="15" hidden="false" customHeight="true" outlineLevel="0" collapsed="false">
      <c r="A212" s="11" t="n">
        <v>45868</v>
      </c>
      <c r="B212" s="12" t="n">
        <v>2025</v>
      </c>
      <c r="C212" s="12" t="s">
        <v>75</v>
      </c>
      <c r="D212" s="12" t="n">
        <v>7</v>
      </c>
      <c r="E212" s="12" t="s">
        <v>76</v>
      </c>
      <c r="F212" s="12" t="n">
        <v>31</v>
      </c>
      <c r="G212" s="12" t="s">
        <v>60</v>
      </c>
      <c r="H212" s="12" t="s">
        <v>61</v>
      </c>
    </row>
    <row r="213" customFormat="false" ht="15" hidden="false" customHeight="true" outlineLevel="0" collapsed="false">
      <c r="A213" s="11" t="n">
        <v>45869</v>
      </c>
      <c r="B213" s="12" t="n">
        <v>2025</v>
      </c>
      <c r="C213" s="12" t="s">
        <v>75</v>
      </c>
      <c r="D213" s="12" t="n">
        <v>7</v>
      </c>
      <c r="E213" s="12" t="s">
        <v>76</v>
      </c>
      <c r="F213" s="12" t="n">
        <v>31</v>
      </c>
      <c r="G213" s="12" t="s">
        <v>62</v>
      </c>
      <c r="H213" s="12" t="s">
        <v>61</v>
      </c>
    </row>
    <row r="214" customFormat="false" ht="15" hidden="false" customHeight="true" outlineLevel="0" collapsed="false">
      <c r="A214" s="11" t="n">
        <v>45870</v>
      </c>
      <c r="B214" s="12" t="n">
        <v>2025</v>
      </c>
      <c r="C214" s="12" t="s">
        <v>75</v>
      </c>
      <c r="D214" s="12" t="n">
        <v>8</v>
      </c>
      <c r="E214" s="12" t="s">
        <v>77</v>
      </c>
      <c r="F214" s="12" t="n">
        <v>31</v>
      </c>
      <c r="G214" s="12" t="s">
        <v>63</v>
      </c>
      <c r="H214" s="12" t="s">
        <v>61</v>
      </c>
    </row>
    <row r="215" customFormat="false" ht="15" hidden="false" customHeight="true" outlineLevel="0" collapsed="false">
      <c r="A215" s="11" t="n">
        <v>45871</v>
      </c>
      <c r="B215" s="12" t="n">
        <v>2025</v>
      </c>
      <c r="C215" s="12" t="s">
        <v>75</v>
      </c>
      <c r="D215" s="12" t="n">
        <v>8</v>
      </c>
      <c r="E215" s="12" t="s">
        <v>77</v>
      </c>
      <c r="F215" s="12" t="n">
        <v>31</v>
      </c>
      <c r="G215" s="12" t="s">
        <v>64</v>
      </c>
      <c r="H215" s="12" t="s">
        <v>65</v>
      </c>
    </row>
    <row r="216" customFormat="false" ht="15" hidden="false" customHeight="true" outlineLevel="0" collapsed="false">
      <c r="A216" s="11" t="n">
        <v>45872</v>
      </c>
      <c r="B216" s="12" t="n">
        <v>2025</v>
      </c>
      <c r="C216" s="12" t="s">
        <v>75</v>
      </c>
      <c r="D216" s="12" t="n">
        <v>8</v>
      </c>
      <c r="E216" s="12" t="s">
        <v>77</v>
      </c>
      <c r="F216" s="12" t="n">
        <v>31</v>
      </c>
      <c r="G216" s="12" t="s">
        <v>66</v>
      </c>
      <c r="H216" s="12" t="s">
        <v>65</v>
      </c>
    </row>
    <row r="217" customFormat="false" ht="15" hidden="false" customHeight="true" outlineLevel="0" collapsed="false">
      <c r="A217" s="11" t="n">
        <v>45873</v>
      </c>
      <c r="B217" s="12" t="n">
        <v>2025</v>
      </c>
      <c r="C217" s="12" t="s">
        <v>75</v>
      </c>
      <c r="D217" s="12" t="n">
        <v>8</v>
      </c>
      <c r="E217" s="12" t="s">
        <v>77</v>
      </c>
      <c r="F217" s="12" t="n">
        <v>32</v>
      </c>
      <c r="G217" s="12" t="s">
        <v>67</v>
      </c>
      <c r="H217" s="12" t="s">
        <v>61</v>
      </c>
    </row>
    <row r="218" customFormat="false" ht="15" hidden="false" customHeight="true" outlineLevel="0" collapsed="false">
      <c r="A218" s="11" t="n">
        <v>45874</v>
      </c>
      <c r="B218" s="12" t="n">
        <v>2025</v>
      </c>
      <c r="C218" s="12" t="s">
        <v>75</v>
      </c>
      <c r="D218" s="12" t="n">
        <v>8</v>
      </c>
      <c r="E218" s="12" t="s">
        <v>77</v>
      </c>
      <c r="F218" s="12" t="n">
        <v>32</v>
      </c>
      <c r="G218" s="12" t="s">
        <v>68</v>
      </c>
      <c r="H218" s="12" t="s">
        <v>61</v>
      </c>
    </row>
    <row r="219" customFormat="false" ht="15" hidden="false" customHeight="true" outlineLevel="0" collapsed="false">
      <c r="A219" s="11" t="n">
        <v>45875</v>
      </c>
      <c r="B219" s="12" t="n">
        <v>2025</v>
      </c>
      <c r="C219" s="12" t="s">
        <v>75</v>
      </c>
      <c r="D219" s="12" t="n">
        <v>8</v>
      </c>
      <c r="E219" s="12" t="s">
        <v>77</v>
      </c>
      <c r="F219" s="12" t="n">
        <v>32</v>
      </c>
      <c r="G219" s="12" t="s">
        <v>60</v>
      </c>
      <c r="H219" s="12" t="s">
        <v>61</v>
      </c>
    </row>
    <row r="220" customFormat="false" ht="15" hidden="false" customHeight="true" outlineLevel="0" collapsed="false">
      <c r="A220" s="11" t="n">
        <v>45876</v>
      </c>
      <c r="B220" s="12" t="n">
        <v>2025</v>
      </c>
      <c r="C220" s="12" t="s">
        <v>75</v>
      </c>
      <c r="D220" s="12" t="n">
        <v>8</v>
      </c>
      <c r="E220" s="12" t="s">
        <v>77</v>
      </c>
      <c r="F220" s="12" t="n">
        <v>32</v>
      </c>
      <c r="G220" s="12" t="s">
        <v>62</v>
      </c>
      <c r="H220" s="12" t="s">
        <v>61</v>
      </c>
    </row>
    <row r="221" customFormat="false" ht="15" hidden="false" customHeight="true" outlineLevel="0" collapsed="false">
      <c r="A221" s="11" t="n">
        <v>45877</v>
      </c>
      <c r="B221" s="12" t="n">
        <v>2025</v>
      </c>
      <c r="C221" s="12" t="s">
        <v>75</v>
      </c>
      <c r="D221" s="12" t="n">
        <v>8</v>
      </c>
      <c r="E221" s="12" t="s">
        <v>77</v>
      </c>
      <c r="F221" s="12" t="n">
        <v>32</v>
      </c>
      <c r="G221" s="12" t="s">
        <v>63</v>
      </c>
      <c r="H221" s="12" t="s">
        <v>61</v>
      </c>
    </row>
    <row r="222" customFormat="false" ht="15" hidden="false" customHeight="true" outlineLevel="0" collapsed="false">
      <c r="A222" s="11" t="n">
        <v>45878</v>
      </c>
      <c r="B222" s="12" t="n">
        <v>2025</v>
      </c>
      <c r="C222" s="12" t="s">
        <v>75</v>
      </c>
      <c r="D222" s="12" t="n">
        <v>8</v>
      </c>
      <c r="E222" s="12" t="s">
        <v>77</v>
      </c>
      <c r="F222" s="12" t="n">
        <v>32</v>
      </c>
      <c r="G222" s="12" t="s">
        <v>64</v>
      </c>
      <c r="H222" s="12" t="s">
        <v>65</v>
      </c>
    </row>
    <row r="223" customFormat="false" ht="15" hidden="false" customHeight="true" outlineLevel="0" collapsed="false">
      <c r="A223" s="11" t="n">
        <v>45879</v>
      </c>
      <c r="B223" s="12" t="n">
        <v>2025</v>
      </c>
      <c r="C223" s="12" t="s">
        <v>75</v>
      </c>
      <c r="D223" s="12" t="n">
        <v>8</v>
      </c>
      <c r="E223" s="12" t="s">
        <v>77</v>
      </c>
      <c r="F223" s="12" t="n">
        <v>32</v>
      </c>
      <c r="G223" s="12" t="s">
        <v>66</v>
      </c>
      <c r="H223" s="12" t="s">
        <v>65</v>
      </c>
    </row>
    <row r="224" customFormat="false" ht="15" hidden="false" customHeight="true" outlineLevel="0" collapsed="false">
      <c r="A224" s="11" t="n">
        <v>45880</v>
      </c>
      <c r="B224" s="12" t="n">
        <v>2025</v>
      </c>
      <c r="C224" s="12" t="s">
        <v>75</v>
      </c>
      <c r="D224" s="12" t="n">
        <v>8</v>
      </c>
      <c r="E224" s="12" t="s">
        <v>77</v>
      </c>
      <c r="F224" s="12" t="n">
        <v>33</v>
      </c>
      <c r="G224" s="12" t="s">
        <v>67</v>
      </c>
      <c r="H224" s="12" t="s">
        <v>61</v>
      </c>
    </row>
    <row r="225" customFormat="false" ht="15" hidden="false" customHeight="true" outlineLevel="0" collapsed="false">
      <c r="A225" s="11" t="n">
        <v>45881</v>
      </c>
      <c r="B225" s="12" t="n">
        <v>2025</v>
      </c>
      <c r="C225" s="12" t="s">
        <v>75</v>
      </c>
      <c r="D225" s="12" t="n">
        <v>8</v>
      </c>
      <c r="E225" s="12" t="s">
        <v>77</v>
      </c>
      <c r="F225" s="12" t="n">
        <v>33</v>
      </c>
      <c r="G225" s="12" t="s">
        <v>68</v>
      </c>
      <c r="H225" s="12" t="s">
        <v>61</v>
      </c>
    </row>
    <row r="226" customFormat="false" ht="15" hidden="false" customHeight="true" outlineLevel="0" collapsed="false">
      <c r="A226" s="11" t="n">
        <v>45882</v>
      </c>
      <c r="B226" s="12" t="n">
        <v>2025</v>
      </c>
      <c r="C226" s="12" t="s">
        <v>75</v>
      </c>
      <c r="D226" s="12" t="n">
        <v>8</v>
      </c>
      <c r="E226" s="12" t="s">
        <v>77</v>
      </c>
      <c r="F226" s="12" t="n">
        <v>33</v>
      </c>
      <c r="G226" s="12" t="s">
        <v>60</v>
      </c>
      <c r="H226" s="12" t="s">
        <v>61</v>
      </c>
    </row>
    <row r="227" customFormat="false" ht="15" hidden="false" customHeight="true" outlineLevel="0" collapsed="false">
      <c r="A227" s="11" t="n">
        <v>45883</v>
      </c>
      <c r="B227" s="12" t="n">
        <v>2025</v>
      </c>
      <c r="C227" s="12" t="s">
        <v>75</v>
      </c>
      <c r="D227" s="12" t="n">
        <v>8</v>
      </c>
      <c r="E227" s="12" t="s">
        <v>77</v>
      </c>
      <c r="F227" s="12" t="n">
        <v>33</v>
      </c>
      <c r="G227" s="12" t="s">
        <v>62</v>
      </c>
      <c r="H227" s="12" t="s">
        <v>61</v>
      </c>
    </row>
    <row r="228" customFormat="false" ht="15" hidden="false" customHeight="true" outlineLevel="0" collapsed="false">
      <c r="A228" s="11" t="n">
        <v>45884</v>
      </c>
      <c r="B228" s="12" t="n">
        <v>2025</v>
      </c>
      <c r="C228" s="12" t="s">
        <v>75</v>
      </c>
      <c r="D228" s="12" t="n">
        <v>8</v>
      </c>
      <c r="E228" s="12" t="s">
        <v>77</v>
      </c>
      <c r="F228" s="12" t="n">
        <v>33</v>
      </c>
      <c r="G228" s="12" t="s">
        <v>63</v>
      </c>
      <c r="H228" s="12" t="s">
        <v>61</v>
      </c>
    </row>
    <row r="229" customFormat="false" ht="15" hidden="false" customHeight="true" outlineLevel="0" collapsed="false">
      <c r="A229" s="11" t="n">
        <v>45885</v>
      </c>
      <c r="B229" s="12" t="n">
        <v>2025</v>
      </c>
      <c r="C229" s="12" t="s">
        <v>75</v>
      </c>
      <c r="D229" s="12" t="n">
        <v>8</v>
      </c>
      <c r="E229" s="12" t="s">
        <v>77</v>
      </c>
      <c r="F229" s="12" t="n">
        <v>33</v>
      </c>
      <c r="G229" s="12" t="s">
        <v>64</v>
      </c>
      <c r="H229" s="12" t="s">
        <v>65</v>
      </c>
    </row>
    <row r="230" customFormat="false" ht="15" hidden="false" customHeight="true" outlineLevel="0" collapsed="false">
      <c r="A230" s="11" t="n">
        <v>45886</v>
      </c>
      <c r="B230" s="12" t="n">
        <v>2025</v>
      </c>
      <c r="C230" s="12" t="s">
        <v>75</v>
      </c>
      <c r="D230" s="12" t="n">
        <v>8</v>
      </c>
      <c r="E230" s="12" t="s">
        <v>77</v>
      </c>
      <c r="F230" s="12" t="n">
        <v>33</v>
      </c>
      <c r="G230" s="12" t="s">
        <v>66</v>
      </c>
      <c r="H230" s="12" t="s">
        <v>65</v>
      </c>
    </row>
    <row r="231" customFormat="false" ht="15" hidden="false" customHeight="true" outlineLevel="0" collapsed="false">
      <c r="A231" s="11" t="n">
        <v>45887</v>
      </c>
      <c r="B231" s="12" t="n">
        <v>2025</v>
      </c>
      <c r="C231" s="12" t="s">
        <v>75</v>
      </c>
      <c r="D231" s="12" t="n">
        <v>8</v>
      </c>
      <c r="E231" s="12" t="s">
        <v>77</v>
      </c>
      <c r="F231" s="12" t="n">
        <v>34</v>
      </c>
      <c r="G231" s="12" t="s">
        <v>67</v>
      </c>
      <c r="H231" s="12" t="s">
        <v>61</v>
      </c>
    </row>
    <row r="232" customFormat="false" ht="15" hidden="false" customHeight="true" outlineLevel="0" collapsed="false">
      <c r="A232" s="11" t="n">
        <v>45888</v>
      </c>
      <c r="B232" s="12" t="n">
        <v>2025</v>
      </c>
      <c r="C232" s="12" t="s">
        <v>75</v>
      </c>
      <c r="D232" s="12" t="n">
        <v>8</v>
      </c>
      <c r="E232" s="12" t="s">
        <v>77</v>
      </c>
      <c r="F232" s="12" t="n">
        <v>34</v>
      </c>
      <c r="G232" s="12" t="s">
        <v>68</v>
      </c>
      <c r="H232" s="12" t="s">
        <v>61</v>
      </c>
    </row>
    <row r="233" customFormat="false" ht="15" hidden="false" customHeight="true" outlineLevel="0" collapsed="false">
      <c r="A233" s="11" t="n">
        <v>45889</v>
      </c>
      <c r="B233" s="12" t="n">
        <v>2025</v>
      </c>
      <c r="C233" s="12" t="s">
        <v>75</v>
      </c>
      <c r="D233" s="12" t="n">
        <v>8</v>
      </c>
      <c r="E233" s="12" t="s">
        <v>77</v>
      </c>
      <c r="F233" s="12" t="n">
        <v>34</v>
      </c>
      <c r="G233" s="12" t="s">
        <v>60</v>
      </c>
      <c r="H233" s="12" t="s">
        <v>61</v>
      </c>
    </row>
    <row r="234" customFormat="false" ht="15" hidden="false" customHeight="true" outlineLevel="0" collapsed="false">
      <c r="A234" s="11" t="n">
        <v>45890</v>
      </c>
      <c r="B234" s="12" t="n">
        <v>2025</v>
      </c>
      <c r="C234" s="12" t="s">
        <v>75</v>
      </c>
      <c r="D234" s="12" t="n">
        <v>8</v>
      </c>
      <c r="E234" s="12" t="s">
        <v>77</v>
      </c>
      <c r="F234" s="12" t="n">
        <v>34</v>
      </c>
      <c r="G234" s="12" t="s">
        <v>62</v>
      </c>
      <c r="H234" s="12" t="s">
        <v>61</v>
      </c>
    </row>
    <row r="235" customFormat="false" ht="15" hidden="false" customHeight="true" outlineLevel="0" collapsed="false">
      <c r="A235" s="11" t="n">
        <v>45891</v>
      </c>
      <c r="B235" s="12" t="n">
        <v>2025</v>
      </c>
      <c r="C235" s="12" t="s">
        <v>75</v>
      </c>
      <c r="D235" s="12" t="n">
        <v>8</v>
      </c>
      <c r="E235" s="12" t="s">
        <v>77</v>
      </c>
      <c r="F235" s="12" t="n">
        <v>34</v>
      </c>
      <c r="G235" s="12" t="s">
        <v>63</v>
      </c>
      <c r="H235" s="12" t="s">
        <v>61</v>
      </c>
    </row>
    <row r="236" customFormat="false" ht="15" hidden="false" customHeight="true" outlineLevel="0" collapsed="false">
      <c r="A236" s="11" t="n">
        <v>45892</v>
      </c>
      <c r="B236" s="12" t="n">
        <v>2025</v>
      </c>
      <c r="C236" s="12" t="s">
        <v>75</v>
      </c>
      <c r="D236" s="12" t="n">
        <v>8</v>
      </c>
      <c r="E236" s="12" t="s">
        <v>77</v>
      </c>
      <c r="F236" s="12" t="n">
        <v>34</v>
      </c>
      <c r="G236" s="12" t="s">
        <v>64</v>
      </c>
      <c r="H236" s="12" t="s">
        <v>65</v>
      </c>
    </row>
    <row r="237" customFormat="false" ht="15" hidden="false" customHeight="true" outlineLevel="0" collapsed="false">
      <c r="A237" s="11" t="n">
        <v>45893</v>
      </c>
      <c r="B237" s="12" t="n">
        <v>2025</v>
      </c>
      <c r="C237" s="12" t="s">
        <v>75</v>
      </c>
      <c r="D237" s="12" t="n">
        <v>8</v>
      </c>
      <c r="E237" s="12" t="s">
        <v>77</v>
      </c>
      <c r="F237" s="12" t="n">
        <v>34</v>
      </c>
      <c r="G237" s="12" t="s">
        <v>66</v>
      </c>
      <c r="H237" s="12" t="s">
        <v>65</v>
      </c>
    </row>
    <row r="238" customFormat="false" ht="15" hidden="false" customHeight="true" outlineLevel="0" collapsed="false">
      <c r="A238" s="11" t="n">
        <v>45894</v>
      </c>
      <c r="B238" s="12" t="n">
        <v>2025</v>
      </c>
      <c r="C238" s="12" t="s">
        <v>75</v>
      </c>
      <c r="D238" s="12" t="n">
        <v>8</v>
      </c>
      <c r="E238" s="12" t="s">
        <v>77</v>
      </c>
      <c r="F238" s="12" t="n">
        <v>35</v>
      </c>
      <c r="G238" s="12" t="s">
        <v>67</v>
      </c>
      <c r="H238" s="12" t="s">
        <v>61</v>
      </c>
    </row>
    <row r="239" customFormat="false" ht="15" hidden="false" customHeight="true" outlineLevel="0" collapsed="false">
      <c r="A239" s="11" t="n">
        <v>45895</v>
      </c>
      <c r="B239" s="12" t="n">
        <v>2025</v>
      </c>
      <c r="C239" s="12" t="s">
        <v>75</v>
      </c>
      <c r="D239" s="12" t="n">
        <v>8</v>
      </c>
      <c r="E239" s="12" t="s">
        <v>77</v>
      </c>
      <c r="F239" s="12" t="n">
        <v>35</v>
      </c>
      <c r="G239" s="12" t="s">
        <v>68</v>
      </c>
      <c r="H239" s="12" t="s">
        <v>61</v>
      </c>
    </row>
    <row r="240" customFormat="false" ht="15" hidden="false" customHeight="true" outlineLevel="0" collapsed="false">
      <c r="A240" s="11" t="n">
        <v>45896</v>
      </c>
      <c r="B240" s="12" t="n">
        <v>2025</v>
      </c>
      <c r="C240" s="12" t="s">
        <v>75</v>
      </c>
      <c r="D240" s="12" t="n">
        <v>8</v>
      </c>
      <c r="E240" s="12" t="s">
        <v>77</v>
      </c>
      <c r="F240" s="12" t="n">
        <v>35</v>
      </c>
      <c r="G240" s="12" t="s">
        <v>60</v>
      </c>
      <c r="H240" s="12" t="s">
        <v>61</v>
      </c>
    </row>
    <row r="241" customFormat="false" ht="15" hidden="false" customHeight="true" outlineLevel="0" collapsed="false">
      <c r="A241" s="11" t="n">
        <v>45897</v>
      </c>
      <c r="B241" s="12" t="n">
        <v>2025</v>
      </c>
      <c r="C241" s="12" t="s">
        <v>75</v>
      </c>
      <c r="D241" s="12" t="n">
        <v>8</v>
      </c>
      <c r="E241" s="12" t="s">
        <v>77</v>
      </c>
      <c r="F241" s="12" t="n">
        <v>35</v>
      </c>
      <c r="G241" s="12" t="s">
        <v>62</v>
      </c>
      <c r="H241" s="12" t="s">
        <v>61</v>
      </c>
    </row>
    <row r="242" customFormat="false" ht="15" hidden="false" customHeight="true" outlineLevel="0" collapsed="false">
      <c r="A242" s="11" t="n">
        <v>45898</v>
      </c>
      <c r="B242" s="12" t="n">
        <v>2025</v>
      </c>
      <c r="C242" s="12" t="s">
        <v>75</v>
      </c>
      <c r="D242" s="12" t="n">
        <v>8</v>
      </c>
      <c r="E242" s="12" t="s">
        <v>77</v>
      </c>
      <c r="F242" s="12" t="n">
        <v>35</v>
      </c>
      <c r="G242" s="12" t="s">
        <v>63</v>
      </c>
      <c r="H242" s="12" t="s">
        <v>61</v>
      </c>
    </row>
    <row r="243" customFormat="false" ht="15" hidden="false" customHeight="true" outlineLevel="0" collapsed="false">
      <c r="A243" s="11" t="n">
        <v>45899</v>
      </c>
      <c r="B243" s="12" t="n">
        <v>2025</v>
      </c>
      <c r="C243" s="12" t="s">
        <v>75</v>
      </c>
      <c r="D243" s="12" t="n">
        <v>8</v>
      </c>
      <c r="E243" s="12" t="s">
        <v>77</v>
      </c>
      <c r="F243" s="12" t="n">
        <v>35</v>
      </c>
      <c r="G243" s="12" t="s">
        <v>64</v>
      </c>
      <c r="H243" s="12" t="s">
        <v>65</v>
      </c>
    </row>
    <row r="244" customFormat="false" ht="15" hidden="false" customHeight="true" outlineLevel="0" collapsed="false">
      <c r="A244" s="11" t="n">
        <v>45900</v>
      </c>
      <c r="B244" s="12" t="n">
        <v>2025</v>
      </c>
      <c r="C244" s="12" t="s">
        <v>75</v>
      </c>
      <c r="D244" s="12" t="n">
        <v>8</v>
      </c>
      <c r="E244" s="12" t="s">
        <v>77</v>
      </c>
      <c r="F244" s="12" t="n">
        <v>35</v>
      </c>
      <c r="G244" s="12" t="s">
        <v>66</v>
      </c>
      <c r="H244" s="12" t="s">
        <v>65</v>
      </c>
    </row>
    <row r="245" customFormat="false" ht="15" hidden="false" customHeight="true" outlineLevel="0" collapsed="false">
      <c r="A245" s="11" t="n">
        <v>45901</v>
      </c>
      <c r="B245" s="12" t="n">
        <v>2025</v>
      </c>
      <c r="C245" s="12" t="s">
        <v>75</v>
      </c>
      <c r="D245" s="12" t="n">
        <v>9</v>
      </c>
      <c r="E245" s="12" t="s">
        <v>78</v>
      </c>
      <c r="F245" s="12" t="n">
        <v>36</v>
      </c>
      <c r="G245" s="12" t="s">
        <v>67</v>
      </c>
      <c r="H245" s="12" t="s">
        <v>61</v>
      </c>
    </row>
    <row r="246" customFormat="false" ht="15" hidden="false" customHeight="true" outlineLevel="0" collapsed="false">
      <c r="A246" s="11" t="n">
        <v>45902</v>
      </c>
      <c r="B246" s="12" t="n">
        <v>2025</v>
      </c>
      <c r="C246" s="12" t="s">
        <v>75</v>
      </c>
      <c r="D246" s="12" t="n">
        <v>9</v>
      </c>
      <c r="E246" s="12" t="s">
        <v>78</v>
      </c>
      <c r="F246" s="12" t="n">
        <v>36</v>
      </c>
      <c r="G246" s="12" t="s">
        <v>68</v>
      </c>
      <c r="H246" s="12" t="s">
        <v>61</v>
      </c>
    </row>
    <row r="247" customFormat="false" ht="15" hidden="false" customHeight="true" outlineLevel="0" collapsed="false">
      <c r="A247" s="11" t="n">
        <v>45903</v>
      </c>
      <c r="B247" s="12" t="n">
        <v>2025</v>
      </c>
      <c r="C247" s="12" t="s">
        <v>75</v>
      </c>
      <c r="D247" s="12" t="n">
        <v>9</v>
      </c>
      <c r="E247" s="12" t="s">
        <v>78</v>
      </c>
      <c r="F247" s="12" t="n">
        <v>36</v>
      </c>
      <c r="G247" s="12" t="s">
        <v>60</v>
      </c>
      <c r="H247" s="12" t="s">
        <v>61</v>
      </c>
    </row>
    <row r="248" customFormat="false" ht="15" hidden="false" customHeight="true" outlineLevel="0" collapsed="false">
      <c r="A248" s="11" t="n">
        <v>45904</v>
      </c>
      <c r="B248" s="12" t="n">
        <v>2025</v>
      </c>
      <c r="C248" s="12" t="s">
        <v>75</v>
      </c>
      <c r="D248" s="12" t="n">
        <v>9</v>
      </c>
      <c r="E248" s="12" t="s">
        <v>78</v>
      </c>
      <c r="F248" s="12" t="n">
        <v>36</v>
      </c>
      <c r="G248" s="12" t="s">
        <v>62</v>
      </c>
      <c r="H248" s="12" t="s">
        <v>61</v>
      </c>
    </row>
    <row r="249" customFormat="false" ht="15" hidden="false" customHeight="true" outlineLevel="0" collapsed="false">
      <c r="A249" s="11" t="n">
        <v>45905</v>
      </c>
      <c r="B249" s="12" t="n">
        <v>2025</v>
      </c>
      <c r="C249" s="12" t="s">
        <v>75</v>
      </c>
      <c r="D249" s="12" t="n">
        <v>9</v>
      </c>
      <c r="E249" s="12" t="s">
        <v>78</v>
      </c>
      <c r="F249" s="12" t="n">
        <v>36</v>
      </c>
      <c r="G249" s="12" t="s">
        <v>63</v>
      </c>
      <c r="H249" s="12" t="s">
        <v>61</v>
      </c>
    </row>
    <row r="250" customFormat="false" ht="15" hidden="false" customHeight="true" outlineLevel="0" collapsed="false">
      <c r="A250" s="11" t="n">
        <v>45906</v>
      </c>
      <c r="B250" s="12" t="n">
        <v>2025</v>
      </c>
      <c r="C250" s="12" t="s">
        <v>75</v>
      </c>
      <c r="D250" s="12" t="n">
        <v>9</v>
      </c>
      <c r="E250" s="12" t="s">
        <v>78</v>
      </c>
      <c r="F250" s="12" t="n">
        <v>36</v>
      </c>
      <c r="G250" s="12" t="s">
        <v>64</v>
      </c>
      <c r="H250" s="12" t="s">
        <v>65</v>
      </c>
    </row>
    <row r="251" customFormat="false" ht="15" hidden="false" customHeight="true" outlineLevel="0" collapsed="false">
      <c r="A251" s="11" t="n">
        <v>45907</v>
      </c>
      <c r="B251" s="12" t="n">
        <v>2025</v>
      </c>
      <c r="C251" s="12" t="s">
        <v>75</v>
      </c>
      <c r="D251" s="12" t="n">
        <v>9</v>
      </c>
      <c r="E251" s="12" t="s">
        <v>78</v>
      </c>
      <c r="F251" s="12" t="n">
        <v>36</v>
      </c>
      <c r="G251" s="12" t="s">
        <v>66</v>
      </c>
      <c r="H251" s="12" t="s">
        <v>65</v>
      </c>
    </row>
    <row r="252" customFormat="false" ht="15" hidden="false" customHeight="true" outlineLevel="0" collapsed="false">
      <c r="A252" s="11" t="n">
        <v>45908</v>
      </c>
      <c r="B252" s="12" t="n">
        <v>2025</v>
      </c>
      <c r="C252" s="12" t="s">
        <v>75</v>
      </c>
      <c r="D252" s="12" t="n">
        <v>9</v>
      </c>
      <c r="E252" s="12" t="s">
        <v>78</v>
      </c>
      <c r="F252" s="12" t="n">
        <v>37</v>
      </c>
      <c r="G252" s="12" t="s">
        <v>67</v>
      </c>
      <c r="H252" s="12" t="s">
        <v>61</v>
      </c>
    </row>
    <row r="253" customFormat="false" ht="15" hidden="false" customHeight="true" outlineLevel="0" collapsed="false">
      <c r="A253" s="11" t="n">
        <v>45909</v>
      </c>
      <c r="B253" s="12" t="n">
        <v>2025</v>
      </c>
      <c r="C253" s="12" t="s">
        <v>75</v>
      </c>
      <c r="D253" s="12" t="n">
        <v>9</v>
      </c>
      <c r="E253" s="12" t="s">
        <v>78</v>
      </c>
      <c r="F253" s="12" t="n">
        <v>37</v>
      </c>
      <c r="G253" s="12" t="s">
        <v>68</v>
      </c>
      <c r="H253" s="12" t="s">
        <v>61</v>
      </c>
    </row>
    <row r="254" customFormat="false" ht="15" hidden="false" customHeight="true" outlineLevel="0" collapsed="false">
      <c r="A254" s="11" t="n">
        <v>45910</v>
      </c>
      <c r="B254" s="12" t="n">
        <v>2025</v>
      </c>
      <c r="C254" s="12" t="s">
        <v>75</v>
      </c>
      <c r="D254" s="12" t="n">
        <v>9</v>
      </c>
      <c r="E254" s="12" t="s">
        <v>78</v>
      </c>
      <c r="F254" s="12" t="n">
        <v>37</v>
      </c>
      <c r="G254" s="12" t="s">
        <v>60</v>
      </c>
      <c r="H254" s="12" t="s">
        <v>61</v>
      </c>
    </row>
    <row r="255" customFormat="false" ht="15" hidden="false" customHeight="true" outlineLevel="0" collapsed="false">
      <c r="A255" s="11" t="n">
        <v>45911</v>
      </c>
      <c r="B255" s="12" t="n">
        <v>2025</v>
      </c>
      <c r="C255" s="12" t="s">
        <v>75</v>
      </c>
      <c r="D255" s="12" t="n">
        <v>9</v>
      </c>
      <c r="E255" s="12" t="s">
        <v>78</v>
      </c>
      <c r="F255" s="12" t="n">
        <v>37</v>
      </c>
      <c r="G255" s="12" t="s">
        <v>62</v>
      </c>
      <c r="H255" s="12" t="s">
        <v>61</v>
      </c>
    </row>
    <row r="256" customFormat="false" ht="15" hidden="false" customHeight="true" outlineLevel="0" collapsed="false">
      <c r="A256" s="11" t="n">
        <v>45912</v>
      </c>
      <c r="B256" s="12" t="n">
        <v>2025</v>
      </c>
      <c r="C256" s="12" t="s">
        <v>75</v>
      </c>
      <c r="D256" s="12" t="n">
        <v>9</v>
      </c>
      <c r="E256" s="12" t="s">
        <v>78</v>
      </c>
      <c r="F256" s="12" t="n">
        <v>37</v>
      </c>
      <c r="G256" s="12" t="s">
        <v>63</v>
      </c>
      <c r="H256" s="12" t="s">
        <v>61</v>
      </c>
    </row>
    <row r="257" customFormat="false" ht="15" hidden="false" customHeight="true" outlineLevel="0" collapsed="false">
      <c r="A257" s="11" t="n">
        <v>45913</v>
      </c>
      <c r="B257" s="12" t="n">
        <v>2025</v>
      </c>
      <c r="C257" s="12" t="s">
        <v>75</v>
      </c>
      <c r="D257" s="12" t="n">
        <v>9</v>
      </c>
      <c r="E257" s="12" t="s">
        <v>78</v>
      </c>
      <c r="F257" s="12" t="n">
        <v>37</v>
      </c>
      <c r="G257" s="12" t="s">
        <v>64</v>
      </c>
      <c r="H257" s="12" t="s">
        <v>65</v>
      </c>
    </row>
    <row r="258" customFormat="false" ht="15" hidden="false" customHeight="true" outlineLevel="0" collapsed="false">
      <c r="A258" s="11" t="n">
        <v>45914</v>
      </c>
      <c r="B258" s="12" t="n">
        <v>2025</v>
      </c>
      <c r="C258" s="12" t="s">
        <v>75</v>
      </c>
      <c r="D258" s="12" t="n">
        <v>9</v>
      </c>
      <c r="E258" s="12" t="s">
        <v>78</v>
      </c>
      <c r="F258" s="12" t="n">
        <v>37</v>
      </c>
      <c r="G258" s="12" t="s">
        <v>66</v>
      </c>
      <c r="H258" s="12" t="s">
        <v>65</v>
      </c>
    </row>
    <row r="259" customFormat="false" ht="15" hidden="false" customHeight="true" outlineLevel="0" collapsed="false">
      <c r="A259" s="11" t="n">
        <v>45915</v>
      </c>
      <c r="B259" s="12" t="n">
        <v>2025</v>
      </c>
      <c r="C259" s="12" t="s">
        <v>75</v>
      </c>
      <c r="D259" s="12" t="n">
        <v>9</v>
      </c>
      <c r="E259" s="12" t="s">
        <v>78</v>
      </c>
      <c r="F259" s="12" t="n">
        <v>38</v>
      </c>
      <c r="G259" s="12" t="s">
        <v>67</v>
      </c>
      <c r="H259" s="12" t="s">
        <v>61</v>
      </c>
    </row>
    <row r="260" customFormat="false" ht="15" hidden="false" customHeight="true" outlineLevel="0" collapsed="false">
      <c r="A260" s="11" t="n">
        <v>45916</v>
      </c>
      <c r="B260" s="12" t="n">
        <v>2025</v>
      </c>
      <c r="C260" s="12" t="s">
        <v>75</v>
      </c>
      <c r="D260" s="12" t="n">
        <v>9</v>
      </c>
      <c r="E260" s="12" t="s">
        <v>78</v>
      </c>
      <c r="F260" s="12" t="n">
        <v>38</v>
      </c>
      <c r="G260" s="12" t="s">
        <v>68</v>
      </c>
      <c r="H260" s="12" t="s">
        <v>61</v>
      </c>
    </row>
    <row r="261" customFormat="false" ht="15" hidden="false" customHeight="true" outlineLevel="0" collapsed="false">
      <c r="A261" s="11" t="n">
        <v>45917</v>
      </c>
      <c r="B261" s="12" t="n">
        <v>2025</v>
      </c>
      <c r="C261" s="12" t="s">
        <v>75</v>
      </c>
      <c r="D261" s="12" t="n">
        <v>9</v>
      </c>
      <c r="E261" s="12" t="s">
        <v>78</v>
      </c>
      <c r="F261" s="12" t="n">
        <v>38</v>
      </c>
      <c r="G261" s="12" t="s">
        <v>60</v>
      </c>
      <c r="H261" s="12" t="s">
        <v>61</v>
      </c>
    </row>
    <row r="262" customFormat="false" ht="15" hidden="false" customHeight="true" outlineLevel="0" collapsed="false">
      <c r="A262" s="11" t="n">
        <v>45918</v>
      </c>
      <c r="B262" s="12" t="n">
        <v>2025</v>
      </c>
      <c r="C262" s="12" t="s">
        <v>75</v>
      </c>
      <c r="D262" s="12" t="n">
        <v>9</v>
      </c>
      <c r="E262" s="12" t="s">
        <v>78</v>
      </c>
      <c r="F262" s="12" t="n">
        <v>38</v>
      </c>
      <c r="G262" s="12" t="s">
        <v>62</v>
      </c>
      <c r="H262" s="12" t="s">
        <v>61</v>
      </c>
    </row>
    <row r="263" customFormat="false" ht="15" hidden="false" customHeight="true" outlineLevel="0" collapsed="false">
      <c r="A263" s="11" t="n">
        <v>45919</v>
      </c>
      <c r="B263" s="12" t="n">
        <v>2025</v>
      </c>
      <c r="C263" s="12" t="s">
        <v>75</v>
      </c>
      <c r="D263" s="12" t="n">
        <v>9</v>
      </c>
      <c r="E263" s="12" t="s">
        <v>78</v>
      </c>
      <c r="F263" s="12" t="n">
        <v>38</v>
      </c>
      <c r="G263" s="12" t="s">
        <v>63</v>
      </c>
      <c r="H263" s="12" t="s">
        <v>61</v>
      </c>
    </row>
    <row r="264" customFormat="false" ht="15" hidden="false" customHeight="true" outlineLevel="0" collapsed="false">
      <c r="A264" s="11" t="n">
        <v>45920</v>
      </c>
      <c r="B264" s="12" t="n">
        <v>2025</v>
      </c>
      <c r="C264" s="12" t="s">
        <v>75</v>
      </c>
      <c r="D264" s="12" t="n">
        <v>9</v>
      </c>
      <c r="E264" s="12" t="s">
        <v>78</v>
      </c>
      <c r="F264" s="12" t="n">
        <v>38</v>
      </c>
      <c r="G264" s="12" t="s">
        <v>64</v>
      </c>
      <c r="H264" s="12" t="s">
        <v>65</v>
      </c>
    </row>
    <row r="265" customFormat="false" ht="15" hidden="false" customHeight="true" outlineLevel="0" collapsed="false">
      <c r="A265" s="11" t="n">
        <v>45921</v>
      </c>
      <c r="B265" s="12" t="n">
        <v>2025</v>
      </c>
      <c r="C265" s="12" t="s">
        <v>75</v>
      </c>
      <c r="D265" s="12" t="n">
        <v>9</v>
      </c>
      <c r="E265" s="12" t="s">
        <v>78</v>
      </c>
      <c r="F265" s="12" t="n">
        <v>38</v>
      </c>
      <c r="G265" s="12" t="s">
        <v>66</v>
      </c>
      <c r="H265" s="12" t="s">
        <v>65</v>
      </c>
    </row>
    <row r="266" customFormat="false" ht="15" hidden="false" customHeight="true" outlineLevel="0" collapsed="false">
      <c r="A266" s="11" t="n">
        <v>45922</v>
      </c>
      <c r="B266" s="12" t="n">
        <v>2025</v>
      </c>
      <c r="C266" s="12" t="s">
        <v>75</v>
      </c>
      <c r="D266" s="12" t="n">
        <v>9</v>
      </c>
      <c r="E266" s="12" t="s">
        <v>78</v>
      </c>
      <c r="F266" s="12" t="n">
        <v>39</v>
      </c>
      <c r="G266" s="12" t="s">
        <v>67</v>
      </c>
      <c r="H266" s="12" t="s">
        <v>61</v>
      </c>
    </row>
    <row r="267" customFormat="false" ht="15" hidden="false" customHeight="true" outlineLevel="0" collapsed="false">
      <c r="A267" s="11" t="n">
        <v>45923</v>
      </c>
      <c r="B267" s="12" t="n">
        <v>2025</v>
      </c>
      <c r="C267" s="12" t="s">
        <v>75</v>
      </c>
      <c r="D267" s="12" t="n">
        <v>9</v>
      </c>
      <c r="E267" s="12" t="s">
        <v>78</v>
      </c>
      <c r="F267" s="12" t="n">
        <v>39</v>
      </c>
      <c r="G267" s="12" t="s">
        <v>68</v>
      </c>
      <c r="H267" s="12" t="s">
        <v>61</v>
      </c>
    </row>
    <row r="268" customFormat="false" ht="15" hidden="false" customHeight="true" outlineLevel="0" collapsed="false">
      <c r="A268" s="11" t="n">
        <v>45924</v>
      </c>
      <c r="B268" s="12" t="n">
        <v>2025</v>
      </c>
      <c r="C268" s="12" t="s">
        <v>75</v>
      </c>
      <c r="D268" s="12" t="n">
        <v>9</v>
      </c>
      <c r="E268" s="12" t="s">
        <v>78</v>
      </c>
      <c r="F268" s="12" t="n">
        <v>39</v>
      </c>
      <c r="G268" s="12" t="s">
        <v>60</v>
      </c>
      <c r="H268" s="12" t="s">
        <v>61</v>
      </c>
    </row>
    <row r="269" customFormat="false" ht="15" hidden="false" customHeight="true" outlineLevel="0" collapsed="false">
      <c r="A269" s="11" t="n">
        <v>45925</v>
      </c>
      <c r="B269" s="12" t="n">
        <v>2025</v>
      </c>
      <c r="C269" s="12" t="s">
        <v>75</v>
      </c>
      <c r="D269" s="12" t="n">
        <v>9</v>
      </c>
      <c r="E269" s="12" t="s">
        <v>78</v>
      </c>
      <c r="F269" s="12" t="n">
        <v>39</v>
      </c>
      <c r="G269" s="12" t="s">
        <v>62</v>
      </c>
      <c r="H269" s="12" t="s">
        <v>61</v>
      </c>
    </row>
    <row r="270" customFormat="false" ht="15" hidden="false" customHeight="true" outlineLevel="0" collapsed="false">
      <c r="A270" s="11" t="n">
        <v>45926</v>
      </c>
      <c r="B270" s="12" t="n">
        <v>2025</v>
      </c>
      <c r="C270" s="12" t="s">
        <v>75</v>
      </c>
      <c r="D270" s="12" t="n">
        <v>9</v>
      </c>
      <c r="E270" s="12" t="s">
        <v>78</v>
      </c>
      <c r="F270" s="12" t="n">
        <v>39</v>
      </c>
      <c r="G270" s="12" t="s">
        <v>63</v>
      </c>
      <c r="H270" s="12" t="s">
        <v>61</v>
      </c>
    </row>
    <row r="271" customFormat="false" ht="15" hidden="false" customHeight="true" outlineLevel="0" collapsed="false">
      <c r="A271" s="11" t="n">
        <v>45927</v>
      </c>
      <c r="B271" s="12" t="n">
        <v>2025</v>
      </c>
      <c r="C271" s="12" t="s">
        <v>75</v>
      </c>
      <c r="D271" s="12" t="n">
        <v>9</v>
      </c>
      <c r="E271" s="12" t="s">
        <v>78</v>
      </c>
      <c r="F271" s="12" t="n">
        <v>39</v>
      </c>
      <c r="G271" s="12" t="s">
        <v>64</v>
      </c>
      <c r="H271" s="12" t="s">
        <v>65</v>
      </c>
    </row>
    <row r="272" customFormat="false" ht="15" hidden="false" customHeight="true" outlineLevel="0" collapsed="false">
      <c r="A272" s="11" t="n">
        <v>45928</v>
      </c>
      <c r="B272" s="12" t="n">
        <v>2025</v>
      </c>
      <c r="C272" s="12" t="s">
        <v>75</v>
      </c>
      <c r="D272" s="12" t="n">
        <v>9</v>
      </c>
      <c r="E272" s="12" t="s">
        <v>78</v>
      </c>
      <c r="F272" s="12" t="n">
        <v>39</v>
      </c>
      <c r="G272" s="12" t="s">
        <v>66</v>
      </c>
      <c r="H272" s="12" t="s">
        <v>65</v>
      </c>
    </row>
    <row r="273" customFormat="false" ht="15" hidden="false" customHeight="true" outlineLevel="0" collapsed="false">
      <c r="A273" s="11" t="n">
        <v>45929</v>
      </c>
      <c r="B273" s="12" t="n">
        <v>2025</v>
      </c>
      <c r="C273" s="12" t="s">
        <v>75</v>
      </c>
      <c r="D273" s="12" t="n">
        <v>9</v>
      </c>
      <c r="E273" s="12" t="s">
        <v>78</v>
      </c>
      <c r="F273" s="12" t="n">
        <v>40</v>
      </c>
      <c r="G273" s="12" t="s">
        <v>67</v>
      </c>
      <c r="H273" s="12" t="s">
        <v>61</v>
      </c>
    </row>
    <row r="274" customFormat="false" ht="15" hidden="false" customHeight="true" outlineLevel="0" collapsed="false">
      <c r="A274" s="11" t="n">
        <v>45930</v>
      </c>
      <c r="B274" s="12" t="n">
        <v>2025</v>
      </c>
      <c r="C274" s="12" t="s">
        <v>75</v>
      </c>
      <c r="D274" s="12" t="n">
        <v>9</v>
      </c>
      <c r="E274" s="12" t="s">
        <v>78</v>
      </c>
      <c r="F274" s="12" t="n">
        <v>40</v>
      </c>
      <c r="G274" s="12" t="s">
        <v>68</v>
      </c>
      <c r="H274" s="12" t="s">
        <v>61</v>
      </c>
    </row>
    <row r="275" customFormat="false" ht="15" hidden="false" customHeight="true" outlineLevel="0" collapsed="false">
      <c r="A275" s="11" t="n">
        <v>45931</v>
      </c>
      <c r="B275" s="12" t="n">
        <v>2025</v>
      </c>
      <c r="C275" s="12" t="s">
        <v>79</v>
      </c>
      <c r="D275" s="12" t="n">
        <v>10</v>
      </c>
      <c r="E275" s="12" t="s">
        <v>80</v>
      </c>
      <c r="F275" s="12" t="n">
        <v>40</v>
      </c>
      <c r="G275" s="12" t="s">
        <v>60</v>
      </c>
      <c r="H275" s="12" t="s">
        <v>61</v>
      </c>
    </row>
    <row r="276" customFormat="false" ht="15" hidden="false" customHeight="true" outlineLevel="0" collapsed="false">
      <c r="A276" s="11" t="n">
        <v>45932</v>
      </c>
      <c r="B276" s="12" t="n">
        <v>2025</v>
      </c>
      <c r="C276" s="12" t="s">
        <v>79</v>
      </c>
      <c r="D276" s="12" t="n">
        <v>10</v>
      </c>
      <c r="E276" s="12" t="s">
        <v>80</v>
      </c>
      <c r="F276" s="12" t="n">
        <v>40</v>
      </c>
      <c r="G276" s="12" t="s">
        <v>62</v>
      </c>
      <c r="H276" s="12" t="s">
        <v>61</v>
      </c>
    </row>
    <row r="277" customFormat="false" ht="15" hidden="false" customHeight="true" outlineLevel="0" collapsed="false">
      <c r="A277" s="11" t="n">
        <v>45933</v>
      </c>
      <c r="B277" s="12" t="n">
        <v>2025</v>
      </c>
      <c r="C277" s="12" t="s">
        <v>79</v>
      </c>
      <c r="D277" s="12" t="n">
        <v>10</v>
      </c>
      <c r="E277" s="12" t="s">
        <v>80</v>
      </c>
      <c r="F277" s="12" t="n">
        <v>40</v>
      </c>
      <c r="G277" s="12" t="s">
        <v>63</v>
      </c>
      <c r="H277" s="12" t="s">
        <v>61</v>
      </c>
    </row>
    <row r="278" customFormat="false" ht="15" hidden="false" customHeight="true" outlineLevel="0" collapsed="false">
      <c r="A278" s="11" t="n">
        <v>45934</v>
      </c>
      <c r="B278" s="12" t="n">
        <v>2025</v>
      </c>
      <c r="C278" s="12" t="s">
        <v>79</v>
      </c>
      <c r="D278" s="12" t="n">
        <v>10</v>
      </c>
      <c r="E278" s="12" t="s">
        <v>80</v>
      </c>
      <c r="F278" s="12" t="n">
        <v>40</v>
      </c>
      <c r="G278" s="12" t="s">
        <v>64</v>
      </c>
      <c r="H278" s="12" t="s">
        <v>65</v>
      </c>
    </row>
    <row r="279" customFormat="false" ht="15" hidden="false" customHeight="true" outlineLevel="0" collapsed="false">
      <c r="A279" s="11" t="n">
        <v>45935</v>
      </c>
      <c r="B279" s="12" t="n">
        <v>2025</v>
      </c>
      <c r="C279" s="12" t="s">
        <v>79</v>
      </c>
      <c r="D279" s="12" t="n">
        <v>10</v>
      </c>
      <c r="E279" s="12" t="s">
        <v>80</v>
      </c>
      <c r="F279" s="12" t="n">
        <v>40</v>
      </c>
      <c r="G279" s="12" t="s">
        <v>66</v>
      </c>
      <c r="H279" s="12" t="s">
        <v>65</v>
      </c>
    </row>
    <row r="280" customFormat="false" ht="15" hidden="false" customHeight="true" outlineLevel="0" collapsed="false">
      <c r="A280" s="11" t="n">
        <v>45936</v>
      </c>
      <c r="B280" s="12" t="n">
        <v>2025</v>
      </c>
      <c r="C280" s="12" t="s">
        <v>79</v>
      </c>
      <c r="D280" s="12" t="n">
        <v>10</v>
      </c>
      <c r="E280" s="12" t="s">
        <v>80</v>
      </c>
      <c r="F280" s="12" t="n">
        <v>41</v>
      </c>
      <c r="G280" s="12" t="s">
        <v>67</v>
      </c>
      <c r="H280" s="12" t="s">
        <v>61</v>
      </c>
    </row>
    <row r="281" customFormat="false" ht="15" hidden="false" customHeight="true" outlineLevel="0" collapsed="false">
      <c r="A281" s="11" t="n">
        <v>45937</v>
      </c>
      <c r="B281" s="12" t="n">
        <v>2025</v>
      </c>
      <c r="C281" s="12" t="s">
        <v>79</v>
      </c>
      <c r="D281" s="12" t="n">
        <v>10</v>
      </c>
      <c r="E281" s="12" t="s">
        <v>80</v>
      </c>
      <c r="F281" s="12" t="n">
        <v>41</v>
      </c>
      <c r="G281" s="12" t="s">
        <v>68</v>
      </c>
      <c r="H281" s="12" t="s">
        <v>61</v>
      </c>
    </row>
    <row r="282" customFormat="false" ht="15" hidden="false" customHeight="true" outlineLevel="0" collapsed="false">
      <c r="A282" s="11" t="n">
        <v>45938</v>
      </c>
      <c r="B282" s="12" t="n">
        <v>2025</v>
      </c>
      <c r="C282" s="12" t="s">
        <v>79</v>
      </c>
      <c r="D282" s="12" t="n">
        <v>10</v>
      </c>
      <c r="E282" s="12" t="s">
        <v>80</v>
      </c>
      <c r="F282" s="12" t="n">
        <v>41</v>
      </c>
      <c r="G282" s="12" t="s">
        <v>60</v>
      </c>
      <c r="H282" s="12" t="s">
        <v>61</v>
      </c>
    </row>
    <row r="283" customFormat="false" ht="15" hidden="false" customHeight="true" outlineLevel="0" collapsed="false">
      <c r="A283" s="11" t="n">
        <v>45939</v>
      </c>
      <c r="B283" s="12" t="n">
        <v>2025</v>
      </c>
      <c r="C283" s="12" t="s">
        <v>79</v>
      </c>
      <c r="D283" s="12" t="n">
        <v>10</v>
      </c>
      <c r="E283" s="12" t="s">
        <v>80</v>
      </c>
      <c r="F283" s="12" t="n">
        <v>41</v>
      </c>
      <c r="G283" s="12" t="s">
        <v>62</v>
      </c>
      <c r="H283" s="12" t="s">
        <v>61</v>
      </c>
    </row>
    <row r="284" customFormat="false" ht="15" hidden="false" customHeight="true" outlineLevel="0" collapsed="false">
      <c r="A284" s="11" t="n">
        <v>45940</v>
      </c>
      <c r="B284" s="12" t="n">
        <v>2025</v>
      </c>
      <c r="C284" s="12" t="s">
        <v>79</v>
      </c>
      <c r="D284" s="12" t="n">
        <v>10</v>
      </c>
      <c r="E284" s="12" t="s">
        <v>80</v>
      </c>
      <c r="F284" s="12" t="n">
        <v>41</v>
      </c>
      <c r="G284" s="12" t="s">
        <v>63</v>
      </c>
      <c r="H284" s="12" t="s">
        <v>61</v>
      </c>
    </row>
    <row r="285" customFormat="false" ht="15" hidden="false" customHeight="true" outlineLevel="0" collapsed="false">
      <c r="A285" s="11" t="n">
        <v>45941</v>
      </c>
      <c r="B285" s="12" t="n">
        <v>2025</v>
      </c>
      <c r="C285" s="12" t="s">
        <v>79</v>
      </c>
      <c r="D285" s="12" t="n">
        <v>10</v>
      </c>
      <c r="E285" s="12" t="s">
        <v>80</v>
      </c>
      <c r="F285" s="12" t="n">
        <v>41</v>
      </c>
      <c r="G285" s="12" t="s">
        <v>64</v>
      </c>
      <c r="H285" s="12" t="s">
        <v>65</v>
      </c>
    </row>
    <row r="286" customFormat="false" ht="15" hidden="false" customHeight="true" outlineLevel="0" collapsed="false">
      <c r="A286" s="11" t="n">
        <v>45942</v>
      </c>
      <c r="B286" s="12" t="n">
        <v>2025</v>
      </c>
      <c r="C286" s="12" t="s">
        <v>79</v>
      </c>
      <c r="D286" s="12" t="n">
        <v>10</v>
      </c>
      <c r="E286" s="12" t="s">
        <v>80</v>
      </c>
      <c r="F286" s="12" t="n">
        <v>41</v>
      </c>
      <c r="G286" s="12" t="s">
        <v>66</v>
      </c>
      <c r="H286" s="12" t="s">
        <v>65</v>
      </c>
    </row>
    <row r="287" customFormat="false" ht="15" hidden="false" customHeight="true" outlineLevel="0" collapsed="false">
      <c r="A287" s="11" t="n">
        <v>45943</v>
      </c>
      <c r="B287" s="12" t="n">
        <v>2025</v>
      </c>
      <c r="C287" s="12" t="s">
        <v>79</v>
      </c>
      <c r="D287" s="12" t="n">
        <v>10</v>
      </c>
      <c r="E287" s="12" t="s">
        <v>80</v>
      </c>
      <c r="F287" s="12" t="n">
        <v>42</v>
      </c>
      <c r="G287" s="12" t="s">
        <v>67</v>
      </c>
      <c r="H287" s="12" t="s">
        <v>61</v>
      </c>
    </row>
    <row r="288" customFormat="false" ht="15" hidden="false" customHeight="true" outlineLevel="0" collapsed="false">
      <c r="A288" s="11" t="n">
        <v>45944</v>
      </c>
      <c r="B288" s="12" t="n">
        <v>2025</v>
      </c>
      <c r="C288" s="12" t="s">
        <v>79</v>
      </c>
      <c r="D288" s="12" t="n">
        <v>10</v>
      </c>
      <c r="E288" s="12" t="s">
        <v>80</v>
      </c>
      <c r="F288" s="12" t="n">
        <v>42</v>
      </c>
      <c r="G288" s="12" t="s">
        <v>68</v>
      </c>
      <c r="H288" s="12" t="s">
        <v>61</v>
      </c>
    </row>
    <row r="289" customFormat="false" ht="15" hidden="false" customHeight="true" outlineLevel="0" collapsed="false">
      <c r="A289" s="11" t="n">
        <v>45945</v>
      </c>
      <c r="B289" s="12" t="n">
        <v>2025</v>
      </c>
      <c r="C289" s="12" t="s">
        <v>79</v>
      </c>
      <c r="D289" s="12" t="n">
        <v>10</v>
      </c>
      <c r="E289" s="12" t="s">
        <v>80</v>
      </c>
      <c r="F289" s="12" t="n">
        <v>42</v>
      </c>
      <c r="G289" s="12" t="s">
        <v>60</v>
      </c>
      <c r="H289" s="12" t="s">
        <v>61</v>
      </c>
    </row>
    <row r="290" customFormat="false" ht="15" hidden="false" customHeight="true" outlineLevel="0" collapsed="false">
      <c r="A290" s="11" t="n">
        <v>45946</v>
      </c>
      <c r="B290" s="12" t="n">
        <v>2025</v>
      </c>
      <c r="C290" s="12" t="s">
        <v>79</v>
      </c>
      <c r="D290" s="12" t="n">
        <v>10</v>
      </c>
      <c r="E290" s="12" t="s">
        <v>80</v>
      </c>
      <c r="F290" s="12" t="n">
        <v>42</v>
      </c>
      <c r="G290" s="12" t="s">
        <v>62</v>
      </c>
      <c r="H290" s="12" t="s">
        <v>61</v>
      </c>
    </row>
    <row r="291" customFormat="false" ht="15" hidden="false" customHeight="true" outlineLevel="0" collapsed="false">
      <c r="A291" s="11" t="n">
        <v>45947</v>
      </c>
      <c r="B291" s="12" t="n">
        <v>2025</v>
      </c>
      <c r="C291" s="12" t="s">
        <v>79</v>
      </c>
      <c r="D291" s="12" t="n">
        <v>10</v>
      </c>
      <c r="E291" s="12" t="s">
        <v>80</v>
      </c>
      <c r="F291" s="12" t="n">
        <v>42</v>
      </c>
      <c r="G291" s="12" t="s">
        <v>63</v>
      </c>
      <c r="H291" s="12" t="s">
        <v>61</v>
      </c>
    </row>
    <row r="292" customFormat="false" ht="15" hidden="false" customHeight="true" outlineLevel="0" collapsed="false">
      <c r="A292" s="11" t="n">
        <v>45948</v>
      </c>
      <c r="B292" s="12" t="n">
        <v>2025</v>
      </c>
      <c r="C292" s="12" t="s">
        <v>79</v>
      </c>
      <c r="D292" s="12" t="n">
        <v>10</v>
      </c>
      <c r="E292" s="12" t="s">
        <v>80</v>
      </c>
      <c r="F292" s="12" t="n">
        <v>42</v>
      </c>
      <c r="G292" s="12" t="s">
        <v>64</v>
      </c>
      <c r="H292" s="12" t="s">
        <v>65</v>
      </c>
    </row>
    <row r="293" customFormat="false" ht="15" hidden="false" customHeight="true" outlineLevel="0" collapsed="false">
      <c r="A293" s="11" t="n">
        <v>45949</v>
      </c>
      <c r="B293" s="12" t="n">
        <v>2025</v>
      </c>
      <c r="C293" s="12" t="s">
        <v>79</v>
      </c>
      <c r="D293" s="12" t="n">
        <v>10</v>
      </c>
      <c r="E293" s="12" t="s">
        <v>80</v>
      </c>
      <c r="F293" s="12" t="n">
        <v>42</v>
      </c>
      <c r="G293" s="12" t="s">
        <v>66</v>
      </c>
      <c r="H293" s="12" t="s">
        <v>65</v>
      </c>
    </row>
    <row r="294" customFormat="false" ht="15" hidden="false" customHeight="true" outlineLevel="0" collapsed="false">
      <c r="A294" s="11" t="n">
        <v>45950</v>
      </c>
      <c r="B294" s="12" t="n">
        <v>2025</v>
      </c>
      <c r="C294" s="12" t="s">
        <v>79</v>
      </c>
      <c r="D294" s="12" t="n">
        <v>10</v>
      </c>
      <c r="E294" s="12" t="s">
        <v>80</v>
      </c>
      <c r="F294" s="12" t="n">
        <v>43</v>
      </c>
      <c r="G294" s="12" t="s">
        <v>67</v>
      </c>
      <c r="H294" s="12" t="s">
        <v>61</v>
      </c>
    </row>
    <row r="295" customFormat="false" ht="15" hidden="false" customHeight="true" outlineLevel="0" collapsed="false">
      <c r="A295" s="11" t="n">
        <v>45951</v>
      </c>
      <c r="B295" s="12" t="n">
        <v>2025</v>
      </c>
      <c r="C295" s="12" t="s">
        <v>79</v>
      </c>
      <c r="D295" s="12" t="n">
        <v>10</v>
      </c>
      <c r="E295" s="12" t="s">
        <v>80</v>
      </c>
      <c r="F295" s="12" t="n">
        <v>43</v>
      </c>
      <c r="G295" s="12" t="s">
        <v>68</v>
      </c>
      <c r="H295" s="12" t="s">
        <v>61</v>
      </c>
    </row>
    <row r="296" customFormat="false" ht="15" hidden="false" customHeight="true" outlineLevel="0" collapsed="false">
      <c r="A296" s="11" t="n">
        <v>45952</v>
      </c>
      <c r="B296" s="12" t="n">
        <v>2025</v>
      </c>
      <c r="C296" s="12" t="s">
        <v>79</v>
      </c>
      <c r="D296" s="12" t="n">
        <v>10</v>
      </c>
      <c r="E296" s="12" t="s">
        <v>80</v>
      </c>
      <c r="F296" s="12" t="n">
        <v>43</v>
      </c>
      <c r="G296" s="12" t="s">
        <v>60</v>
      </c>
      <c r="H296" s="12" t="s">
        <v>61</v>
      </c>
    </row>
    <row r="297" customFormat="false" ht="15" hidden="false" customHeight="true" outlineLevel="0" collapsed="false">
      <c r="A297" s="11" t="n">
        <v>45953</v>
      </c>
      <c r="B297" s="12" t="n">
        <v>2025</v>
      </c>
      <c r="C297" s="12" t="s">
        <v>79</v>
      </c>
      <c r="D297" s="12" t="n">
        <v>10</v>
      </c>
      <c r="E297" s="12" t="s">
        <v>80</v>
      </c>
      <c r="F297" s="12" t="n">
        <v>43</v>
      </c>
      <c r="G297" s="12" t="s">
        <v>62</v>
      </c>
      <c r="H297" s="12" t="s">
        <v>61</v>
      </c>
    </row>
    <row r="298" customFormat="false" ht="15" hidden="false" customHeight="true" outlineLevel="0" collapsed="false">
      <c r="A298" s="11" t="n">
        <v>45954</v>
      </c>
      <c r="B298" s="12" t="n">
        <v>2025</v>
      </c>
      <c r="C298" s="12" t="s">
        <v>79</v>
      </c>
      <c r="D298" s="12" t="n">
        <v>10</v>
      </c>
      <c r="E298" s="12" t="s">
        <v>80</v>
      </c>
      <c r="F298" s="12" t="n">
        <v>43</v>
      </c>
      <c r="G298" s="12" t="s">
        <v>63</v>
      </c>
      <c r="H298" s="12" t="s">
        <v>61</v>
      </c>
    </row>
    <row r="299" customFormat="false" ht="15" hidden="false" customHeight="true" outlineLevel="0" collapsed="false">
      <c r="A299" s="11" t="n">
        <v>45955</v>
      </c>
      <c r="B299" s="12" t="n">
        <v>2025</v>
      </c>
      <c r="C299" s="12" t="s">
        <v>79</v>
      </c>
      <c r="D299" s="12" t="n">
        <v>10</v>
      </c>
      <c r="E299" s="12" t="s">
        <v>80</v>
      </c>
      <c r="F299" s="12" t="n">
        <v>43</v>
      </c>
      <c r="G299" s="12" t="s">
        <v>64</v>
      </c>
      <c r="H299" s="12" t="s">
        <v>65</v>
      </c>
    </row>
    <row r="300" customFormat="false" ht="15" hidden="false" customHeight="true" outlineLevel="0" collapsed="false">
      <c r="A300" s="11" t="n">
        <v>45956</v>
      </c>
      <c r="B300" s="12" t="n">
        <v>2025</v>
      </c>
      <c r="C300" s="12" t="s">
        <v>79</v>
      </c>
      <c r="D300" s="12" t="n">
        <v>10</v>
      </c>
      <c r="E300" s="12" t="s">
        <v>80</v>
      </c>
      <c r="F300" s="12" t="n">
        <v>43</v>
      </c>
      <c r="G300" s="12" t="s">
        <v>66</v>
      </c>
      <c r="H300" s="12" t="s">
        <v>65</v>
      </c>
    </row>
    <row r="301" customFormat="false" ht="15" hidden="false" customHeight="true" outlineLevel="0" collapsed="false">
      <c r="A301" s="11" t="n">
        <v>45957</v>
      </c>
      <c r="B301" s="12" t="n">
        <v>2025</v>
      </c>
      <c r="C301" s="12" t="s">
        <v>79</v>
      </c>
      <c r="D301" s="12" t="n">
        <v>10</v>
      </c>
      <c r="E301" s="12" t="s">
        <v>80</v>
      </c>
      <c r="F301" s="12" t="n">
        <v>44</v>
      </c>
      <c r="G301" s="12" t="s">
        <v>67</v>
      </c>
      <c r="H301" s="12" t="s">
        <v>61</v>
      </c>
    </row>
    <row r="302" customFormat="false" ht="15" hidden="false" customHeight="true" outlineLevel="0" collapsed="false">
      <c r="A302" s="11" t="n">
        <v>45958</v>
      </c>
      <c r="B302" s="12" t="n">
        <v>2025</v>
      </c>
      <c r="C302" s="12" t="s">
        <v>79</v>
      </c>
      <c r="D302" s="12" t="n">
        <v>10</v>
      </c>
      <c r="E302" s="12" t="s">
        <v>80</v>
      </c>
      <c r="F302" s="12" t="n">
        <v>44</v>
      </c>
      <c r="G302" s="12" t="s">
        <v>68</v>
      </c>
      <c r="H302" s="12" t="s">
        <v>61</v>
      </c>
    </row>
    <row r="303" customFormat="false" ht="15" hidden="false" customHeight="true" outlineLevel="0" collapsed="false">
      <c r="A303" s="11" t="n">
        <v>45959</v>
      </c>
      <c r="B303" s="12" t="n">
        <v>2025</v>
      </c>
      <c r="C303" s="12" t="s">
        <v>79</v>
      </c>
      <c r="D303" s="12" t="n">
        <v>10</v>
      </c>
      <c r="E303" s="12" t="s">
        <v>80</v>
      </c>
      <c r="F303" s="12" t="n">
        <v>44</v>
      </c>
      <c r="G303" s="12" t="s">
        <v>60</v>
      </c>
      <c r="H303" s="12" t="s">
        <v>61</v>
      </c>
    </row>
    <row r="304" customFormat="false" ht="15" hidden="false" customHeight="true" outlineLevel="0" collapsed="false">
      <c r="A304" s="11" t="n">
        <v>45960</v>
      </c>
      <c r="B304" s="12" t="n">
        <v>2025</v>
      </c>
      <c r="C304" s="12" t="s">
        <v>79</v>
      </c>
      <c r="D304" s="12" t="n">
        <v>10</v>
      </c>
      <c r="E304" s="12" t="s">
        <v>80</v>
      </c>
      <c r="F304" s="12" t="n">
        <v>44</v>
      </c>
      <c r="G304" s="12" t="s">
        <v>62</v>
      </c>
      <c r="H304" s="12" t="s">
        <v>61</v>
      </c>
    </row>
    <row r="305" customFormat="false" ht="15" hidden="false" customHeight="true" outlineLevel="0" collapsed="false">
      <c r="A305" s="11" t="n">
        <v>45961</v>
      </c>
      <c r="B305" s="12" t="n">
        <v>2025</v>
      </c>
      <c r="C305" s="12" t="s">
        <v>79</v>
      </c>
      <c r="D305" s="12" t="n">
        <v>10</v>
      </c>
      <c r="E305" s="12" t="s">
        <v>80</v>
      </c>
      <c r="F305" s="12" t="n">
        <v>44</v>
      </c>
      <c r="G305" s="12" t="s">
        <v>63</v>
      </c>
      <c r="H305" s="12" t="s">
        <v>61</v>
      </c>
    </row>
    <row r="306" customFormat="false" ht="15" hidden="false" customHeight="true" outlineLevel="0" collapsed="false">
      <c r="A306" s="11" t="n">
        <v>45962</v>
      </c>
      <c r="B306" s="12" t="n">
        <v>2025</v>
      </c>
      <c r="C306" s="12" t="s">
        <v>79</v>
      </c>
      <c r="D306" s="12" t="n">
        <v>11</v>
      </c>
      <c r="E306" s="12" t="s">
        <v>81</v>
      </c>
      <c r="F306" s="12" t="n">
        <v>44</v>
      </c>
      <c r="G306" s="12" t="s">
        <v>64</v>
      </c>
      <c r="H306" s="12" t="s">
        <v>65</v>
      </c>
    </row>
    <row r="307" customFormat="false" ht="15" hidden="false" customHeight="true" outlineLevel="0" collapsed="false">
      <c r="A307" s="11" t="n">
        <v>45963</v>
      </c>
      <c r="B307" s="12" t="n">
        <v>2025</v>
      </c>
      <c r="C307" s="12" t="s">
        <v>79</v>
      </c>
      <c r="D307" s="12" t="n">
        <v>11</v>
      </c>
      <c r="E307" s="12" t="s">
        <v>81</v>
      </c>
      <c r="F307" s="12" t="n">
        <v>44</v>
      </c>
      <c r="G307" s="12" t="s">
        <v>66</v>
      </c>
      <c r="H307" s="12" t="s">
        <v>65</v>
      </c>
    </row>
    <row r="308" customFormat="false" ht="15" hidden="false" customHeight="true" outlineLevel="0" collapsed="false">
      <c r="A308" s="11" t="n">
        <v>45964</v>
      </c>
      <c r="B308" s="12" t="n">
        <v>2025</v>
      </c>
      <c r="C308" s="12" t="s">
        <v>79</v>
      </c>
      <c r="D308" s="12" t="n">
        <v>11</v>
      </c>
      <c r="E308" s="12" t="s">
        <v>81</v>
      </c>
      <c r="F308" s="12" t="n">
        <v>45</v>
      </c>
      <c r="G308" s="12" t="s">
        <v>67</v>
      </c>
      <c r="H308" s="12" t="s">
        <v>61</v>
      </c>
    </row>
    <row r="309" customFormat="false" ht="15" hidden="false" customHeight="true" outlineLevel="0" collapsed="false">
      <c r="A309" s="11" t="n">
        <v>45965</v>
      </c>
      <c r="B309" s="12" t="n">
        <v>2025</v>
      </c>
      <c r="C309" s="12" t="s">
        <v>79</v>
      </c>
      <c r="D309" s="12" t="n">
        <v>11</v>
      </c>
      <c r="E309" s="12" t="s">
        <v>81</v>
      </c>
      <c r="F309" s="12" t="n">
        <v>45</v>
      </c>
      <c r="G309" s="12" t="s">
        <v>68</v>
      </c>
      <c r="H309" s="12" t="s">
        <v>61</v>
      </c>
    </row>
    <row r="310" customFormat="false" ht="15" hidden="false" customHeight="true" outlineLevel="0" collapsed="false">
      <c r="A310" s="11" t="n">
        <v>45966</v>
      </c>
      <c r="B310" s="12" t="n">
        <v>2025</v>
      </c>
      <c r="C310" s="12" t="s">
        <v>79</v>
      </c>
      <c r="D310" s="12" t="n">
        <v>11</v>
      </c>
      <c r="E310" s="12" t="s">
        <v>81</v>
      </c>
      <c r="F310" s="12" t="n">
        <v>45</v>
      </c>
      <c r="G310" s="12" t="s">
        <v>60</v>
      </c>
      <c r="H310" s="12" t="s">
        <v>61</v>
      </c>
    </row>
    <row r="311" customFormat="false" ht="15" hidden="false" customHeight="true" outlineLevel="0" collapsed="false">
      <c r="A311" s="11" t="n">
        <v>45967</v>
      </c>
      <c r="B311" s="12" t="n">
        <v>2025</v>
      </c>
      <c r="C311" s="12" t="s">
        <v>79</v>
      </c>
      <c r="D311" s="12" t="n">
        <v>11</v>
      </c>
      <c r="E311" s="12" t="s">
        <v>81</v>
      </c>
      <c r="F311" s="12" t="n">
        <v>45</v>
      </c>
      <c r="G311" s="12" t="s">
        <v>62</v>
      </c>
      <c r="H311" s="12" t="s">
        <v>61</v>
      </c>
    </row>
    <row r="312" customFormat="false" ht="15" hidden="false" customHeight="true" outlineLevel="0" collapsed="false">
      <c r="A312" s="11" t="n">
        <v>45968</v>
      </c>
      <c r="B312" s="12" t="n">
        <v>2025</v>
      </c>
      <c r="C312" s="12" t="s">
        <v>79</v>
      </c>
      <c r="D312" s="12" t="n">
        <v>11</v>
      </c>
      <c r="E312" s="12" t="s">
        <v>81</v>
      </c>
      <c r="F312" s="12" t="n">
        <v>45</v>
      </c>
      <c r="G312" s="12" t="s">
        <v>63</v>
      </c>
      <c r="H312" s="12" t="s">
        <v>61</v>
      </c>
    </row>
    <row r="313" customFormat="false" ht="15" hidden="false" customHeight="true" outlineLevel="0" collapsed="false">
      <c r="A313" s="11" t="n">
        <v>45969</v>
      </c>
      <c r="B313" s="12" t="n">
        <v>2025</v>
      </c>
      <c r="C313" s="12" t="s">
        <v>79</v>
      </c>
      <c r="D313" s="12" t="n">
        <v>11</v>
      </c>
      <c r="E313" s="12" t="s">
        <v>81</v>
      </c>
      <c r="F313" s="12" t="n">
        <v>45</v>
      </c>
      <c r="G313" s="12" t="s">
        <v>64</v>
      </c>
      <c r="H313" s="12" t="s">
        <v>65</v>
      </c>
    </row>
    <row r="314" customFormat="false" ht="15" hidden="false" customHeight="true" outlineLevel="0" collapsed="false">
      <c r="A314" s="11" t="n">
        <v>45970</v>
      </c>
      <c r="B314" s="12" t="n">
        <v>2025</v>
      </c>
      <c r="C314" s="12" t="s">
        <v>79</v>
      </c>
      <c r="D314" s="12" t="n">
        <v>11</v>
      </c>
      <c r="E314" s="12" t="s">
        <v>81</v>
      </c>
      <c r="F314" s="12" t="n">
        <v>45</v>
      </c>
      <c r="G314" s="12" t="s">
        <v>66</v>
      </c>
      <c r="H314" s="12" t="s">
        <v>65</v>
      </c>
    </row>
    <row r="315" customFormat="false" ht="15" hidden="false" customHeight="true" outlineLevel="0" collapsed="false">
      <c r="A315" s="11" t="n">
        <v>45971</v>
      </c>
      <c r="B315" s="12" t="n">
        <v>2025</v>
      </c>
      <c r="C315" s="12" t="s">
        <v>79</v>
      </c>
      <c r="D315" s="12" t="n">
        <v>11</v>
      </c>
      <c r="E315" s="12" t="s">
        <v>81</v>
      </c>
      <c r="F315" s="12" t="n">
        <v>46</v>
      </c>
      <c r="G315" s="12" t="s">
        <v>67</v>
      </c>
      <c r="H315" s="12" t="s">
        <v>61</v>
      </c>
    </row>
    <row r="316" customFormat="false" ht="15" hidden="false" customHeight="true" outlineLevel="0" collapsed="false">
      <c r="A316" s="11" t="n">
        <v>45972</v>
      </c>
      <c r="B316" s="12" t="n">
        <v>2025</v>
      </c>
      <c r="C316" s="12" t="s">
        <v>79</v>
      </c>
      <c r="D316" s="12" t="n">
        <v>11</v>
      </c>
      <c r="E316" s="12" t="s">
        <v>81</v>
      </c>
      <c r="F316" s="12" t="n">
        <v>46</v>
      </c>
      <c r="G316" s="12" t="s">
        <v>68</v>
      </c>
      <c r="H316" s="12" t="s">
        <v>61</v>
      </c>
    </row>
    <row r="317" customFormat="false" ht="15" hidden="false" customHeight="true" outlineLevel="0" collapsed="false">
      <c r="A317" s="11" t="n">
        <v>45973</v>
      </c>
      <c r="B317" s="12" t="n">
        <v>2025</v>
      </c>
      <c r="C317" s="12" t="s">
        <v>79</v>
      </c>
      <c r="D317" s="12" t="n">
        <v>11</v>
      </c>
      <c r="E317" s="12" t="s">
        <v>81</v>
      </c>
      <c r="F317" s="12" t="n">
        <v>46</v>
      </c>
      <c r="G317" s="12" t="s">
        <v>60</v>
      </c>
      <c r="H317" s="12" t="s">
        <v>61</v>
      </c>
    </row>
    <row r="318" customFormat="false" ht="15" hidden="false" customHeight="true" outlineLevel="0" collapsed="false">
      <c r="A318" s="11" t="n">
        <v>45974</v>
      </c>
      <c r="B318" s="12" t="n">
        <v>2025</v>
      </c>
      <c r="C318" s="12" t="s">
        <v>79</v>
      </c>
      <c r="D318" s="12" t="n">
        <v>11</v>
      </c>
      <c r="E318" s="12" t="s">
        <v>81</v>
      </c>
      <c r="F318" s="12" t="n">
        <v>46</v>
      </c>
      <c r="G318" s="12" t="s">
        <v>62</v>
      </c>
      <c r="H318" s="12" t="s">
        <v>61</v>
      </c>
    </row>
    <row r="319" customFormat="false" ht="15" hidden="false" customHeight="true" outlineLevel="0" collapsed="false">
      <c r="A319" s="11" t="n">
        <v>45975</v>
      </c>
      <c r="B319" s="12" t="n">
        <v>2025</v>
      </c>
      <c r="C319" s="12" t="s">
        <v>79</v>
      </c>
      <c r="D319" s="12" t="n">
        <v>11</v>
      </c>
      <c r="E319" s="12" t="s">
        <v>81</v>
      </c>
      <c r="F319" s="12" t="n">
        <v>46</v>
      </c>
      <c r="G319" s="12" t="s">
        <v>63</v>
      </c>
      <c r="H319" s="12" t="s">
        <v>61</v>
      </c>
    </row>
    <row r="320" customFormat="false" ht="15" hidden="false" customHeight="true" outlineLevel="0" collapsed="false">
      <c r="A320" s="11" t="n">
        <v>45976</v>
      </c>
      <c r="B320" s="12" t="n">
        <v>2025</v>
      </c>
      <c r="C320" s="12" t="s">
        <v>79</v>
      </c>
      <c r="D320" s="12" t="n">
        <v>11</v>
      </c>
      <c r="E320" s="12" t="s">
        <v>81</v>
      </c>
      <c r="F320" s="12" t="n">
        <v>46</v>
      </c>
      <c r="G320" s="12" t="s">
        <v>64</v>
      </c>
      <c r="H320" s="12" t="s">
        <v>65</v>
      </c>
    </row>
    <row r="321" customFormat="false" ht="15" hidden="false" customHeight="true" outlineLevel="0" collapsed="false">
      <c r="A321" s="11" t="n">
        <v>45977</v>
      </c>
      <c r="B321" s="12" t="n">
        <v>2025</v>
      </c>
      <c r="C321" s="12" t="s">
        <v>79</v>
      </c>
      <c r="D321" s="12" t="n">
        <v>11</v>
      </c>
      <c r="E321" s="12" t="s">
        <v>81</v>
      </c>
      <c r="F321" s="12" t="n">
        <v>46</v>
      </c>
      <c r="G321" s="12" t="s">
        <v>66</v>
      </c>
      <c r="H321" s="12" t="s">
        <v>65</v>
      </c>
    </row>
    <row r="322" customFormat="false" ht="15" hidden="false" customHeight="true" outlineLevel="0" collapsed="false">
      <c r="A322" s="11" t="n">
        <v>45978</v>
      </c>
      <c r="B322" s="12" t="n">
        <v>2025</v>
      </c>
      <c r="C322" s="12" t="s">
        <v>79</v>
      </c>
      <c r="D322" s="12" t="n">
        <v>11</v>
      </c>
      <c r="E322" s="12" t="s">
        <v>81</v>
      </c>
      <c r="F322" s="12" t="n">
        <v>47</v>
      </c>
      <c r="G322" s="12" t="s">
        <v>67</v>
      </c>
      <c r="H322" s="12" t="s">
        <v>61</v>
      </c>
    </row>
    <row r="323" customFormat="false" ht="15" hidden="false" customHeight="true" outlineLevel="0" collapsed="false">
      <c r="A323" s="11" t="n">
        <v>45979</v>
      </c>
      <c r="B323" s="12" t="n">
        <v>2025</v>
      </c>
      <c r="C323" s="12" t="s">
        <v>79</v>
      </c>
      <c r="D323" s="12" t="n">
        <v>11</v>
      </c>
      <c r="E323" s="12" t="s">
        <v>81</v>
      </c>
      <c r="F323" s="12" t="n">
        <v>47</v>
      </c>
      <c r="G323" s="12" t="s">
        <v>68</v>
      </c>
      <c r="H323" s="12" t="s">
        <v>61</v>
      </c>
    </row>
    <row r="324" customFormat="false" ht="15" hidden="false" customHeight="true" outlineLevel="0" collapsed="false">
      <c r="A324" s="11" t="n">
        <v>45980</v>
      </c>
      <c r="B324" s="12" t="n">
        <v>2025</v>
      </c>
      <c r="C324" s="12" t="s">
        <v>79</v>
      </c>
      <c r="D324" s="12" t="n">
        <v>11</v>
      </c>
      <c r="E324" s="12" t="s">
        <v>81</v>
      </c>
      <c r="F324" s="12" t="n">
        <v>47</v>
      </c>
      <c r="G324" s="12" t="s">
        <v>60</v>
      </c>
      <c r="H324" s="12" t="s">
        <v>61</v>
      </c>
    </row>
    <row r="325" customFormat="false" ht="15" hidden="false" customHeight="true" outlineLevel="0" collapsed="false">
      <c r="A325" s="11" t="n">
        <v>45981</v>
      </c>
      <c r="B325" s="12" t="n">
        <v>2025</v>
      </c>
      <c r="C325" s="12" t="s">
        <v>79</v>
      </c>
      <c r="D325" s="12" t="n">
        <v>11</v>
      </c>
      <c r="E325" s="12" t="s">
        <v>81</v>
      </c>
      <c r="F325" s="12" t="n">
        <v>47</v>
      </c>
      <c r="G325" s="12" t="s">
        <v>62</v>
      </c>
      <c r="H325" s="12" t="s">
        <v>61</v>
      </c>
    </row>
    <row r="326" customFormat="false" ht="15" hidden="false" customHeight="true" outlineLevel="0" collapsed="false">
      <c r="A326" s="11" t="n">
        <v>45982</v>
      </c>
      <c r="B326" s="12" t="n">
        <v>2025</v>
      </c>
      <c r="C326" s="12" t="s">
        <v>79</v>
      </c>
      <c r="D326" s="12" t="n">
        <v>11</v>
      </c>
      <c r="E326" s="12" t="s">
        <v>81</v>
      </c>
      <c r="F326" s="12" t="n">
        <v>47</v>
      </c>
      <c r="G326" s="12" t="s">
        <v>63</v>
      </c>
      <c r="H326" s="12" t="s">
        <v>61</v>
      </c>
    </row>
    <row r="327" customFormat="false" ht="15" hidden="false" customHeight="true" outlineLevel="0" collapsed="false">
      <c r="A327" s="11" t="n">
        <v>45983</v>
      </c>
      <c r="B327" s="12" t="n">
        <v>2025</v>
      </c>
      <c r="C327" s="12" t="s">
        <v>79</v>
      </c>
      <c r="D327" s="12" t="n">
        <v>11</v>
      </c>
      <c r="E327" s="12" t="s">
        <v>81</v>
      </c>
      <c r="F327" s="12" t="n">
        <v>47</v>
      </c>
      <c r="G327" s="12" t="s">
        <v>64</v>
      </c>
      <c r="H327" s="12" t="s">
        <v>65</v>
      </c>
    </row>
    <row r="328" customFormat="false" ht="15" hidden="false" customHeight="true" outlineLevel="0" collapsed="false">
      <c r="A328" s="11" t="n">
        <v>45984</v>
      </c>
      <c r="B328" s="12" t="n">
        <v>2025</v>
      </c>
      <c r="C328" s="12" t="s">
        <v>79</v>
      </c>
      <c r="D328" s="12" t="n">
        <v>11</v>
      </c>
      <c r="E328" s="12" t="s">
        <v>81</v>
      </c>
      <c r="F328" s="12" t="n">
        <v>47</v>
      </c>
      <c r="G328" s="12" t="s">
        <v>66</v>
      </c>
      <c r="H328" s="12" t="s">
        <v>65</v>
      </c>
    </row>
    <row r="329" customFormat="false" ht="15" hidden="false" customHeight="true" outlineLevel="0" collapsed="false">
      <c r="A329" s="11" t="n">
        <v>45985</v>
      </c>
      <c r="B329" s="12" t="n">
        <v>2025</v>
      </c>
      <c r="C329" s="12" t="s">
        <v>79</v>
      </c>
      <c r="D329" s="12" t="n">
        <v>11</v>
      </c>
      <c r="E329" s="12" t="s">
        <v>81</v>
      </c>
      <c r="F329" s="12" t="n">
        <v>48</v>
      </c>
      <c r="G329" s="12" t="s">
        <v>67</v>
      </c>
      <c r="H329" s="12" t="s">
        <v>61</v>
      </c>
    </row>
    <row r="330" customFormat="false" ht="15" hidden="false" customHeight="true" outlineLevel="0" collapsed="false">
      <c r="A330" s="11" t="n">
        <v>45986</v>
      </c>
      <c r="B330" s="12" t="n">
        <v>2025</v>
      </c>
      <c r="C330" s="12" t="s">
        <v>79</v>
      </c>
      <c r="D330" s="12" t="n">
        <v>11</v>
      </c>
      <c r="E330" s="12" t="s">
        <v>81</v>
      </c>
      <c r="F330" s="12" t="n">
        <v>48</v>
      </c>
      <c r="G330" s="12" t="s">
        <v>68</v>
      </c>
      <c r="H330" s="12" t="s">
        <v>61</v>
      </c>
    </row>
    <row r="331" customFormat="false" ht="15" hidden="false" customHeight="true" outlineLevel="0" collapsed="false">
      <c r="A331" s="11" t="n">
        <v>45987</v>
      </c>
      <c r="B331" s="12" t="n">
        <v>2025</v>
      </c>
      <c r="C331" s="12" t="s">
        <v>79</v>
      </c>
      <c r="D331" s="12" t="n">
        <v>11</v>
      </c>
      <c r="E331" s="12" t="s">
        <v>81</v>
      </c>
      <c r="F331" s="12" t="n">
        <v>48</v>
      </c>
      <c r="G331" s="12" t="s">
        <v>60</v>
      </c>
      <c r="H331" s="12" t="s">
        <v>61</v>
      </c>
    </row>
    <row r="332" customFormat="false" ht="15" hidden="false" customHeight="true" outlineLevel="0" collapsed="false">
      <c r="A332" s="11" t="n">
        <v>45988</v>
      </c>
      <c r="B332" s="12" t="n">
        <v>2025</v>
      </c>
      <c r="C332" s="12" t="s">
        <v>79</v>
      </c>
      <c r="D332" s="12" t="n">
        <v>11</v>
      </c>
      <c r="E332" s="12" t="s">
        <v>81</v>
      </c>
      <c r="F332" s="12" t="n">
        <v>48</v>
      </c>
      <c r="G332" s="12" t="s">
        <v>62</v>
      </c>
      <c r="H332" s="12" t="s">
        <v>61</v>
      </c>
    </row>
    <row r="333" customFormat="false" ht="15" hidden="false" customHeight="true" outlineLevel="0" collapsed="false">
      <c r="A333" s="11" t="n">
        <v>45989</v>
      </c>
      <c r="B333" s="12" t="n">
        <v>2025</v>
      </c>
      <c r="C333" s="12" t="s">
        <v>79</v>
      </c>
      <c r="D333" s="12" t="n">
        <v>11</v>
      </c>
      <c r="E333" s="12" t="s">
        <v>81</v>
      </c>
      <c r="F333" s="12" t="n">
        <v>48</v>
      </c>
      <c r="G333" s="12" t="s">
        <v>63</v>
      </c>
      <c r="H333" s="12" t="s">
        <v>61</v>
      </c>
    </row>
    <row r="334" customFormat="false" ht="15" hidden="false" customHeight="true" outlineLevel="0" collapsed="false">
      <c r="A334" s="11" t="n">
        <v>45990</v>
      </c>
      <c r="B334" s="12" t="n">
        <v>2025</v>
      </c>
      <c r="C334" s="12" t="s">
        <v>79</v>
      </c>
      <c r="D334" s="12" t="n">
        <v>11</v>
      </c>
      <c r="E334" s="12" t="s">
        <v>81</v>
      </c>
      <c r="F334" s="12" t="n">
        <v>48</v>
      </c>
      <c r="G334" s="12" t="s">
        <v>64</v>
      </c>
      <c r="H334" s="12" t="s">
        <v>65</v>
      </c>
    </row>
    <row r="335" customFormat="false" ht="15" hidden="false" customHeight="true" outlineLevel="0" collapsed="false">
      <c r="A335" s="11" t="n">
        <v>45991</v>
      </c>
      <c r="B335" s="12" t="n">
        <v>2025</v>
      </c>
      <c r="C335" s="12" t="s">
        <v>79</v>
      </c>
      <c r="D335" s="12" t="n">
        <v>11</v>
      </c>
      <c r="E335" s="12" t="s">
        <v>81</v>
      </c>
      <c r="F335" s="12" t="n">
        <v>48</v>
      </c>
      <c r="G335" s="12" t="s">
        <v>66</v>
      </c>
      <c r="H335" s="12" t="s">
        <v>65</v>
      </c>
    </row>
    <row r="336" customFormat="false" ht="15" hidden="false" customHeight="true" outlineLevel="0" collapsed="false">
      <c r="A336" s="11" t="n">
        <v>45992</v>
      </c>
      <c r="B336" s="12" t="n">
        <v>2025</v>
      </c>
      <c r="C336" s="12" t="s">
        <v>79</v>
      </c>
      <c r="D336" s="12" t="n">
        <v>12</v>
      </c>
      <c r="E336" s="12" t="s">
        <v>82</v>
      </c>
      <c r="F336" s="12" t="n">
        <v>49</v>
      </c>
      <c r="G336" s="12" t="s">
        <v>67</v>
      </c>
      <c r="H336" s="12" t="s">
        <v>61</v>
      </c>
    </row>
    <row r="337" customFormat="false" ht="15" hidden="false" customHeight="true" outlineLevel="0" collapsed="false">
      <c r="A337" s="11" t="n">
        <v>45993</v>
      </c>
      <c r="B337" s="12" t="n">
        <v>2025</v>
      </c>
      <c r="C337" s="12" t="s">
        <v>79</v>
      </c>
      <c r="D337" s="12" t="n">
        <v>12</v>
      </c>
      <c r="E337" s="12" t="s">
        <v>82</v>
      </c>
      <c r="F337" s="12" t="n">
        <v>49</v>
      </c>
      <c r="G337" s="12" t="s">
        <v>68</v>
      </c>
      <c r="H337" s="12" t="s">
        <v>61</v>
      </c>
    </row>
    <row r="338" customFormat="false" ht="15" hidden="false" customHeight="true" outlineLevel="0" collapsed="false">
      <c r="A338" s="11" t="n">
        <v>45994</v>
      </c>
      <c r="B338" s="12" t="n">
        <v>2025</v>
      </c>
      <c r="C338" s="12" t="s">
        <v>79</v>
      </c>
      <c r="D338" s="12" t="n">
        <v>12</v>
      </c>
      <c r="E338" s="12" t="s">
        <v>82</v>
      </c>
      <c r="F338" s="12" t="n">
        <v>49</v>
      </c>
      <c r="G338" s="12" t="s">
        <v>60</v>
      </c>
      <c r="H338" s="12" t="s">
        <v>61</v>
      </c>
    </row>
    <row r="339" customFormat="false" ht="15" hidden="false" customHeight="true" outlineLevel="0" collapsed="false">
      <c r="A339" s="11" t="n">
        <v>45995</v>
      </c>
      <c r="B339" s="12" t="n">
        <v>2025</v>
      </c>
      <c r="C339" s="12" t="s">
        <v>79</v>
      </c>
      <c r="D339" s="12" t="n">
        <v>12</v>
      </c>
      <c r="E339" s="12" t="s">
        <v>82</v>
      </c>
      <c r="F339" s="12" t="n">
        <v>49</v>
      </c>
      <c r="G339" s="12" t="s">
        <v>62</v>
      </c>
      <c r="H339" s="12" t="s">
        <v>61</v>
      </c>
    </row>
    <row r="340" customFormat="false" ht="15" hidden="false" customHeight="true" outlineLevel="0" collapsed="false">
      <c r="A340" s="11" t="n">
        <v>45996</v>
      </c>
      <c r="B340" s="12" t="n">
        <v>2025</v>
      </c>
      <c r="C340" s="12" t="s">
        <v>79</v>
      </c>
      <c r="D340" s="12" t="n">
        <v>12</v>
      </c>
      <c r="E340" s="12" t="s">
        <v>82</v>
      </c>
      <c r="F340" s="12" t="n">
        <v>49</v>
      </c>
      <c r="G340" s="12" t="s">
        <v>63</v>
      </c>
      <c r="H340" s="12" t="s">
        <v>61</v>
      </c>
    </row>
    <row r="341" customFormat="false" ht="15" hidden="false" customHeight="true" outlineLevel="0" collapsed="false">
      <c r="A341" s="11" t="n">
        <v>45997</v>
      </c>
      <c r="B341" s="12" t="n">
        <v>2025</v>
      </c>
      <c r="C341" s="12" t="s">
        <v>79</v>
      </c>
      <c r="D341" s="12" t="n">
        <v>12</v>
      </c>
      <c r="E341" s="12" t="s">
        <v>82</v>
      </c>
      <c r="F341" s="12" t="n">
        <v>49</v>
      </c>
      <c r="G341" s="12" t="s">
        <v>64</v>
      </c>
      <c r="H341" s="12" t="s">
        <v>65</v>
      </c>
    </row>
    <row r="342" customFormat="false" ht="15" hidden="false" customHeight="true" outlineLevel="0" collapsed="false">
      <c r="A342" s="11" t="n">
        <v>45998</v>
      </c>
      <c r="B342" s="12" t="n">
        <v>2025</v>
      </c>
      <c r="C342" s="12" t="s">
        <v>79</v>
      </c>
      <c r="D342" s="12" t="n">
        <v>12</v>
      </c>
      <c r="E342" s="12" t="s">
        <v>82</v>
      </c>
      <c r="F342" s="12" t="n">
        <v>49</v>
      </c>
      <c r="G342" s="12" t="s">
        <v>66</v>
      </c>
      <c r="H342" s="12" t="s">
        <v>65</v>
      </c>
    </row>
    <row r="343" customFormat="false" ht="15" hidden="false" customHeight="true" outlineLevel="0" collapsed="false">
      <c r="A343" s="11" t="n">
        <v>45999</v>
      </c>
      <c r="B343" s="12" t="n">
        <v>2025</v>
      </c>
      <c r="C343" s="12" t="s">
        <v>79</v>
      </c>
      <c r="D343" s="12" t="n">
        <v>12</v>
      </c>
      <c r="E343" s="12" t="s">
        <v>82</v>
      </c>
      <c r="F343" s="12" t="n">
        <v>50</v>
      </c>
      <c r="G343" s="12" t="s">
        <v>67</v>
      </c>
      <c r="H343" s="12" t="s">
        <v>61</v>
      </c>
    </row>
    <row r="344" customFormat="false" ht="15" hidden="false" customHeight="true" outlineLevel="0" collapsed="false">
      <c r="A344" s="11" t="n">
        <v>46000</v>
      </c>
      <c r="B344" s="12" t="n">
        <v>2025</v>
      </c>
      <c r="C344" s="12" t="s">
        <v>79</v>
      </c>
      <c r="D344" s="12" t="n">
        <v>12</v>
      </c>
      <c r="E344" s="12" t="s">
        <v>82</v>
      </c>
      <c r="F344" s="12" t="n">
        <v>50</v>
      </c>
      <c r="G344" s="12" t="s">
        <v>68</v>
      </c>
      <c r="H344" s="12" t="s">
        <v>61</v>
      </c>
    </row>
    <row r="345" customFormat="false" ht="15" hidden="false" customHeight="true" outlineLevel="0" collapsed="false">
      <c r="A345" s="11" t="n">
        <v>46001</v>
      </c>
      <c r="B345" s="12" t="n">
        <v>2025</v>
      </c>
      <c r="C345" s="12" t="s">
        <v>79</v>
      </c>
      <c r="D345" s="12" t="n">
        <v>12</v>
      </c>
      <c r="E345" s="12" t="s">
        <v>82</v>
      </c>
      <c r="F345" s="12" t="n">
        <v>50</v>
      </c>
      <c r="G345" s="12" t="s">
        <v>60</v>
      </c>
      <c r="H345" s="12" t="s">
        <v>61</v>
      </c>
    </row>
    <row r="346" customFormat="false" ht="15" hidden="false" customHeight="true" outlineLevel="0" collapsed="false">
      <c r="A346" s="11" t="n">
        <v>46002</v>
      </c>
      <c r="B346" s="12" t="n">
        <v>2025</v>
      </c>
      <c r="C346" s="12" t="s">
        <v>79</v>
      </c>
      <c r="D346" s="12" t="n">
        <v>12</v>
      </c>
      <c r="E346" s="12" t="s">
        <v>82</v>
      </c>
      <c r="F346" s="12" t="n">
        <v>50</v>
      </c>
      <c r="G346" s="12" t="s">
        <v>62</v>
      </c>
      <c r="H346" s="12" t="s">
        <v>61</v>
      </c>
    </row>
    <row r="347" customFormat="false" ht="15" hidden="false" customHeight="true" outlineLevel="0" collapsed="false">
      <c r="A347" s="11" t="n">
        <v>46003</v>
      </c>
      <c r="B347" s="12" t="n">
        <v>2025</v>
      </c>
      <c r="C347" s="12" t="s">
        <v>79</v>
      </c>
      <c r="D347" s="12" t="n">
        <v>12</v>
      </c>
      <c r="E347" s="12" t="s">
        <v>82</v>
      </c>
      <c r="F347" s="12" t="n">
        <v>50</v>
      </c>
      <c r="G347" s="12" t="s">
        <v>63</v>
      </c>
      <c r="H347" s="12" t="s">
        <v>61</v>
      </c>
    </row>
    <row r="348" customFormat="false" ht="15" hidden="false" customHeight="true" outlineLevel="0" collapsed="false">
      <c r="A348" s="11" t="n">
        <v>46004</v>
      </c>
      <c r="B348" s="12" t="n">
        <v>2025</v>
      </c>
      <c r="C348" s="12" t="s">
        <v>79</v>
      </c>
      <c r="D348" s="12" t="n">
        <v>12</v>
      </c>
      <c r="E348" s="12" t="s">
        <v>82</v>
      </c>
      <c r="F348" s="12" t="n">
        <v>50</v>
      </c>
      <c r="G348" s="12" t="s">
        <v>64</v>
      </c>
      <c r="H348" s="12" t="s">
        <v>65</v>
      </c>
    </row>
    <row r="349" customFormat="false" ht="15" hidden="false" customHeight="true" outlineLevel="0" collapsed="false">
      <c r="A349" s="11" t="n">
        <v>46005</v>
      </c>
      <c r="B349" s="12" t="n">
        <v>2025</v>
      </c>
      <c r="C349" s="12" t="s">
        <v>79</v>
      </c>
      <c r="D349" s="12" t="n">
        <v>12</v>
      </c>
      <c r="E349" s="12" t="s">
        <v>82</v>
      </c>
      <c r="F349" s="12" t="n">
        <v>50</v>
      </c>
      <c r="G349" s="12" t="s">
        <v>66</v>
      </c>
      <c r="H349" s="12" t="s">
        <v>65</v>
      </c>
    </row>
    <row r="350" customFormat="false" ht="15" hidden="false" customHeight="true" outlineLevel="0" collapsed="false">
      <c r="A350" s="11" t="n">
        <v>46006</v>
      </c>
      <c r="B350" s="12" t="n">
        <v>2025</v>
      </c>
      <c r="C350" s="12" t="s">
        <v>79</v>
      </c>
      <c r="D350" s="12" t="n">
        <v>12</v>
      </c>
      <c r="E350" s="12" t="s">
        <v>82</v>
      </c>
      <c r="F350" s="12" t="n">
        <v>51</v>
      </c>
      <c r="G350" s="12" t="s">
        <v>67</v>
      </c>
      <c r="H350" s="12" t="s">
        <v>61</v>
      </c>
    </row>
    <row r="351" customFormat="false" ht="15" hidden="false" customHeight="true" outlineLevel="0" collapsed="false">
      <c r="A351" s="11" t="n">
        <v>46007</v>
      </c>
      <c r="B351" s="12" t="n">
        <v>2025</v>
      </c>
      <c r="C351" s="12" t="s">
        <v>79</v>
      </c>
      <c r="D351" s="12" t="n">
        <v>12</v>
      </c>
      <c r="E351" s="12" t="s">
        <v>82</v>
      </c>
      <c r="F351" s="12" t="n">
        <v>51</v>
      </c>
      <c r="G351" s="12" t="s">
        <v>68</v>
      </c>
      <c r="H351" s="12" t="s">
        <v>61</v>
      </c>
    </row>
    <row r="352" customFormat="false" ht="15" hidden="false" customHeight="true" outlineLevel="0" collapsed="false">
      <c r="A352" s="11" t="n">
        <v>46008</v>
      </c>
      <c r="B352" s="12" t="n">
        <v>2025</v>
      </c>
      <c r="C352" s="12" t="s">
        <v>79</v>
      </c>
      <c r="D352" s="12" t="n">
        <v>12</v>
      </c>
      <c r="E352" s="12" t="s">
        <v>82</v>
      </c>
      <c r="F352" s="12" t="n">
        <v>51</v>
      </c>
      <c r="G352" s="12" t="s">
        <v>60</v>
      </c>
      <c r="H352" s="12" t="s">
        <v>61</v>
      </c>
    </row>
    <row r="353" customFormat="false" ht="15" hidden="false" customHeight="true" outlineLevel="0" collapsed="false">
      <c r="A353" s="11" t="n">
        <v>46009</v>
      </c>
      <c r="B353" s="12" t="n">
        <v>2025</v>
      </c>
      <c r="C353" s="12" t="s">
        <v>79</v>
      </c>
      <c r="D353" s="12" t="n">
        <v>12</v>
      </c>
      <c r="E353" s="12" t="s">
        <v>82</v>
      </c>
      <c r="F353" s="12" t="n">
        <v>51</v>
      </c>
      <c r="G353" s="12" t="s">
        <v>62</v>
      </c>
      <c r="H353" s="12" t="s">
        <v>61</v>
      </c>
    </row>
    <row r="354" customFormat="false" ht="15" hidden="false" customHeight="true" outlineLevel="0" collapsed="false">
      <c r="A354" s="11" t="n">
        <v>46010</v>
      </c>
      <c r="B354" s="12" t="n">
        <v>2025</v>
      </c>
      <c r="C354" s="12" t="s">
        <v>79</v>
      </c>
      <c r="D354" s="12" t="n">
        <v>12</v>
      </c>
      <c r="E354" s="12" t="s">
        <v>82</v>
      </c>
      <c r="F354" s="12" t="n">
        <v>51</v>
      </c>
      <c r="G354" s="12" t="s">
        <v>63</v>
      </c>
      <c r="H354" s="12" t="s">
        <v>61</v>
      </c>
    </row>
    <row r="355" customFormat="false" ht="15" hidden="false" customHeight="true" outlineLevel="0" collapsed="false">
      <c r="A355" s="11" t="n">
        <v>46011</v>
      </c>
      <c r="B355" s="12" t="n">
        <v>2025</v>
      </c>
      <c r="C355" s="12" t="s">
        <v>79</v>
      </c>
      <c r="D355" s="12" t="n">
        <v>12</v>
      </c>
      <c r="E355" s="12" t="s">
        <v>82</v>
      </c>
      <c r="F355" s="12" t="n">
        <v>51</v>
      </c>
      <c r="G355" s="12" t="s">
        <v>64</v>
      </c>
      <c r="H355" s="12" t="s">
        <v>65</v>
      </c>
    </row>
    <row r="356" customFormat="false" ht="15" hidden="false" customHeight="true" outlineLevel="0" collapsed="false">
      <c r="A356" s="11" t="n">
        <v>46012</v>
      </c>
      <c r="B356" s="12" t="n">
        <v>2025</v>
      </c>
      <c r="C356" s="12" t="s">
        <v>79</v>
      </c>
      <c r="D356" s="12" t="n">
        <v>12</v>
      </c>
      <c r="E356" s="12" t="s">
        <v>82</v>
      </c>
      <c r="F356" s="12" t="n">
        <v>51</v>
      </c>
      <c r="G356" s="12" t="s">
        <v>66</v>
      </c>
      <c r="H356" s="12" t="s">
        <v>65</v>
      </c>
    </row>
    <row r="357" customFormat="false" ht="15" hidden="false" customHeight="true" outlineLevel="0" collapsed="false">
      <c r="A357" s="11" t="n">
        <v>46013</v>
      </c>
      <c r="B357" s="12" t="n">
        <v>2025</v>
      </c>
      <c r="C357" s="12" t="s">
        <v>79</v>
      </c>
      <c r="D357" s="12" t="n">
        <v>12</v>
      </c>
      <c r="E357" s="12" t="s">
        <v>82</v>
      </c>
      <c r="F357" s="12" t="n">
        <v>52</v>
      </c>
      <c r="G357" s="12" t="s">
        <v>67</v>
      </c>
      <c r="H357" s="12" t="s">
        <v>61</v>
      </c>
    </row>
    <row r="358" customFormat="false" ht="15" hidden="false" customHeight="true" outlineLevel="0" collapsed="false">
      <c r="A358" s="11" t="n">
        <v>46014</v>
      </c>
      <c r="B358" s="12" t="n">
        <v>2025</v>
      </c>
      <c r="C358" s="12" t="s">
        <v>79</v>
      </c>
      <c r="D358" s="12" t="n">
        <v>12</v>
      </c>
      <c r="E358" s="12" t="s">
        <v>82</v>
      </c>
      <c r="F358" s="12" t="n">
        <v>52</v>
      </c>
      <c r="G358" s="12" t="s">
        <v>68</v>
      </c>
      <c r="H358" s="12" t="s">
        <v>61</v>
      </c>
    </row>
    <row r="359" customFormat="false" ht="15" hidden="false" customHeight="true" outlineLevel="0" collapsed="false">
      <c r="A359" s="11" t="n">
        <v>46015</v>
      </c>
      <c r="B359" s="12" t="n">
        <v>2025</v>
      </c>
      <c r="C359" s="12" t="s">
        <v>79</v>
      </c>
      <c r="D359" s="12" t="n">
        <v>12</v>
      </c>
      <c r="E359" s="12" t="s">
        <v>82</v>
      </c>
      <c r="F359" s="12" t="n">
        <v>52</v>
      </c>
      <c r="G359" s="12" t="s">
        <v>60</v>
      </c>
      <c r="H359" s="12" t="s">
        <v>61</v>
      </c>
    </row>
    <row r="360" customFormat="false" ht="15" hidden="false" customHeight="true" outlineLevel="0" collapsed="false">
      <c r="A360" s="11" t="n">
        <v>46016</v>
      </c>
      <c r="B360" s="12" t="n">
        <v>2025</v>
      </c>
      <c r="C360" s="12" t="s">
        <v>79</v>
      </c>
      <c r="D360" s="12" t="n">
        <v>12</v>
      </c>
      <c r="E360" s="12" t="s">
        <v>82</v>
      </c>
      <c r="F360" s="12" t="n">
        <v>52</v>
      </c>
      <c r="G360" s="12" t="s">
        <v>62</v>
      </c>
      <c r="H360" s="12" t="s">
        <v>61</v>
      </c>
    </row>
    <row r="361" customFormat="false" ht="15" hidden="false" customHeight="true" outlineLevel="0" collapsed="false">
      <c r="A361" s="11" t="n">
        <v>46017</v>
      </c>
      <c r="B361" s="12" t="n">
        <v>2025</v>
      </c>
      <c r="C361" s="12" t="s">
        <v>79</v>
      </c>
      <c r="D361" s="12" t="n">
        <v>12</v>
      </c>
      <c r="E361" s="12" t="s">
        <v>82</v>
      </c>
      <c r="F361" s="12" t="n">
        <v>52</v>
      </c>
      <c r="G361" s="12" t="s">
        <v>63</v>
      </c>
      <c r="H361" s="12" t="s">
        <v>61</v>
      </c>
    </row>
    <row r="362" customFormat="false" ht="15" hidden="false" customHeight="true" outlineLevel="0" collapsed="false">
      <c r="A362" s="11" t="n">
        <v>46018</v>
      </c>
      <c r="B362" s="12" t="n">
        <v>2025</v>
      </c>
      <c r="C362" s="12" t="s">
        <v>79</v>
      </c>
      <c r="D362" s="12" t="n">
        <v>12</v>
      </c>
      <c r="E362" s="12" t="s">
        <v>82</v>
      </c>
      <c r="F362" s="12" t="n">
        <v>52</v>
      </c>
      <c r="G362" s="12" t="s">
        <v>64</v>
      </c>
      <c r="H362" s="12" t="s">
        <v>65</v>
      </c>
    </row>
    <row r="363" customFormat="false" ht="15" hidden="false" customHeight="true" outlineLevel="0" collapsed="false">
      <c r="A363" s="11" t="n">
        <v>46019</v>
      </c>
      <c r="B363" s="12" t="n">
        <v>2025</v>
      </c>
      <c r="C363" s="12" t="s">
        <v>79</v>
      </c>
      <c r="D363" s="12" t="n">
        <v>12</v>
      </c>
      <c r="E363" s="12" t="s">
        <v>82</v>
      </c>
      <c r="F363" s="12" t="n">
        <v>52</v>
      </c>
      <c r="G363" s="12" t="s">
        <v>66</v>
      </c>
      <c r="H363" s="12" t="s">
        <v>65</v>
      </c>
    </row>
    <row r="364" customFormat="false" ht="15" hidden="false" customHeight="true" outlineLevel="0" collapsed="false">
      <c r="A364" s="11" t="n">
        <v>46020</v>
      </c>
      <c r="B364" s="12" t="n">
        <v>2025</v>
      </c>
      <c r="C364" s="12" t="s">
        <v>79</v>
      </c>
      <c r="D364" s="12" t="n">
        <v>12</v>
      </c>
      <c r="E364" s="12" t="s">
        <v>82</v>
      </c>
      <c r="F364" s="12" t="n">
        <v>1</v>
      </c>
      <c r="G364" s="12" t="s">
        <v>67</v>
      </c>
      <c r="H364" s="12" t="s">
        <v>61</v>
      </c>
    </row>
    <row r="365" customFormat="false" ht="15" hidden="false" customHeight="true" outlineLevel="0" collapsed="false">
      <c r="A365" s="11" t="n">
        <v>46021</v>
      </c>
      <c r="B365" s="12" t="n">
        <v>2025</v>
      </c>
      <c r="C365" s="12" t="s">
        <v>79</v>
      </c>
      <c r="D365" s="12" t="n">
        <v>12</v>
      </c>
      <c r="E365" s="12" t="s">
        <v>82</v>
      </c>
      <c r="F365" s="12" t="n">
        <v>1</v>
      </c>
      <c r="G365" s="12" t="s">
        <v>68</v>
      </c>
      <c r="H365" s="12" t="s">
        <v>61</v>
      </c>
    </row>
    <row r="366" customFormat="false" ht="15" hidden="false" customHeight="true" outlineLevel="0" collapsed="false">
      <c r="A366" s="11" t="n">
        <v>46022</v>
      </c>
      <c r="B366" s="12" t="n">
        <v>2025</v>
      </c>
      <c r="C366" s="12" t="s">
        <v>79</v>
      </c>
      <c r="D366" s="12" t="n">
        <v>12</v>
      </c>
      <c r="E366" s="12" t="s">
        <v>82</v>
      </c>
      <c r="F366" s="12" t="n">
        <v>1</v>
      </c>
      <c r="G366" s="12" t="s">
        <v>60</v>
      </c>
      <c r="H366" s="1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40"/>
    <col collapsed="false" customWidth="true" hidden="false" outlineLevel="0" max="5" min="5" style="1" width="16"/>
  </cols>
  <sheetData>
    <row r="1" customFormat="false" ht="26.25" hidden="false" customHeight="true" outlineLevel="0" collapsed="false">
      <c r="A1" s="10" t="s">
        <v>83</v>
      </c>
      <c r="B1" s="10" t="s">
        <v>84</v>
      </c>
      <c r="C1" s="10" t="s">
        <v>85</v>
      </c>
      <c r="D1" s="10" t="s">
        <v>86</v>
      </c>
      <c r="E1" s="10" t="s">
        <v>87</v>
      </c>
    </row>
    <row r="2" customFormat="false" ht="15" hidden="false" customHeight="true" outlineLevel="0" collapsed="false">
      <c r="A2" s="13" t="s">
        <v>88</v>
      </c>
      <c r="B2" s="12" t="s">
        <v>16</v>
      </c>
      <c r="C2" s="12" t="s">
        <v>89</v>
      </c>
      <c r="D2" s="12" t="s">
        <v>90</v>
      </c>
      <c r="E2" s="13" t="s">
        <v>91</v>
      </c>
    </row>
    <row r="3" customFormat="false" ht="15" hidden="false" customHeight="true" outlineLevel="0" collapsed="false">
      <c r="A3" s="13" t="s">
        <v>92</v>
      </c>
      <c r="B3" s="12" t="s">
        <v>19</v>
      </c>
      <c r="C3" s="12" t="s">
        <v>93</v>
      </c>
      <c r="D3" s="12" t="s">
        <v>94</v>
      </c>
      <c r="E3" s="13" t="s">
        <v>95</v>
      </c>
    </row>
    <row r="4" customFormat="false" ht="15" hidden="false" customHeight="true" outlineLevel="0" collapsed="false">
      <c r="A4" s="13" t="s">
        <v>96</v>
      </c>
      <c r="B4" s="12" t="s">
        <v>97</v>
      </c>
      <c r="C4" s="12" t="s">
        <v>93</v>
      </c>
      <c r="D4" s="12" t="s">
        <v>98</v>
      </c>
      <c r="E4" s="13" t="s">
        <v>99</v>
      </c>
    </row>
    <row r="5" customFormat="false" ht="15" hidden="false" customHeight="true" outlineLevel="0" collapsed="false">
      <c r="A5" s="13" t="s">
        <v>100</v>
      </c>
      <c r="B5" s="12" t="s">
        <v>24</v>
      </c>
      <c r="C5" s="12" t="s">
        <v>89</v>
      </c>
      <c r="D5" s="12" t="s">
        <v>101</v>
      </c>
      <c r="E5" s="13" t="s">
        <v>102</v>
      </c>
    </row>
    <row r="6" customFormat="false" ht="15" hidden="false" customHeight="true" outlineLevel="0" collapsed="false">
      <c r="A6" s="13" t="s">
        <v>103</v>
      </c>
      <c r="B6" s="12" t="s">
        <v>104</v>
      </c>
      <c r="C6" s="12" t="s">
        <v>93</v>
      </c>
      <c r="D6" s="12" t="s">
        <v>105</v>
      </c>
      <c r="E6" s="13" t="s">
        <v>106</v>
      </c>
    </row>
    <row r="7" customFormat="false" ht="15" hidden="false" customHeight="true" outlineLevel="0" collapsed="false">
      <c r="A7" s="13" t="s">
        <v>107</v>
      </c>
      <c r="B7" s="12" t="s">
        <v>28</v>
      </c>
      <c r="C7" s="12" t="s">
        <v>93</v>
      </c>
      <c r="D7" s="12" t="s">
        <v>108</v>
      </c>
      <c r="E7" s="13" t="s">
        <v>109</v>
      </c>
    </row>
    <row r="8" customFormat="false" ht="15" hidden="false" customHeight="true" outlineLevel="0" collapsed="false">
      <c r="A8" s="13" t="s">
        <v>110</v>
      </c>
      <c r="B8" s="12" t="s">
        <v>111</v>
      </c>
      <c r="C8" s="12" t="s">
        <v>93</v>
      </c>
      <c r="D8" s="12" t="s">
        <v>112</v>
      </c>
      <c r="E8" s="13" t="s">
        <v>113</v>
      </c>
    </row>
    <row r="9" customFormat="false" ht="15" hidden="false" customHeight="true" outlineLevel="0" collapsed="false">
      <c r="A9" s="13" t="s">
        <v>114</v>
      </c>
      <c r="B9" s="12" t="s">
        <v>115</v>
      </c>
      <c r="C9" s="12" t="s">
        <v>93</v>
      </c>
      <c r="D9" s="12" t="s">
        <v>116</v>
      </c>
      <c r="E9" s="13" t="s">
        <v>117</v>
      </c>
    </row>
    <row r="10" customFormat="false" ht="15" hidden="false" customHeight="true" outlineLevel="0" collapsed="false">
      <c r="A10" s="13" t="s">
        <v>118</v>
      </c>
      <c r="B10" s="12" t="s">
        <v>119</v>
      </c>
      <c r="C10" s="12" t="s">
        <v>93</v>
      </c>
      <c r="D10" s="12" t="s">
        <v>120</v>
      </c>
      <c r="E10" s="13" t="s">
        <v>121</v>
      </c>
    </row>
    <row r="11" customFormat="false" ht="15" hidden="false" customHeight="true" outlineLevel="0" collapsed="false">
      <c r="A11" s="13" t="s">
        <v>122</v>
      </c>
      <c r="B11" s="12" t="s">
        <v>123</v>
      </c>
      <c r="C11" s="12" t="s">
        <v>93</v>
      </c>
      <c r="D11" s="12" t="s">
        <v>124</v>
      </c>
      <c r="E11" s="1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7"/>
    <col collapsed="false" customWidth="true" hidden="false" outlineLevel="0" max="8" min="8" style="1" width="30"/>
    <col collapsed="false" customWidth="true" hidden="false" outlineLevel="0" max="9" min="9" style="1" width="15"/>
  </cols>
  <sheetData>
    <row r="1" customFormat="false" ht="26.25" hidden="false" customHeight="true" outlineLevel="0" collapsed="false">
      <c r="A1" s="10" t="s">
        <v>126</v>
      </c>
      <c r="B1" s="10" t="s">
        <v>127</v>
      </c>
      <c r="C1" s="10" t="s">
        <v>128</v>
      </c>
      <c r="D1" s="10" t="s">
        <v>129</v>
      </c>
      <c r="E1" s="10" t="s">
        <v>130</v>
      </c>
      <c r="F1" s="10" t="s">
        <v>131</v>
      </c>
      <c r="G1" s="10" t="s">
        <v>132</v>
      </c>
      <c r="H1" s="10" t="s">
        <v>133</v>
      </c>
      <c r="I1" s="10" t="s">
        <v>134</v>
      </c>
    </row>
    <row r="2" customFormat="false" ht="15" hidden="false" customHeight="true" outlineLevel="0" collapsed="false">
      <c r="A2" s="13" t="s">
        <v>91</v>
      </c>
      <c r="B2" s="12" t="s">
        <v>135</v>
      </c>
      <c r="C2" s="12" t="s">
        <v>16</v>
      </c>
      <c r="D2" s="12" t="s">
        <v>136</v>
      </c>
      <c r="E2" s="12" t="s">
        <v>137</v>
      </c>
      <c r="F2" s="14" t="n">
        <v>44625</v>
      </c>
      <c r="G2" s="12" t="s">
        <v>138</v>
      </c>
      <c r="H2" s="12" t="s">
        <v>139</v>
      </c>
      <c r="I2" s="12" t="s">
        <v>140</v>
      </c>
    </row>
    <row r="3" customFormat="false" ht="15" hidden="false" customHeight="true" outlineLevel="0" collapsed="false">
      <c r="A3" s="13" t="s">
        <v>141</v>
      </c>
      <c r="B3" s="12" t="s">
        <v>142</v>
      </c>
      <c r="C3" s="12" t="s">
        <v>16</v>
      </c>
      <c r="D3" s="12" t="s">
        <v>143</v>
      </c>
      <c r="E3" s="12" t="s">
        <v>137</v>
      </c>
      <c r="F3" s="14" t="n">
        <v>45498</v>
      </c>
      <c r="G3" s="12" t="s">
        <v>138</v>
      </c>
      <c r="H3" s="12" t="s">
        <v>144</v>
      </c>
      <c r="I3" s="12" t="s">
        <v>145</v>
      </c>
    </row>
    <row r="4" customFormat="false" ht="15" hidden="false" customHeight="true" outlineLevel="0" collapsed="false">
      <c r="A4" s="13" t="s">
        <v>146</v>
      </c>
      <c r="B4" s="12" t="s">
        <v>147</v>
      </c>
      <c r="C4" s="12" t="s">
        <v>16</v>
      </c>
      <c r="D4" s="12" t="s">
        <v>148</v>
      </c>
      <c r="E4" s="12" t="s">
        <v>149</v>
      </c>
      <c r="F4" s="14" t="n">
        <v>43330</v>
      </c>
      <c r="G4" s="12" t="s">
        <v>138</v>
      </c>
      <c r="H4" s="12" t="s">
        <v>150</v>
      </c>
      <c r="I4" s="12" t="s">
        <v>151</v>
      </c>
    </row>
    <row r="5" customFormat="false" ht="15" hidden="false" customHeight="true" outlineLevel="0" collapsed="false">
      <c r="A5" s="13" t="s">
        <v>152</v>
      </c>
      <c r="B5" s="12" t="s">
        <v>153</v>
      </c>
      <c r="C5" s="12" t="s">
        <v>16</v>
      </c>
      <c r="D5" s="12" t="s">
        <v>154</v>
      </c>
      <c r="E5" s="12" t="s">
        <v>149</v>
      </c>
      <c r="F5" s="14" t="n">
        <v>43789</v>
      </c>
      <c r="G5" s="12" t="s">
        <v>138</v>
      </c>
      <c r="H5" s="12" t="s">
        <v>155</v>
      </c>
      <c r="I5" s="12" t="s">
        <v>156</v>
      </c>
    </row>
    <row r="6" customFormat="false" ht="15" hidden="false" customHeight="true" outlineLevel="0" collapsed="false">
      <c r="A6" s="13" t="s">
        <v>157</v>
      </c>
      <c r="B6" s="12" t="s">
        <v>158</v>
      </c>
      <c r="C6" s="12" t="s">
        <v>16</v>
      </c>
      <c r="D6" s="12" t="s">
        <v>159</v>
      </c>
      <c r="E6" s="12" t="s">
        <v>137</v>
      </c>
      <c r="F6" s="14" t="n">
        <v>44235</v>
      </c>
      <c r="G6" s="12" t="s">
        <v>138</v>
      </c>
      <c r="H6" s="12" t="s">
        <v>160</v>
      </c>
      <c r="I6" s="12" t="s">
        <v>161</v>
      </c>
    </row>
    <row r="7" customFormat="false" ht="15" hidden="false" customHeight="true" outlineLevel="0" collapsed="false">
      <c r="A7" s="13" t="s">
        <v>162</v>
      </c>
      <c r="B7" s="12" t="s">
        <v>163</v>
      </c>
      <c r="C7" s="12" t="s">
        <v>16</v>
      </c>
      <c r="D7" s="12" t="s">
        <v>164</v>
      </c>
      <c r="E7" s="12" t="s">
        <v>149</v>
      </c>
      <c r="F7" s="14" t="n">
        <v>44072</v>
      </c>
      <c r="G7" s="12" t="s">
        <v>138</v>
      </c>
      <c r="H7" s="12" t="s">
        <v>165</v>
      </c>
      <c r="I7" s="12" t="s">
        <v>166</v>
      </c>
    </row>
    <row r="8" customFormat="false" ht="15" hidden="false" customHeight="true" outlineLevel="0" collapsed="false">
      <c r="A8" s="13" t="s">
        <v>167</v>
      </c>
      <c r="B8" s="12" t="s">
        <v>168</v>
      </c>
      <c r="C8" s="12" t="s">
        <v>16</v>
      </c>
      <c r="D8" s="12" t="s">
        <v>136</v>
      </c>
      <c r="E8" s="12" t="s">
        <v>149</v>
      </c>
      <c r="F8" s="14" t="n">
        <v>42640</v>
      </c>
      <c r="G8" s="12" t="s">
        <v>138</v>
      </c>
      <c r="H8" s="12" t="s">
        <v>169</v>
      </c>
      <c r="I8" s="12" t="s">
        <v>170</v>
      </c>
    </row>
    <row r="9" customFormat="false" ht="15" hidden="false" customHeight="true" outlineLevel="0" collapsed="false">
      <c r="A9" s="13" t="s">
        <v>171</v>
      </c>
      <c r="B9" s="12" t="s">
        <v>172</v>
      </c>
      <c r="C9" s="12" t="s">
        <v>16</v>
      </c>
      <c r="D9" s="12" t="s">
        <v>143</v>
      </c>
      <c r="E9" s="12" t="s">
        <v>137</v>
      </c>
      <c r="F9" s="14" t="n">
        <v>42231</v>
      </c>
      <c r="G9" s="12" t="s">
        <v>138</v>
      </c>
      <c r="H9" s="12" t="s">
        <v>173</v>
      </c>
      <c r="I9" s="12" t="s">
        <v>174</v>
      </c>
    </row>
    <row r="10" customFormat="false" ht="15" hidden="false" customHeight="true" outlineLevel="0" collapsed="false">
      <c r="A10" s="13" t="s">
        <v>175</v>
      </c>
      <c r="B10" s="12" t="s">
        <v>176</v>
      </c>
      <c r="C10" s="12" t="s">
        <v>16</v>
      </c>
      <c r="D10" s="12" t="s">
        <v>148</v>
      </c>
      <c r="E10" s="12" t="s">
        <v>149</v>
      </c>
      <c r="F10" s="14" t="n">
        <v>45441</v>
      </c>
      <c r="G10" s="12" t="s">
        <v>138</v>
      </c>
      <c r="H10" s="12" t="s">
        <v>177</v>
      </c>
      <c r="I10" s="12" t="s">
        <v>178</v>
      </c>
    </row>
    <row r="11" customFormat="false" ht="15" hidden="false" customHeight="true" outlineLevel="0" collapsed="false">
      <c r="A11" s="13" t="s">
        <v>179</v>
      </c>
      <c r="B11" s="12" t="s">
        <v>180</v>
      </c>
      <c r="C11" s="12" t="s">
        <v>16</v>
      </c>
      <c r="D11" s="12" t="s">
        <v>154</v>
      </c>
      <c r="E11" s="12" t="s">
        <v>149</v>
      </c>
      <c r="F11" s="14" t="n">
        <v>42079</v>
      </c>
      <c r="G11" s="12" t="s">
        <v>138</v>
      </c>
      <c r="H11" s="12" t="s">
        <v>181</v>
      </c>
      <c r="I11" s="12" t="s">
        <v>182</v>
      </c>
    </row>
    <row r="12" customFormat="false" ht="15" hidden="false" customHeight="true" outlineLevel="0" collapsed="false">
      <c r="A12" s="13" t="s">
        <v>183</v>
      </c>
      <c r="B12" s="12" t="s">
        <v>184</v>
      </c>
      <c r="C12" s="12" t="s">
        <v>16</v>
      </c>
      <c r="D12" s="12" t="s">
        <v>159</v>
      </c>
      <c r="E12" s="12" t="s">
        <v>137</v>
      </c>
      <c r="F12" s="14" t="n">
        <v>44962</v>
      </c>
      <c r="G12" s="12" t="s">
        <v>138</v>
      </c>
      <c r="H12" s="12" t="s">
        <v>185</v>
      </c>
      <c r="I12" s="12" t="s">
        <v>186</v>
      </c>
    </row>
    <row r="13" customFormat="false" ht="15" hidden="false" customHeight="true" outlineLevel="0" collapsed="false">
      <c r="A13" s="13" t="s">
        <v>187</v>
      </c>
      <c r="B13" s="12" t="s">
        <v>188</v>
      </c>
      <c r="C13" s="12" t="s">
        <v>16</v>
      </c>
      <c r="D13" s="12" t="s">
        <v>164</v>
      </c>
      <c r="E13" s="12" t="s">
        <v>149</v>
      </c>
      <c r="F13" s="14" t="n">
        <v>43133</v>
      </c>
      <c r="G13" s="12" t="s">
        <v>138</v>
      </c>
      <c r="H13" s="12" t="s">
        <v>189</v>
      </c>
      <c r="I13" s="12" t="s">
        <v>190</v>
      </c>
    </row>
    <row r="14" customFormat="false" ht="15" hidden="false" customHeight="true" outlineLevel="0" collapsed="false">
      <c r="A14" s="13" t="s">
        <v>191</v>
      </c>
      <c r="B14" s="12" t="s">
        <v>192</v>
      </c>
      <c r="C14" s="12" t="s">
        <v>16</v>
      </c>
      <c r="D14" s="12" t="s">
        <v>136</v>
      </c>
      <c r="E14" s="12" t="s">
        <v>137</v>
      </c>
      <c r="F14" s="14" t="n">
        <v>44074</v>
      </c>
      <c r="G14" s="12" t="s">
        <v>138</v>
      </c>
      <c r="H14" s="12" t="s">
        <v>193</v>
      </c>
      <c r="I14" s="12" t="s">
        <v>194</v>
      </c>
    </row>
    <row r="15" customFormat="false" ht="15" hidden="false" customHeight="true" outlineLevel="0" collapsed="false">
      <c r="A15" s="13" t="s">
        <v>195</v>
      </c>
      <c r="B15" s="12" t="s">
        <v>196</v>
      </c>
      <c r="C15" s="12" t="s">
        <v>16</v>
      </c>
      <c r="D15" s="12" t="s">
        <v>143</v>
      </c>
      <c r="E15" s="12" t="s">
        <v>137</v>
      </c>
      <c r="F15" s="14" t="n">
        <v>42176</v>
      </c>
      <c r="G15" s="12" t="s">
        <v>138</v>
      </c>
      <c r="H15" s="12" t="s">
        <v>197</v>
      </c>
      <c r="I15" s="12" t="s">
        <v>198</v>
      </c>
    </row>
    <row r="16" customFormat="false" ht="15" hidden="false" customHeight="true" outlineLevel="0" collapsed="false">
      <c r="A16" s="13" t="s">
        <v>199</v>
      </c>
      <c r="B16" s="12" t="s">
        <v>200</v>
      </c>
      <c r="C16" s="12" t="s">
        <v>16</v>
      </c>
      <c r="D16" s="12" t="s">
        <v>148</v>
      </c>
      <c r="E16" s="12" t="s">
        <v>149</v>
      </c>
      <c r="F16" s="14" t="n">
        <v>42331</v>
      </c>
      <c r="G16" s="12" t="s">
        <v>138</v>
      </c>
      <c r="H16" s="12" t="s">
        <v>201</v>
      </c>
      <c r="I16" s="12" t="s">
        <v>202</v>
      </c>
    </row>
    <row r="17" customFormat="false" ht="15" hidden="false" customHeight="true" outlineLevel="0" collapsed="false">
      <c r="A17" s="13" t="s">
        <v>203</v>
      </c>
      <c r="B17" s="12" t="s">
        <v>204</v>
      </c>
      <c r="C17" s="12" t="s">
        <v>16</v>
      </c>
      <c r="D17" s="12" t="s">
        <v>154</v>
      </c>
      <c r="E17" s="12" t="s">
        <v>137</v>
      </c>
      <c r="F17" s="14" t="n">
        <v>44758</v>
      </c>
      <c r="G17" s="12" t="s">
        <v>138</v>
      </c>
      <c r="H17" s="12" t="s">
        <v>205</v>
      </c>
      <c r="I17" s="12" t="s">
        <v>206</v>
      </c>
    </row>
    <row r="18" customFormat="false" ht="15" hidden="false" customHeight="true" outlineLevel="0" collapsed="false">
      <c r="A18" s="13" t="s">
        <v>95</v>
      </c>
      <c r="B18" s="12" t="s">
        <v>207</v>
      </c>
      <c r="C18" s="12" t="s">
        <v>19</v>
      </c>
      <c r="D18" s="12" t="s">
        <v>208</v>
      </c>
      <c r="E18" s="12" t="s">
        <v>137</v>
      </c>
      <c r="F18" s="14" t="n">
        <v>45057</v>
      </c>
      <c r="G18" s="12" t="s">
        <v>138</v>
      </c>
      <c r="H18" s="12" t="s">
        <v>209</v>
      </c>
      <c r="I18" s="12" t="s">
        <v>210</v>
      </c>
    </row>
    <row r="19" customFormat="false" ht="15" hidden="false" customHeight="true" outlineLevel="0" collapsed="false">
      <c r="A19" s="13" t="s">
        <v>211</v>
      </c>
      <c r="B19" s="12" t="s">
        <v>212</v>
      </c>
      <c r="C19" s="12" t="s">
        <v>19</v>
      </c>
      <c r="D19" s="12" t="s">
        <v>213</v>
      </c>
      <c r="E19" s="12" t="s">
        <v>137</v>
      </c>
      <c r="F19" s="14" t="n">
        <v>43238</v>
      </c>
      <c r="G19" s="12" t="s">
        <v>138</v>
      </c>
      <c r="H19" s="12" t="s">
        <v>214</v>
      </c>
      <c r="I19" s="12" t="s">
        <v>215</v>
      </c>
    </row>
    <row r="20" customFormat="false" ht="15" hidden="false" customHeight="true" outlineLevel="0" collapsed="false">
      <c r="A20" s="13" t="s">
        <v>216</v>
      </c>
      <c r="B20" s="12" t="s">
        <v>217</v>
      </c>
      <c r="C20" s="12" t="s">
        <v>19</v>
      </c>
      <c r="D20" s="12" t="s">
        <v>218</v>
      </c>
      <c r="E20" s="12" t="s">
        <v>137</v>
      </c>
      <c r="F20" s="14" t="n">
        <v>45256</v>
      </c>
      <c r="G20" s="12" t="s">
        <v>138</v>
      </c>
      <c r="H20" s="12" t="s">
        <v>219</v>
      </c>
      <c r="I20" s="12" t="s">
        <v>220</v>
      </c>
    </row>
    <row r="21" customFormat="false" ht="15" hidden="false" customHeight="true" outlineLevel="0" collapsed="false">
      <c r="A21" s="13" t="s">
        <v>221</v>
      </c>
      <c r="B21" s="12" t="s">
        <v>222</v>
      </c>
      <c r="C21" s="12" t="s">
        <v>19</v>
      </c>
      <c r="D21" s="12" t="s">
        <v>223</v>
      </c>
      <c r="E21" s="12" t="s">
        <v>149</v>
      </c>
      <c r="F21" s="14" t="n">
        <v>42384</v>
      </c>
      <c r="G21" s="12" t="s">
        <v>138</v>
      </c>
      <c r="H21" s="12" t="s">
        <v>224</v>
      </c>
      <c r="I21" s="12" t="s">
        <v>225</v>
      </c>
    </row>
    <row r="22" customFormat="false" ht="15" hidden="false" customHeight="true" outlineLevel="0" collapsed="false">
      <c r="A22" s="13" t="s">
        <v>226</v>
      </c>
      <c r="B22" s="12" t="s">
        <v>227</v>
      </c>
      <c r="C22" s="12" t="s">
        <v>19</v>
      </c>
      <c r="D22" s="12" t="s">
        <v>208</v>
      </c>
      <c r="E22" s="12" t="s">
        <v>137</v>
      </c>
      <c r="F22" s="14" t="n">
        <v>43188</v>
      </c>
      <c r="G22" s="12" t="s">
        <v>228</v>
      </c>
      <c r="H22" s="12" t="s">
        <v>229</v>
      </c>
      <c r="I22" s="12" t="s">
        <v>230</v>
      </c>
    </row>
    <row r="23" customFormat="false" ht="15" hidden="false" customHeight="true" outlineLevel="0" collapsed="false">
      <c r="A23" s="13" t="s">
        <v>99</v>
      </c>
      <c r="B23" s="12" t="s">
        <v>231</v>
      </c>
      <c r="C23" s="12" t="s">
        <v>97</v>
      </c>
      <c r="D23" s="12" t="s">
        <v>232</v>
      </c>
      <c r="E23" s="12" t="s">
        <v>149</v>
      </c>
      <c r="F23" s="14" t="n">
        <v>42842</v>
      </c>
      <c r="G23" s="12" t="s">
        <v>138</v>
      </c>
      <c r="H23" s="12" t="s">
        <v>233</v>
      </c>
      <c r="I23" s="12" t="s">
        <v>234</v>
      </c>
    </row>
    <row r="24" customFormat="false" ht="15" hidden="false" customHeight="true" outlineLevel="0" collapsed="false">
      <c r="A24" s="13" t="s">
        <v>235</v>
      </c>
      <c r="B24" s="12" t="s">
        <v>236</v>
      </c>
      <c r="C24" s="12" t="s">
        <v>97</v>
      </c>
      <c r="D24" s="12" t="s">
        <v>237</v>
      </c>
      <c r="E24" s="12" t="s">
        <v>137</v>
      </c>
      <c r="F24" s="14" t="n">
        <v>45172</v>
      </c>
      <c r="G24" s="12" t="s">
        <v>138</v>
      </c>
      <c r="H24" s="12" t="s">
        <v>238</v>
      </c>
      <c r="I24" s="12" t="s">
        <v>239</v>
      </c>
    </row>
    <row r="25" customFormat="false" ht="15" hidden="false" customHeight="true" outlineLevel="0" collapsed="false">
      <c r="A25" s="13" t="s">
        <v>240</v>
      </c>
      <c r="B25" s="12" t="s">
        <v>241</v>
      </c>
      <c r="C25" s="12" t="s">
        <v>97</v>
      </c>
      <c r="D25" s="12" t="s">
        <v>242</v>
      </c>
      <c r="E25" s="12" t="s">
        <v>137</v>
      </c>
      <c r="F25" s="14" t="n">
        <v>43578</v>
      </c>
      <c r="G25" s="12" t="s">
        <v>138</v>
      </c>
      <c r="H25" s="12" t="s">
        <v>243</v>
      </c>
      <c r="I25" s="12" t="s">
        <v>244</v>
      </c>
    </row>
    <row r="26" customFormat="false" ht="15" hidden="false" customHeight="true" outlineLevel="0" collapsed="false">
      <c r="A26" s="13" t="s">
        <v>245</v>
      </c>
      <c r="B26" s="12" t="s">
        <v>246</v>
      </c>
      <c r="C26" s="12" t="s">
        <v>97</v>
      </c>
      <c r="D26" s="12" t="s">
        <v>247</v>
      </c>
      <c r="E26" s="12" t="s">
        <v>137</v>
      </c>
      <c r="F26" s="14" t="n">
        <v>42181</v>
      </c>
      <c r="G26" s="12" t="s">
        <v>138</v>
      </c>
      <c r="H26" s="12" t="s">
        <v>248</v>
      </c>
      <c r="I26" s="12" t="s">
        <v>249</v>
      </c>
    </row>
    <row r="27" customFormat="false" ht="15" hidden="false" customHeight="true" outlineLevel="0" collapsed="false">
      <c r="A27" s="13" t="s">
        <v>250</v>
      </c>
      <c r="B27" s="12" t="s">
        <v>251</v>
      </c>
      <c r="C27" s="12" t="s">
        <v>97</v>
      </c>
      <c r="D27" s="12" t="s">
        <v>252</v>
      </c>
      <c r="E27" s="12" t="s">
        <v>137</v>
      </c>
      <c r="F27" s="14" t="n">
        <v>42505</v>
      </c>
      <c r="G27" s="12" t="s">
        <v>138</v>
      </c>
      <c r="H27" s="12" t="s">
        <v>253</v>
      </c>
      <c r="I27" s="12" t="s">
        <v>254</v>
      </c>
    </row>
    <row r="28" customFormat="false" ht="15" hidden="false" customHeight="true" outlineLevel="0" collapsed="false">
      <c r="A28" s="13" t="s">
        <v>255</v>
      </c>
      <c r="B28" s="12" t="s">
        <v>256</v>
      </c>
      <c r="C28" s="12" t="s">
        <v>97</v>
      </c>
      <c r="D28" s="12" t="s">
        <v>232</v>
      </c>
      <c r="E28" s="12" t="s">
        <v>137</v>
      </c>
      <c r="F28" s="14" t="n">
        <v>43627</v>
      </c>
      <c r="G28" s="12" t="s">
        <v>138</v>
      </c>
      <c r="H28" s="12" t="s">
        <v>257</v>
      </c>
      <c r="I28" s="12" t="s">
        <v>258</v>
      </c>
    </row>
    <row r="29" customFormat="false" ht="15" hidden="false" customHeight="true" outlineLevel="0" collapsed="false">
      <c r="A29" s="13" t="s">
        <v>259</v>
      </c>
      <c r="B29" s="12" t="s">
        <v>260</v>
      </c>
      <c r="C29" s="12" t="s">
        <v>97</v>
      </c>
      <c r="D29" s="12" t="s">
        <v>237</v>
      </c>
      <c r="E29" s="12" t="s">
        <v>149</v>
      </c>
      <c r="F29" s="14" t="n">
        <v>44642</v>
      </c>
      <c r="G29" s="12" t="s">
        <v>138</v>
      </c>
      <c r="H29" s="12" t="s">
        <v>261</v>
      </c>
      <c r="I29" s="12" t="s">
        <v>262</v>
      </c>
    </row>
    <row r="30" customFormat="false" ht="15" hidden="false" customHeight="true" outlineLevel="0" collapsed="false">
      <c r="A30" s="13" t="s">
        <v>263</v>
      </c>
      <c r="B30" s="12" t="s">
        <v>264</v>
      </c>
      <c r="C30" s="12" t="s">
        <v>97</v>
      </c>
      <c r="D30" s="12" t="s">
        <v>242</v>
      </c>
      <c r="E30" s="12" t="s">
        <v>137</v>
      </c>
      <c r="F30" s="14" t="n">
        <v>42286</v>
      </c>
      <c r="G30" s="12" t="s">
        <v>138</v>
      </c>
      <c r="H30" s="12" t="s">
        <v>265</v>
      </c>
      <c r="I30" s="12" t="s">
        <v>266</v>
      </c>
    </row>
    <row r="31" customFormat="false" ht="15" hidden="false" customHeight="true" outlineLevel="0" collapsed="false">
      <c r="A31" s="13" t="s">
        <v>102</v>
      </c>
      <c r="B31" s="12" t="s">
        <v>267</v>
      </c>
      <c r="C31" s="12" t="s">
        <v>24</v>
      </c>
      <c r="D31" s="12" t="s">
        <v>268</v>
      </c>
      <c r="E31" s="12" t="s">
        <v>137</v>
      </c>
      <c r="F31" s="14" t="n">
        <v>43377</v>
      </c>
      <c r="G31" s="12" t="s">
        <v>138</v>
      </c>
      <c r="H31" s="12" t="s">
        <v>269</v>
      </c>
      <c r="I31" s="12" t="s">
        <v>270</v>
      </c>
    </row>
    <row r="32" customFormat="false" ht="15" hidden="false" customHeight="true" outlineLevel="0" collapsed="false">
      <c r="A32" s="13" t="s">
        <v>271</v>
      </c>
      <c r="B32" s="12" t="s">
        <v>272</v>
      </c>
      <c r="C32" s="12" t="s">
        <v>24</v>
      </c>
      <c r="D32" s="12" t="s">
        <v>273</v>
      </c>
      <c r="E32" s="12" t="s">
        <v>149</v>
      </c>
      <c r="F32" s="14" t="n">
        <v>43420</v>
      </c>
      <c r="G32" s="12" t="s">
        <v>138</v>
      </c>
      <c r="H32" s="12" t="s">
        <v>274</v>
      </c>
      <c r="I32" s="12" t="s">
        <v>275</v>
      </c>
    </row>
    <row r="33" customFormat="false" ht="15" hidden="false" customHeight="true" outlineLevel="0" collapsed="false">
      <c r="A33" s="13" t="s">
        <v>276</v>
      </c>
      <c r="B33" s="12" t="s">
        <v>277</v>
      </c>
      <c r="C33" s="12" t="s">
        <v>24</v>
      </c>
      <c r="D33" s="12" t="s">
        <v>278</v>
      </c>
      <c r="E33" s="12" t="s">
        <v>137</v>
      </c>
      <c r="F33" s="14" t="n">
        <v>43834</v>
      </c>
      <c r="G33" s="12" t="s">
        <v>138</v>
      </c>
      <c r="H33" s="12" t="s">
        <v>279</v>
      </c>
      <c r="I33" s="12" t="s">
        <v>280</v>
      </c>
    </row>
    <row r="34" customFormat="false" ht="15" hidden="false" customHeight="true" outlineLevel="0" collapsed="false">
      <c r="A34" s="13" t="s">
        <v>281</v>
      </c>
      <c r="B34" s="12" t="s">
        <v>282</v>
      </c>
      <c r="C34" s="12" t="s">
        <v>24</v>
      </c>
      <c r="D34" s="12" t="s">
        <v>283</v>
      </c>
      <c r="E34" s="12" t="s">
        <v>149</v>
      </c>
      <c r="F34" s="14" t="n">
        <v>45366</v>
      </c>
      <c r="G34" s="12" t="s">
        <v>138</v>
      </c>
      <c r="H34" s="12" t="s">
        <v>284</v>
      </c>
      <c r="I34" s="12" t="s">
        <v>285</v>
      </c>
    </row>
    <row r="35" customFormat="false" ht="15" hidden="false" customHeight="true" outlineLevel="0" collapsed="false">
      <c r="A35" s="13" t="s">
        <v>286</v>
      </c>
      <c r="B35" s="12" t="s">
        <v>196</v>
      </c>
      <c r="C35" s="12" t="s">
        <v>24</v>
      </c>
      <c r="D35" s="12" t="s">
        <v>268</v>
      </c>
      <c r="E35" s="12" t="s">
        <v>149</v>
      </c>
      <c r="F35" s="14" t="n">
        <v>45599</v>
      </c>
      <c r="G35" s="12" t="s">
        <v>138</v>
      </c>
      <c r="H35" s="12" t="s">
        <v>197</v>
      </c>
      <c r="I35" s="12" t="s">
        <v>287</v>
      </c>
    </row>
    <row r="36" customFormat="false" ht="15" hidden="false" customHeight="true" outlineLevel="0" collapsed="false">
      <c r="A36" s="13" t="s">
        <v>288</v>
      </c>
      <c r="B36" s="12" t="s">
        <v>289</v>
      </c>
      <c r="C36" s="12" t="s">
        <v>24</v>
      </c>
      <c r="D36" s="12" t="s">
        <v>273</v>
      </c>
      <c r="E36" s="12" t="s">
        <v>149</v>
      </c>
      <c r="F36" s="14" t="n">
        <v>45500</v>
      </c>
      <c r="G36" s="12" t="s">
        <v>138</v>
      </c>
      <c r="H36" s="12" t="s">
        <v>290</v>
      </c>
      <c r="I36" s="12" t="s">
        <v>291</v>
      </c>
    </row>
    <row r="37" customFormat="false" ht="15" hidden="false" customHeight="true" outlineLevel="0" collapsed="false">
      <c r="A37" s="13" t="s">
        <v>106</v>
      </c>
      <c r="B37" s="12" t="s">
        <v>292</v>
      </c>
      <c r="C37" s="12" t="s">
        <v>104</v>
      </c>
      <c r="D37" s="12" t="s">
        <v>293</v>
      </c>
      <c r="E37" s="12" t="s">
        <v>137</v>
      </c>
      <c r="F37" s="14" t="n">
        <v>42888</v>
      </c>
      <c r="G37" s="12" t="s">
        <v>138</v>
      </c>
      <c r="H37" s="12" t="s">
        <v>294</v>
      </c>
      <c r="I37" s="12" t="s">
        <v>295</v>
      </c>
    </row>
    <row r="38" customFormat="false" ht="15" hidden="false" customHeight="true" outlineLevel="0" collapsed="false">
      <c r="A38" s="13" t="s">
        <v>296</v>
      </c>
      <c r="B38" s="12" t="s">
        <v>297</v>
      </c>
      <c r="C38" s="12" t="s">
        <v>104</v>
      </c>
      <c r="D38" s="12" t="s">
        <v>298</v>
      </c>
      <c r="E38" s="12" t="s">
        <v>137</v>
      </c>
      <c r="F38" s="14" t="n">
        <v>44633</v>
      </c>
      <c r="G38" s="12" t="s">
        <v>138</v>
      </c>
      <c r="H38" s="12" t="s">
        <v>299</v>
      </c>
      <c r="I38" s="12" t="s">
        <v>300</v>
      </c>
    </row>
    <row r="39" customFormat="false" ht="15" hidden="false" customHeight="true" outlineLevel="0" collapsed="false">
      <c r="A39" s="13" t="s">
        <v>301</v>
      </c>
      <c r="B39" s="12" t="s">
        <v>302</v>
      </c>
      <c r="C39" s="12" t="s">
        <v>104</v>
      </c>
      <c r="D39" s="12" t="s">
        <v>303</v>
      </c>
      <c r="E39" s="12" t="s">
        <v>149</v>
      </c>
      <c r="F39" s="14" t="n">
        <v>42929</v>
      </c>
      <c r="G39" s="12" t="s">
        <v>138</v>
      </c>
      <c r="H39" s="12" t="s">
        <v>304</v>
      </c>
      <c r="I39" s="12" t="s">
        <v>305</v>
      </c>
    </row>
    <row r="40" customFormat="false" ht="15" hidden="false" customHeight="true" outlineLevel="0" collapsed="false">
      <c r="A40" s="13" t="s">
        <v>306</v>
      </c>
      <c r="B40" s="12" t="s">
        <v>307</v>
      </c>
      <c r="C40" s="12" t="s">
        <v>104</v>
      </c>
      <c r="D40" s="12" t="s">
        <v>308</v>
      </c>
      <c r="E40" s="12" t="s">
        <v>149</v>
      </c>
      <c r="F40" s="14" t="n">
        <v>42870</v>
      </c>
      <c r="G40" s="12" t="s">
        <v>138</v>
      </c>
      <c r="H40" s="12" t="s">
        <v>309</v>
      </c>
      <c r="I40" s="12" t="s">
        <v>310</v>
      </c>
    </row>
    <row r="41" customFormat="false" ht="15" hidden="false" customHeight="true" outlineLevel="0" collapsed="false">
      <c r="A41" s="13" t="s">
        <v>311</v>
      </c>
      <c r="B41" s="12" t="s">
        <v>312</v>
      </c>
      <c r="C41" s="12" t="s">
        <v>104</v>
      </c>
      <c r="D41" s="12" t="s">
        <v>293</v>
      </c>
      <c r="E41" s="12" t="s">
        <v>137</v>
      </c>
      <c r="F41" s="14" t="n">
        <v>42646</v>
      </c>
      <c r="G41" s="12" t="s">
        <v>138</v>
      </c>
      <c r="H41" s="12" t="s">
        <v>313</v>
      </c>
      <c r="I41" s="12" t="s">
        <v>314</v>
      </c>
    </row>
    <row r="42" customFormat="false" ht="15" hidden="false" customHeight="true" outlineLevel="0" collapsed="false">
      <c r="A42" s="13" t="s">
        <v>315</v>
      </c>
      <c r="B42" s="12" t="s">
        <v>316</v>
      </c>
      <c r="C42" s="12" t="s">
        <v>104</v>
      </c>
      <c r="D42" s="12" t="s">
        <v>298</v>
      </c>
      <c r="E42" s="12" t="s">
        <v>149</v>
      </c>
      <c r="F42" s="14" t="n">
        <v>43432</v>
      </c>
      <c r="G42" s="12" t="s">
        <v>138</v>
      </c>
      <c r="H42" s="12" t="s">
        <v>317</v>
      </c>
      <c r="I42" s="12" t="s">
        <v>318</v>
      </c>
    </row>
    <row r="43" customFormat="false" ht="15" hidden="false" customHeight="true" outlineLevel="0" collapsed="false">
      <c r="A43" s="13" t="s">
        <v>319</v>
      </c>
      <c r="B43" s="12" t="s">
        <v>320</v>
      </c>
      <c r="C43" s="12" t="s">
        <v>104</v>
      </c>
      <c r="D43" s="12" t="s">
        <v>303</v>
      </c>
      <c r="E43" s="12" t="s">
        <v>137</v>
      </c>
      <c r="F43" s="14" t="n">
        <v>44605</v>
      </c>
      <c r="G43" s="12" t="s">
        <v>138</v>
      </c>
      <c r="H43" s="12" t="s">
        <v>321</v>
      </c>
      <c r="I43" s="12" t="s">
        <v>322</v>
      </c>
    </row>
    <row r="44" customFormat="false" ht="15" hidden="false" customHeight="true" outlineLevel="0" collapsed="false">
      <c r="A44" s="13" t="s">
        <v>109</v>
      </c>
      <c r="B44" s="12" t="s">
        <v>323</v>
      </c>
      <c r="C44" s="12" t="s">
        <v>28</v>
      </c>
      <c r="D44" s="12" t="s">
        <v>324</v>
      </c>
      <c r="E44" s="12" t="s">
        <v>149</v>
      </c>
      <c r="F44" s="14" t="n">
        <v>45421</v>
      </c>
      <c r="G44" s="12" t="s">
        <v>138</v>
      </c>
      <c r="H44" s="12" t="s">
        <v>325</v>
      </c>
      <c r="I44" s="12" t="s">
        <v>326</v>
      </c>
    </row>
    <row r="45" customFormat="false" ht="15" hidden="false" customHeight="true" outlineLevel="0" collapsed="false">
      <c r="A45" s="13" t="s">
        <v>327</v>
      </c>
      <c r="B45" s="12" t="s">
        <v>328</v>
      </c>
      <c r="C45" s="12" t="s">
        <v>28</v>
      </c>
      <c r="D45" s="12" t="s">
        <v>329</v>
      </c>
      <c r="E45" s="12" t="s">
        <v>149</v>
      </c>
      <c r="F45" s="14" t="n">
        <v>44947</v>
      </c>
      <c r="G45" s="12" t="s">
        <v>138</v>
      </c>
      <c r="H45" s="12" t="s">
        <v>330</v>
      </c>
      <c r="I45" s="12" t="s">
        <v>331</v>
      </c>
    </row>
    <row r="46" customFormat="false" ht="15" hidden="false" customHeight="true" outlineLevel="0" collapsed="false">
      <c r="A46" s="13" t="s">
        <v>332</v>
      </c>
      <c r="B46" s="12" t="s">
        <v>333</v>
      </c>
      <c r="C46" s="12" t="s">
        <v>28</v>
      </c>
      <c r="D46" s="12" t="s">
        <v>334</v>
      </c>
      <c r="E46" s="12" t="s">
        <v>137</v>
      </c>
      <c r="F46" s="14" t="n">
        <v>45388</v>
      </c>
      <c r="G46" s="12" t="s">
        <v>138</v>
      </c>
      <c r="H46" s="12" t="s">
        <v>335</v>
      </c>
      <c r="I46" s="12" t="s">
        <v>336</v>
      </c>
    </row>
    <row r="47" customFormat="false" ht="15" hidden="false" customHeight="true" outlineLevel="0" collapsed="false">
      <c r="A47" s="13" t="s">
        <v>337</v>
      </c>
      <c r="B47" s="12" t="s">
        <v>338</v>
      </c>
      <c r="C47" s="12" t="s">
        <v>28</v>
      </c>
      <c r="D47" s="12" t="s">
        <v>339</v>
      </c>
      <c r="E47" s="12" t="s">
        <v>137</v>
      </c>
      <c r="F47" s="14" t="n">
        <v>44460</v>
      </c>
      <c r="G47" s="12" t="s">
        <v>138</v>
      </c>
      <c r="H47" s="12" t="s">
        <v>340</v>
      </c>
      <c r="I47" s="12" t="s">
        <v>341</v>
      </c>
    </row>
    <row r="48" customFormat="false" ht="15" hidden="false" customHeight="true" outlineLevel="0" collapsed="false">
      <c r="A48" s="13" t="s">
        <v>342</v>
      </c>
      <c r="B48" s="12" t="s">
        <v>343</v>
      </c>
      <c r="C48" s="12" t="s">
        <v>28</v>
      </c>
      <c r="D48" s="12" t="s">
        <v>344</v>
      </c>
      <c r="E48" s="12" t="s">
        <v>149</v>
      </c>
      <c r="F48" s="14" t="n">
        <v>44413</v>
      </c>
      <c r="G48" s="12" t="s">
        <v>138</v>
      </c>
      <c r="H48" s="12" t="s">
        <v>345</v>
      </c>
      <c r="I48" s="12" t="s">
        <v>346</v>
      </c>
    </row>
    <row r="49" customFormat="false" ht="15" hidden="false" customHeight="true" outlineLevel="0" collapsed="false">
      <c r="A49" s="13" t="s">
        <v>347</v>
      </c>
      <c r="B49" s="12" t="s">
        <v>348</v>
      </c>
      <c r="C49" s="12" t="s">
        <v>28</v>
      </c>
      <c r="D49" s="12" t="s">
        <v>324</v>
      </c>
      <c r="E49" s="12" t="s">
        <v>149</v>
      </c>
      <c r="F49" s="14" t="n">
        <v>42565</v>
      </c>
      <c r="G49" s="12" t="s">
        <v>138</v>
      </c>
      <c r="H49" s="12" t="s">
        <v>349</v>
      </c>
      <c r="I49" s="12" t="s">
        <v>350</v>
      </c>
    </row>
    <row r="50" customFormat="false" ht="15" hidden="false" customHeight="true" outlineLevel="0" collapsed="false">
      <c r="A50" s="13" t="s">
        <v>351</v>
      </c>
      <c r="B50" s="12" t="s">
        <v>352</v>
      </c>
      <c r="C50" s="12" t="s">
        <v>28</v>
      </c>
      <c r="D50" s="12" t="s">
        <v>329</v>
      </c>
      <c r="E50" s="12" t="s">
        <v>149</v>
      </c>
      <c r="F50" s="14" t="n">
        <v>45396</v>
      </c>
      <c r="G50" s="12" t="s">
        <v>228</v>
      </c>
      <c r="H50" s="12" t="s">
        <v>353</v>
      </c>
      <c r="I50" s="12" t="s">
        <v>354</v>
      </c>
    </row>
    <row r="51" customFormat="false" ht="15" hidden="false" customHeight="true" outlineLevel="0" collapsed="false">
      <c r="A51" s="13" t="s">
        <v>113</v>
      </c>
      <c r="B51" s="12" t="s">
        <v>355</v>
      </c>
      <c r="C51" s="12" t="s">
        <v>111</v>
      </c>
      <c r="D51" s="12" t="s">
        <v>356</v>
      </c>
      <c r="E51" s="12" t="s">
        <v>149</v>
      </c>
      <c r="F51" s="14" t="n">
        <v>42863</v>
      </c>
      <c r="G51" s="12" t="s">
        <v>138</v>
      </c>
      <c r="H51" s="12" t="s">
        <v>357</v>
      </c>
      <c r="I51" s="12" t="s">
        <v>358</v>
      </c>
    </row>
    <row r="52" customFormat="false" ht="15" hidden="false" customHeight="true" outlineLevel="0" collapsed="false">
      <c r="A52" s="13" t="s">
        <v>359</v>
      </c>
      <c r="B52" s="12" t="s">
        <v>360</v>
      </c>
      <c r="C52" s="12" t="s">
        <v>111</v>
      </c>
      <c r="D52" s="12" t="s">
        <v>361</v>
      </c>
      <c r="E52" s="12" t="s">
        <v>149</v>
      </c>
      <c r="F52" s="14" t="n">
        <v>43257</v>
      </c>
      <c r="G52" s="12" t="s">
        <v>138</v>
      </c>
      <c r="H52" s="12" t="s">
        <v>362</v>
      </c>
      <c r="I52" s="12" t="s">
        <v>363</v>
      </c>
    </row>
    <row r="53" customFormat="false" ht="15" hidden="false" customHeight="true" outlineLevel="0" collapsed="false">
      <c r="A53" s="13" t="s">
        <v>364</v>
      </c>
      <c r="B53" s="12" t="s">
        <v>365</v>
      </c>
      <c r="C53" s="12" t="s">
        <v>111</v>
      </c>
      <c r="D53" s="12" t="s">
        <v>366</v>
      </c>
      <c r="E53" s="12" t="s">
        <v>137</v>
      </c>
      <c r="F53" s="14" t="n">
        <v>44560</v>
      </c>
      <c r="G53" s="12" t="s">
        <v>138</v>
      </c>
      <c r="H53" s="12" t="s">
        <v>367</v>
      </c>
      <c r="I53" s="12" t="s">
        <v>368</v>
      </c>
    </row>
    <row r="54" customFormat="false" ht="15" hidden="false" customHeight="true" outlineLevel="0" collapsed="false">
      <c r="A54" s="13" t="s">
        <v>369</v>
      </c>
      <c r="B54" s="12" t="s">
        <v>370</v>
      </c>
      <c r="C54" s="12" t="s">
        <v>111</v>
      </c>
      <c r="D54" s="12" t="s">
        <v>371</v>
      </c>
      <c r="E54" s="12" t="s">
        <v>137</v>
      </c>
      <c r="F54" s="14" t="n">
        <v>45092</v>
      </c>
      <c r="G54" s="12" t="s">
        <v>138</v>
      </c>
      <c r="H54" s="12" t="s">
        <v>372</v>
      </c>
      <c r="I54" s="12" t="s">
        <v>373</v>
      </c>
    </row>
    <row r="55" customFormat="false" ht="15" hidden="false" customHeight="true" outlineLevel="0" collapsed="false">
      <c r="A55" s="13" t="s">
        <v>374</v>
      </c>
      <c r="B55" s="12" t="s">
        <v>375</v>
      </c>
      <c r="C55" s="12" t="s">
        <v>111</v>
      </c>
      <c r="D55" s="12" t="s">
        <v>376</v>
      </c>
      <c r="E55" s="12" t="s">
        <v>149</v>
      </c>
      <c r="F55" s="14" t="n">
        <v>45590</v>
      </c>
      <c r="G55" s="12" t="s">
        <v>138</v>
      </c>
      <c r="H55" s="12" t="s">
        <v>377</v>
      </c>
      <c r="I55" s="12" t="s">
        <v>378</v>
      </c>
    </row>
    <row r="56" customFormat="false" ht="15" hidden="false" customHeight="true" outlineLevel="0" collapsed="false">
      <c r="A56" s="13" t="s">
        <v>379</v>
      </c>
      <c r="B56" s="12" t="s">
        <v>380</v>
      </c>
      <c r="C56" s="12" t="s">
        <v>111</v>
      </c>
      <c r="D56" s="12" t="s">
        <v>356</v>
      </c>
      <c r="E56" s="12" t="s">
        <v>149</v>
      </c>
      <c r="F56" s="14" t="n">
        <v>43556</v>
      </c>
      <c r="G56" s="12" t="s">
        <v>138</v>
      </c>
      <c r="H56" s="12" t="s">
        <v>381</v>
      </c>
      <c r="I56" s="12" t="s">
        <v>382</v>
      </c>
    </row>
    <row r="57" customFormat="false" ht="15" hidden="false" customHeight="true" outlineLevel="0" collapsed="false">
      <c r="A57" s="13" t="s">
        <v>383</v>
      </c>
      <c r="B57" s="12" t="s">
        <v>384</v>
      </c>
      <c r="C57" s="12" t="s">
        <v>111</v>
      </c>
      <c r="D57" s="12" t="s">
        <v>361</v>
      </c>
      <c r="E57" s="12" t="s">
        <v>149</v>
      </c>
      <c r="F57" s="14" t="n">
        <v>44115</v>
      </c>
      <c r="G57" s="12" t="s">
        <v>138</v>
      </c>
      <c r="H57" s="12" t="s">
        <v>385</v>
      </c>
      <c r="I57" s="12" t="s">
        <v>386</v>
      </c>
    </row>
    <row r="58" customFormat="false" ht="15" hidden="false" customHeight="true" outlineLevel="0" collapsed="false">
      <c r="A58" s="13" t="s">
        <v>387</v>
      </c>
      <c r="B58" s="12" t="s">
        <v>388</v>
      </c>
      <c r="C58" s="12" t="s">
        <v>111</v>
      </c>
      <c r="D58" s="12" t="s">
        <v>366</v>
      </c>
      <c r="E58" s="12" t="s">
        <v>137</v>
      </c>
      <c r="F58" s="14" t="n">
        <v>43123</v>
      </c>
      <c r="G58" s="12" t="s">
        <v>228</v>
      </c>
      <c r="H58" s="12" t="s">
        <v>389</v>
      </c>
      <c r="I58" s="12" t="s">
        <v>390</v>
      </c>
    </row>
    <row r="59" customFormat="false" ht="15" hidden="false" customHeight="true" outlineLevel="0" collapsed="false">
      <c r="A59" s="13" t="s">
        <v>117</v>
      </c>
      <c r="B59" s="12" t="s">
        <v>391</v>
      </c>
      <c r="C59" s="12" t="s">
        <v>115</v>
      </c>
      <c r="D59" s="12" t="s">
        <v>392</v>
      </c>
      <c r="E59" s="12" t="s">
        <v>137</v>
      </c>
      <c r="F59" s="14" t="n">
        <v>42911</v>
      </c>
      <c r="G59" s="12" t="s">
        <v>138</v>
      </c>
      <c r="H59" s="12" t="s">
        <v>393</v>
      </c>
      <c r="I59" s="12" t="s">
        <v>394</v>
      </c>
    </row>
    <row r="60" customFormat="false" ht="15" hidden="false" customHeight="true" outlineLevel="0" collapsed="false">
      <c r="A60" s="13" t="s">
        <v>395</v>
      </c>
      <c r="B60" s="12" t="s">
        <v>396</v>
      </c>
      <c r="C60" s="12" t="s">
        <v>115</v>
      </c>
      <c r="D60" s="12" t="s">
        <v>397</v>
      </c>
      <c r="E60" s="12" t="s">
        <v>149</v>
      </c>
      <c r="F60" s="14" t="n">
        <v>42588</v>
      </c>
      <c r="G60" s="12" t="s">
        <v>138</v>
      </c>
      <c r="H60" s="12" t="s">
        <v>398</v>
      </c>
      <c r="I60" s="12" t="s">
        <v>399</v>
      </c>
    </row>
    <row r="61" customFormat="false" ht="15" hidden="false" customHeight="true" outlineLevel="0" collapsed="false">
      <c r="A61" s="13" t="s">
        <v>400</v>
      </c>
      <c r="B61" s="12" t="s">
        <v>401</v>
      </c>
      <c r="C61" s="12" t="s">
        <v>115</v>
      </c>
      <c r="D61" s="12" t="s">
        <v>402</v>
      </c>
      <c r="E61" s="12" t="s">
        <v>149</v>
      </c>
      <c r="F61" s="14" t="n">
        <v>42689</v>
      </c>
      <c r="G61" s="12" t="s">
        <v>138</v>
      </c>
      <c r="H61" s="12" t="s">
        <v>403</v>
      </c>
      <c r="I61" s="12" t="s">
        <v>404</v>
      </c>
    </row>
    <row r="62" customFormat="false" ht="15" hidden="false" customHeight="true" outlineLevel="0" collapsed="false">
      <c r="A62" s="13" t="s">
        <v>405</v>
      </c>
      <c r="B62" s="12" t="s">
        <v>406</v>
      </c>
      <c r="C62" s="12" t="s">
        <v>115</v>
      </c>
      <c r="D62" s="12" t="s">
        <v>407</v>
      </c>
      <c r="E62" s="12" t="s">
        <v>137</v>
      </c>
      <c r="F62" s="14" t="n">
        <v>44600</v>
      </c>
      <c r="G62" s="12" t="s">
        <v>408</v>
      </c>
      <c r="H62" s="12" t="s">
        <v>409</v>
      </c>
      <c r="I62" s="12" t="s">
        <v>410</v>
      </c>
    </row>
    <row r="63" customFormat="false" ht="15" hidden="false" customHeight="true" outlineLevel="0" collapsed="false">
      <c r="A63" s="13" t="s">
        <v>411</v>
      </c>
      <c r="B63" s="12" t="s">
        <v>412</v>
      </c>
      <c r="C63" s="12" t="s">
        <v>115</v>
      </c>
      <c r="D63" s="12" t="s">
        <v>413</v>
      </c>
      <c r="E63" s="12" t="s">
        <v>137</v>
      </c>
      <c r="F63" s="14" t="n">
        <v>42231</v>
      </c>
      <c r="G63" s="12" t="s">
        <v>138</v>
      </c>
      <c r="H63" s="12" t="s">
        <v>414</v>
      </c>
      <c r="I63" s="12" t="s">
        <v>415</v>
      </c>
    </row>
    <row r="64" customFormat="false" ht="15" hidden="false" customHeight="true" outlineLevel="0" collapsed="false">
      <c r="A64" s="13" t="s">
        <v>416</v>
      </c>
      <c r="B64" s="12" t="s">
        <v>417</v>
      </c>
      <c r="C64" s="12" t="s">
        <v>115</v>
      </c>
      <c r="D64" s="12" t="s">
        <v>392</v>
      </c>
      <c r="E64" s="12" t="s">
        <v>149</v>
      </c>
      <c r="F64" s="14" t="n">
        <v>43019</v>
      </c>
      <c r="G64" s="12" t="s">
        <v>228</v>
      </c>
      <c r="H64" s="12" t="s">
        <v>418</v>
      </c>
      <c r="I64" s="12" t="s">
        <v>419</v>
      </c>
    </row>
    <row r="65" customFormat="false" ht="15" hidden="false" customHeight="true" outlineLevel="0" collapsed="false">
      <c r="A65" s="13" t="s">
        <v>420</v>
      </c>
      <c r="B65" s="12" t="s">
        <v>421</v>
      </c>
      <c r="C65" s="12" t="s">
        <v>115</v>
      </c>
      <c r="D65" s="12" t="s">
        <v>397</v>
      </c>
      <c r="E65" s="12" t="s">
        <v>137</v>
      </c>
      <c r="F65" s="14" t="n">
        <v>43331</v>
      </c>
      <c r="G65" s="12" t="s">
        <v>138</v>
      </c>
      <c r="H65" s="12" t="s">
        <v>422</v>
      </c>
      <c r="I65" s="12" t="s">
        <v>423</v>
      </c>
    </row>
    <row r="66" customFormat="false" ht="15" hidden="false" customHeight="true" outlineLevel="0" collapsed="false">
      <c r="A66" s="13" t="s">
        <v>121</v>
      </c>
      <c r="B66" s="12" t="s">
        <v>424</v>
      </c>
      <c r="C66" s="12" t="s">
        <v>119</v>
      </c>
      <c r="D66" s="12" t="s">
        <v>425</v>
      </c>
      <c r="E66" s="12" t="s">
        <v>149</v>
      </c>
      <c r="F66" s="14" t="n">
        <v>42210</v>
      </c>
      <c r="G66" s="12" t="s">
        <v>138</v>
      </c>
      <c r="H66" s="12" t="s">
        <v>426</v>
      </c>
      <c r="I66" s="12" t="s">
        <v>427</v>
      </c>
    </row>
    <row r="67" customFormat="false" ht="15" hidden="false" customHeight="true" outlineLevel="0" collapsed="false">
      <c r="A67" s="13" t="s">
        <v>428</v>
      </c>
      <c r="B67" s="12" t="s">
        <v>429</v>
      </c>
      <c r="C67" s="12" t="s">
        <v>119</v>
      </c>
      <c r="D67" s="12" t="s">
        <v>430</v>
      </c>
      <c r="E67" s="12" t="s">
        <v>149</v>
      </c>
      <c r="F67" s="14" t="n">
        <v>45457</v>
      </c>
      <c r="G67" s="12" t="s">
        <v>138</v>
      </c>
      <c r="H67" s="12" t="s">
        <v>431</v>
      </c>
      <c r="I67" s="12" t="s">
        <v>432</v>
      </c>
    </row>
    <row r="68" customFormat="false" ht="15" hidden="false" customHeight="true" outlineLevel="0" collapsed="false">
      <c r="A68" s="13" t="s">
        <v>433</v>
      </c>
      <c r="B68" s="12" t="s">
        <v>434</v>
      </c>
      <c r="C68" s="12" t="s">
        <v>119</v>
      </c>
      <c r="D68" s="12" t="s">
        <v>435</v>
      </c>
      <c r="E68" s="12" t="s">
        <v>149</v>
      </c>
      <c r="F68" s="14" t="n">
        <v>42897</v>
      </c>
      <c r="G68" s="12" t="s">
        <v>138</v>
      </c>
      <c r="H68" s="12" t="s">
        <v>436</v>
      </c>
      <c r="I68" s="12" t="s">
        <v>437</v>
      </c>
    </row>
    <row r="69" customFormat="false" ht="15" hidden="false" customHeight="true" outlineLevel="0" collapsed="false">
      <c r="A69" s="13" t="s">
        <v>438</v>
      </c>
      <c r="B69" s="12" t="s">
        <v>439</v>
      </c>
      <c r="C69" s="12" t="s">
        <v>119</v>
      </c>
      <c r="D69" s="12" t="s">
        <v>425</v>
      </c>
      <c r="E69" s="12" t="s">
        <v>149</v>
      </c>
      <c r="F69" s="14" t="n">
        <v>44659</v>
      </c>
      <c r="G69" s="12" t="s">
        <v>138</v>
      </c>
      <c r="H69" s="12" t="s">
        <v>440</v>
      </c>
      <c r="I69" s="12" t="s">
        <v>441</v>
      </c>
    </row>
    <row r="70" customFormat="false" ht="15" hidden="false" customHeight="true" outlineLevel="0" collapsed="false">
      <c r="A70" s="13" t="s">
        <v>442</v>
      </c>
      <c r="B70" s="12" t="s">
        <v>443</v>
      </c>
      <c r="C70" s="12" t="s">
        <v>119</v>
      </c>
      <c r="D70" s="12" t="s">
        <v>430</v>
      </c>
      <c r="E70" s="12" t="s">
        <v>149</v>
      </c>
      <c r="F70" s="14" t="n">
        <v>42612</v>
      </c>
      <c r="G70" s="12" t="s">
        <v>408</v>
      </c>
      <c r="H70" s="12" t="s">
        <v>444</v>
      </c>
      <c r="I70" s="12" t="s">
        <v>445</v>
      </c>
    </row>
    <row r="71" customFormat="false" ht="15" hidden="false" customHeight="true" outlineLevel="0" collapsed="false">
      <c r="A71" s="13" t="s">
        <v>125</v>
      </c>
      <c r="B71" s="12" t="s">
        <v>370</v>
      </c>
      <c r="C71" s="12" t="s">
        <v>123</v>
      </c>
      <c r="D71" s="12" t="s">
        <v>446</v>
      </c>
      <c r="E71" s="12" t="s">
        <v>149</v>
      </c>
      <c r="F71" s="14" t="n">
        <v>42403</v>
      </c>
      <c r="G71" s="12" t="s">
        <v>138</v>
      </c>
      <c r="H71" s="12" t="s">
        <v>372</v>
      </c>
      <c r="I71" s="12" t="s">
        <v>447</v>
      </c>
    </row>
    <row r="72" customFormat="false" ht="15" hidden="false" customHeight="true" outlineLevel="0" collapsed="false">
      <c r="A72" s="13" t="s">
        <v>448</v>
      </c>
      <c r="B72" s="12" t="s">
        <v>449</v>
      </c>
      <c r="C72" s="12" t="s">
        <v>123</v>
      </c>
      <c r="D72" s="12" t="s">
        <v>450</v>
      </c>
      <c r="E72" s="12" t="s">
        <v>137</v>
      </c>
      <c r="F72" s="14" t="n">
        <v>44717</v>
      </c>
      <c r="G72" s="12" t="s">
        <v>138</v>
      </c>
      <c r="H72" s="12" t="s">
        <v>451</v>
      </c>
      <c r="I72" s="12" t="s">
        <v>452</v>
      </c>
    </row>
    <row r="73" customFormat="false" ht="15" hidden="false" customHeight="true" outlineLevel="0" collapsed="false">
      <c r="A73" s="13" t="s">
        <v>453</v>
      </c>
      <c r="B73" s="12" t="s">
        <v>454</v>
      </c>
      <c r="C73" s="12" t="s">
        <v>123</v>
      </c>
      <c r="D73" s="12" t="s">
        <v>455</v>
      </c>
      <c r="E73" s="12" t="s">
        <v>149</v>
      </c>
      <c r="F73" s="14" t="n">
        <v>44715</v>
      </c>
      <c r="G73" s="12" t="s">
        <v>138</v>
      </c>
      <c r="H73" s="12" t="s">
        <v>456</v>
      </c>
      <c r="I73" s="12" t="s">
        <v>457</v>
      </c>
    </row>
    <row r="74" customFormat="false" ht="15" hidden="false" customHeight="true" outlineLevel="0" collapsed="false">
      <c r="A74" s="13" t="s">
        <v>458</v>
      </c>
      <c r="B74" s="12" t="s">
        <v>459</v>
      </c>
      <c r="C74" s="12" t="s">
        <v>123</v>
      </c>
      <c r="D74" s="12" t="s">
        <v>460</v>
      </c>
      <c r="E74" s="12" t="s">
        <v>137</v>
      </c>
      <c r="F74" s="14" t="n">
        <v>42088</v>
      </c>
      <c r="G74" s="12" t="s">
        <v>138</v>
      </c>
      <c r="H74" s="12" t="s">
        <v>461</v>
      </c>
      <c r="I74" s="12" t="s">
        <v>462</v>
      </c>
    </row>
    <row r="75" customFormat="false" ht="15" hidden="false" customHeight="true" outlineLevel="0" collapsed="false">
      <c r="A75" s="13" t="s">
        <v>463</v>
      </c>
      <c r="B75" s="12" t="s">
        <v>464</v>
      </c>
      <c r="C75" s="12" t="s">
        <v>123</v>
      </c>
      <c r="D75" s="12" t="s">
        <v>446</v>
      </c>
      <c r="E75" s="12" t="s">
        <v>137</v>
      </c>
      <c r="F75" s="14" t="n">
        <v>42845</v>
      </c>
      <c r="G75" s="12" t="s">
        <v>228</v>
      </c>
      <c r="H75" s="12" t="s">
        <v>465</v>
      </c>
      <c r="I75" s="12" t="s">
        <v>466</v>
      </c>
    </row>
    <row r="76" customFormat="false" ht="15" hidden="false" customHeight="true" outlineLevel="0" collapsed="false">
      <c r="A76" s="13" t="s">
        <v>467</v>
      </c>
      <c r="B76" s="12" t="s">
        <v>468</v>
      </c>
      <c r="C76" s="12" t="s">
        <v>123</v>
      </c>
      <c r="D76" s="12" t="s">
        <v>450</v>
      </c>
      <c r="E76" s="12" t="s">
        <v>149</v>
      </c>
      <c r="F76" s="14" t="n">
        <v>42036</v>
      </c>
      <c r="G76" s="12" t="s">
        <v>228</v>
      </c>
      <c r="H76" s="12" t="s">
        <v>469</v>
      </c>
      <c r="I76" s="12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8" min="7" style="1" width="14"/>
    <col collapsed="false" customWidth="true" hidden="false" outlineLevel="0" max="9" min="9" style="1" width="15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5"/>
  </cols>
  <sheetData>
    <row r="1" customFormat="false" ht="26.25" hidden="false" customHeight="true" outlineLevel="0" collapsed="false">
      <c r="A1" s="10" t="s">
        <v>471</v>
      </c>
      <c r="B1" s="10" t="s">
        <v>9</v>
      </c>
      <c r="C1" s="10" t="s">
        <v>472</v>
      </c>
      <c r="D1" s="10" t="s">
        <v>126</v>
      </c>
      <c r="E1" s="10" t="s">
        <v>127</v>
      </c>
      <c r="F1" s="10" t="s">
        <v>473</v>
      </c>
      <c r="G1" s="10" t="s">
        <v>474</v>
      </c>
      <c r="H1" s="10" t="s">
        <v>475</v>
      </c>
      <c r="I1" s="10" t="s">
        <v>476</v>
      </c>
      <c r="J1" s="10" t="s">
        <v>477</v>
      </c>
      <c r="K1" s="10" t="s">
        <v>478</v>
      </c>
      <c r="L1" s="10" t="s">
        <v>479</v>
      </c>
      <c r="M1" s="10" t="s">
        <v>480</v>
      </c>
      <c r="N1" s="10" t="s">
        <v>481</v>
      </c>
      <c r="O1" s="10" t="s">
        <v>482</v>
      </c>
    </row>
    <row r="2" customFormat="false" ht="15" hidden="false" customHeight="true" outlineLevel="0" collapsed="false">
      <c r="A2" s="12" t="s">
        <v>483</v>
      </c>
      <c r="B2" s="14" t="n">
        <v>45932</v>
      </c>
      <c r="C2" s="12" t="s">
        <v>484</v>
      </c>
      <c r="D2" s="13" t="s">
        <v>183</v>
      </c>
      <c r="E2" s="15" t="str">
        <f aca="false">IFERROR(INDEX(Dim_Employee!$B$2:$B$76,MATCH(D2,Dim_Employee!$A$2:$A$76,0)),"")</f>
        <v>Titilayo Danjuma</v>
      </c>
      <c r="F2" s="12" t="s">
        <v>485</v>
      </c>
      <c r="G2" s="16" t="n">
        <v>99.3</v>
      </c>
      <c r="H2" s="16" t="n">
        <v>118.4</v>
      </c>
      <c r="I2" s="17" t="n">
        <f aca="false">ROUND(G2/H2*100,1)</f>
        <v>83.9</v>
      </c>
      <c r="J2" s="16" t="n">
        <v>2.1</v>
      </c>
      <c r="K2" s="12" t="s">
        <v>486</v>
      </c>
      <c r="L2" s="12" t="s">
        <v>487</v>
      </c>
      <c r="M2" s="16" t="n">
        <v>22.48</v>
      </c>
      <c r="N2" s="16" t="n">
        <v>510.1</v>
      </c>
      <c r="O2" s="12" t="s">
        <v>488</v>
      </c>
    </row>
    <row r="3" customFormat="false" ht="15" hidden="false" customHeight="true" outlineLevel="0" collapsed="false">
      <c r="A3" s="12" t="s">
        <v>489</v>
      </c>
      <c r="B3" s="14" t="n">
        <v>45688</v>
      </c>
      <c r="C3" s="12" t="s">
        <v>484</v>
      </c>
      <c r="D3" s="13" t="s">
        <v>195</v>
      </c>
      <c r="E3" s="15" t="str">
        <f aca="false">IFERROR(INDEX(Dim_Employee!$B$2:$B$76,MATCH(D3,Dim_Employee!$A$2:$A$76,0)),"")</f>
        <v>Peace Balogun</v>
      </c>
      <c r="F3" s="12" t="s">
        <v>490</v>
      </c>
      <c r="G3" s="16" t="n">
        <v>81.2</v>
      </c>
      <c r="H3" s="16" t="n">
        <v>102.5</v>
      </c>
      <c r="I3" s="17" t="n">
        <f aca="false">ROUND(G3/H3*100,1)</f>
        <v>79.2</v>
      </c>
      <c r="J3" s="16" t="n">
        <v>4.5</v>
      </c>
      <c r="K3" s="12" t="s">
        <v>491</v>
      </c>
      <c r="L3" s="12" t="s">
        <v>487</v>
      </c>
      <c r="M3" s="16" t="n">
        <v>17.32</v>
      </c>
      <c r="N3" s="16" t="n">
        <v>488.7</v>
      </c>
      <c r="O3" s="12" t="s">
        <v>492</v>
      </c>
    </row>
    <row r="4" customFormat="false" ht="15" hidden="false" customHeight="true" outlineLevel="0" collapsed="false">
      <c r="A4" s="12" t="s">
        <v>493</v>
      </c>
      <c r="B4" s="14" t="n">
        <v>45806</v>
      </c>
      <c r="C4" s="12" t="s">
        <v>494</v>
      </c>
      <c r="D4" s="13" t="s">
        <v>141</v>
      </c>
      <c r="E4" s="15" t="str">
        <f aca="false">IFERROR(INDEX(Dim_Employee!$B$2:$B$76,MATCH(D4,Dim_Employee!$A$2:$A$76,0)),"")</f>
        <v>Abdullahi Adeyemi</v>
      </c>
      <c r="F4" s="12" t="s">
        <v>490</v>
      </c>
      <c r="G4" s="16" t="n">
        <v>87.6</v>
      </c>
      <c r="H4" s="16" t="n">
        <v>119.3</v>
      </c>
      <c r="I4" s="17" t="n">
        <f aca="false">ROUND(G4/H4*100,1)</f>
        <v>73.4</v>
      </c>
      <c r="J4" s="16" t="n">
        <v>8.6</v>
      </c>
      <c r="K4" s="12" t="s">
        <v>486</v>
      </c>
      <c r="L4" s="12" t="s">
        <v>487</v>
      </c>
      <c r="M4" s="16" t="n">
        <v>18.64</v>
      </c>
      <c r="N4" s="16" t="n">
        <v>558.4</v>
      </c>
      <c r="O4" s="12" t="s">
        <v>495</v>
      </c>
    </row>
    <row r="5" customFormat="false" ht="15" hidden="false" customHeight="true" outlineLevel="0" collapsed="false">
      <c r="A5" s="12" t="s">
        <v>496</v>
      </c>
      <c r="B5" s="14" t="n">
        <v>45938</v>
      </c>
      <c r="C5" s="12" t="s">
        <v>484</v>
      </c>
      <c r="D5" s="13" t="s">
        <v>152</v>
      </c>
      <c r="E5" s="15" t="str">
        <f aca="false">IFERROR(INDEX(Dim_Employee!$B$2:$B$76,MATCH(D5,Dim_Employee!$A$2:$A$76,0)),"")</f>
        <v>Abdullahi Aliyu</v>
      </c>
      <c r="F5" s="12" t="s">
        <v>497</v>
      </c>
      <c r="G5" s="16" t="n">
        <v>97.9</v>
      </c>
      <c r="H5" s="16" t="n">
        <v>107.4</v>
      </c>
      <c r="I5" s="17" t="n">
        <f aca="false">ROUND(G5/H5*100,1)</f>
        <v>91.2</v>
      </c>
      <c r="J5" s="16" t="n">
        <v>1.7</v>
      </c>
      <c r="K5" s="12" t="s">
        <v>498</v>
      </c>
      <c r="L5" s="12" t="s">
        <v>487</v>
      </c>
      <c r="M5" s="16" t="n">
        <v>19.41</v>
      </c>
      <c r="N5" s="16" t="n">
        <v>575.3</v>
      </c>
      <c r="O5" s="12" t="s">
        <v>492</v>
      </c>
    </row>
    <row r="6" customFormat="false" ht="15" hidden="false" customHeight="true" outlineLevel="0" collapsed="false">
      <c r="A6" s="12" t="s">
        <v>499</v>
      </c>
      <c r="B6" s="14" t="n">
        <v>45785</v>
      </c>
      <c r="C6" s="12" t="s">
        <v>500</v>
      </c>
      <c r="D6" s="13" t="s">
        <v>183</v>
      </c>
      <c r="E6" s="15" t="str">
        <f aca="false">IFERROR(INDEX(Dim_Employee!$B$2:$B$76,MATCH(D6,Dim_Employee!$A$2:$A$76,0)),"")</f>
        <v>Titilayo Danjuma</v>
      </c>
      <c r="F6" s="12" t="s">
        <v>497</v>
      </c>
      <c r="G6" s="16" t="n">
        <v>103.7</v>
      </c>
      <c r="H6" s="16" t="n">
        <v>104</v>
      </c>
      <c r="I6" s="17" t="n">
        <f aca="false">ROUND(G6/H6*100,1)</f>
        <v>99.7</v>
      </c>
      <c r="J6" s="16" t="n">
        <v>0.1</v>
      </c>
      <c r="K6" s="12" t="s">
        <v>501</v>
      </c>
      <c r="L6" s="12" t="s">
        <v>487</v>
      </c>
      <c r="M6" s="16" t="n">
        <v>20.04</v>
      </c>
      <c r="N6" s="16" t="n">
        <v>522</v>
      </c>
      <c r="O6" s="12" t="s">
        <v>492</v>
      </c>
    </row>
    <row r="7" customFormat="false" ht="15" hidden="false" customHeight="true" outlineLevel="0" collapsed="false">
      <c r="A7" s="12" t="s">
        <v>502</v>
      </c>
      <c r="B7" s="14" t="n">
        <v>45718</v>
      </c>
      <c r="C7" s="12" t="s">
        <v>494</v>
      </c>
      <c r="D7" s="13" t="s">
        <v>183</v>
      </c>
      <c r="E7" s="15" t="str">
        <f aca="false">IFERROR(INDEX(Dim_Employee!$B$2:$B$76,MATCH(D7,Dim_Employee!$A$2:$A$76,0)),"")</f>
        <v>Titilayo Danjuma</v>
      </c>
      <c r="F7" s="12" t="s">
        <v>490</v>
      </c>
      <c r="G7" s="16" t="n">
        <v>90.2</v>
      </c>
      <c r="H7" s="16" t="n">
        <v>111.9</v>
      </c>
      <c r="I7" s="17" t="n">
        <f aca="false">ROUND(G7/H7*100,1)</f>
        <v>80.6</v>
      </c>
      <c r="J7" s="16" t="n">
        <v>6.4</v>
      </c>
      <c r="K7" s="12" t="s">
        <v>501</v>
      </c>
      <c r="L7" s="12" t="s">
        <v>487</v>
      </c>
      <c r="M7" s="16" t="n">
        <v>17.69</v>
      </c>
      <c r="N7" s="16" t="n">
        <v>548.5</v>
      </c>
      <c r="O7" s="12" t="s">
        <v>488</v>
      </c>
    </row>
    <row r="8" customFormat="false" ht="15" hidden="false" customHeight="true" outlineLevel="0" collapsed="false">
      <c r="A8" s="12" t="s">
        <v>503</v>
      </c>
      <c r="B8" s="14" t="n">
        <v>45818</v>
      </c>
      <c r="C8" s="12" t="s">
        <v>504</v>
      </c>
      <c r="D8" s="13" t="s">
        <v>146</v>
      </c>
      <c r="E8" s="15" t="str">
        <f aca="false">IFERROR(INDEX(Dim_Employee!$B$2:$B$76,MATCH(D8,Dim_Employee!$A$2:$A$76,0)),"")</f>
        <v>Olamide Sani</v>
      </c>
      <c r="F8" s="12" t="s">
        <v>497</v>
      </c>
      <c r="G8" s="16" t="n">
        <v>100.7</v>
      </c>
      <c r="H8" s="16" t="n">
        <v>112.9</v>
      </c>
      <c r="I8" s="17" t="n">
        <f aca="false">ROUND(G8/H8*100,1)</f>
        <v>89.2</v>
      </c>
      <c r="J8" s="16" t="n">
        <v>3.4</v>
      </c>
      <c r="K8" s="12" t="s">
        <v>498</v>
      </c>
      <c r="L8" s="12" t="s">
        <v>487</v>
      </c>
      <c r="M8" s="16" t="n">
        <v>21.13</v>
      </c>
      <c r="N8" s="16" t="n">
        <v>591.6</v>
      </c>
      <c r="O8" s="12" t="s">
        <v>488</v>
      </c>
    </row>
    <row r="9" customFormat="false" ht="15" hidden="false" customHeight="true" outlineLevel="0" collapsed="false">
      <c r="A9" s="12" t="s">
        <v>505</v>
      </c>
      <c r="B9" s="14" t="n">
        <v>45689</v>
      </c>
      <c r="C9" s="12" t="s">
        <v>504</v>
      </c>
      <c r="D9" s="13" t="s">
        <v>146</v>
      </c>
      <c r="E9" s="15" t="str">
        <f aca="false">IFERROR(INDEX(Dim_Employee!$B$2:$B$76,MATCH(D9,Dim_Employee!$A$2:$A$76,0)),"")</f>
        <v>Olamide Sani</v>
      </c>
      <c r="F9" s="12" t="s">
        <v>497</v>
      </c>
      <c r="G9" s="16" t="n">
        <v>102</v>
      </c>
      <c r="H9" s="16" t="n">
        <v>118.3</v>
      </c>
      <c r="I9" s="17" t="n">
        <f aca="false">ROUND(G9/H9*100,1)</f>
        <v>86.2</v>
      </c>
      <c r="J9" s="16" t="n">
        <v>3.8</v>
      </c>
      <c r="K9" s="12" t="s">
        <v>486</v>
      </c>
      <c r="L9" s="12" t="s">
        <v>487</v>
      </c>
      <c r="M9" s="16" t="n">
        <v>22.16</v>
      </c>
      <c r="N9" s="16" t="n">
        <v>542.4</v>
      </c>
      <c r="O9" s="12" t="s">
        <v>492</v>
      </c>
    </row>
    <row r="10" customFormat="false" ht="15" hidden="false" customHeight="true" outlineLevel="0" collapsed="false">
      <c r="A10" s="12" t="s">
        <v>506</v>
      </c>
      <c r="B10" s="14" t="n">
        <v>45717</v>
      </c>
      <c r="C10" s="12" t="s">
        <v>494</v>
      </c>
      <c r="D10" s="13" t="s">
        <v>187</v>
      </c>
      <c r="E10" s="15" t="str">
        <f aca="false">IFERROR(INDEX(Dim_Employee!$B$2:$B$76,MATCH(D10,Dim_Employee!$A$2:$A$76,0)),"")</f>
        <v>Uche Ojo</v>
      </c>
      <c r="F10" s="12" t="s">
        <v>490</v>
      </c>
      <c r="G10" s="16" t="n">
        <v>77.9</v>
      </c>
      <c r="H10" s="16" t="n">
        <v>90.7</v>
      </c>
      <c r="I10" s="17" t="n">
        <f aca="false">ROUND(G10/H10*100,1)</f>
        <v>85.9</v>
      </c>
      <c r="J10" s="16" t="n">
        <v>1.7</v>
      </c>
      <c r="K10" s="12" t="s">
        <v>498</v>
      </c>
      <c r="L10" s="12" t="s">
        <v>487</v>
      </c>
      <c r="M10" s="16" t="n">
        <v>15.7</v>
      </c>
      <c r="N10" s="16" t="n">
        <v>583.4</v>
      </c>
      <c r="O10" s="12" t="s">
        <v>492</v>
      </c>
    </row>
    <row r="11" customFormat="false" ht="15" hidden="false" customHeight="true" outlineLevel="0" collapsed="false">
      <c r="A11" s="12" t="s">
        <v>507</v>
      </c>
      <c r="B11" s="14" t="n">
        <v>45863</v>
      </c>
      <c r="C11" s="12" t="s">
        <v>504</v>
      </c>
      <c r="D11" s="13" t="s">
        <v>191</v>
      </c>
      <c r="E11" s="15" t="str">
        <f aca="false">IFERROR(INDEX(Dim_Employee!$B$2:$B$76,MATCH(D11,Dim_Employee!$A$2:$A$76,0)),"")</f>
        <v>Chukwudi Eze</v>
      </c>
      <c r="F11" s="12" t="s">
        <v>490</v>
      </c>
      <c r="G11" s="16" t="n">
        <v>102.1</v>
      </c>
      <c r="H11" s="16" t="n">
        <v>117.5</v>
      </c>
      <c r="I11" s="17" t="n">
        <f aca="false">ROUND(G11/H11*100,1)</f>
        <v>86.9</v>
      </c>
      <c r="J11" s="16" t="n">
        <v>2.1</v>
      </c>
      <c r="K11" s="12" t="s">
        <v>501</v>
      </c>
      <c r="L11" s="12" t="s">
        <v>487</v>
      </c>
      <c r="M11" s="16" t="n">
        <v>22.93</v>
      </c>
      <c r="N11" s="16" t="n">
        <v>519</v>
      </c>
      <c r="O11" s="12" t="s">
        <v>492</v>
      </c>
    </row>
    <row r="12" customFormat="false" ht="15" hidden="false" customHeight="true" outlineLevel="0" collapsed="false">
      <c r="A12" s="12" t="s">
        <v>508</v>
      </c>
      <c r="B12" s="14" t="n">
        <v>45700</v>
      </c>
      <c r="C12" s="12" t="s">
        <v>500</v>
      </c>
      <c r="D12" s="13" t="s">
        <v>187</v>
      </c>
      <c r="E12" s="15" t="str">
        <f aca="false">IFERROR(INDEX(Dim_Employee!$B$2:$B$76,MATCH(D12,Dim_Employee!$A$2:$A$76,0)),"")</f>
        <v>Uche Ojo</v>
      </c>
      <c r="F12" s="12" t="s">
        <v>490</v>
      </c>
      <c r="G12" s="16" t="n">
        <v>92.2</v>
      </c>
      <c r="H12" s="16" t="n">
        <v>110.5</v>
      </c>
      <c r="I12" s="17" t="n">
        <f aca="false">ROUND(G12/H12*100,1)</f>
        <v>83.4</v>
      </c>
      <c r="J12" s="16" t="n">
        <v>2.7</v>
      </c>
      <c r="K12" s="12" t="s">
        <v>498</v>
      </c>
      <c r="L12" s="12" t="s">
        <v>487</v>
      </c>
      <c r="M12" s="16" t="n">
        <v>18.38</v>
      </c>
      <c r="N12" s="16" t="n">
        <v>547.9</v>
      </c>
      <c r="O12" s="12" t="s">
        <v>495</v>
      </c>
    </row>
    <row r="13" customFormat="false" ht="15" hidden="false" customHeight="true" outlineLevel="0" collapsed="false">
      <c r="A13" s="12" t="s">
        <v>509</v>
      </c>
      <c r="B13" s="14" t="n">
        <v>45970</v>
      </c>
      <c r="C13" s="12" t="s">
        <v>504</v>
      </c>
      <c r="D13" s="13" t="s">
        <v>175</v>
      </c>
      <c r="E13" s="15" t="str">
        <f aca="false">IFERROR(INDEX(Dim_Employee!$B$2:$B$76,MATCH(D13,Dim_Employee!$A$2:$A$76,0)),"")</f>
        <v>Kingsley Okonkwo</v>
      </c>
      <c r="F13" s="12" t="s">
        <v>490</v>
      </c>
      <c r="G13" s="16" t="n">
        <v>75.2</v>
      </c>
      <c r="H13" s="16" t="n">
        <v>98.5</v>
      </c>
      <c r="I13" s="17" t="n">
        <f aca="false">ROUND(G13/H13*100,1)</f>
        <v>76.3</v>
      </c>
      <c r="J13" s="16" t="n">
        <v>4.8</v>
      </c>
      <c r="K13" s="12" t="s">
        <v>491</v>
      </c>
      <c r="L13" s="12" t="s">
        <v>487</v>
      </c>
      <c r="M13" s="16" t="n">
        <v>15.84</v>
      </c>
      <c r="N13" s="16" t="n">
        <v>566.5</v>
      </c>
      <c r="O13" s="12" t="s">
        <v>488</v>
      </c>
    </row>
    <row r="14" customFormat="false" ht="15" hidden="false" customHeight="true" outlineLevel="0" collapsed="false">
      <c r="A14" s="12" t="s">
        <v>510</v>
      </c>
      <c r="B14" s="14" t="n">
        <v>45944</v>
      </c>
      <c r="C14" s="12" t="s">
        <v>494</v>
      </c>
      <c r="D14" s="13" t="s">
        <v>199</v>
      </c>
      <c r="E14" s="15" t="str">
        <f aca="false">IFERROR(INDEX(Dim_Employee!$B$2:$B$76,MATCH(D14,Dim_Employee!$A$2:$A$76,0)),"")</f>
        <v>Olamide Anyanwu</v>
      </c>
      <c r="F14" s="12" t="s">
        <v>485</v>
      </c>
      <c r="G14" s="16" t="n">
        <v>111.6</v>
      </c>
      <c r="H14" s="16" t="n">
        <v>117</v>
      </c>
      <c r="I14" s="17" t="n">
        <f aca="false">ROUND(G14/H14*100,1)</f>
        <v>95.4</v>
      </c>
      <c r="J14" s="16" t="n">
        <v>1.5</v>
      </c>
      <c r="K14" s="12" t="s">
        <v>498</v>
      </c>
      <c r="L14" s="12" t="s">
        <v>487</v>
      </c>
      <c r="M14" s="16" t="n">
        <v>21.67</v>
      </c>
      <c r="N14" s="16" t="n">
        <v>568.8</v>
      </c>
      <c r="O14" s="12" t="s">
        <v>488</v>
      </c>
    </row>
    <row r="15" customFormat="false" ht="15" hidden="false" customHeight="true" outlineLevel="0" collapsed="false">
      <c r="A15" s="12" t="s">
        <v>511</v>
      </c>
      <c r="B15" s="14" t="n">
        <v>45832</v>
      </c>
      <c r="C15" s="12" t="s">
        <v>484</v>
      </c>
      <c r="D15" s="13" t="s">
        <v>167</v>
      </c>
      <c r="E15" s="15" t="str">
        <f aca="false">IFERROR(INDEX(Dim_Employee!$B$2:$B$76,MATCH(D15,Dim_Employee!$A$2:$A$76,0)),"")</f>
        <v>Emmanuel Yakubu</v>
      </c>
      <c r="F15" s="12" t="s">
        <v>490</v>
      </c>
      <c r="G15" s="16" t="n">
        <v>72</v>
      </c>
      <c r="H15" s="16" t="n">
        <v>92</v>
      </c>
      <c r="I15" s="17" t="n">
        <f aca="false">ROUND(G15/H15*100,1)</f>
        <v>78.3</v>
      </c>
      <c r="J15" s="16" t="n">
        <v>2.6</v>
      </c>
      <c r="K15" s="12" t="s">
        <v>498</v>
      </c>
      <c r="L15" s="12" t="s">
        <v>487</v>
      </c>
      <c r="M15" s="16" t="n">
        <v>14.12</v>
      </c>
      <c r="N15" s="16" t="n">
        <v>494.2</v>
      </c>
      <c r="O15" s="12" t="s">
        <v>512</v>
      </c>
    </row>
    <row r="16" customFormat="false" ht="15" hidden="false" customHeight="true" outlineLevel="0" collapsed="false">
      <c r="A16" s="12" t="s">
        <v>513</v>
      </c>
      <c r="B16" s="14" t="n">
        <v>45982</v>
      </c>
      <c r="C16" s="12" t="s">
        <v>504</v>
      </c>
      <c r="D16" s="13" t="s">
        <v>91</v>
      </c>
      <c r="E16" s="15" t="str">
        <f aca="false">IFERROR(INDEX(Dim_Employee!$B$2:$B$76,MATCH(D16,Dim_Employee!$A$2:$A$76,0)),"")</f>
        <v>Ngozi Okafor</v>
      </c>
      <c r="F16" s="12" t="s">
        <v>485</v>
      </c>
      <c r="G16" s="16" t="n">
        <v>72.1</v>
      </c>
      <c r="H16" s="16" t="n">
        <v>92.1</v>
      </c>
      <c r="I16" s="17" t="n">
        <f aca="false">ROUND(G16/H16*100,1)</f>
        <v>78.3</v>
      </c>
      <c r="J16" s="16" t="n">
        <v>3.5</v>
      </c>
      <c r="K16" s="12" t="s">
        <v>491</v>
      </c>
      <c r="L16" s="12" t="s">
        <v>487</v>
      </c>
      <c r="M16" s="16" t="n">
        <v>15.07</v>
      </c>
      <c r="N16" s="16" t="n">
        <v>496.1</v>
      </c>
      <c r="O16" s="12" t="s">
        <v>492</v>
      </c>
    </row>
    <row r="17" customFormat="false" ht="15" hidden="false" customHeight="true" outlineLevel="0" collapsed="false">
      <c r="A17" s="12" t="s">
        <v>514</v>
      </c>
      <c r="B17" s="14" t="n">
        <v>45833</v>
      </c>
      <c r="C17" s="12" t="s">
        <v>504</v>
      </c>
      <c r="D17" s="13" t="s">
        <v>199</v>
      </c>
      <c r="E17" s="15" t="str">
        <f aca="false">IFERROR(INDEX(Dim_Employee!$B$2:$B$76,MATCH(D17,Dim_Employee!$A$2:$A$76,0)),"")</f>
        <v>Olamide Anyanwu</v>
      </c>
      <c r="F17" s="12" t="s">
        <v>485</v>
      </c>
      <c r="G17" s="16" t="n">
        <v>84.9</v>
      </c>
      <c r="H17" s="16" t="n">
        <v>104.4</v>
      </c>
      <c r="I17" s="17" t="n">
        <f aca="false">ROUND(G17/H17*100,1)</f>
        <v>81.3</v>
      </c>
      <c r="J17" s="16" t="n">
        <v>2.5</v>
      </c>
      <c r="K17" s="12" t="s">
        <v>501</v>
      </c>
      <c r="L17" s="12" t="s">
        <v>487</v>
      </c>
      <c r="M17" s="16" t="n">
        <v>16.68</v>
      </c>
      <c r="N17" s="16" t="n">
        <v>483.2</v>
      </c>
      <c r="O17" s="12" t="s">
        <v>512</v>
      </c>
    </row>
    <row r="18" customFormat="false" ht="15" hidden="false" customHeight="true" outlineLevel="0" collapsed="false">
      <c r="A18" s="12" t="s">
        <v>515</v>
      </c>
      <c r="B18" s="14" t="n">
        <v>45810</v>
      </c>
      <c r="C18" s="12" t="s">
        <v>484</v>
      </c>
      <c r="D18" s="13" t="s">
        <v>157</v>
      </c>
      <c r="E18" s="15" t="str">
        <f aca="false">IFERROR(INDEX(Dim_Employee!$B$2:$B$76,MATCH(D18,Dim_Employee!$A$2:$A$76,0)),"")</f>
        <v>Kelechi Ojo</v>
      </c>
      <c r="F18" s="12" t="s">
        <v>497</v>
      </c>
      <c r="G18" s="16" t="n">
        <v>110.1</v>
      </c>
      <c r="H18" s="16" t="n">
        <v>110.7</v>
      </c>
      <c r="I18" s="17" t="n">
        <f aca="false">ROUND(G18/H18*100,1)</f>
        <v>99.5</v>
      </c>
      <c r="J18" s="16" t="n">
        <v>0.2</v>
      </c>
      <c r="K18" s="12" t="s">
        <v>516</v>
      </c>
      <c r="L18" s="12" t="s">
        <v>487</v>
      </c>
      <c r="M18" s="16" t="n">
        <v>23.2</v>
      </c>
      <c r="N18" s="16" t="n">
        <v>607.2</v>
      </c>
      <c r="O18" s="12" t="s">
        <v>512</v>
      </c>
    </row>
    <row r="19" customFormat="false" ht="15" hidden="false" customHeight="true" outlineLevel="0" collapsed="false">
      <c r="A19" s="12" t="s">
        <v>517</v>
      </c>
      <c r="B19" s="14" t="n">
        <v>45772</v>
      </c>
      <c r="C19" s="12" t="s">
        <v>500</v>
      </c>
      <c r="D19" s="13" t="s">
        <v>171</v>
      </c>
      <c r="E19" s="15" t="str">
        <f aca="false">IFERROR(INDEX(Dim_Employee!$B$2:$B$76,MATCH(D19,Dim_Employee!$A$2:$A$76,0)),"")</f>
        <v>Musa Adeyemi</v>
      </c>
      <c r="F19" s="12" t="s">
        <v>490</v>
      </c>
      <c r="G19" s="16" t="n">
        <v>101.1</v>
      </c>
      <c r="H19" s="16" t="n">
        <v>106</v>
      </c>
      <c r="I19" s="17" t="n">
        <f aca="false">ROUND(G19/H19*100,1)</f>
        <v>95.4</v>
      </c>
      <c r="J19" s="16" t="n">
        <v>0.8</v>
      </c>
      <c r="K19" s="12" t="s">
        <v>501</v>
      </c>
      <c r="L19" s="12" t="s">
        <v>487</v>
      </c>
      <c r="M19" s="16" t="n">
        <v>22.2</v>
      </c>
      <c r="N19" s="16" t="n">
        <v>511.7</v>
      </c>
      <c r="O19" s="12" t="s">
        <v>492</v>
      </c>
    </row>
    <row r="20" customFormat="false" ht="15" hidden="false" customHeight="true" outlineLevel="0" collapsed="false">
      <c r="A20" s="12" t="s">
        <v>518</v>
      </c>
      <c r="B20" s="14" t="n">
        <v>45899</v>
      </c>
      <c r="C20" s="12" t="s">
        <v>504</v>
      </c>
      <c r="D20" s="13" t="s">
        <v>187</v>
      </c>
      <c r="E20" s="15" t="str">
        <f aca="false">IFERROR(INDEX(Dim_Employee!$B$2:$B$76,MATCH(D20,Dim_Employee!$A$2:$A$76,0)),"")</f>
        <v>Uche Ojo</v>
      </c>
      <c r="F20" s="12" t="s">
        <v>490</v>
      </c>
      <c r="G20" s="16" t="n">
        <v>113.8</v>
      </c>
      <c r="H20" s="16" t="n">
        <v>111.9</v>
      </c>
      <c r="I20" s="17" t="n">
        <f aca="false">ROUND(G20/H20*100,1)</f>
        <v>101.7</v>
      </c>
      <c r="J20" s="16" t="n">
        <v>0</v>
      </c>
      <c r="K20" s="12" t="s">
        <v>491</v>
      </c>
      <c r="L20" s="12" t="s">
        <v>487</v>
      </c>
      <c r="M20" s="16" t="n">
        <v>25.98</v>
      </c>
      <c r="N20" s="16" t="n">
        <v>542.6</v>
      </c>
      <c r="O20" s="12" t="s">
        <v>512</v>
      </c>
    </row>
    <row r="21" customFormat="false" ht="15" hidden="false" customHeight="true" outlineLevel="0" collapsed="false">
      <c r="A21" s="12" t="s">
        <v>519</v>
      </c>
      <c r="B21" s="14" t="n">
        <v>45830</v>
      </c>
      <c r="C21" s="12" t="s">
        <v>500</v>
      </c>
      <c r="D21" s="13" t="s">
        <v>187</v>
      </c>
      <c r="E21" s="15" t="str">
        <f aca="false">IFERROR(INDEX(Dim_Employee!$B$2:$B$76,MATCH(D21,Dim_Employee!$A$2:$A$76,0)),"")</f>
        <v>Uche Ojo</v>
      </c>
      <c r="F21" s="12" t="s">
        <v>485</v>
      </c>
      <c r="G21" s="16" t="n">
        <v>69.4</v>
      </c>
      <c r="H21" s="16" t="n">
        <v>92.4</v>
      </c>
      <c r="I21" s="17" t="n">
        <f aca="false">ROUND(G21/H21*100,1)</f>
        <v>75.1</v>
      </c>
      <c r="J21" s="16" t="n">
        <v>4.5</v>
      </c>
      <c r="K21" s="12" t="s">
        <v>491</v>
      </c>
      <c r="L21" s="12" t="s">
        <v>487</v>
      </c>
      <c r="M21" s="16" t="n">
        <v>15.69</v>
      </c>
      <c r="N21" s="16" t="n">
        <v>597.7</v>
      </c>
      <c r="O21" s="12" t="s">
        <v>492</v>
      </c>
    </row>
    <row r="22" customFormat="false" ht="15" hidden="false" customHeight="true" outlineLevel="0" collapsed="false">
      <c r="A22" s="12" t="s">
        <v>520</v>
      </c>
      <c r="B22" s="14" t="n">
        <v>45856</v>
      </c>
      <c r="C22" s="12" t="s">
        <v>500</v>
      </c>
      <c r="D22" s="13" t="s">
        <v>187</v>
      </c>
      <c r="E22" s="15" t="str">
        <f aca="false">IFERROR(INDEX(Dim_Employee!$B$2:$B$76,MATCH(D22,Dim_Employee!$A$2:$A$76,0)),"")</f>
        <v>Uche Ojo</v>
      </c>
      <c r="F22" s="12" t="s">
        <v>485</v>
      </c>
      <c r="G22" s="16" t="n">
        <v>85</v>
      </c>
      <c r="H22" s="16" t="n">
        <v>114</v>
      </c>
      <c r="I22" s="17" t="n">
        <f aca="false">ROUND(G22/H22*100,1)</f>
        <v>74.6</v>
      </c>
      <c r="J22" s="16" t="n">
        <v>6.7</v>
      </c>
      <c r="K22" s="12" t="s">
        <v>516</v>
      </c>
      <c r="L22" s="12" t="s">
        <v>487</v>
      </c>
      <c r="M22" s="16" t="n">
        <v>17.63</v>
      </c>
      <c r="N22" s="16" t="n">
        <v>569</v>
      </c>
      <c r="O22" s="12" t="s">
        <v>488</v>
      </c>
    </row>
    <row r="23" customFormat="false" ht="15" hidden="false" customHeight="true" outlineLevel="0" collapsed="false">
      <c r="A23" s="12" t="s">
        <v>521</v>
      </c>
      <c r="B23" s="14" t="n">
        <v>45739</v>
      </c>
      <c r="C23" s="12" t="s">
        <v>500</v>
      </c>
      <c r="D23" s="13" t="s">
        <v>191</v>
      </c>
      <c r="E23" s="15" t="str">
        <f aca="false">IFERROR(INDEX(Dim_Employee!$B$2:$B$76,MATCH(D23,Dim_Employee!$A$2:$A$76,0)),"")</f>
        <v>Chukwudi Eze</v>
      </c>
      <c r="F23" s="12" t="s">
        <v>490</v>
      </c>
      <c r="G23" s="16" t="n">
        <v>98</v>
      </c>
      <c r="H23" s="16" t="n">
        <v>103.9</v>
      </c>
      <c r="I23" s="17" t="n">
        <f aca="false">ROUND(G23/H23*100,1)</f>
        <v>94.3</v>
      </c>
      <c r="J23" s="16" t="n">
        <v>0.7</v>
      </c>
      <c r="K23" s="12" t="s">
        <v>498</v>
      </c>
      <c r="L23" s="12" t="s">
        <v>487</v>
      </c>
      <c r="M23" s="16" t="n">
        <v>20.94</v>
      </c>
      <c r="N23" s="16" t="n">
        <v>545.1</v>
      </c>
      <c r="O23" s="12" t="s">
        <v>495</v>
      </c>
    </row>
    <row r="24" customFormat="false" ht="15" hidden="false" customHeight="true" outlineLevel="0" collapsed="false">
      <c r="A24" s="12" t="s">
        <v>522</v>
      </c>
      <c r="B24" s="14" t="n">
        <v>45725</v>
      </c>
      <c r="C24" s="12" t="s">
        <v>484</v>
      </c>
      <c r="D24" s="13" t="s">
        <v>203</v>
      </c>
      <c r="E24" s="15" t="str">
        <f aca="false">IFERROR(INDEX(Dim_Employee!$B$2:$B$76,MATCH(D24,Dim_Employee!$A$2:$A$76,0)),"")</f>
        <v>Tunde Okonkwo</v>
      </c>
      <c r="F24" s="12" t="s">
        <v>490</v>
      </c>
      <c r="G24" s="16" t="n">
        <v>90.5</v>
      </c>
      <c r="H24" s="16" t="n">
        <v>109.7</v>
      </c>
      <c r="I24" s="17" t="n">
        <f aca="false">ROUND(G24/H24*100,1)</f>
        <v>82.5</v>
      </c>
      <c r="J24" s="16" t="n">
        <v>4</v>
      </c>
      <c r="K24" s="12" t="s">
        <v>501</v>
      </c>
      <c r="L24" s="12" t="s">
        <v>487</v>
      </c>
      <c r="M24" s="16" t="n">
        <v>19.82</v>
      </c>
      <c r="N24" s="16" t="n">
        <v>494.4</v>
      </c>
      <c r="O24" s="12" t="s">
        <v>495</v>
      </c>
    </row>
    <row r="25" customFormat="false" ht="15" hidden="false" customHeight="true" outlineLevel="0" collapsed="false">
      <c r="A25" s="12" t="s">
        <v>523</v>
      </c>
      <c r="B25" s="14" t="n">
        <v>45672</v>
      </c>
      <c r="C25" s="12" t="s">
        <v>504</v>
      </c>
      <c r="D25" s="13" t="s">
        <v>195</v>
      </c>
      <c r="E25" s="15" t="str">
        <f aca="false">IFERROR(INDEX(Dim_Employee!$B$2:$B$76,MATCH(D25,Dim_Employee!$A$2:$A$76,0)),"")</f>
        <v>Peace Balogun</v>
      </c>
      <c r="F25" s="12" t="s">
        <v>490</v>
      </c>
      <c r="G25" s="16" t="n">
        <v>93.1</v>
      </c>
      <c r="H25" s="16" t="n">
        <v>119.6</v>
      </c>
      <c r="I25" s="17" t="n">
        <f aca="false">ROUND(G25/H25*100,1)</f>
        <v>77.8</v>
      </c>
      <c r="J25" s="16" t="n">
        <v>7.3</v>
      </c>
      <c r="K25" s="12" t="s">
        <v>498</v>
      </c>
      <c r="L25" s="12" t="s">
        <v>487</v>
      </c>
      <c r="M25" s="16" t="n">
        <v>18.58</v>
      </c>
      <c r="N25" s="16" t="n">
        <v>562.1</v>
      </c>
      <c r="O25" s="12" t="s">
        <v>512</v>
      </c>
    </row>
    <row r="26" customFormat="false" ht="15" hidden="false" customHeight="true" outlineLevel="0" collapsed="false">
      <c r="A26" s="12" t="s">
        <v>524</v>
      </c>
      <c r="B26" s="14" t="n">
        <v>45892</v>
      </c>
      <c r="C26" s="12" t="s">
        <v>494</v>
      </c>
      <c r="D26" s="13" t="s">
        <v>195</v>
      </c>
      <c r="E26" s="15" t="str">
        <f aca="false">IFERROR(INDEX(Dim_Employee!$B$2:$B$76,MATCH(D26,Dim_Employee!$A$2:$A$76,0)),"")</f>
        <v>Peace Balogun</v>
      </c>
      <c r="F26" s="12" t="s">
        <v>497</v>
      </c>
      <c r="G26" s="16" t="n">
        <v>84.9</v>
      </c>
      <c r="H26" s="16" t="n">
        <v>115</v>
      </c>
      <c r="I26" s="17" t="n">
        <f aca="false">ROUND(G26/H26*100,1)</f>
        <v>73.8</v>
      </c>
      <c r="J26" s="16" t="n">
        <v>7.5</v>
      </c>
      <c r="K26" s="12" t="s">
        <v>498</v>
      </c>
      <c r="L26" s="12" t="s">
        <v>487</v>
      </c>
      <c r="M26" s="16" t="n">
        <v>16.65</v>
      </c>
      <c r="N26" s="16" t="n">
        <v>551.5</v>
      </c>
      <c r="O26" s="12" t="s">
        <v>492</v>
      </c>
    </row>
    <row r="27" customFormat="false" ht="15" hidden="false" customHeight="true" outlineLevel="0" collapsed="false">
      <c r="A27" s="12" t="s">
        <v>525</v>
      </c>
      <c r="B27" s="14" t="n">
        <v>45730</v>
      </c>
      <c r="C27" s="12" t="s">
        <v>494</v>
      </c>
      <c r="D27" s="13" t="s">
        <v>162</v>
      </c>
      <c r="E27" s="15" t="str">
        <f aca="false">IFERROR(INDEX(Dim_Employee!$B$2:$B$76,MATCH(D27,Dim_Employee!$A$2:$A$76,0)),"")</f>
        <v>Halima Nwosu</v>
      </c>
      <c r="F27" s="12" t="s">
        <v>497</v>
      </c>
      <c r="G27" s="16" t="n">
        <v>103.2</v>
      </c>
      <c r="H27" s="16" t="n">
        <v>108.3</v>
      </c>
      <c r="I27" s="17" t="n">
        <f aca="false">ROUND(G27/H27*100,1)</f>
        <v>95.3</v>
      </c>
      <c r="J27" s="16" t="n">
        <v>0.7</v>
      </c>
      <c r="K27" s="12" t="s">
        <v>491</v>
      </c>
      <c r="L27" s="12" t="s">
        <v>487</v>
      </c>
      <c r="M27" s="16" t="n">
        <v>21.91</v>
      </c>
      <c r="N27" s="16" t="n">
        <v>525.6</v>
      </c>
      <c r="O27" s="12" t="s">
        <v>492</v>
      </c>
    </row>
    <row r="28" customFormat="false" ht="15" hidden="false" customHeight="true" outlineLevel="0" collapsed="false">
      <c r="A28" s="12" t="s">
        <v>526</v>
      </c>
      <c r="B28" s="14" t="n">
        <v>45679</v>
      </c>
      <c r="C28" s="12" t="s">
        <v>484</v>
      </c>
      <c r="D28" s="13" t="s">
        <v>152</v>
      </c>
      <c r="E28" s="15" t="str">
        <f aca="false">IFERROR(INDEX(Dim_Employee!$B$2:$B$76,MATCH(D28,Dim_Employee!$A$2:$A$76,0)),"")</f>
        <v>Abdullahi Aliyu</v>
      </c>
      <c r="F28" s="12" t="s">
        <v>497</v>
      </c>
      <c r="G28" s="16" t="n">
        <v>85.9</v>
      </c>
      <c r="H28" s="16" t="n">
        <v>116.5</v>
      </c>
      <c r="I28" s="17" t="n">
        <f aca="false">ROUND(G28/H28*100,1)</f>
        <v>73.7</v>
      </c>
      <c r="J28" s="16" t="n">
        <v>4.2</v>
      </c>
      <c r="K28" s="12" t="s">
        <v>486</v>
      </c>
      <c r="L28" s="12" t="s">
        <v>487</v>
      </c>
      <c r="M28" s="16" t="n">
        <v>16.42</v>
      </c>
      <c r="N28" s="16" t="n">
        <v>605.2</v>
      </c>
      <c r="O28" s="12" t="s">
        <v>488</v>
      </c>
    </row>
    <row r="29" customFormat="false" ht="15" hidden="false" customHeight="true" outlineLevel="0" collapsed="false">
      <c r="A29" s="12" t="s">
        <v>527</v>
      </c>
      <c r="B29" s="14" t="n">
        <v>45760</v>
      </c>
      <c r="C29" s="12" t="s">
        <v>504</v>
      </c>
      <c r="D29" s="13" t="s">
        <v>199</v>
      </c>
      <c r="E29" s="15" t="str">
        <f aca="false">IFERROR(INDEX(Dim_Employee!$B$2:$B$76,MATCH(D29,Dim_Employee!$A$2:$A$76,0)),"")</f>
        <v>Olamide Anyanwu</v>
      </c>
      <c r="F29" s="12" t="s">
        <v>485</v>
      </c>
      <c r="G29" s="16" t="n">
        <v>101</v>
      </c>
      <c r="H29" s="16" t="n">
        <v>99.8</v>
      </c>
      <c r="I29" s="17" t="n">
        <f aca="false">ROUND(G29/H29*100,1)</f>
        <v>101.2</v>
      </c>
      <c r="J29" s="16" t="n">
        <v>0</v>
      </c>
      <c r="K29" s="12" t="s">
        <v>486</v>
      </c>
      <c r="L29" s="12" t="s">
        <v>487</v>
      </c>
      <c r="M29" s="16" t="n">
        <v>22.45</v>
      </c>
      <c r="N29" s="16" t="n">
        <v>551.1</v>
      </c>
      <c r="O29" s="12" t="s">
        <v>495</v>
      </c>
    </row>
    <row r="30" customFormat="false" ht="15" hidden="false" customHeight="true" outlineLevel="0" collapsed="false">
      <c r="A30" s="12" t="s">
        <v>528</v>
      </c>
      <c r="B30" s="14" t="n">
        <v>45887</v>
      </c>
      <c r="C30" s="12" t="s">
        <v>500</v>
      </c>
      <c r="D30" s="13" t="s">
        <v>175</v>
      </c>
      <c r="E30" s="15" t="str">
        <f aca="false">IFERROR(INDEX(Dim_Employee!$B$2:$B$76,MATCH(D30,Dim_Employee!$A$2:$A$76,0)),"")</f>
        <v>Kingsley Okonkwo</v>
      </c>
      <c r="F30" s="12" t="s">
        <v>485</v>
      </c>
      <c r="G30" s="16" t="n">
        <v>116.3</v>
      </c>
      <c r="H30" s="16" t="n">
        <v>117.7</v>
      </c>
      <c r="I30" s="17" t="n">
        <f aca="false">ROUND(G30/H30*100,1)</f>
        <v>98.8</v>
      </c>
      <c r="J30" s="16" t="n">
        <v>0.2</v>
      </c>
      <c r="K30" s="12" t="s">
        <v>498</v>
      </c>
      <c r="L30" s="12" t="s">
        <v>487</v>
      </c>
      <c r="M30" s="16" t="n">
        <v>24.15</v>
      </c>
      <c r="N30" s="16" t="n">
        <v>490.2</v>
      </c>
      <c r="O30" s="12" t="s">
        <v>495</v>
      </c>
    </row>
    <row r="31" customFormat="false" ht="15" hidden="false" customHeight="true" outlineLevel="0" collapsed="false">
      <c r="A31" s="12" t="s">
        <v>529</v>
      </c>
      <c r="B31" s="14" t="n">
        <v>45737</v>
      </c>
      <c r="C31" s="12" t="s">
        <v>504</v>
      </c>
      <c r="D31" s="13" t="s">
        <v>195</v>
      </c>
      <c r="E31" s="15" t="str">
        <f aca="false">IFERROR(INDEX(Dim_Employee!$B$2:$B$76,MATCH(D31,Dim_Employee!$A$2:$A$76,0)),"")</f>
        <v>Peace Balogun</v>
      </c>
      <c r="F31" s="12" t="s">
        <v>490</v>
      </c>
      <c r="G31" s="16" t="n">
        <v>84.9</v>
      </c>
      <c r="H31" s="16" t="n">
        <v>92.2</v>
      </c>
      <c r="I31" s="17" t="n">
        <f aca="false">ROUND(G31/H31*100,1)</f>
        <v>92.1</v>
      </c>
      <c r="J31" s="16" t="n">
        <v>1.9</v>
      </c>
      <c r="K31" s="12" t="s">
        <v>498</v>
      </c>
      <c r="L31" s="12" t="s">
        <v>487</v>
      </c>
      <c r="M31" s="16" t="n">
        <v>16.6</v>
      </c>
      <c r="N31" s="16" t="n">
        <v>545.5</v>
      </c>
      <c r="O31" s="12" t="s">
        <v>488</v>
      </c>
    </row>
    <row r="32" customFormat="false" ht="15" hidden="false" customHeight="true" outlineLevel="0" collapsed="false">
      <c r="A32" s="12" t="s">
        <v>530</v>
      </c>
      <c r="B32" s="14" t="n">
        <v>45772</v>
      </c>
      <c r="C32" s="12" t="s">
        <v>500</v>
      </c>
      <c r="D32" s="13" t="s">
        <v>191</v>
      </c>
      <c r="E32" s="15" t="str">
        <f aca="false">IFERROR(INDEX(Dim_Employee!$B$2:$B$76,MATCH(D32,Dim_Employee!$A$2:$A$76,0)),"")</f>
        <v>Chukwudi Eze</v>
      </c>
      <c r="F32" s="12" t="s">
        <v>497</v>
      </c>
      <c r="G32" s="16" t="n">
        <v>89.6</v>
      </c>
      <c r="H32" s="16" t="n">
        <v>116.5</v>
      </c>
      <c r="I32" s="17" t="n">
        <f aca="false">ROUND(G32/H32*100,1)</f>
        <v>76.9</v>
      </c>
      <c r="J32" s="16" t="n">
        <v>6.3</v>
      </c>
      <c r="K32" s="12" t="s">
        <v>486</v>
      </c>
      <c r="L32" s="12" t="s">
        <v>487</v>
      </c>
      <c r="M32" s="16" t="n">
        <v>18.87</v>
      </c>
      <c r="N32" s="16" t="n">
        <v>527.5</v>
      </c>
      <c r="O32" s="12" t="s">
        <v>495</v>
      </c>
    </row>
    <row r="33" customFormat="false" ht="15" hidden="false" customHeight="true" outlineLevel="0" collapsed="false">
      <c r="A33" s="12" t="s">
        <v>531</v>
      </c>
      <c r="B33" s="14" t="n">
        <v>45941</v>
      </c>
      <c r="C33" s="12" t="s">
        <v>494</v>
      </c>
      <c r="D33" s="13" t="s">
        <v>187</v>
      </c>
      <c r="E33" s="15" t="str">
        <f aca="false">IFERROR(INDEX(Dim_Employee!$B$2:$B$76,MATCH(D33,Dim_Employee!$A$2:$A$76,0)),"")</f>
        <v>Uche Ojo</v>
      </c>
      <c r="F33" s="12" t="s">
        <v>485</v>
      </c>
      <c r="G33" s="16" t="n">
        <v>93.3</v>
      </c>
      <c r="H33" s="16" t="n">
        <v>99.6</v>
      </c>
      <c r="I33" s="17" t="n">
        <f aca="false">ROUND(G33/H33*100,1)</f>
        <v>93.7</v>
      </c>
      <c r="J33" s="16" t="n">
        <v>0.7</v>
      </c>
      <c r="K33" s="12" t="s">
        <v>491</v>
      </c>
      <c r="L33" s="12" t="s">
        <v>487</v>
      </c>
      <c r="M33" s="16" t="n">
        <v>19.16</v>
      </c>
      <c r="N33" s="16" t="n">
        <v>552.4</v>
      </c>
      <c r="O33" s="12" t="s">
        <v>512</v>
      </c>
    </row>
    <row r="34" customFormat="false" ht="15" hidden="false" customHeight="true" outlineLevel="0" collapsed="false">
      <c r="A34" s="12" t="s">
        <v>532</v>
      </c>
      <c r="B34" s="14" t="n">
        <v>45711</v>
      </c>
      <c r="C34" s="12" t="s">
        <v>484</v>
      </c>
      <c r="D34" s="13" t="s">
        <v>146</v>
      </c>
      <c r="E34" s="15" t="str">
        <f aca="false">IFERROR(INDEX(Dim_Employee!$B$2:$B$76,MATCH(D34,Dim_Employee!$A$2:$A$76,0)),"")</f>
        <v>Olamide Sani</v>
      </c>
      <c r="F34" s="12" t="s">
        <v>485</v>
      </c>
      <c r="G34" s="16" t="n">
        <v>93</v>
      </c>
      <c r="H34" s="16" t="n">
        <v>93.4</v>
      </c>
      <c r="I34" s="17" t="n">
        <f aca="false">ROUND(G34/H34*100,1)</f>
        <v>99.6</v>
      </c>
      <c r="J34" s="16" t="n">
        <v>0.1</v>
      </c>
      <c r="K34" s="12" t="s">
        <v>498</v>
      </c>
      <c r="L34" s="12" t="s">
        <v>487</v>
      </c>
      <c r="M34" s="16" t="n">
        <v>21.04</v>
      </c>
      <c r="N34" s="16" t="n">
        <v>505.4</v>
      </c>
      <c r="O34" s="12" t="s">
        <v>495</v>
      </c>
    </row>
    <row r="35" customFormat="false" ht="15" hidden="false" customHeight="true" outlineLevel="0" collapsed="false">
      <c r="A35" s="12" t="s">
        <v>533</v>
      </c>
      <c r="B35" s="14" t="n">
        <v>45865</v>
      </c>
      <c r="C35" s="12" t="s">
        <v>500</v>
      </c>
      <c r="D35" s="13" t="s">
        <v>195</v>
      </c>
      <c r="E35" s="15" t="str">
        <f aca="false">IFERROR(INDEX(Dim_Employee!$B$2:$B$76,MATCH(D35,Dim_Employee!$A$2:$A$76,0)),"")</f>
        <v>Peace Balogun</v>
      </c>
      <c r="F35" s="12" t="s">
        <v>497</v>
      </c>
      <c r="G35" s="16" t="n">
        <v>106.6</v>
      </c>
      <c r="H35" s="16" t="n">
        <v>115.5</v>
      </c>
      <c r="I35" s="17" t="n">
        <f aca="false">ROUND(G35/H35*100,1)</f>
        <v>92.3</v>
      </c>
      <c r="J35" s="16" t="n">
        <v>2.6</v>
      </c>
      <c r="K35" s="12" t="s">
        <v>534</v>
      </c>
      <c r="L35" s="12" t="s">
        <v>487</v>
      </c>
      <c r="M35" s="16" t="n">
        <v>22.69</v>
      </c>
      <c r="N35" s="16" t="n">
        <v>578.1</v>
      </c>
      <c r="O35" s="12" t="s">
        <v>488</v>
      </c>
    </row>
    <row r="36" customFormat="false" ht="15" hidden="false" customHeight="true" outlineLevel="0" collapsed="false">
      <c r="A36" s="12" t="s">
        <v>535</v>
      </c>
      <c r="B36" s="14" t="n">
        <v>45695</v>
      </c>
      <c r="C36" s="12" t="s">
        <v>504</v>
      </c>
      <c r="D36" s="13" t="s">
        <v>175</v>
      </c>
      <c r="E36" s="15" t="str">
        <f aca="false">IFERROR(INDEX(Dim_Employee!$B$2:$B$76,MATCH(D36,Dim_Employee!$A$2:$A$76,0)),"")</f>
        <v>Kingsley Okonkwo</v>
      </c>
      <c r="F36" s="12" t="s">
        <v>490</v>
      </c>
      <c r="G36" s="16" t="n">
        <v>85</v>
      </c>
      <c r="H36" s="16" t="n">
        <v>91.7</v>
      </c>
      <c r="I36" s="17" t="n">
        <f aca="false">ROUND(G36/H36*100,1)</f>
        <v>92.7</v>
      </c>
      <c r="J36" s="16" t="n">
        <v>1.2</v>
      </c>
      <c r="K36" s="12" t="s">
        <v>491</v>
      </c>
      <c r="L36" s="12" t="s">
        <v>487</v>
      </c>
      <c r="M36" s="16" t="n">
        <v>18.88</v>
      </c>
      <c r="N36" s="16" t="n">
        <v>491.7</v>
      </c>
      <c r="O36" s="12" t="s">
        <v>495</v>
      </c>
    </row>
    <row r="37" customFormat="false" ht="15" hidden="false" customHeight="true" outlineLevel="0" collapsed="false">
      <c r="A37" s="12" t="s">
        <v>536</v>
      </c>
      <c r="B37" s="14" t="n">
        <v>45941</v>
      </c>
      <c r="C37" s="12" t="s">
        <v>494</v>
      </c>
      <c r="D37" s="13" t="s">
        <v>146</v>
      </c>
      <c r="E37" s="15" t="str">
        <f aca="false">IFERROR(INDEX(Dim_Employee!$B$2:$B$76,MATCH(D37,Dim_Employee!$A$2:$A$76,0)),"")</f>
        <v>Olamide Sani</v>
      </c>
      <c r="F37" s="12" t="s">
        <v>485</v>
      </c>
      <c r="G37" s="16" t="n">
        <v>74.1</v>
      </c>
      <c r="H37" s="16" t="n">
        <v>97.9</v>
      </c>
      <c r="I37" s="17" t="n">
        <f aca="false">ROUND(G37/H37*100,1)</f>
        <v>75.7</v>
      </c>
      <c r="J37" s="16" t="n">
        <v>2.4</v>
      </c>
      <c r="K37" s="12" t="s">
        <v>491</v>
      </c>
      <c r="L37" s="12" t="s">
        <v>487</v>
      </c>
      <c r="M37" s="16" t="n">
        <v>14.21</v>
      </c>
      <c r="N37" s="16" t="n">
        <v>579.3</v>
      </c>
      <c r="O37" s="12" t="s">
        <v>488</v>
      </c>
    </row>
    <row r="38" customFormat="false" ht="15" hidden="false" customHeight="true" outlineLevel="0" collapsed="false">
      <c r="A38" s="12" t="s">
        <v>537</v>
      </c>
      <c r="B38" s="14" t="n">
        <v>45979</v>
      </c>
      <c r="C38" s="12" t="s">
        <v>504</v>
      </c>
      <c r="D38" s="13" t="s">
        <v>162</v>
      </c>
      <c r="E38" s="15" t="str">
        <f aca="false">IFERROR(INDEX(Dim_Employee!$B$2:$B$76,MATCH(D38,Dim_Employee!$A$2:$A$76,0)),"")</f>
        <v>Halima Nwosu</v>
      </c>
      <c r="F38" s="12" t="s">
        <v>497</v>
      </c>
      <c r="G38" s="16" t="n">
        <v>75.8</v>
      </c>
      <c r="H38" s="16" t="n">
        <v>97.9</v>
      </c>
      <c r="I38" s="17" t="n">
        <f aca="false">ROUND(G38/H38*100,1)</f>
        <v>77.4</v>
      </c>
      <c r="J38" s="16" t="n">
        <v>6.3</v>
      </c>
      <c r="K38" s="12" t="s">
        <v>501</v>
      </c>
      <c r="L38" s="12" t="s">
        <v>487</v>
      </c>
      <c r="M38" s="16" t="n">
        <v>15.28</v>
      </c>
      <c r="N38" s="16" t="n">
        <v>550</v>
      </c>
      <c r="O38" s="12" t="s">
        <v>495</v>
      </c>
    </row>
    <row r="39" customFormat="false" ht="15" hidden="false" customHeight="true" outlineLevel="0" collapsed="false">
      <c r="A39" s="12" t="s">
        <v>538</v>
      </c>
      <c r="B39" s="14" t="n">
        <v>45665</v>
      </c>
      <c r="C39" s="12" t="s">
        <v>484</v>
      </c>
      <c r="D39" s="13" t="s">
        <v>175</v>
      </c>
      <c r="E39" s="15" t="str">
        <f aca="false">IFERROR(INDEX(Dim_Employee!$B$2:$B$76,MATCH(D39,Dim_Employee!$A$2:$A$76,0)),"")</f>
        <v>Kingsley Okonkwo</v>
      </c>
      <c r="F39" s="12" t="s">
        <v>497</v>
      </c>
      <c r="G39" s="16" t="n">
        <v>72.8</v>
      </c>
      <c r="H39" s="16" t="n">
        <v>100.4</v>
      </c>
      <c r="I39" s="17" t="n">
        <f aca="false">ROUND(G39/H39*100,1)</f>
        <v>72.5</v>
      </c>
      <c r="J39" s="16" t="n">
        <v>4.1</v>
      </c>
      <c r="K39" s="12" t="s">
        <v>486</v>
      </c>
      <c r="L39" s="12" t="s">
        <v>487</v>
      </c>
      <c r="M39" s="16" t="n">
        <v>16.68</v>
      </c>
      <c r="N39" s="16" t="n">
        <v>552</v>
      </c>
      <c r="O39" s="12" t="s">
        <v>495</v>
      </c>
    </row>
    <row r="40" customFormat="false" ht="15" hidden="false" customHeight="true" outlineLevel="0" collapsed="false">
      <c r="A40" s="12" t="s">
        <v>539</v>
      </c>
      <c r="B40" s="14" t="n">
        <v>45911</v>
      </c>
      <c r="C40" s="12" t="s">
        <v>494</v>
      </c>
      <c r="D40" s="13" t="s">
        <v>199</v>
      </c>
      <c r="E40" s="15" t="str">
        <f aca="false">IFERROR(INDEX(Dim_Employee!$B$2:$B$76,MATCH(D40,Dim_Employee!$A$2:$A$76,0)),"")</f>
        <v>Olamide Anyanwu</v>
      </c>
      <c r="F40" s="12" t="s">
        <v>497</v>
      </c>
      <c r="G40" s="16" t="n">
        <v>90</v>
      </c>
      <c r="H40" s="16" t="n">
        <v>93.2</v>
      </c>
      <c r="I40" s="17" t="n">
        <f aca="false">ROUND(G40/H40*100,1)</f>
        <v>96.6</v>
      </c>
      <c r="J40" s="16" t="n">
        <v>0.6</v>
      </c>
      <c r="K40" s="12" t="s">
        <v>498</v>
      </c>
      <c r="L40" s="12" t="s">
        <v>487</v>
      </c>
      <c r="M40" s="16" t="n">
        <v>17.87</v>
      </c>
      <c r="N40" s="16" t="n">
        <v>512.1</v>
      </c>
      <c r="O40" s="12" t="s">
        <v>495</v>
      </c>
    </row>
    <row r="41" customFormat="false" ht="15" hidden="false" customHeight="true" outlineLevel="0" collapsed="false">
      <c r="A41" s="12" t="s">
        <v>540</v>
      </c>
      <c r="B41" s="14" t="n">
        <v>45724</v>
      </c>
      <c r="C41" s="12" t="s">
        <v>484</v>
      </c>
      <c r="D41" s="13" t="s">
        <v>157</v>
      </c>
      <c r="E41" s="15" t="str">
        <f aca="false">IFERROR(INDEX(Dim_Employee!$B$2:$B$76,MATCH(D41,Dim_Employee!$A$2:$A$76,0)),"")</f>
        <v>Kelechi Ojo</v>
      </c>
      <c r="F41" s="12" t="s">
        <v>490</v>
      </c>
      <c r="G41" s="16" t="n">
        <v>84.2</v>
      </c>
      <c r="H41" s="16" t="n">
        <v>102.1</v>
      </c>
      <c r="I41" s="17" t="n">
        <f aca="false">ROUND(G41/H41*100,1)</f>
        <v>82.5</v>
      </c>
      <c r="J41" s="16" t="n">
        <v>2</v>
      </c>
      <c r="K41" s="12" t="s">
        <v>491</v>
      </c>
      <c r="L41" s="12" t="s">
        <v>487</v>
      </c>
      <c r="M41" s="16" t="n">
        <v>18.96</v>
      </c>
      <c r="N41" s="16" t="n">
        <v>540.3</v>
      </c>
      <c r="O41" s="12" t="s">
        <v>488</v>
      </c>
    </row>
    <row r="42" customFormat="false" ht="15" hidden="false" customHeight="true" outlineLevel="0" collapsed="false">
      <c r="A42" s="12" t="s">
        <v>541</v>
      </c>
      <c r="B42" s="14" t="n">
        <v>45802</v>
      </c>
      <c r="C42" s="12" t="s">
        <v>500</v>
      </c>
      <c r="D42" s="13" t="s">
        <v>146</v>
      </c>
      <c r="E42" s="15" t="str">
        <f aca="false">IFERROR(INDEX(Dim_Employee!$B$2:$B$76,MATCH(D42,Dim_Employee!$A$2:$A$76,0)),"")</f>
        <v>Olamide Sani</v>
      </c>
      <c r="F42" s="12" t="s">
        <v>497</v>
      </c>
      <c r="G42" s="16" t="n">
        <v>91.8</v>
      </c>
      <c r="H42" s="16" t="n">
        <v>110</v>
      </c>
      <c r="I42" s="17" t="n">
        <f aca="false">ROUND(G42/H42*100,1)</f>
        <v>83.5</v>
      </c>
      <c r="J42" s="16" t="n">
        <v>3.7</v>
      </c>
      <c r="K42" s="12" t="s">
        <v>498</v>
      </c>
      <c r="L42" s="12" t="s">
        <v>487</v>
      </c>
      <c r="M42" s="16" t="n">
        <v>19.13</v>
      </c>
      <c r="N42" s="16" t="n">
        <v>502.1</v>
      </c>
      <c r="O42" s="12" t="s">
        <v>492</v>
      </c>
    </row>
    <row r="43" customFormat="false" ht="15" hidden="false" customHeight="true" outlineLevel="0" collapsed="false">
      <c r="A43" s="12" t="s">
        <v>542</v>
      </c>
      <c r="B43" s="14" t="n">
        <v>45938</v>
      </c>
      <c r="C43" s="12" t="s">
        <v>504</v>
      </c>
      <c r="D43" s="13" t="s">
        <v>91</v>
      </c>
      <c r="E43" s="15" t="str">
        <f aca="false">IFERROR(INDEX(Dim_Employee!$B$2:$B$76,MATCH(D43,Dim_Employee!$A$2:$A$76,0)),"")</f>
        <v>Ngozi Okafor</v>
      </c>
      <c r="F43" s="12" t="s">
        <v>490</v>
      </c>
      <c r="G43" s="16" t="n">
        <v>98.7</v>
      </c>
      <c r="H43" s="16" t="n">
        <v>97.9</v>
      </c>
      <c r="I43" s="17" t="n">
        <f aca="false">ROUND(G43/H43*100,1)</f>
        <v>100.8</v>
      </c>
      <c r="J43" s="16" t="n">
        <v>0</v>
      </c>
      <c r="K43" s="12" t="s">
        <v>498</v>
      </c>
      <c r="L43" s="12" t="s">
        <v>487</v>
      </c>
      <c r="M43" s="16" t="n">
        <v>22.24</v>
      </c>
      <c r="N43" s="16" t="n">
        <v>510.5</v>
      </c>
      <c r="O43" s="12" t="s">
        <v>495</v>
      </c>
    </row>
    <row r="44" customFormat="false" ht="15" hidden="false" customHeight="true" outlineLevel="0" collapsed="false">
      <c r="A44" s="12" t="s">
        <v>543</v>
      </c>
      <c r="B44" s="14" t="n">
        <v>45993</v>
      </c>
      <c r="C44" s="12" t="s">
        <v>500</v>
      </c>
      <c r="D44" s="13" t="s">
        <v>91</v>
      </c>
      <c r="E44" s="15" t="str">
        <f aca="false">IFERROR(INDEX(Dim_Employee!$B$2:$B$76,MATCH(D44,Dim_Employee!$A$2:$A$76,0)),"")</f>
        <v>Ngozi Okafor</v>
      </c>
      <c r="F44" s="12" t="s">
        <v>490</v>
      </c>
      <c r="G44" s="16" t="n">
        <v>74.6</v>
      </c>
      <c r="H44" s="16" t="n">
        <v>100.1</v>
      </c>
      <c r="I44" s="17" t="n">
        <f aca="false">ROUND(G44/H44*100,1)</f>
        <v>74.5</v>
      </c>
      <c r="J44" s="16" t="n">
        <v>4</v>
      </c>
      <c r="K44" s="12" t="s">
        <v>486</v>
      </c>
      <c r="L44" s="12" t="s">
        <v>487</v>
      </c>
      <c r="M44" s="16" t="n">
        <v>14.19</v>
      </c>
      <c r="N44" s="16" t="n">
        <v>517</v>
      </c>
      <c r="O44" s="12" t="s">
        <v>488</v>
      </c>
    </row>
    <row r="45" customFormat="false" ht="15" hidden="false" customHeight="true" outlineLevel="0" collapsed="false">
      <c r="A45" s="12" t="s">
        <v>544</v>
      </c>
      <c r="B45" s="14" t="n">
        <v>45813</v>
      </c>
      <c r="C45" s="12" t="s">
        <v>500</v>
      </c>
      <c r="D45" s="13" t="s">
        <v>157</v>
      </c>
      <c r="E45" s="15" t="str">
        <f aca="false">IFERROR(INDEX(Dim_Employee!$B$2:$B$76,MATCH(D45,Dim_Employee!$A$2:$A$76,0)),"")</f>
        <v>Kelechi Ojo</v>
      </c>
      <c r="F45" s="12" t="s">
        <v>490</v>
      </c>
      <c r="G45" s="16" t="n">
        <v>74.7</v>
      </c>
      <c r="H45" s="16" t="n">
        <v>102</v>
      </c>
      <c r="I45" s="17" t="n">
        <f aca="false">ROUND(G45/H45*100,1)</f>
        <v>73.2</v>
      </c>
      <c r="J45" s="16" t="n">
        <v>2.9</v>
      </c>
      <c r="K45" s="12" t="s">
        <v>491</v>
      </c>
      <c r="L45" s="12" t="s">
        <v>487</v>
      </c>
      <c r="M45" s="16" t="n">
        <v>15.77</v>
      </c>
      <c r="N45" s="16" t="n">
        <v>585.1</v>
      </c>
      <c r="O45" s="12" t="s">
        <v>492</v>
      </c>
    </row>
    <row r="46" customFormat="false" ht="15" hidden="false" customHeight="true" outlineLevel="0" collapsed="false">
      <c r="A46" s="12" t="s">
        <v>545</v>
      </c>
      <c r="B46" s="14" t="n">
        <v>45974</v>
      </c>
      <c r="C46" s="12" t="s">
        <v>500</v>
      </c>
      <c r="D46" s="13" t="s">
        <v>183</v>
      </c>
      <c r="E46" s="15" t="str">
        <f aca="false">IFERROR(INDEX(Dim_Employee!$B$2:$B$76,MATCH(D46,Dim_Employee!$A$2:$A$76,0)),"")</f>
        <v>Titilayo Danjuma</v>
      </c>
      <c r="F46" s="12" t="s">
        <v>490</v>
      </c>
      <c r="G46" s="16" t="n">
        <v>96.9</v>
      </c>
      <c r="H46" s="16" t="n">
        <v>111.6</v>
      </c>
      <c r="I46" s="17" t="n">
        <f aca="false">ROUND(G46/H46*100,1)</f>
        <v>86.8</v>
      </c>
      <c r="J46" s="16" t="n">
        <v>2.3</v>
      </c>
      <c r="K46" s="12" t="s">
        <v>501</v>
      </c>
      <c r="L46" s="12" t="s">
        <v>487</v>
      </c>
      <c r="M46" s="16" t="n">
        <v>21.18</v>
      </c>
      <c r="N46" s="16" t="n">
        <v>551.8</v>
      </c>
      <c r="O46" s="12" t="s">
        <v>492</v>
      </c>
    </row>
    <row r="47" customFormat="false" ht="15" hidden="false" customHeight="true" outlineLevel="0" collapsed="false">
      <c r="A47" s="12" t="s">
        <v>546</v>
      </c>
      <c r="B47" s="14" t="n">
        <v>45666</v>
      </c>
      <c r="C47" s="12" t="s">
        <v>500</v>
      </c>
      <c r="D47" s="13" t="s">
        <v>157</v>
      </c>
      <c r="E47" s="15" t="str">
        <f aca="false">IFERROR(INDEX(Dim_Employee!$B$2:$B$76,MATCH(D47,Dim_Employee!$A$2:$A$76,0)),"")</f>
        <v>Kelechi Ojo</v>
      </c>
      <c r="F47" s="12" t="s">
        <v>490</v>
      </c>
      <c r="G47" s="16" t="n">
        <v>110.9</v>
      </c>
      <c r="H47" s="16" t="n">
        <v>117.3</v>
      </c>
      <c r="I47" s="17" t="n">
        <f aca="false">ROUND(G47/H47*100,1)</f>
        <v>94.5</v>
      </c>
      <c r="J47" s="16" t="n">
        <v>1.4</v>
      </c>
      <c r="K47" s="12" t="s">
        <v>498</v>
      </c>
      <c r="L47" s="12" t="s">
        <v>487</v>
      </c>
      <c r="M47" s="16" t="n">
        <v>21.66</v>
      </c>
      <c r="N47" s="16" t="n">
        <v>530.5</v>
      </c>
      <c r="O47" s="12" t="s">
        <v>488</v>
      </c>
    </row>
    <row r="48" customFormat="false" ht="15" hidden="false" customHeight="true" outlineLevel="0" collapsed="false">
      <c r="A48" s="12" t="s">
        <v>547</v>
      </c>
      <c r="B48" s="14" t="n">
        <v>45978</v>
      </c>
      <c r="C48" s="12" t="s">
        <v>500</v>
      </c>
      <c r="D48" s="13" t="s">
        <v>191</v>
      </c>
      <c r="E48" s="15" t="str">
        <f aca="false">IFERROR(INDEX(Dim_Employee!$B$2:$B$76,MATCH(D48,Dim_Employee!$A$2:$A$76,0)),"")</f>
        <v>Chukwudi Eze</v>
      </c>
      <c r="F48" s="12" t="s">
        <v>485</v>
      </c>
      <c r="G48" s="16" t="n">
        <v>102.2</v>
      </c>
      <c r="H48" s="16" t="n">
        <v>115.1</v>
      </c>
      <c r="I48" s="17" t="n">
        <f aca="false">ROUND(G48/H48*100,1)</f>
        <v>88.8</v>
      </c>
      <c r="J48" s="16" t="n">
        <v>2.9</v>
      </c>
      <c r="K48" s="12" t="s">
        <v>498</v>
      </c>
      <c r="L48" s="12" t="s">
        <v>487</v>
      </c>
      <c r="M48" s="16" t="n">
        <v>21.29</v>
      </c>
      <c r="N48" s="16" t="n">
        <v>489.8</v>
      </c>
      <c r="O48" s="12" t="s">
        <v>488</v>
      </c>
    </row>
    <row r="49" customFormat="false" ht="15" hidden="false" customHeight="true" outlineLevel="0" collapsed="false">
      <c r="A49" s="12" t="s">
        <v>548</v>
      </c>
      <c r="B49" s="14" t="n">
        <v>45793</v>
      </c>
      <c r="C49" s="12" t="s">
        <v>500</v>
      </c>
      <c r="D49" s="13" t="s">
        <v>146</v>
      </c>
      <c r="E49" s="15" t="str">
        <f aca="false">IFERROR(INDEX(Dim_Employee!$B$2:$B$76,MATCH(D49,Dim_Employee!$A$2:$A$76,0)),"")</f>
        <v>Olamide Sani</v>
      </c>
      <c r="F49" s="12" t="s">
        <v>497</v>
      </c>
      <c r="G49" s="16" t="n">
        <v>96.9</v>
      </c>
      <c r="H49" s="16" t="n">
        <v>112.4</v>
      </c>
      <c r="I49" s="17" t="n">
        <f aca="false">ROUND(G49/H49*100,1)</f>
        <v>86.2</v>
      </c>
      <c r="J49" s="16" t="n">
        <v>4.1</v>
      </c>
      <c r="K49" s="12" t="s">
        <v>501</v>
      </c>
      <c r="L49" s="12" t="s">
        <v>487</v>
      </c>
      <c r="M49" s="16" t="n">
        <v>19.31</v>
      </c>
      <c r="N49" s="16" t="n">
        <v>571</v>
      </c>
      <c r="O49" s="12" t="s">
        <v>492</v>
      </c>
    </row>
    <row r="50" customFormat="false" ht="15" hidden="false" customHeight="true" outlineLevel="0" collapsed="false">
      <c r="A50" s="12" t="s">
        <v>549</v>
      </c>
      <c r="B50" s="14" t="n">
        <v>45805</v>
      </c>
      <c r="C50" s="12" t="s">
        <v>484</v>
      </c>
      <c r="D50" s="13" t="s">
        <v>203</v>
      </c>
      <c r="E50" s="15" t="str">
        <f aca="false">IFERROR(INDEX(Dim_Employee!$B$2:$B$76,MATCH(D50,Dim_Employee!$A$2:$A$76,0)),"")</f>
        <v>Tunde Okonkwo</v>
      </c>
      <c r="F50" s="12" t="s">
        <v>497</v>
      </c>
      <c r="G50" s="16" t="n">
        <v>85.7</v>
      </c>
      <c r="H50" s="16" t="n">
        <v>115.4</v>
      </c>
      <c r="I50" s="17" t="n">
        <f aca="false">ROUND(G50/H50*100,1)</f>
        <v>74.3</v>
      </c>
      <c r="J50" s="16" t="n">
        <v>8.4</v>
      </c>
      <c r="K50" s="12" t="s">
        <v>491</v>
      </c>
      <c r="L50" s="12" t="s">
        <v>487</v>
      </c>
      <c r="M50" s="16" t="n">
        <v>16.96</v>
      </c>
      <c r="N50" s="16" t="n">
        <v>564</v>
      </c>
      <c r="O50" s="12" t="s">
        <v>512</v>
      </c>
    </row>
    <row r="51" customFormat="false" ht="15" hidden="false" customHeight="true" outlineLevel="0" collapsed="false">
      <c r="A51" s="12" t="s">
        <v>550</v>
      </c>
      <c r="B51" s="14" t="n">
        <v>45726</v>
      </c>
      <c r="C51" s="12" t="s">
        <v>484</v>
      </c>
      <c r="D51" s="13" t="s">
        <v>175</v>
      </c>
      <c r="E51" s="15" t="str">
        <f aca="false">IFERROR(INDEX(Dim_Employee!$B$2:$B$76,MATCH(D51,Dim_Employee!$A$2:$A$76,0)),"")</f>
        <v>Kingsley Okonkwo</v>
      </c>
      <c r="F51" s="12" t="s">
        <v>485</v>
      </c>
      <c r="G51" s="16" t="n">
        <v>101.6</v>
      </c>
      <c r="H51" s="16" t="n">
        <v>109.5</v>
      </c>
      <c r="I51" s="17" t="n">
        <f aca="false">ROUND(G51/H51*100,1)</f>
        <v>92.8</v>
      </c>
      <c r="J51" s="16" t="n">
        <v>1.8</v>
      </c>
      <c r="K51" s="12" t="s">
        <v>498</v>
      </c>
      <c r="L51" s="12" t="s">
        <v>487</v>
      </c>
      <c r="M51" s="16" t="n">
        <v>20.4</v>
      </c>
      <c r="N51" s="16" t="n">
        <v>574.1</v>
      </c>
      <c r="O51" s="12" t="s">
        <v>495</v>
      </c>
    </row>
    <row r="52" customFormat="false" ht="15" hidden="false" customHeight="true" outlineLevel="0" collapsed="false">
      <c r="A52" s="12" t="s">
        <v>551</v>
      </c>
      <c r="B52" s="14" t="n">
        <v>45896</v>
      </c>
      <c r="C52" s="12" t="s">
        <v>484</v>
      </c>
      <c r="D52" s="13" t="s">
        <v>203</v>
      </c>
      <c r="E52" s="15" t="str">
        <f aca="false">IFERROR(INDEX(Dim_Employee!$B$2:$B$76,MATCH(D52,Dim_Employee!$A$2:$A$76,0)),"")</f>
        <v>Tunde Okonkwo</v>
      </c>
      <c r="F52" s="12" t="s">
        <v>497</v>
      </c>
      <c r="G52" s="16" t="n">
        <v>86.4</v>
      </c>
      <c r="H52" s="16" t="n">
        <v>98.7</v>
      </c>
      <c r="I52" s="17" t="n">
        <f aca="false">ROUND(G52/H52*100,1)</f>
        <v>87.5</v>
      </c>
      <c r="J52" s="16" t="n">
        <v>2.4</v>
      </c>
      <c r="K52" s="12" t="s">
        <v>498</v>
      </c>
      <c r="L52" s="12" t="s">
        <v>487</v>
      </c>
      <c r="M52" s="16" t="n">
        <v>19.8</v>
      </c>
      <c r="N52" s="16" t="n">
        <v>611.1</v>
      </c>
      <c r="O52" s="12" t="s">
        <v>488</v>
      </c>
    </row>
    <row r="53" customFormat="false" ht="15" hidden="false" customHeight="true" outlineLevel="0" collapsed="false">
      <c r="A53" s="12" t="s">
        <v>552</v>
      </c>
      <c r="B53" s="14" t="n">
        <v>45888</v>
      </c>
      <c r="C53" s="12" t="s">
        <v>504</v>
      </c>
      <c r="D53" s="13" t="s">
        <v>179</v>
      </c>
      <c r="E53" s="15" t="str">
        <f aca="false">IFERROR(INDEX(Dim_Employee!$B$2:$B$76,MATCH(D53,Dim_Employee!$A$2:$A$76,0)),"")</f>
        <v>Amaka Bakare</v>
      </c>
      <c r="F53" s="12" t="s">
        <v>485</v>
      </c>
      <c r="G53" s="16" t="n">
        <v>100.3</v>
      </c>
      <c r="H53" s="16" t="n">
        <v>103.8</v>
      </c>
      <c r="I53" s="17" t="n">
        <f aca="false">ROUND(G53/H53*100,1)</f>
        <v>96.6</v>
      </c>
      <c r="J53" s="16" t="n">
        <v>1</v>
      </c>
      <c r="K53" s="12" t="s">
        <v>498</v>
      </c>
      <c r="L53" s="12" t="s">
        <v>487</v>
      </c>
      <c r="M53" s="16" t="n">
        <v>22.85</v>
      </c>
      <c r="N53" s="16" t="n">
        <v>509.5</v>
      </c>
      <c r="O53" s="12" t="s">
        <v>488</v>
      </c>
    </row>
    <row r="54" customFormat="false" ht="15" hidden="false" customHeight="true" outlineLevel="0" collapsed="false">
      <c r="A54" s="12" t="s">
        <v>553</v>
      </c>
      <c r="B54" s="14" t="n">
        <v>45966</v>
      </c>
      <c r="C54" s="12" t="s">
        <v>504</v>
      </c>
      <c r="D54" s="13" t="s">
        <v>157</v>
      </c>
      <c r="E54" s="15" t="str">
        <f aca="false">IFERROR(INDEX(Dim_Employee!$B$2:$B$76,MATCH(D54,Dim_Employee!$A$2:$A$76,0)),"")</f>
        <v>Kelechi Ojo</v>
      </c>
      <c r="F54" s="12" t="s">
        <v>490</v>
      </c>
      <c r="G54" s="16" t="n">
        <v>89.8</v>
      </c>
      <c r="H54" s="16" t="n">
        <v>112.4</v>
      </c>
      <c r="I54" s="17" t="n">
        <f aca="false">ROUND(G54/H54*100,1)</f>
        <v>79.9</v>
      </c>
      <c r="J54" s="16" t="n">
        <v>3.9</v>
      </c>
      <c r="K54" s="12" t="s">
        <v>491</v>
      </c>
      <c r="L54" s="12" t="s">
        <v>487</v>
      </c>
      <c r="M54" s="16" t="n">
        <v>17.89</v>
      </c>
      <c r="N54" s="16" t="n">
        <v>605.7</v>
      </c>
      <c r="O54" s="12" t="s">
        <v>492</v>
      </c>
    </row>
    <row r="55" customFormat="false" ht="15" hidden="false" customHeight="true" outlineLevel="0" collapsed="false">
      <c r="A55" s="12" t="s">
        <v>554</v>
      </c>
      <c r="B55" s="14" t="n">
        <v>45888</v>
      </c>
      <c r="C55" s="12" t="s">
        <v>494</v>
      </c>
      <c r="D55" s="13" t="s">
        <v>191</v>
      </c>
      <c r="E55" s="15" t="str">
        <f aca="false">IFERROR(INDEX(Dim_Employee!$B$2:$B$76,MATCH(D55,Dim_Employee!$A$2:$A$76,0)),"")</f>
        <v>Chukwudi Eze</v>
      </c>
      <c r="F55" s="12" t="s">
        <v>485</v>
      </c>
      <c r="G55" s="16" t="n">
        <v>65.4</v>
      </c>
      <c r="H55" s="16" t="n">
        <v>90.7</v>
      </c>
      <c r="I55" s="17" t="n">
        <f aca="false">ROUND(G55/H55*100,1)</f>
        <v>72.1</v>
      </c>
      <c r="J55" s="16" t="n">
        <v>5</v>
      </c>
      <c r="K55" s="12" t="s">
        <v>491</v>
      </c>
      <c r="L55" s="12" t="s">
        <v>487</v>
      </c>
      <c r="M55" s="16" t="n">
        <v>13.51</v>
      </c>
      <c r="N55" s="16" t="n">
        <v>532.7</v>
      </c>
      <c r="O55" s="12" t="s">
        <v>488</v>
      </c>
    </row>
    <row r="56" customFormat="false" ht="15" hidden="false" customHeight="true" outlineLevel="0" collapsed="false">
      <c r="A56" s="12" t="s">
        <v>555</v>
      </c>
      <c r="B56" s="14" t="n">
        <v>45719</v>
      </c>
      <c r="C56" s="12" t="s">
        <v>500</v>
      </c>
      <c r="D56" s="13" t="s">
        <v>183</v>
      </c>
      <c r="E56" s="15" t="str">
        <f aca="false">IFERROR(INDEX(Dim_Employee!$B$2:$B$76,MATCH(D56,Dim_Employee!$A$2:$A$76,0)),"")</f>
        <v>Titilayo Danjuma</v>
      </c>
      <c r="F56" s="12" t="s">
        <v>497</v>
      </c>
      <c r="G56" s="16" t="n">
        <v>85.2</v>
      </c>
      <c r="H56" s="16" t="n">
        <v>90.1</v>
      </c>
      <c r="I56" s="17" t="n">
        <f aca="false">ROUND(G56/H56*100,1)</f>
        <v>94.6</v>
      </c>
      <c r="J56" s="16" t="n">
        <v>1.3</v>
      </c>
      <c r="K56" s="12" t="s">
        <v>498</v>
      </c>
      <c r="L56" s="12" t="s">
        <v>487</v>
      </c>
      <c r="M56" s="16" t="n">
        <v>18.71</v>
      </c>
      <c r="N56" s="16" t="n">
        <v>515.4</v>
      </c>
      <c r="O56" s="12" t="s">
        <v>488</v>
      </c>
    </row>
    <row r="57" customFormat="false" ht="15" hidden="false" customHeight="true" outlineLevel="0" collapsed="false">
      <c r="A57" s="12" t="s">
        <v>556</v>
      </c>
      <c r="B57" s="14" t="n">
        <v>45877</v>
      </c>
      <c r="C57" s="12" t="s">
        <v>504</v>
      </c>
      <c r="D57" s="13" t="s">
        <v>191</v>
      </c>
      <c r="E57" s="15" t="str">
        <f aca="false">IFERROR(INDEX(Dim_Employee!$B$2:$B$76,MATCH(D57,Dim_Employee!$A$2:$A$76,0)),"")</f>
        <v>Chukwudi Eze</v>
      </c>
      <c r="F57" s="12" t="s">
        <v>490</v>
      </c>
      <c r="G57" s="16" t="n">
        <v>99.8</v>
      </c>
      <c r="H57" s="16" t="n">
        <v>101.7</v>
      </c>
      <c r="I57" s="17" t="n">
        <f aca="false">ROUND(G57/H57*100,1)</f>
        <v>98.1</v>
      </c>
      <c r="J57" s="16" t="n">
        <v>0.2</v>
      </c>
      <c r="K57" s="12" t="s">
        <v>498</v>
      </c>
      <c r="L57" s="12" t="s">
        <v>487</v>
      </c>
      <c r="M57" s="16" t="n">
        <v>19.17</v>
      </c>
      <c r="N57" s="16" t="n">
        <v>572.7</v>
      </c>
      <c r="O57" s="12" t="s">
        <v>495</v>
      </c>
    </row>
    <row r="58" customFormat="false" ht="15" hidden="false" customHeight="true" outlineLevel="0" collapsed="false">
      <c r="A58" s="12" t="s">
        <v>557</v>
      </c>
      <c r="B58" s="14" t="n">
        <v>45849</v>
      </c>
      <c r="C58" s="12" t="s">
        <v>494</v>
      </c>
      <c r="D58" s="13" t="s">
        <v>171</v>
      </c>
      <c r="E58" s="15" t="str">
        <f aca="false">IFERROR(INDEX(Dim_Employee!$B$2:$B$76,MATCH(D58,Dim_Employee!$A$2:$A$76,0)),"")</f>
        <v>Musa Adeyemi</v>
      </c>
      <c r="F58" s="12" t="s">
        <v>490</v>
      </c>
      <c r="G58" s="16" t="n">
        <v>101.3</v>
      </c>
      <c r="H58" s="16" t="n">
        <v>119.1</v>
      </c>
      <c r="I58" s="17" t="n">
        <f aca="false">ROUND(G58/H58*100,1)</f>
        <v>85.1</v>
      </c>
      <c r="J58" s="16" t="n">
        <v>2.9</v>
      </c>
      <c r="K58" s="12" t="s">
        <v>501</v>
      </c>
      <c r="L58" s="12" t="s">
        <v>487</v>
      </c>
      <c r="M58" s="16" t="n">
        <v>21.8</v>
      </c>
      <c r="N58" s="16" t="n">
        <v>607.9</v>
      </c>
      <c r="O58" s="12" t="s">
        <v>495</v>
      </c>
    </row>
    <row r="59" customFormat="false" ht="15" hidden="false" customHeight="true" outlineLevel="0" collapsed="false">
      <c r="A59" s="12" t="s">
        <v>558</v>
      </c>
      <c r="B59" s="14" t="n">
        <v>45728</v>
      </c>
      <c r="C59" s="12" t="s">
        <v>504</v>
      </c>
      <c r="D59" s="13" t="s">
        <v>146</v>
      </c>
      <c r="E59" s="15" t="str">
        <f aca="false">IFERROR(INDEX(Dim_Employee!$B$2:$B$76,MATCH(D59,Dim_Employee!$A$2:$A$76,0)),"")</f>
        <v>Olamide Sani</v>
      </c>
      <c r="F59" s="12" t="s">
        <v>485</v>
      </c>
      <c r="G59" s="16" t="n">
        <v>86</v>
      </c>
      <c r="H59" s="16" t="n">
        <v>91.5</v>
      </c>
      <c r="I59" s="17" t="n">
        <f aca="false">ROUND(G59/H59*100,1)</f>
        <v>94</v>
      </c>
      <c r="J59" s="16" t="n">
        <v>1</v>
      </c>
      <c r="K59" s="12" t="s">
        <v>498</v>
      </c>
      <c r="L59" s="12" t="s">
        <v>487</v>
      </c>
      <c r="M59" s="16" t="n">
        <v>19.53</v>
      </c>
      <c r="N59" s="16" t="n">
        <v>497.8</v>
      </c>
      <c r="O59" s="12" t="s">
        <v>492</v>
      </c>
    </row>
    <row r="60" customFormat="false" ht="15" hidden="false" customHeight="true" outlineLevel="0" collapsed="false">
      <c r="A60" s="12" t="s">
        <v>559</v>
      </c>
      <c r="B60" s="14" t="n">
        <v>45992</v>
      </c>
      <c r="C60" s="12" t="s">
        <v>504</v>
      </c>
      <c r="D60" s="13" t="s">
        <v>195</v>
      </c>
      <c r="E60" s="15" t="str">
        <f aca="false">IFERROR(INDEX(Dim_Employee!$B$2:$B$76,MATCH(D60,Dim_Employee!$A$2:$A$76,0)),"")</f>
        <v>Peace Balogun</v>
      </c>
      <c r="F60" s="12" t="s">
        <v>485</v>
      </c>
      <c r="G60" s="16" t="n">
        <v>81.2</v>
      </c>
      <c r="H60" s="16" t="n">
        <v>100.3</v>
      </c>
      <c r="I60" s="17" t="n">
        <f aca="false">ROUND(G60/H60*100,1)</f>
        <v>81</v>
      </c>
      <c r="J60" s="16" t="n">
        <v>4.7</v>
      </c>
      <c r="K60" s="12" t="s">
        <v>491</v>
      </c>
      <c r="L60" s="12" t="s">
        <v>487</v>
      </c>
      <c r="M60" s="16" t="n">
        <v>16.41</v>
      </c>
      <c r="N60" s="16" t="n">
        <v>558</v>
      </c>
      <c r="O60" s="12" t="s">
        <v>492</v>
      </c>
    </row>
    <row r="61" customFormat="false" ht="15" hidden="false" customHeight="true" outlineLevel="0" collapsed="false">
      <c r="A61" s="12" t="s">
        <v>560</v>
      </c>
      <c r="B61" s="14" t="n">
        <v>45912</v>
      </c>
      <c r="C61" s="12" t="s">
        <v>500</v>
      </c>
      <c r="D61" s="13" t="s">
        <v>152</v>
      </c>
      <c r="E61" s="15" t="str">
        <f aca="false">IFERROR(INDEX(Dim_Employee!$B$2:$B$76,MATCH(D61,Dim_Employee!$A$2:$A$76,0)),"")</f>
        <v>Abdullahi Aliyu</v>
      </c>
      <c r="F61" s="12" t="s">
        <v>485</v>
      </c>
      <c r="G61" s="16" t="n">
        <v>73</v>
      </c>
      <c r="H61" s="16" t="n">
        <v>95</v>
      </c>
      <c r="I61" s="17" t="n">
        <f aca="false">ROUND(G61/H61*100,1)</f>
        <v>76.8</v>
      </c>
      <c r="J61" s="16" t="n">
        <v>3.1</v>
      </c>
      <c r="K61" s="12" t="s">
        <v>516</v>
      </c>
      <c r="L61" s="12" t="s">
        <v>487</v>
      </c>
      <c r="M61" s="16" t="n">
        <v>16.78</v>
      </c>
      <c r="N61" s="16" t="n">
        <v>543</v>
      </c>
      <c r="O61" s="12" t="s">
        <v>495</v>
      </c>
    </row>
    <row r="62" customFormat="false" ht="15" hidden="false" customHeight="true" outlineLevel="0" collapsed="false">
      <c r="A62" s="12" t="s">
        <v>561</v>
      </c>
      <c r="B62" s="14" t="n">
        <v>45821</v>
      </c>
      <c r="C62" s="12" t="s">
        <v>500</v>
      </c>
      <c r="D62" s="13" t="s">
        <v>167</v>
      </c>
      <c r="E62" s="15" t="str">
        <f aca="false">IFERROR(INDEX(Dim_Employee!$B$2:$B$76,MATCH(D62,Dim_Employee!$A$2:$A$76,0)),"")</f>
        <v>Emmanuel Yakubu</v>
      </c>
      <c r="F62" s="12" t="s">
        <v>485</v>
      </c>
      <c r="G62" s="16" t="n">
        <v>75.2</v>
      </c>
      <c r="H62" s="16" t="n">
        <v>97.3</v>
      </c>
      <c r="I62" s="17" t="n">
        <f aca="false">ROUND(G62/H62*100,1)</f>
        <v>77.3</v>
      </c>
      <c r="J62" s="16" t="n">
        <v>4.7</v>
      </c>
      <c r="K62" s="12" t="s">
        <v>498</v>
      </c>
      <c r="L62" s="12" t="s">
        <v>487</v>
      </c>
      <c r="M62" s="16" t="n">
        <v>16</v>
      </c>
      <c r="N62" s="16" t="n">
        <v>604.2</v>
      </c>
      <c r="O62" s="12" t="s">
        <v>492</v>
      </c>
    </row>
    <row r="63" customFormat="false" ht="15" hidden="false" customHeight="true" outlineLevel="0" collapsed="false">
      <c r="A63" s="12" t="s">
        <v>562</v>
      </c>
      <c r="B63" s="14" t="n">
        <v>45831</v>
      </c>
      <c r="C63" s="12" t="s">
        <v>484</v>
      </c>
      <c r="D63" s="13" t="s">
        <v>191</v>
      </c>
      <c r="E63" s="15" t="str">
        <f aca="false">IFERROR(INDEX(Dim_Employee!$B$2:$B$76,MATCH(D63,Dim_Employee!$A$2:$A$76,0)),"")</f>
        <v>Chukwudi Eze</v>
      </c>
      <c r="F63" s="12" t="s">
        <v>485</v>
      </c>
      <c r="G63" s="16" t="n">
        <v>89.8</v>
      </c>
      <c r="H63" s="16" t="n">
        <v>102.4</v>
      </c>
      <c r="I63" s="17" t="n">
        <f aca="false">ROUND(G63/H63*100,1)</f>
        <v>87.7</v>
      </c>
      <c r="J63" s="16" t="n">
        <v>2.2</v>
      </c>
      <c r="K63" s="12" t="s">
        <v>498</v>
      </c>
      <c r="L63" s="12" t="s">
        <v>487</v>
      </c>
      <c r="M63" s="16" t="n">
        <v>20.54</v>
      </c>
      <c r="N63" s="16" t="n">
        <v>497.6</v>
      </c>
      <c r="O63" s="12" t="s">
        <v>495</v>
      </c>
    </row>
    <row r="64" customFormat="false" ht="15" hidden="false" customHeight="true" outlineLevel="0" collapsed="false">
      <c r="A64" s="12" t="s">
        <v>563</v>
      </c>
      <c r="B64" s="14" t="n">
        <v>45886</v>
      </c>
      <c r="C64" s="12" t="s">
        <v>494</v>
      </c>
      <c r="D64" s="13" t="s">
        <v>146</v>
      </c>
      <c r="E64" s="15" t="str">
        <f aca="false">IFERROR(INDEX(Dim_Employee!$B$2:$B$76,MATCH(D64,Dim_Employee!$A$2:$A$76,0)),"")</f>
        <v>Olamide Sani</v>
      </c>
      <c r="F64" s="12" t="s">
        <v>485</v>
      </c>
      <c r="G64" s="16" t="n">
        <v>77.9</v>
      </c>
      <c r="H64" s="16" t="n">
        <v>98.1</v>
      </c>
      <c r="I64" s="17" t="n">
        <f aca="false">ROUND(G64/H64*100,1)</f>
        <v>79.4</v>
      </c>
      <c r="J64" s="16" t="n">
        <v>3.6</v>
      </c>
      <c r="K64" s="12" t="s">
        <v>516</v>
      </c>
      <c r="L64" s="12" t="s">
        <v>487</v>
      </c>
      <c r="M64" s="16" t="n">
        <v>17.52</v>
      </c>
      <c r="N64" s="16" t="n">
        <v>483.1</v>
      </c>
      <c r="O64" s="12" t="s">
        <v>488</v>
      </c>
    </row>
    <row r="65" customFormat="false" ht="15" hidden="false" customHeight="true" outlineLevel="0" collapsed="false">
      <c r="A65" s="12" t="s">
        <v>564</v>
      </c>
      <c r="B65" s="14" t="n">
        <v>45958</v>
      </c>
      <c r="C65" s="12" t="s">
        <v>494</v>
      </c>
      <c r="D65" s="13" t="s">
        <v>195</v>
      </c>
      <c r="E65" s="15" t="str">
        <f aca="false">IFERROR(INDEX(Dim_Employee!$B$2:$B$76,MATCH(D65,Dim_Employee!$A$2:$A$76,0)),"")</f>
        <v>Peace Balogun</v>
      </c>
      <c r="F65" s="12" t="s">
        <v>490</v>
      </c>
      <c r="G65" s="16" t="n">
        <v>110</v>
      </c>
      <c r="H65" s="16" t="n">
        <v>111.3</v>
      </c>
      <c r="I65" s="17" t="n">
        <f aca="false">ROUND(G65/H65*100,1)</f>
        <v>98.8</v>
      </c>
      <c r="J65" s="16" t="n">
        <v>0.3</v>
      </c>
      <c r="K65" s="12" t="s">
        <v>498</v>
      </c>
      <c r="L65" s="12" t="s">
        <v>487</v>
      </c>
      <c r="M65" s="16" t="n">
        <v>24.99</v>
      </c>
      <c r="N65" s="16" t="n">
        <v>609.9</v>
      </c>
      <c r="O65" s="12" t="s">
        <v>492</v>
      </c>
    </row>
    <row r="66" customFormat="false" ht="15" hidden="false" customHeight="true" outlineLevel="0" collapsed="false">
      <c r="A66" s="12" t="s">
        <v>565</v>
      </c>
      <c r="B66" s="14" t="n">
        <v>45925</v>
      </c>
      <c r="C66" s="12" t="s">
        <v>484</v>
      </c>
      <c r="D66" s="13" t="s">
        <v>199</v>
      </c>
      <c r="E66" s="15" t="str">
        <f aca="false">IFERROR(INDEX(Dim_Employee!$B$2:$B$76,MATCH(D66,Dim_Employee!$A$2:$A$76,0)),"")</f>
        <v>Olamide Anyanwu</v>
      </c>
      <c r="F66" s="12" t="s">
        <v>497</v>
      </c>
      <c r="G66" s="16" t="n">
        <v>73.4</v>
      </c>
      <c r="H66" s="16" t="n">
        <v>97.5</v>
      </c>
      <c r="I66" s="17" t="n">
        <f aca="false">ROUND(G66/H66*100,1)</f>
        <v>75.3</v>
      </c>
      <c r="J66" s="16" t="n">
        <v>3.2</v>
      </c>
      <c r="K66" s="12" t="s">
        <v>491</v>
      </c>
      <c r="L66" s="12" t="s">
        <v>487</v>
      </c>
      <c r="M66" s="16" t="n">
        <v>16.43</v>
      </c>
      <c r="N66" s="16" t="n">
        <v>605.3</v>
      </c>
      <c r="O66" s="12" t="s">
        <v>488</v>
      </c>
    </row>
    <row r="67" customFormat="false" ht="15" hidden="false" customHeight="true" outlineLevel="0" collapsed="false">
      <c r="A67" s="12" t="s">
        <v>566</v>
      </c>
      <c r="B67" s="14" t="n">
        <v>45677</v>
      </c>
      <c r="C67" s="12" t="s">
        <v>504</v>
      </c>
      <c r="D67" s="13" t="s">
        <v>141</v>
      </c>
      <c r="E67" s="15" t="str">
        <f aca="false">IFERROR(INDEX(Dim_Employee!$B$2:$B$76,MATCH(D67,Dim_Employee!$A$2:$A$76,0)),"")</f>
        <v>Abdullahi Adeyemi</v>
      </c>
      <c r="F67" s="12" t="s">
        <v>490</v>
      </c>
      <c r="G67" s="16" t="n">
        <v>68.2</v>
      </c>
      <c r="H67" s="16" t="n">
        <v>90</v>
      </c>
      <c r="I67" s="17" t="n">
        <f aca="false">ROUND(G67/H67*100,1)</f>
        <v>75.8</v>
      </c>
      <c r="J67" s="16" t="n">
        <v>4.7</v>
      </c>
      <c r="K67" s="12" t="s">
        <v>491</v>
      </c>
      <c r="L67" s="12" t="s">
        <v>487</v>
      </c>
      <c r="M67" s="16" t="n">
        <v>14.4</v>
      </c>
      <c r="N67" s="16" t="n">
        <v>541.2</v>
      </c>
      <c r="O67" s="12" t="s">
        <v>488</v>
      </c>
    </row>
    <row r="68" customFormat="false" ht="15" hidden="false" customHeight="true" outlineLevel="0" collapsed="false">
      <c r="A68" s="12" t="s">
        <v>567</v>
      </c>
      <c r="B68" s="14" t="n">
        <v>45856</v>
      </c>
      <c r="C68" s="12" t="s">
        <v>504</v>
      </c>
      <c r="D68" s="13" t="s">
        <v>152</v>
      </c>
      <c r="E68" s="15" t="str">
        <f aca="false">IFERROR(INDEX(Dim_Employee!$B$2:$B$76,MATCH(D68,Dim_Employee!$A$2:$A$76,0)),"")</f>
        <v>Abdullahi Aliyu</v>
      </c>
      <c r="F68" s="12" t="s">
        <v>490</v>
      </c>
      <c r="G68" s="16" t="n">
        <v>80.8</v>
      </c>
      <c r="H68" s="16" t="n">
        <v>92.1</v>
      </c>
      <c r="I68" s="17" t="n">
        <f aca="false">ROUND(G68/H68*100,1)</f>
        <v>87.7</v>
      </c>
      <c r="J68" s="16" t="n">
        <v>2.4</v>
      </c>
      <c r="K68" s="12" t="s">
        <v>501</v>
      </c>
      <c r="L68" s="12" t="s">
        <v>487</v>
      </c>
      <c r="M68" s="16" t="n">
        <v>15.36</v>
      </c>
      <c r="N68" s="16" t="n">
        <v>555.2</v>
      </c>
      <c r="O68" s="12" t="s">
        <v>492</v>
      </c>
    </row>
    <row r="69" customFormat="false" ht="15" hidden="false" customHeight="true" outlineLevel="0" collapsed="false">
      <c r="A69" s="12" t="s">
        <v>568</v>
      </c>
      <c r="B69" s="14" t="n">
        <v>45901</v>
      </c>
      <c r="C69" s="12" t="s">
        <v>500</v>
      </c>
      <c r="D69" s="13" t="s">
        <v>175</v>
      </c>
      <c r="E69" s="15" t="str">
        <f aca="false">IFERROR(INDEX(Dim_Employee!$B$2:$B$76,MATCH(D69,Dim_Employee!$A$2:$A$76,0)),"")</f>
        <v>Kingsley Okonkwo</v>
      </c>
      <c r="F69" s="12" t="s">
        <v>497</v>
      </c>
      <c r="G69" s="16" t="n">
        <v>108.5</v>
      </c>
      <c r="H69" s="16" t="n">
        <v>118.8</v>
      </c>
      <c r="I69" s="17" t="n">
        <f aca="false">ROUND(G69/H69*100,1)</f>
        <v>91.3</v>
      </c>
      <c r="J69" s="16" t="n">
        <v>2.9</v>
      </c>
      <c r="K69" s="12" t="s">
        <v>498</v>
      </c>
      <c r="L69" s="12" t="s">
        <v>487</v>
      </c>
      <c r="M69" s="16" t="n">
        <v>24.78</v>
      </c>
      <c r="N69" s="16" t="n">
        <v>578.7</v>
      </c>
      <c r="O69" s="12" t="s">
        <v>512</v>
      </c>
    </row>
    <row r="70" customFormat="false" ht="15" hidden="false" customHeight="true" outlineLevel="0" collapsed="false">
      <c r="A70" s="12" t="s">
        <v>569</v>
      </c>
      <c r="B70" s="14" t="n">
        <v>45873</v>
      </c>
      <c r="C70" s="12" t="s">
        <v>484</v>
      </c>
      <c r="D70" s="13" t="s">
        <v>141</v>
      </c>
      <c r="E70" s="15" t="str">
        <f aca="false">IFERROR(INDEX(Dim_Employee!$B$2:$B$76,MATCH(D70,Dim_Employee!$A$2:$A$76,0)),"")</f>
        <v>Abdullahi Adeyemi</v>
      </c>
      <c r="F70" s="12" t="s">
        <v>485</v>
      </c>
      <c r="G70" s="16" t="n">
        <v>78.9</v>
      </c>
      <c r="H70" s="16" t="n">
        <v>90.7</v>
      </c>
      <c r="I70" s="17" t="n">
        <f aca="false">ROUND(G70/H70*100,1)</f>
        <v>87</v>
      </c>
      <c r="J70" s="16" t="n">
        <v>2.8</v>
      </c>
      <c r="K70" s="12" t="s">
        <v>498</v>
      </c>
      <c r="L70" s="12" t="s">
        <v>487</v>
      </c>
      <c r="M70" s="16" t="n">
        <v>16.33</v>
      </c>
      <c r="N70" s="16" t="n">
        <v>531.8</v>
      </c>
      <c r="O70" s="12" t="s">
        <v>492</v>
      </c>
    </row>
    <row r="71" customFormat="false" ht="15" hidden="false" customHeight="true" outlineLevel="0" collapsed="false">
      <c r="A71" s="12" t="s">
        <v>570</v>
      </c>
      <c r="B71" s="14" t="n">
        <v>45860</v>
      </c>
      <c r="C71" s="12" t="s">
        <v>500</v>
      </c>
      <c r="D71" s="13" t="s">
        <v>141</v>
      </c>
      <c r="E71" s="15" t="str">
        <f aca="false">IFERROR(INDEX(Dim_Employee!$B$2:$B$76,MATCH(D71,Dim_Employee!$A$2:$A$76,0)),"")</f>
        <v>Abdullahi Adeyemi</v>
      </c>
      <c r="F71" s="12" t="s">
        <v>490</v>
      </c>
      <c r="G71" s="16" t="n">
        <v>103.7</v>
      </c>
      <c r="H71" s="16" t="n">
        <v>110.9</v>
      </c>
      <c r="I71" s="17" t="n">
        <f aca="false">ROUND(G71/H71*100,1)</f>
        <v>93.5</v>
      </c>
      <c r="J71" s="16" t="n">
        <v>1.2</v>
      </c>
      <c r="K71" s="12" t="s">
        <v>501</v>
      </c>
      <c r="L71" s="12" t="s">
        <v>487</v>
      </c>
      <c r="M71" s="16" t="n">
        <v>22.77</v>
      </c>
      <c r="N71" s="16" t="n">
        <v>550.7</v>
      </c>
      <c r="O71" s="12" t="s">
        <v>495</v>
      </c>
    </row>
    <row r="72" customFormat="false" ht="15" hidden="false" customHeight="true" outlineLevel="0" collapsed="false">
      <c r="A72" s="12" t="s">
        <v>571</v>
      </c>
      <c r="B72" s="14" t="n">
        <v>45776</v>
      </c>
      <c r="C72" s="12" t="s">
        <v>494</v>
      </c>
      <c r="D72" s="13" t="s">
        <v>203</v>
      </c>
      <c r="E72" s="15" t="str">
        <f aca="false">IFERROR(INDEX(Dim_Employee!$B$2:$B$76,MATCH(D72,Dim_Employee!$A$2:$A$76,0)),"")</f>
        <v>Tunde Okonkwo</v>
      </c>
      <c r="F72" s="12" t="s">
        <v>490</v>
      </c>
      <c r="G72" s="16" t="n">
        <v>96.9</v>
      </c>
      <c r="H72" s="16" t="n">
        <v>119.1</v>
      </c>
      <c r="I72" s="17" t="n">
        <f aca="false">ROUND(G72/H72*100,1)</f>
        <v>81.4</v>
      </c>
      <c r="J72" s="16" t="n">
        <v>5.9</v>
      </c>
      <c r="K72" s="12" t="s">
        <v>498</v>
      </c>
      <c r="L72" s="12" t="s">
        <v>487</v>
      </c>
      <c r="M72" s="16" t="n">
        <v>21.86</v>
      </c>
      <c r="N72" s="16" t="n">
        <v>495.3</v>
      </c>
      <c r="O72" s="12" t="s">
        <v>492</v>
      </c>
    </row>
    <row r="73" customFormat="false" ht="15" hidden="false" customHeight="true" outlineLevel="0" collapsed="false">
      <c r="A73" s="12" t="s">
        <v>572</v>
      </c>
      <c r="B73" s="14" t="n">
        <v>45686</v>
      </c>
      <c r="C73" s="12" t="s">
        <v>500</v>
      </c>
      <c r="D73" s="13" t="s">
        <v>162</v>
      </c>
      <c r="E73" s="15" t="str">
        <f aca="false">IFERROR(INDEX(Dim_Employee!$B$2:$B$76,MATCH(D73,Dim_Employee!$A$2:$A$76,0)),"")</f>
        <v>Halima Nwosu</v>
      </c>
      <c r="F73" s="12" t="s">
        <v>485</v>
      </c>
      <c r="G73" s="16" t="n">
        <v>101.2</v>
      </c>
      <c r="H73" s="16" t="n">
        <v>116.9</v>
      </c>
      <c r="I73" s="17" t="n">
        <f aca="false">ROUND(G73/H73*100,1)</f>
        <v>86.6</v>
      </c>
      <c r="J73" s="16" t="n">
        <v>4.4</v>
      </c>
      <c r="K73" s="12" t="s">
        <v>498</v>
      </c>
      <c r="L73" s="12" t="s">
        <v>487</v>
      </c>
      <c r="M73" s="16" t="n">
        <v>19.32</v>
      </c>
      <c r="N73" s="16" t="n">
        <v>563.5</v>
      </c>
      <c r="O73" s="12" t="s">
        <v>492</v>
      </c>
    </row>
    <row r="74" customFormat="false" ht="15" hidden="false" customHeight="true" outlineLevel="0" collapsed="false">
      <c r="A74" s="12" t="s">
        <v>573</v>
      </c>
      <c r="B74" s="14" t="n">
        <v>46022</v>
      </c>
      <c r="C74" s="12" t="s">
        <v>504</v>
      </c>
      <c r="D74" s="13" t="s">
        <v>141</v>
      </c>
      <c r="E74" s="15" t="str">
        <f aca="false">IFERROR(INDEX(Dim_Employee!$B$2:$B$76,MATCH(D74,Dim_Employee!$A$2:$A$76,0)),"")</f>
        <v>Abdullahi Adeyemi</v>
      </c>
      <c r="F74" s="12" t="s">
        <v>497</v>
      </c>
      <c r="G74" s="16" t="n">
        <v>86.3</v>
      </c>
      <c r="H74" s="16" t="n">
        <v>111.3</v>
      </c>
      <c r="I74" s="17" t="n">
        <f aca="false">ROUND(G74/H74*100,1)</f>
        <v>77.5</v>
      </c>
      <c r="J74" s="16" t="n">
        <v>4.7</v>
      </c>
      <c r="K74" s="12" t="s">
        <v>498</v>
      </c>
      <c r="L74" s="12" t="s">
        <v>487</v>
      </c>
      <c r="M74" s="16" t="n">
        <v>16.67</v>
      </c>
      <c r="N74" s="16" t="n">
        <v>503.2</v>
      </c>
      <c r="O74" s="12" t="s">
        <v>495</v>
      </c>
    </row>
    <row r="75" customFormat="false" ht="15" hidden="false" customHeight="true" outlineLevel="0" collapsed="false">
      <c r="A75" s="12" t="s">
        <v>574</v>
      </c>
      <c r="B75" s="14" t="n">
        <v>45817</v>
      </c>
      <c r="C75" s="12" t="s">
        <v>494</v>
      </c>
      <c r="D75" s="13" t="s">
        <v>162</v>
      </c>
      <c r="E75" s="15" t="str">
        <f aca="false">IFERROR(INDEX(Dim_Employee!$B$2:$B$76,MATCH(D75,Dim_Employee!$A$2:$A$76,0)),"")</f>
        <v>Halima Nwosu</v>
      </c>
      <c r="F75" s="12" t="s">
        <v>485</v>
      </c>
      <c r="G75" s="16" t="n">
        <v>96.2</v>
      </c>
      <c r="H75" s="16" t="n">
        <v>109.6</v>
      </c>
      <c r="I75" s="17" t="n">
        <f aca="false">ROUND(G75/H75*100,1)</f>
        <v>87.8</v>
      </c>
      <c r="J75" s="16" t="n">
        <v>2.6</v>
      </c>
      <c r="K75" s="12" t="s">
        <v>534</v>
      </c>
      <c r="L75" s="12" t="s">
        <v>487</v>
      </c>
      <c r="M75" s="16" t="n">
        <v>19.98</v>
      </c>
      <c r="N75" s="16" t="n">
        <v>495.3</v>
      </c>
      <c r="O75" s="12" t="s">
        <v>488</v>
      </c>
    </row>
    <row r="76" customFormat="false" ht="15" hidden="false" customHeight="true" outlineLevel="0" collapsed="false">
      <c r="A76" s="12" t="s">
        <v>575</v>
      </c>
      <c r="B76" s="14" t="n">
        <v>45945</v>
      </c>
      <c r="C76" s="12" t="s">
        <v>500</v>
      </c>
      <c r="D76" s="13" t="s">
        <v>175</v>
      </c>
      <c r="E76" s="15" t="str">
        <f aca="false">IFERROR(INDEX(Dim_Employee!$B$2:$B$76,MATCH(D76,Dim_Employee!$A$2:$A$76,0)),"")</f>
        <v>Kingsley Okonkwo</v>
      </c>
      <c r="F76" s="12" t="s">
        <v>485</v>
      </c>
      <c r="G76" s="16" t="n">
        <v>78.2</v>
      </c>
      <c r="H76" s="16" t="n">
        <v>92.4</v>
      </c>
      <c r="I76" s="17" t="n">
        <f aca="false">ROUND(G76/H76*100,1)</f>
        <v>84.6</v>
      </c>
      <c r="J76" s="16" t="n">
        <v>3.9</v>
      </c>
      <c r="K76" s="12" t="s">
        <v>498</v>
      </c>
      <c r="L76" s="12" t="s">
        <v>487</v>
      </c>
      <c r="M76" s="16" t="n">
        <v>17.43</v>
      </c>
      <c r="N76" s="16" t="n">
        <v>595.1</v>
      </c>
      <c r="O76" s="12" t="s">
        <v>492</v>
      </c>
    </row>
    <row r="77" customFormat="false" ht="15" hidden="false" customHeight="true" outlineLevel="0" collapsed="false">
      <c r="A77" s="12" t="s">
        <v>576</v>
      </c>
      <c r="B77" s="14" t="n">
        <v>45886</v>
      </c>
      <c r="C77" s="12" t="s">
        <v>500</v>
      </c>
      <c r="D77" s="13" t="s">
        <v>146</v>
      </c>
      <c r="E77" s="15" t="str">
        <f aca="false">IFERROR(INDEX(Dim_Employee!$B$2:$B$76,MATCH(D77,Dim_Employee!$A$2:$A$76,0)),"")</f>
        <v>Olamide Sani</v>
      </c>
      <c r="F77" s="12" t="s">
        <v>485</v>
      </c>
      <c r="G77" s="16" t="n">
        <v>78.9</v>
      </c>
      <c r="H77" s="16" t="n">
        <v>91.5</v>
      </c>
      <c r="I77" s="17" t="n">
        <f aca="false">ROUND(G77/H77*100,1)</f>
        <v>86.2</v>
      </c>
      <c r="J77" s="16" t="n">
        <v>2.2</v>
      </c>
      <c r="K77" s="12" t="s">
        <v>498</v>
      </c>
      <c r="L77" s="12" t="s">
        <v>487</v>
      </c>
      <c r="M77" s="16" t="n">
        <v>17.82</v>
      </c>
      <c r="N77" s="16" t="n">
        <v>484.2</v>
      </c>
      <c r="O77" s="12" t="s">
        <v>492</v>
      </c>
    </row>
    <row r="78" customFormat="false" ht="15" hidden="false" customHeight="true" outlineLevel="0" collapsed="false">
      <c r="A78" s="12" t="s">
        <v>577</v>
      </c>
      <c r="B78" s="14" t="n">
        <v>45675</v>
      </c>
      <c r="C78" s="12" t="s">
        <v>494</v>
      </c>
      <c r="D78" s="13" t="s">
        <v>171</v>
      </c>
      <c r="E78" s="15" t="str">
        <f aca="false">IFERROR(INDEX(Dim_Employee!$B$2:$B$76,MATCH(D78,Dim_Employee!$A$2:$A$76,0)),"")</f>
        <v>Musa Adeyemi</v>
      </c>
      <c r="F78" s="12" t="s">
        <v>490</v>
      </c>
      <c r="G78" s="16" t="n">
        <v>108.7</v>
      </c>
      <c r="H78" s="16" t="n">
        <v>114.4</v>
      </c>
      <c r="I78" s="17" t="n">
        <f aca="false">ROUND(G78/H78*100,1)</f>
        <v>95</v>
      </c>
      <c r="J78" s="16" t="n">
        <v>0.6</v>
      </c>
      <c r="K78" s="12" t="s">
        <v>501</v>
      </c>
      <c r="L78" s="12" t="s">
        <v>487</v>
      </c>
      <c r="M78" s="16" t="n">
        <v>20.92</v>
      </c>
      <c r="N78" s="16" t="n">
        <v>507.3</v>
      </c>
      <c r="O78" s="12" t="s">
        <v>488</v>
      </c>
    </row>
    <row r="79" customFormat="false" ht="15" hidden="false" customHeight="true" outlineLevel="0" collapsed="false">
      <c r="A79" s="12" t="s">
        <v>578</v>
      </c>
      <c r="B79" s="14" t="n">
        <v>45680</v>
      </c>
      <c r="C79" s="12" t="s">
        <v>504</v>
      </c>
      <c r="D79" s="13" t="s">
        <v>183</v>
      </c>
      <c r="E79" s="15" t="str">
        <f aca="false">IFERROR(INDEX(Dim_Employee!$B$2:$B$76,MATCH(D79,Dim_Employee!$A$2:$A$76,0)),"")</f>
        <v>Titilayo Danjuma</v>
      </c>
      <c r="F79" s="12" t="s">
        <v>497</v>
      </c>
      <c r="G79" s="16" t="n">
        <v>82.8</v>
      </c>
      <c r="H79" s="16" t="n">
        <v>100.9</v>
      </c>
      <c r="I79" s="17" t="n">
        <f aca="false">ROUND(G79/H79*100,1)</f>
        <v>82.1</v>
      </c>
      <c r="J79" s="16" t="n">
        <v>5.3</v>
      </c>
      <c r="K79" s="12" t="s">
        <v>491</v>
      </c>
      <c r="L79" s="12" t="s">
        <v>487</v>
      </c>
      <c r="M79" s="16" t="n">
        <v>16.78</v>
      </c>
      <c r="N79" s="16" t="n">
        <v>518.6</v>
      </c>
      <c r="O79" s="12" t="s">
        <v>488</v>
      </c>
    </row>
    <row r="80" customFormat="false" ht="15" hidden="false" customHeight="true" outlineLevel="0" collapsed="false">
      <c r="A80" s="12" t="s">
        <v>579</v>
      </c>
      <c r="B80" s="14" t="n">
        <v>45896</v>
      </c>
      <c r="C80" s="12" t="s">
        <v>494</v>
      </c>
      <c r="D80" s="13" t="s">
        <v>146</v>
      </c>
      <c r="E80" s="15" t="str">
        <f aca="false">IFERROR(INDEX(Dim_Employee!$B$2:$B$76,MATCH(D80,Dim_Employee!$A$2:$A$76,0)),"")</f>
        <v>Olamide Sani</v>
      </c>
      <c r="F80" s="12" t="s">
        <v>485</v>
      </c>
      <c r="G80" s="16" t="n">
        <v>71.7</v>
      </c>
      <c r="H80" s="16" t="n">
        <v>90.7</v>
      </c>
      <c r="I80" s="17" t="n">
        <f aca="false">ROUND(G80/H80*100,1)</f>
        <v>79.1</v>
      </c>
      <c r="J80" s="16" t="n">
        <v>3.7</v>
      </c>
      <c r="K80" s="12" t="s">
        <v>516</v>
      </c>
      <c r="L80" s="12" t="s">
        <v>487</v>
      </c>
      <c r="M80" s="16" t="n">
        <v>15.96</v>
      </c>
      <c r="N80" s="16" t="n">
        <v>498.6</v>
      </c>
      <c r="O80" s="12" t="s">
        <v>492</v>
      </c>
    </row>
    <row r="81" customFormat="false" ht="15" hidden="false" customHeight="true" outlineLevel="0" collapsed="false">
      <c r="A81" s="12" t="s">
        <v>580</v>
      </c>
      <c r="B81" s="14" t="n">
        <v>46012</v>
      </c>
      <c r="C81" s="12" t="s">
        <v>500</v>
      </c>
      <c r="D81" s="13" t="s">
        <v>162</v>
      </c>
      <c r="E81" s="15" t="str">
        <f aca="false">IFERROR(INDEX(Dim_Employee!$B$2:$B$76,MATCH(D81,Dim_Employee!$A$2:$A$76,0)),"")</f>
        <v>Halima Nwosu</v>
      </c>
      <c r="F81" s="12" t="s">
        <v>497</v>
      </c>
      <c r="G81" s="16" t="n">
        <v>90.2</v>
      </c>
      <c r="H81" s="16" t="n">
        <v>90.3</v>
      </c>
      <c r="I81" s="17" t="n">
        <f aca="false">ROUND(G81/H81*100,1)</f>
        <v>99.9</v>
      </c>
      <c r="J81" s="16" t="n">
        <v>0</v>
      </c>
      <c r="K81" s="12" t="s">
        <v>498</v>
      </c>
      <c r="L81" s="12" t="s">
        <v>487</v>
      </c>
      <c r="M81" s="16" t="n">
        <v>20.25</v>
      </c>
      <c r="N81" s="16" t="n">
        <v>544.5</v>
      </c>
      <c r="O81" s="12" t="s">
        <v>488</v>
      </c>
    </row>
    <row r="82" customFormat="false" ht="15" hidden="false" customHeight="true" outlineLevel="0" collapsed="false">
      <c r="A82" s="12" t="s">
        <v>581</v>
      </c>
      <c r="B82" s="14" t="n">
        <v>45990</v>
      </c>
      <c r="C82" s="12" t="s">
        <v>484</v>
      </c>
      <c r="D82" s="13" t="s">
        <v>167</v>
      </c>
      <c r="E82" s="15" t="str">
        <f aca="false">IFERROR(INDEX(Dim_Employee!$B$2:$B$76,MATCH(D82,Dim_Employee!$A$2:$A$76,0)),"")</f>
        <v>Emmanuel Yakubu</v>
      </c>
      <c r="F82" s="12" t="s">
        <v>485</v>
      </c>
      <c r="G82" s="16" t="n">
        <v>78.2</v>
      </c>
      <c r="H82" s="16" t="n">
        <v>101.8</v>
      </c>
      <c r="I82" s="17" t="n">
        <f aca="false">ROUND(G82/H82*100,1)</f>
        <v>76.8</v>
      </c>
      <c r="J82" s="16" t="n">
        <v>4.3</v>
      </c>
      <c r="K82" s="12" t="s">
        <v>486</v>
      </c>
      <c r="L82" s="12" t="s">
        <v>487</v>
      </c>
      <c r="M82" s="16" t="n">
        <v>15.88</v>
      </c>
      <c r="N82" s="16" t="n">
        <v>617.2</v>
      </c>
      <c r="O82" s="12" t="s">
        <v>488</v>
      </c>
    </row>
    <row r="83" customFormat="false" ht="15" hidden="false" customHeight="true" outlineLevel="0" collapsed="false">
      <c r="A83" s="12" t="s">
        <v>582</v>
      </c>
      <c r="B83" s="14" t="n">
        <v>45913</v>
      </c>
      <c r="C83" s="12" t="s">
        <v>494</v>
      </c>
      <c r="D83" s="13" t="s">
        <v>146</v>
      </c>
      <c r="E83" s="15" t="str">
        <f aca="false">IFERROR(INDEX(Dim_Employee!$B$2:$B$76,MATCH(D83,Dim_Employee!$A$2:$A$76,0)),"")</f>
        <v>Olamide Sani</v>
      </c>
      <c r="F83" s="12" t="s">
        <v>490</v>
      </c>
      <c r="G83" s="16" t="n">
        <v>73</v>
      </c>
      <c r="H83" s="16" t="n">
        <v>97.9</v>
      </c>
      <c r="I83" s="17" t="n">
        <f aca="false">ROUND(G83/H83*100,1)</f>
        <v>74.6</v>
      </c>
      <c r="J83" s="16" t="n">
        <v>3</v>
      </c>
      <c r="K83" s="12" t="s">
        <v>498</v>
      </c>
      <c r="L83" s="12" t="s">
        <v>487</v>
      </c>
      <c r="M83" s="16" t="n">
        <v>15.09</v>
      </c>
      <c r="N83" s="16" t="n">
        <v>566.8</v>
      </c>
      <c r="O83" s="12" t="s">
        <v>495</v>
      </c>
    </row>
    <row r="84" customFormat="false" ht="15" hidden="false" customHeight="true" outlineLevel="0" collapsed="false">
      <c r="A84" s="12" t="s">
        <v>583</v>
      </c>
      <c r="B84" s="14" t="n">
        <v>45795</v>
      </c>
      <c r="C84" s="12" t="s">
        <v>504</v>
      </c>
      <c r="D84" s="13" t="s">
        <v>152</v>
      </c>
      <c r="E84" s="15" t="str">
        <f aca="false">IFERROR(INDEX(Dim_Employee!$B$2:$B$76,MATCH(D84,Dim_Employee!$A$2:$A$76,0)),"")</f>
        <v>Abdullahi Aliyu</v>
      </c>
      <c r="F84" s="12" t="s">
        <v>485</v>
      </c>
      <c r="G84" s="16" t="n">
        <v>91.6</v>
      </c>
      <c r="H84" s="16" t="n">
        <v>113.4</v>
      </c>
      <c r="I84" s="17" t="n">
        <f aca="false">ROUND(G84/H84*100,1)</f>
        <v>80.8</v>
      </c>
      <c r="J84" s="16" t="n">
        <v>3.4</v>
      </c>
      <c r="K84" s="12" t="s">
        <v>491</v>
      </c>
      <c r="L84" s="12" t="s">
        <v>487</v>
      </c>
      <c r="M84" s="16" t="n">
        <v>18.13</v>
      </c>
      <c r="N84" s="16" t="n">
        <v>514.6</v>
      </c>
      <c r="O84" s="12" t="s">
        <v>495</v>
      </c>
    </row>
    <row r="85" customFormat="false" ht="15" hidden="false" customHeight="true" outlineLevel="0" collapsed="false">
      <c r="A85" s="12" t="s">
        <v>584</v>
      </c>
      <c r="B85" s="14" t="n">
        <v>45825</v>
      </c>
      <c r="C85" s="12" t="s">
        <v>484</v>
      </c>
      <c r="D85" s="13" t="s">
        <v>171</v>
      </c>
      <c r="E85" s="15" t="str">
        <f aca="false">IFERROR(INDEX(Dim_Employee!$B$2:$B$76,MATCH(D85,Dim_Employee!$A$2:$A$76,0)),"")</f>
        <v>Musa Adeyemi</v>
      </c>
      <c r="F85" s="12" t="s">
        <v>485</v>
      </c>
      <c r="G85" s="16" t="n">
        <v>93.2</v>
      </c>
      <c r="H85" s="16" t="n">
        <v>94.6</v>
      </c>
      <c r="I85" s="17" t="n">
        <f aca="false">ROUND(G85/H85*100,1)</f>
        <v>98.5</v>
      </c>
      <c r="J85" s="16" t="n">
        <v>0.3</v>
      </c>
      <c r="K85" s="12" t="s">
        <v>498</v>
      </c>
      <c r="L85" s="12" t="s">
        <v>487</v>
      </c>
      <c r="M85" s="16" t="n">
        <v>18.62</v>
      </c>
      <c r="N85" s="16" t="n">
        <v>553.7</v>
      </c>
      <c r="O85" s="12" t="s">
        <v>488</v>
      </c>
    </row>
    <row r="86" customFormat="false" ht="15" hidden="false" customHeight="true" outlineLevel="0" collapsed="false">
      <c r="A86" s="12" t="s">
        <v>585</v>
      </c>
      <c r="B86" s="14" t="n">
        <v>45776</v>
      </c>
      <c r="C86" s="12" t="s">
        <v>494</v>
      </c>
      <c r="D86" s="13" t="s">
        <v>199</v>
      </c>
      <c r="E86" s="15" t="str">
        <f aca="false">IFERROR(INDEX(Dim_Employee!$B$2:$B$76,MATCH(D86,Dim_Employee!$A$2:$A$76,0)),"")</f>
        <v>Olamide Anyanwu</v>
      </c>
      <c r="F86" s="12" t="s">
        <v>485</v>
      </c>
      <c r="G86" s="16" t="n">
        <v>89.9</v>
      </c>
      <c r="H86" s="16" t="n">
        <v>119.7</v>
      </c>
      <c r="I86" s="17" t="n">
        <f aca="false">ROUND(G86/H86*100,1)</f>
        <v>75.1</v>
      </c>
      <c r="J86" s="16" t="n">
        <v>5.8</v>
      </c>
      <c r="K86" s="12" t="s">
        <v>498</v>
      </c>
      <c r="L86" s="12" t="s">
        <v>487</v>
      </c>
      <c r="M86" s="16" t="n">
        <v>18.14</v>
      </c>
      <c r="N86" s="16" t="n">
        <v>496.7</v>
      </c>
      <c r="O86" s="12" t="s">
        <v>495</v>
      </c>
    </row>
    <row r="87" customFormat="false" ht="15" hidden="false" customHeight="true" outlineLevel="0" collapsed="false">
      <c r="A87" s="12" t="s">
        <v>586</v>
      </c>
      <c r="B87" s="14" t="n">
        <v>45887</v>
      </c>
      <c r="C87" s="12" t="s">
        <v>504</v>
      </c>
      <c r="D87" s="13" t="s">
        <v>167</v>
      </c>
      <c r="E87" s="15" t="str">
        <f aca="false">IFERROR(INDEX(Dim_Employee!$B$2:$B$76,MATCH(D87,Dim_Employee!$A$2:$A$76,0)),"")</f>
        <v>Emmanuel Yakubu</v>
      </c>
      <c r="F87" s="12" t="s">
        <v>497</v>
      </c>
      <c r="G87" s="16" t="n">
        <v>98.1</v>
      </c>
      <c r="H87" s="16" t="n">
        <v>117.9</v>
      </c>
      <c r="I87" s="17" t="n">
        <f aca="false">ROUND(G87/H87*100,1)</f>
        <v>83.2</v>
      </c>
      <c r="J87" s="16" t="n">
        <v>5.4</v>
      </c>
      <c r="K87" s="12" t="s">
        <v>534</v>
      </c>
      <c r="L87" s="12" t="s">
        <v>487</v>
      </c>
      <c r="M87" s="16" t="n">
        <v>19.05</v>
      </c>
      <c r="N87" s="16" t="n">
        <v>563.5</v>
      </c>
      <c r="O87" s="12" t="s">
        <v>512</v>
      </c>
    </row>
    <row r="88" customFormat="false" ht="15" hidden="false" customHeight="true" outlineLevel="0" collapsed="false">
      <c r="A88" s="12" t="s">
        <v>587</v>
      </c>
      <c r="B88" s="14" t="n">
        <v>45788</v>
      </c>
      <c r="C88" s="12" t="s">
        <v>484</v>
      </c>
      <c r="D88" s="13" t="s">
        <v>167</v>
      </c>
      <c r="E88" s="15" t="str">
        <f aca="false">IFERROR(INDEX(Dim_Employee!$B$2:$B$76,MATCH(D88,Dim_Employee!$A$2:$A$76,0)),"")</f>
        <v>Emmanuel Yakubu</v>
      </c>
      <c r="F88" s="12" t="s">
        <v>497</v>
      </c>
      <c r="G88" s="16" t="n">
        <v>74.9</v>
      </c>
      <c r="H88" s="16" t="n">
        <v>91.1</v>
      </c>
      <c r="I88" s="17" t="n">
        <f aca="false">ROUND(G88/H88*100,1)</f>
        <v>82.2</v>
      </c>
      <c r="J88" s="16" t="n">
        <v>1.8</v>
      </c>
      <c r="K88" s="12" t="s">
        <v>491</v>
      </c>
      <c r="L88" s="12" t="s">
        <v>487</v>
      </c>
      <c r="M88" s="16" t="n">
        <v>16.97</v>
      </c>
      <c r="N88" s="16" t="n">
        <v>594.1</v>
      </c>
      <c r="O88" s="12" t="s">
        <v>512</v>
      </c>
    </row>
    <row r="89" customFormat="false" ht="15" hidden="false" customHeight="true" outlineLevel="0" collapsed="false">
      <c r="A89" s="12" t="s">
        <v>588</v>
      </c>
      <c r="B89" s="14" t="n">
        <v>45762</v>
      </c>
      <c r="C89" s="12" t="s">
        <v>484</v>
      </c>
      <c r="D89" s="13" t="s">
        <v>195</v>
      </c>
      <c r="E89" s="15" t="str">
        <f aca="false">IFERROR(INDEX(Dim_Employee!$B$2:$B$76,MATCH(D89,Dim_Employee!$A$2:$A$76,0)),"")</f>
        <v>Peace Balogun</v>
      </c>
      <c r="F89" s="12" t="s">
        <v>485</v>
      </c>
      <c r="G89" s="16" t="n">
        <v>85.5</v>
      </c>
      <c r="H89" s="16" t="n">
        <v>110.3</v>
      </c>
      <c r="I89" s="17" t="n">
        <f aca="false">ROUND(G89/H89*100,1)</f>
        <v>77.5</v>
      </c>
      <c r="J89" s="16" t="n">
        <v>4</v>
      </c>
      <c r="K89" s="12" t="s">
        <v>486</v>
      </c>
      <c r="L89" s="12" t="s">
        <v>487</v>
      </c>
      <c r="M89" s="16" t="n">
        <v>16.46</v>
      </c>
      <c r="N89" s="16" t="n">
        <v>494.2</v>
      </c>
      <c r="O89" s="12" t="s">
        <v>492</v>
      </c>
    </row>
    <row r="90" customFormat="false" ht="15" hidden="false" customHeight="true" outlineLevel="0" collapsed="false">
      <c r="A90" s="12" t="s">
        <v>589</v>
      </c>
      <c r="B90" s="14" t="n">
        <v>46014</v>
      </c>
      <c r="C90" s="12" t="s">
        <v>504</v>
      </c>
      <c r="D90" s="13" t="s">
        <v>157</v>
      </c>
      <c r="E90" s="15" t="str">
        <f aca="false">IFERROR(INDEX(Dim_Employee!$B$2:$B$76,MATCH(D90,Dim_Employee!$A$2:$A$76,0)),"")</f>
        <v>Kelechi Ojo</v>
      </c>
      <c r="F90" s="12" t="s">
        <v>485</v>
      </c>
      <c r="G90" s="16" t="n">
        <v>81.6</v>
      </c>
      <c r="H90" s="16" t="n">
        <v>109.2</v>
      </c>
      <c r="I90" s="17" t="n">
        <f aca="false">ROUND(G90/H90*100,1)</f>
        <v>74.7</v>
      </c>
      <c r="J90" s="16" t="n">
        <v>3.7</v>
      </c>
      <c r="K90" s="12" t="s">
        <v>534</v>
      </c>
      <c r="L90" s="12" t="s">
        <v>487</v>
      </c>
      <c r="M90" s="16" t="n">
        <v>17.68</v>
      </c>
      <c r="N90" s="16" t="n">
        <v>538.5</v>
      </c>
      <c r="O90" s="12" t="s">
        <v>488</v>
      </c>
    </row>
    <row r="91" customFormat="false" ht="15" hidden="false" customHeight="true" outlineLevel="0" collapsed="false">
      <c r="A91" s="12" t="s">
        <v>590</v>
      </c>
      <c r="B91" s="14" t="n">
        <v>45667</v>
      </c>
      <c r="C91" s="12" t="s">
        <v>504</v>
      </c>
      <c r="D91" s="13" t="s">
        <v>179</v>
      </c>
      <c r="E91" s="15" t="str">
        <f aca="false">IFERROR(INDEX(Dim_Employee!$B$2:$B$76,MATCH(D91,Dim_Employee!$A$2:$A$76,0)),"")</f>
        <v>Amaka Bakare</v>
      </c>
      <c r="F91" s="12" t="s">
        <v>497</v>
      </c>
      <c r="G91" s="16" t="n">
        <v>110.7</v>
      </c>
      <c r="H91" s="16" t="n">
        <v>112.4</v>
      </c>
      <c r="I91" s="17" t="n">
        <f aca="false">ROUND(G91/H91*100,1)</f>
        <v>98.5</v>
      </c>
      <c r="J91" s="16" t="n">
        <v>0.3</v>
      </c>
      <c r="K91" s="12" t="s">
        <v>498</v>
      </c>
      <c r="L91" s="12" t="s">
        <v>487</v>
      </c>
      <c r="M91" s="16" t="n">
        <v>24.26</v>
      </c>
      <c r="N91" s="16" t="n">
        <v>508.5</v>
      </c>
      <c r="O91" s="12" t="s">
        <v>488</v>
      </c>
    </row>
    <row r="92" customFormat="false" ht="15" hidden="false" customHeight="true" outlineLevel="0" collapsed="false">
      <c r="A92" s="12" t="s">
        <v>591</v>
      </c>
      <c r="B92" s="14" t="n">
        <v>45865</v>
      </c>
      <c r="C92" s="12" t="s">
        <v>504</v>
      </c>
      <c r="D92" s="13" t="s">
        <v>195</v>
      </c>
      <c r="E92" s="15" t="str">
        <f aca="false">IFERROR(INDEX(Dim_Employee!$B$2:$B$76,MATCH(D92,Dim_Employee!$A$2:$A$76,0)),"")</f>
        <v>Peace Balogun</v>
      </c>
      <c r="F92" s="12" t="s">
        <v>485</v>
      </c>
      <c r="G92" s="16" t="n">
        <v>99.1</v>
      </c>
      <c r="H92" s="16" t="n">
        <v>117</v>
      </c>
      <c r="I92" s="17" t="n">
        <f aca="false">ROUND(G92/H92*100,1)</f>
        <v>84.7</v>
      </c>
      <c r="J92" s="16" t="n">
        <v>4.7</v>
      </c>
      <c r="K92" s="12" t="s">
        <v>501</v>
      </c>
      <c r="L92" s="12" t="s">
        <v>487</v>
      </c>
      <c r="M92" s="16" t="n">
        <v>19.34</v>
      </c>
      <c r="N92" s="16" t="n">
        <v>487.2</v>
      </c>
      <c r="O92" s="12" t="s">
        <v>495</v>
      </c>
    </row>
    <row r="93" customFormat="false" ht="15" hidden="false" customHeight="true" outlineLevel="0" collapsed="false">
      <c r="A93" s="12" t="s">
        <v>592</v>
      </c>
      <c r="B93" s="14" t="n">
        <v>45916</v>
      </c>
      <c r="C93" s="12" t="s">
        <v>500</v>
      </c>
      <c r="D93" s="13" t="s">
        <v>191</v>
      </c>
      <c r="E93" s="15" t="str">
        <f aca="false">IFERROR(INDEX(Dim_Employee!$B$2:$B$76,MATCH(D93,Dim_Employee!$A$2:$A$76,0)),"")</f>
        <v>Chukwudi Eze</v>
      </c>
      <c r="F93" s="12" t="s">
        <v>490</v>
      </c>
      <c r="G93" s="16" t="n">
        <v>84</v>
      </c>
      <c r="H93" s="16" t="n">
        <v>92.7</v>
      </c>
      <c r="I93" s="17" t="n">
        <f aca="false">ROUND(G93/H93*100,1)</f>
        <v>90.6</v>
      </c>
      <c r="J93" s="16" t="n">
        <v>1.5</v>
      </c>
      <c r="K93" s="12" t="s">
        <v>498</v>
      </c>
      <c r="L93" s="12" t="s">
        <v>487</v>
      </c>
      <c r="M93" s="16" t="n">
        <v>16.5</v>
      </c>
      <c r="N93" s="16" t="n">
        <v>504</v>
      </c>
      <c r="O93" s="12" t="s">
        <v>488</v>
      </c>
    </row>
    <row r="94" customFormat="false" ht="15" hidden="false" customHeight="true" outlineLevel="0" collapsed="false">
      <c r="A94" s="12" t="s">
        <v>593</v>
      </c>
      <c r="B94" s="14" t="n">
        <v>45759</v>
      </c>
      <c r="C94" s="12" t="s">
        <v>504</v>
      </c>
      <c r="D94" s="13" t="s">
        <v>152</v>
      </c>
      <c r="E94" s="15" t="str">
        <f aca="false">IFERROR(INDEX(Dim_Employee!$B$2:$B$76,MATCH(D94,Dim_Employee!$A$2:$A$76,0)),"")</f>
        <v>Abdullahi Aliyu</v>
      </c>
      <c r="F94" s="12" t="s">
        <v>490</v>
      </c>
      <c r="G94" s="16" t="n">
        <v>96</v>
      </c>
      <c r="H94" s="16" t="n">
        <v>101.5</v>
      </c>
      <c r="I94" s="17" t="n">
        <f aca="false">ROUND(G94/H94*100,1)</f>
        <v>94.6</v>
      </c>
      <c r="J94" s="16" t="n">
        <v>1.4</v>
      </c>
      <c r="K94" s="12" t="s">
        <v>516</v>
      </c>
      <c r="L94" s="12" t="s">
        <v>487</v>
      </c>
      <c r="M94" s="16" t="n">
        <v>18.41</v>
      </c>
      <c r="N94" s="16" t="n">
        <v>607.8</v>
      </c>
      <c r="O94" s="12" t="s">
        <v>512</v>
      </c>
    </row>
    <row r="95" customFormat="false" ht="15" hidden="false" customHeight="true" outlineLevel="0" collapsed="false">
      <c r="A95" s="12" t="s">
        <v>594</v>
      </c>
      <c r="B95" s="14" t="n">
        <v>46022</v>
      </c>
      <c r="C95" s="12" t="s">
        <v>500</v>
      </c>
      <c r="D95" s="13" t="s">
        <v>141</v>
      </c>
      <c r="E95" s="15" t="str">
        <f aca="false">IFERROR(INDEX(Dim_Employee!$B$2:$B$76,MATCH(D95,Dim_Employee!$A$2:$A$76,0)),"")</f>
        <v>Abdullahi Adeyemi</v>
      </c>
      <c r="F95" s="12" t="s">
        <v>497</v>
      </c>
      <c r="G95" s="16" t="n">
        <v>98.6</v>
      </c>
      <c r="H95" s="16" t="n">
        <v>108.2</v>
      </c>
      <c r="I95" s="17" t="n">
        <f aca="false">ROUND(G95/H95*100,1)</f>
        <v>91.1</v>
      </c>
      <c r="J95" s="16" t="n">
        <v>1.1</v>
      </c>
      <c r="K95" s="12" t="s">
        <v>501</v>
      </c>
      <c r="L95" s="12" t="s">
        <v>487</v>
      </c>
      <c r="M95" s="16" t="n">
        <v>19.61</v>
      </c>
      <c r="N95" s="16" t="n">
        <v>536.6</v>
      </c>
      <c r="O95" s="12" t="s">
        <v>495</v>
      </c>
    </row>
    <row r="96" customFormat="false" ht="15" hidden="false" customHeight="true" outlineLevel="0" collapsed="false">
      <c r="A96" s="12" t="s">
        <v>595</v>
      </c>
      <c r="B96" s="14" t="n">
        <v>45923</v>
      </c>
      <c r="C96" s="12" t="s">
        <v>500</v>
      </c>
      <c r="D96" s="13" t="s">
        <v>203</v>
      </c>
      <c r="E96" s="15" t="str">
        <f aca="false">IFERROR(INDEX(Dim_Employee!$B$2:$B$76,MATCH(D96,Dim_Employee!$A$2:$A$76,0)),"")</f>
        <v>Tunde Okonkwo</v>
      </c>
      <c r="F96" s="12" t="s">
        <v>485</v>
      </c>
      <c r="G96" s="16" t="n">
        <v>75</v>
      </c>
      <c r="H96" s="16" t="n">
        <v>95.5</v>
      </c>
      <c r="I96" s="17" t="n">
        <f aca="false">ROUND(G96/H96*100,1)</f>
        <v>78.5</v>
      </c>
      <c r="J96" s="16" t="n">
        <v>3.7</v>
      </c>
      <c r="K96" s="12" t="s">
        <v>498</v>
      </c>
      <c r="L96" s="12" t="s">
        <v>487</v>
      </c>
      <c r="M96" s="16" t="n">
        <v>14.7</v>
      </c>
      <c r="N96" s="16" t="n">
        <v>615.9</v>
      </c>
      <c r="O96" s="12" t="s">
        <v>495</v>
      </c>
    </row>
    <row r="97" customFormat="false" ht="15" hidden="false" customHeight="true" outlineLevel="0" collapsed="false">
      <c r="A97" s="12" t="s">
        <v>596</v>
      </c>
      <c r="B97" s="14" t="n">
        <v>45999</v>
      </c>
      <c r="C97" s="12" t="s">
        <v>504</v>
      </c>
      <c r="D97" s="13" t="s">
        <v>141</v>
      </c>
      <c r="E97" s="15" t="str">
        <f aca="false">IFERROR(INDEX(Dim_Employee!$B$2:$B$76,MATCH(D97,Dim_Employee!$A$2:$A$76,0)),"")</f>
        <v>Abdullahi Adeyemi</v>
      </c>
      <c r="F97" s="12" t="s">
        <v>490</v>
      </c>
      <c r="G97" s="16" t="n">
        <v>113.3</v>
      </c>
      <c r="H97" s="16" t="n">
        <v>116.5</v>
      </c>
      <c r="I97" s="17" t="n">
        <f aca="false">ROUND(G97/H97*100,1)</f>
        <v>97.3</v>
      </c>
      <c r="J97" s="16" t="n">
        <v>0.8</v>
      </c>
      <c r="K97" s="12" t="s">
        <v>498</v>
      </c>
      <c r="L97" s="12" t="s">
        <v>487</v>
      </c>
      <c r="M97" s="16" t="n">
        <v>23.59</v>
      </c>
      <c r="N97" s="16" t="n">
        <v>598.9</v>
      </c>
      <c r="O97" s="12" t="s">
        <v>512</v>
      </c>
    </row>
    <row r="98" customFormat="false" ht="15" hidden="false" customHeight="true" outlineLevel="0" collapsed="false">
      <c r="A98" s="12" t="s">
        <v>597</v>
      </c>
      <c r="B98" s="14" t="n">
        <v>45846</v>
      </c>
      <c r="C98" s="12" t="s">
        <v>494</v>
      </c>
      <c r="D98" s="13" t="s">
        <v>195</v>
      </c>
      <c r="E98" s="15" t="str">
        <f aca="false">IFERROR(INDEX(Dim_Employee!$B$2:$B$76,MATCH(D98,Dim_Employee!$A$2:$A$76,0)),"")</f>
        <v>Peace Balogun</v>
      </c>
      <c r="F98" s="12" t="s">
        <v>497</v>
      </c>
      <c r="G98" s="16" t="n">
        <v>78.8</v>
      </c>
      <c r="H98" s="16" t="n">
        <v>99.2</v>
      </c>
      <c r="I98" s="17" t="n">
        <f aca="false">ROUND(G98/H98*100,1)</f>
        <v>79.4</v>
      </c>
      <c r="J98" s="16" t="n">
        <v>3.6</v>
      </c>
      <c r="K98" s="12" t="s">
        <v>486</v>
      </c>
      <c r="L98" s="12" t="s">
        <v>487</v>
      </c>
      <c r="M98" s="16" t="n">
        <v>15.05</v>
      </c>
      <c r="N98" s="16" t="n">
        <v>566.6</v>
      </c>
      <c r="O98" s="12" t="s">
        <v>492</v>
      </c>
    </row>
    <row r="99" customFormat="false" ht="15" hidden="false" customHeight="true" outlineLevel="0" collapsed="false">
      <c r="A99" s="12" t="s">
        <v>598</v>
      </c>
      <c r="B99" s="14" t="n">
        <v>45892</v>
      </c>
      <c r="C99" s="12" t="s">
        <v>500</v>
      </c>
      <c r="D99" s="13" t="s">
        <v>199</v>
      </c>
      <c r="E99" s="15" t="str">
        <f aca="false">IFERROR(INDEX(Dim_Employee!$B$2:$B$76,MATCH(D99,Dim_Employee!$A$2:$A$76,0)),"")</f>
        <v>Olamide Anyanwu</v>
      </c>
      <c r="F99" s="12" t="s">
        <v>485</v>
      </c>
      <c r="G99" s="16" t="n">
        <v>92.2</v>
      </c>
      <c r="H99" s="16" t="n">
        <v>97.1</v>
      </c>
      <c r="I99" s="17" t="n">
        <f aca="false">ROUND(G99/H99*100,1)</f>
        <v>95</v>
      </c>
      <c r="J99" s="16" t="n">
        <v>1.3</v>
      </c>
      <c r="K99" s="12" t="s">
        <v>498</v>
      </c>
      <c r="L99" s="12" t="s">
        <v>487</v>
      </c>
      <c r="M99" s="16" t="n">
        <v>17.77</v>
      </c>
      <c r="N99" s="16" t="n">
        <v>530.2</v>
      </c>
      <c r="O99" s="12" t="s">
        <v>512</v>
      </c>
    </row>
    <row r="100" customFormat="false" ht="15" hidden="false" customHeight="true" outlineLevel="0" collapsed="false">
      <c r="A100" s="12" t="s">
        <v>599</v>
      </c>
      <c r="B100" s="14" t="n">
        <v>45678</v>
      </c>
      <c r="C100" s="12" t="s">
        <v>500</v>
      </c>
      <c r="D100" s="13" t="s">
        <v>146</v>
      </c>
      <c r="E100" s="15" t="str">
        <f aca="false">IFERROR(INDEX(Dim_Employee!$B$2:$B$76,MATCH(D100,Dim_Employee!$A$2:$A$76,0)),"")</f>
        <v>Olamide Sani</v>
      </c>
      <c r="F100" s="12" t="s">
        <v>490</v>
      </c>
      <c r="G100" s="16" t="n">
        <v>99.4</v>
      </c>
      <c r="H100" s="16" t="n">
        <v>114.1</v>
      </c>
      <c r="I100" s="17" t="n">
        <f aca="false">ROUND(G100/H100*100,1)</f>
        <v>87.1</v>
      </c>
      <c r="J100" s="16" t="n">
        <v>3.4</v>
      </c>
      <c r="K100" s="12" t="s">
        <v>534</v>
      </c>
      <c r="L100" s="12" t="s">
        <v>487</v>
      </c>
      <c r="M100" s="16" t="n">
        <v>20.13</v>
      </c>
      <c r="N100" s="16" t="n">
        <v>580.9</v>
      </c>
      <c r="O100" s="12" t="s">
        <v>488</v>
      </c>
    </row>
    <row r="101" customFormat="false" ht="15" hidden="false" customHeight="true" outlineLevel="0" collapsed="false">
      <c r="A101" s="12" t="s">
        <v>600</v>
      </c>
      <c r="B101" s="14" t="n">
        <v>45727</v>
      </c>
      <c r="C101" s="12" t="s">
        <v>484</v>
      </c>
      <c r="D101" s="13" t="s">
        <v>141</v>
      </c>
      <c r="E101" s="15" t="str">
        <f aca="false">IFERROR(INDEX(Dim_Employee!$B$2:$B$76,MATCH(D101,Dim_Employee!$A$2:$A$76,0)),"")</f>
        <v>Abdullahi Adeyemi</v>
      </c>
      <c r="F101" s="12" t="s">
        <v>490</v>
      </c>
      <c r="G101" s="16" t="n">
        <v>111.3</v>
      </c>
      <c r="H101" s="16" t="n">
        <v>112.6</v>
      </c>
      <c r="I101" s="17" t="n">
        <f aca="false">ROUND(G101/H101*100,1)</f>
        <v>98.8</v>
      </c>
      <c r="J101" s="16" t="n">
        <v>0.3</v>
      </c>
      <c r="K101" s="12" t="s">
        <v>534</v>
      </c>
      <c r="L101" s="12" t="s">
        <v>487</v>
      </c>
      <c r="M101" s="16" t="n">
        <v>24.41</v>
      </c>
      <c r="N101" s="16" t="n">
        <v>594.1</v>
      </c>
      <c r="O101" s="12" t="s">
        <v>495</v>
      </c>
    </row>
    <row r="102" customFormat="false" ht="15" hidden="false" customHeight="true" outlineLevel="0" collapsed="false">
      <c r="A102" s="12" t="s">
        <v>601</v>
      </c>
      <c r="B102" s="14" t="n">
        <v>45742</v>
      </c>
      <c r="C102" s="12" t="s">
        <v>500</v>
      </c>
      <c r="D102" s="13" t="s">
        <v>157</v>
      </c>
      <c r="E102" s="15" t="str">
        <f aca="false">IFERROR(INDEX(Dim_Employee!$B$2:$B$76,MATCH(D102,Dim_Employee!$A$2:$A$76,0)),"")</f>
        <v>Kelechi Ojo</v>
      </c>
      <c r="F102" s="12" t="s">
        <v>490</v>
      </c>
      <c r="G102" s="16" t="n">
        <v>103.7</v>
      </c>
      <c r="H102" s="16" t="n">
        <v>119.5</v>
      </c>
      <c r="I102" s="17" t="n">
        <f aca="false">ROUND(G102/H102*100,1)</f>
        <v>86.8</v>
      </c>
      <c r="J102" s="16" t="n">
        <v>4.6</v>
      </c>
      <c r="K102" s="12" t="s">
        <v>501</v>
      </c>
      <c r="L102" s="12" t="s">
        <v>487</v>
      </c>
      <c r="M102" s="16" t="n">
        <v>22.24</v>
      </c>
      <c r="N102" s="16" t="n">
        <v>515.3</v>
      </c>
      <c r="O102" s="12" t="s">
        <v>512</v>
      </c>
    </row>
    <row r="103" customFormat="false" ht="15" hidden="false" customHeight="true" outlineLevel="0" collapsed="false">
      <c r="A103" s="12" t="s">
        <v>602</v>
      </c>
      <c r="B103" s="14" t="n">
        <v>45903</v>
      </c>
      <c r="C103" s="12" t="s">
        <v>500</v>
      </c>
      <c r="D103" s="13" t="s">
        <v>175</v>
      </c>
      <c r="E103" s="15" t="str">
        <f aca="false">IFERROR(INDEX(Dim_Employee!$B$2:$B$76,MATCH(D103,Dim_Employee!$A$2:$A$76,0)),"")</f>
        <v>Kingsley Okonkwo</v>
      </c>
      <c r="F103" s="12" t="s">
        <v>497</v>
      </c>
      <c r="G103" s="16" t="n">
        <v>100.4</v>
      </c>
      <c r="H103" s="16" t="n">
        <v>117.2</v>
      </c>
      <c r="I103" s="17" t="n">
        <f aca="false">ROUND(G103/H103*100,1)</f>
        <v>85.7</v>
      </c>
      <c r="J103" s="16" t="n">
        <v>2.5</v>
      </c>
      <c r="K103" s="12" t="s">
        <v>498</v>
      </c>
      <c r="L103" s="12" t="s">
        <v>487</v>
      </c>
      <c r="M103" s="16" t="n">
        <v>21.11</v>
      </c>
      <c r="N103" s="16" t="n">
        <v>524.7</v>
      </c>
      <c r="O103" s="12" t="s">
        <v>488</v>
      </c>
    </row>
    <row r="104" customFormat="false" ht="15" hidden="false" customHeight="true" outlineLevel="0" collapsed="false">
      <c r="A104" s="12" t="s">
        <v>603</v>
      </c>
      <c r="B104" s="14" t="n">
        <v>46005</v>
      </c>
      <c r="C104" s="12" t="s">
        <v>504</v>
      </c>
      <c r="D104" s="13" t="s">
        <v>167</v>
      </c>
      <c r="E104" s="15" t="str">
        <f aca="false">IFERROR(INDEX(Dim_Employee!$B$2:$B$76,MATCH(D104,Dim_Employee!$A$2:$A$76,0)),"")</f>
        <v>Emmanuel Yakubu</v>
      </c>
      <c r="F104" s="12" t="s">
        <v>485</v>
      </c>
      <c r="G104" s="16" t="n">
        <v>73.4</v>
      </c>
      <c r="H104" s="16" t="n">
        <v>95.5</v>
      </c>
      <c r="I104" s="17" t="n">
        <f aca="false">ROUND(G104/H104*100,1)</f>
        <v>76.9</v>
      </c>
      <c r="J104" s="16" t="n">
        <v>6.3</v>
      </c>
      <c r="K104" s="12" t="s">
        <v>498</v>
      </c>
      <c r="L104" s="12" t="s">
        <v>487</v>
      </c>
      <c r="M104" s="16" t="n">
        <v>16.25</v>
      </c>
      <c r="N104" s="16" t="n">
        <v>496.1</v>
      </c>
      <c r="O104" s="12" t="s">
        <v>488</v>
      </c>
    </row>
    <row r="105" customFormat="false" ht="15" hidden="false" customHeight="true" outlineLevel="0" collapsed="false">
      <c r="A105" s="12" t="s">
        <v>604</v>
      </c>
      <c r="B105" s="14" t="n">
        <v>46010</v>
      </c>
      <c r="C105" s="12" t="s">
        <v>484</v>
      </c>
      <c r="D105" s="13" t="s">
        <v>187</v>
      </c>
      <c r="E105" s="15" t="str">
        <f aca="false">IFERROR(INDEX(Dim_Employee!$B$2:$B$76,MATCH(D105,Dim_Employee!$A$2:$A$76,0)),"")</f>
        <v>Uche Ojo</v>
      </c>
      <c r="F105" s="12" t="s">
        <v>485</v>
      </c>
      <c r="G105" s="16" t="n">
        <v>101.9</v>
      </c>
      <c r="H105" s="16" t="n">
        <v>119</v>
      </c>
      <c r="I105" s="17" t="n">
        <f aca="false">ROUND(G105/H105*100,1)</f>
        <v>85.6</v>
      </c>
      <c r="J105" s="16" t="n">
        <v>3.5</v>
      </c>
      <c r="K105" s="12" t="s">
        <v>534</v>
      </c>
      <c r="L105" s="12" t="s">
        <v>487</v>
      </c>
      <c r="M105" s="16" t="n">
        <v>21.93</v>
      </c>
      <c r="N105" s="16" t="n">
        <v>535.2</v>
      </c>
      <c r="O105" s="12" t="s">
        <v>512</v>
      </c>
    </row>
    <row r="106" customFormat="false" ht="15" hidden="false" customHeight="true" outlineLevel="0" collapsed="false">
      <c r="A106" s="12" t="s">
        <v>605</v>
      </c>
      <c r="B106" s="14" t="n">
        <v>45827</v>
      </c>
      <c r="C106" s="12" t="s">
        <v>484</v>
      </c>
      <c r="D106" s="13" t="s">
        <v>175</v>
      </c>
      <c r="E106" s="15" t="str">
        <f aca="false">IFERROR(INDEX(Dim_Employee!$B$2:$B$76,MATCH(D106,Dim_Employee!$A$2:$A$76,0)),"")</f>
        <v>Kingsley Okonkwo</v>
      </c>
      <c r="F106" s="12" t="s">
        <v>485</v>
      </c>
      <c r="G106" s="16" t="n">
        <v>84.1</v>
      </c>
      <c r="H106" s="16" t="n">
        <v>101.3</v>
      </c>
      <c r="I106" s="17" t="n">
        <f aca="false">ROUND(G106/H106*100,1)</f>
        <v>83</v>
      </c>
      <c r="J106" s="16" t="n">
        <v>2.2</v>
      </c>
      <c r="K106" s="12" t="s">
        <v>498</v>
      </c>
      <c r="L106" s="12" t="s">
        <v>487</v>
      </c>
      <c r="M106" s="16" t="n">
        <v>18.05</v>
      </c>
      <c r="N106" s="16" t="n">
        <v>614.1</v>
      </c>
      <c r="O106" s="12" t="s">
        <v>512</v>
      </c>
    </row>
    <row r="107" customFormat="false" ht="15" hidden="false" customHeight="true" outlineLevel="0" collapsed="false">
      <c r="A107" s="12" t="s">
        <v>606</v>
      </c>
      <c r="B107" s="14" t="n">
        <v>45997</v>
      </c>
      <c r="C107" s="12" t="s">
        <v>504</v>
      </c>
      <c r="D107" s="13" t="s">
        <v>175</v>
      </c>
      <c r="E107" s="15" t="str">
        <f aca="false">IFERROR(INDEX(Dim_Employee!$B$2:$B$76,MATCH(D107,Dim_Employee!$A$2:$A$76,0)),"")</f>
        <v>Kingsley Okonkwo</v>
      </c>
      <c r="F107" s="12" t="s">
        <v>497</v>
      </c>
      <c r="G107" s="16" t="n">
        <v>100.3</v>
      </c>
      <c r="H107" s="16" t="n">
        <v>99.3</v>
      </c>
      <c r="I107" s="17" t="n">
        <f aca="false">ROUND(G107/H107*100,1)</f>
        <v>101</v>
      </c>
      <c r="J107" s="16" t="n">
        <v>0</v>
      </c>
      <c r="K107" s="12" t="s">
        <v>498</v>
      </c>
      <c r="L107" s="12" t="s">
        <v>487</v>
      </c>
      <c r="M107" s="16" t="n">
        <v>19.19</v>
      </c>
      <c r="N107" s="16" t="n">
        <v>500.9</v>
      </c>
      <c r="O107" s="12" t="s">
        <v>492</v>
      </c>
    </row>
    <row r="108" customFormat="false" ht="15" hidden="false" customHeight="true" outlineLevel="0" collapsed="false">
      <c r="A108" s="12" t="s">
        <v>607</v>
      </c>
      <c r="B108" s="14" t="n">
        <v>45774</v>
      </c>
      <c r="C108" s="12" t="s">
        <v>484</v>
      </c>
      <c r="D108" s="13" t="s">
        <v>195</v>
      </c>
      <c r="E108" s="15" t="str">
        <f aca="false">IFERROR(INDEX(Dim_Employee!$B$2:$B$76,MATCH(D108,Dim_Employee!$A$2:$A$76,0)),"")</f>
        <v>Peace Balogun</v>
      </c>
      <c r="F108" s="12" t="s">
        <v>490</v>
      </c>
      <c r="G108" s="16" t="n">
        <v>104.2</v>
      </c>
      <c r="H108" s="16" t="n">
        <v>105.4</v>
      </c>
      <c r="I108" s="17" t="n">
        <f aca="false">ROUND(G108/H108*100,1)</f>
        <v>98.9</v>
      </c>
      <c r="J108" s="16" t="n">
        <v>0.2</v>
      </c>
      <c r="K108" s="12" t="s">
        <v>498</v>
      </c>
      <c r="L108" s="12" t="s">
        <v>487</v>
      </c>
      <c r="M108" s="16" t="n">
        <v>22.16</v>
      </c>
      <c r="N108" s="16" t="n">
        <v>522.5</v>
      </c>
      <c r="O108" s="12" t="s">
        <v>512</v>
      </c>
    </row>
    <row r="109" customFormat="false" ht="15" hidden="false" customHeight="true" outlineLevel="0" collapsed="false">
      <c r="A109" s="12" t="s">
        <v>608</v>
      </c>
      <c r="B109" s="14" t="n">
        <v>45845</v>
      </c>
      <c r="C109" s="12" t="s">
        <v>494</v>
      </c>
      <c r="D109" s="13" t="s">
        <v>171</v>
      </c>
      <c r="E109" s="15" t="str">
        <f aca="false">IFERROR(INDEX(Dim_Employee!$B$2:$B$76,MATCH(D109,Dim_Employee!$A$2:$A$76,0)),"")</f>
        <v>Musa Adeyemi</v>
      </c>
      <c r="F109" s="12" t="s">
        <v>490</v>
      </c>
      <c r="G109" s="16" t="n">
        <v>83</v>
      </c>
      <c r="H109" s="16" t="n">
        <v>102.4</v>
      </c>
      <c r="I109" s="17" t="n">
        <f aca="false">ROUND(G109/H109*100,1)</f>
        <v>81.1</v>
      </c>
      <c r="J109" s="16" t="n">
        <v>2.5</v>
      </c>
      <c r="K109" s="12" t="s">
        <v>498</v>
      </c>
      <c r="L109" s="12" t="s">
        <v>487</v>
      </c>
      <c r="M109" s="16" t="n">
        <v>18.88</v>
      </c>
      <c r="N109" s="16" t="n">
        <v>514.1</v>
      </c>
      <c r="O109" s="12" t="s">
        <v>495</v>
      </c>
    </row>
    <row r="110" customFormat="false" ht="15" hidden="false" customHeight="true" outlineLevel="0" collapsed="false">
      <c r="A110" s="12" t="s">
        <v>609</v>
      </c>
      <c r="B110" s="14" t="n">
        <v>45796</v>
      </c>
      <c r="C110" s="12" t="s">
        <v>494</v>
      </c>
      <c r="D110" s="13" t="s">
        <v>199</v>
      </c>
      <c r="E110" s="15" t="str">
        <f aca="false">IFERROR(INDEX(Dim_Employee!$B$2:$B$76,MATCH(D110,Dim_Employee!$A$2:$A$76,0)),"")</f>
        <v>Olamide Anyanwu</v>
      </c>
      <c r="F110" s="12" t="s">
        <v>485</v>
      </c>
      <c r="G110" s="16" t="n">
        <v>84.7</v>
      </c>
      <c r="H110" s="16" t="n">
        <v>92.9</v>
      </c>
      <c r="I110" s="17" t="n">
        <f aca="false">ROUND(G110/H110*100,1)</f>
        <v>91.2</v>
      </c>
      <c r="J110" s="16" t="n">
        <v>2.2</v>
      </c>
      <c r="K110" s="12" t="s">
        <v>534</v>
      </c>
      <c r="L110" s="12" t="s">
        <v>487</v>
      </c>
      <c r="M110" s="16" t="n">
        <v>16.28</v>
      </c>
      <c r="N110" s="16" t="n">
        <v>594.9</v>
      </c>
      <c r="O110" s="12" t="s">
        <v>512</v>
      </c>
    </row>
    <row r="111" customFormat="false" ht="15" hidden="false" customHeight="true" outlineLevel="0" collapsed="false">
      <c r="A111" s="12" t="s">
        <v>610</v>
      </c>
      <c r="B111" s="14" t="n">
        <v>45742</v>
      </c>
      <c r="C111" s="12" t="s">
        <v>484</v>
      </c>
      <c r="D111" s="13" t="s">
        <v>199</v>
      </c>
      <c r="E111" s="15" t="str">
        <f aca="false">IFERROR(INDEX(Dim_Employee!$B$2:$B$76,MATCH(D111,Dim_Employee!$A$2:$A$76,0)),"")</f>
        <v>Olamide Anyanwu</v>
      </c>
      <c r="F111" s="12" t="s">
        <v>490</v>
      </c>
      <c r="G111" s="16" t="n">
        <v>94.6</v>
      </c>
      <c r="H111" s="16" t="n">
        <v>108.1</v>
      </c>
      <c r="I111" s="17" t="n">
        <f aca="false">ROUND(G111/H111*100,1)</f>
        <v>87.5</v>
      </c>
      <c r="J111" s="16" t="n">
        <v>2.7</v>
      </c>
      <c r="K111" s="12" t="s">
        <v>498</v>
      </c>
      <c r="L111" s="12" t="s">
        <v>487</v>
      </c>
      <c r="M111" s="16" t="n">
        <v>18.07</v>
      </c>
      <c r="N111" s="16" t="n">
        <v>506</v>
      </c>
      <c r="O111" s="12" t="s">
        <v>495</v>
      </c>
    </row>
    <row r="112" customFormat="false" ht="15" hidden="false" customHeight="true" outlineLevel="0" collapsed="false">
      <c r="A112" s="12" t="s">
        <v>611</v>
      </c>
      <c r="B112" s="14" t="n">
        <v>45994</v>
      </c>
      <c r="C112" s="12" t="s">
        <v>500</v>
      </c>
      <c r="D112" s="13" t="s">
        <v>141</v>
      </c>
      <c r="E112" s="15" t="str">
        <f aca="false">IFERROR(INDEX(Dim_Employee!$B$2:$B$76,MATCH(D112,Dim_Employee!$A$2:$A$76,0)),"")</f>
        <v>Abdullahi Adeyemi</v>
      </c>
      <c r="F112" s="12" t="s">
        <v>490</v>
      </c>
      <c r="G112" s="16" t="n">
        <v>88.2</v>
      </c>
      <c r="H112" s="16" t="n">
        <v>117.4</v>
      </c>
      <c r="I112" s="17" t="n">
        <f aca="false">ROUND(G112/H112*100,1)</f>
        <v>75.1</v>
      </c>
      <c r="J112" s="16" t="n">
        <v>6.5</v>
      </c>
      <c r="K112" s="12" t="s">
        <v>498</v>
      </c>
      <c r="L112" s="12" t="s">
        <v>487</v>
      </c>
      <c r="M112" s="16" t="n">
        <v>18.59</v>
      </c>
      <c r="N112" s="16" t="n">
        <v>570</v>
      </c>
      <c r="O112" s="12" t="s">
        <v>492</v>
      </c>
    </row>
    <row r="113" customFormat="false" ht="15" hidden="false" customHeight="true" outlineLevel="0" collapsed="false">
      <c r="A113" s="12" t="s">
        <v>612</v>
      </c>
      <c r="B113" s="14" t="n">
        <v>45902</v>
      </c>
      <c r="C113" s="12" t="s">
        <v>484</v>
      </c>
      <c r="D113" s="13" t="s">
        <v>162</v>
      </c>
      <c r="E113" s="15" t="str">
        <f aca="false">IFERROR(INDEX(Dim_Employee!$B$2:$B$76,MATCH(D113,Dim_Employee!$A$2:$A$76,0)),"")</f>
        <v>Halima Nwosu</v>
      </c>
      <c r="F113" s="12" t="s">
        <v>485</v>
      </c>
      <c r="G113" s="16" t="n">
        <v>77.8</v>
      </c>
      <c r="H113" s="16" t="n">
        <v>105.3</v>
      </c>
      <c r="I113" s="17" t="n">
        <f aca="false">ROUND(G113/H113*100,1)</f>
        <v>73.9</v>
      </c>
      <c r="J113" s="16" t="n">
        <v>6.2</v>
      </c>
      <c r="K113" s="12" t="s">
        <v>516</v>
      </c>
      <c r="L113" s="12" t="s">
        <v>487</v>
      </c>
      <c r="M113" s="16" t="n">
        <v>17.1</v>
      </c>
      <c r="N113" s="16" t="n">
        <v>545.1</v>
      </c>
      <c r="O113" s="12" t="s">
        <v>492</v>
      </c>
    </row>
    <row r="114" customFormat="false" ht="15" hidden="false" customHeight="true" outlineLevel="0" collapsed="false">
      <c r="A114" s="12" t="s">
        <v>613</v>
      </c>
      <c r="B114" s="14" t="n">
        <v>45677</v>
      </c>
      <c r="C114" s="12" t="s">
        <v>484</v>
      </c>
      <c r="D114" s="13" t="s">
        <v>162</v>
      </c>
      <c r="E114" s="15" t="str">
        <f aca="false">IFERROR(INDEX(Dim_Employee!$B$2:$B$76,MATCH(D114,Dim_Employee!$A$2:$A$76,0)),"")</f>
        <v>Halima Nwosu</v>
      </c>
      <c r="F114" s="12" t="s">
        <v>485</v>
      </c>
      <c r="G114" s="16" t="n">
        <v>72.8</v>
      </c>
      <c r="H114" s="16" t="n">
        <v>96.8</v>
      </c>
      <c r="I114" s="17" t="n">
        <f aca="false">ROUND(G114/H114*100,1)</f>
        <v>75.2</v>
      </c>
      <c r="J114" s="16" t="n">
        <v>3.5</v>
      </c>
      <c r="K114" s="12" t="s">
        <v>516</v>
      </c>
      <c r="L114" s="12" t="s">
        <v>487</v>
      </c>
      <c r="M114" s="16" t="n">
        <v>16.53</v>
      </c>
      <c r="N114" s="16" t="n">
        <v>612</v>
      </c>
      <c r="O114" s="12" t="s">
        <v>512</v>
      </c>
    </row>
    <row r="115" customFormat="false" ht="15" hidden="false" customHeight="true" outlineLevel="0" collapsed="false">
      <c r="A115" s="12" t="s">
        <v>614</v>
      </c>
      <c r="B115" s="14" t="n">
        <v>45925</v>
      </c>
      <c r="C115" s="12" t="s">
        <v>504</v>
      </c>
      <c r="D115" s="13" t="s">
        <v>141</v>
      </c>
      <c r="E115" s="15" t="str">
        <f aca="false">IFERROR(INDEX(Dim_Employee!$B$2:$B$76,MATCH(D115,Dim_Employee!$A$2:$A$76,0)),"")</f>
        <v>Abdullahi Adeyemi</v>
      </c>
      <c r="F115" s="12" t="s">
        <v>485</v>
      </c>
      <c r="G115" s="16" t="n">
        <v>86.8</v>
      </c>
      <c r="H115" s="16" t="n">
        <v>98</v>
      </c>
      <c r="I115" s="17" t="n">
        <f aca="false">ROUND(G115/H115*100,1)</f>
        <v>88.6</v>
      </c>
      <c r="J115" s="16" t="n">
        <v>2.1</v>
      </c>
      <c r="K115" s="12" t="s">
        <v>491</v>
      </c>
      <c r="L115" s="12" t="s">
        <v>487</v>
      </c>
      <c r="M115" s="16" t="n">
        <v>19.84</v>
      </c>
      <c r="N115" s="16" t="n">
        <v>510.4</v>
      </c>
      <c r="O115" s="12" t="s">
        <v>488</v>
      </c>
    </row>
    <row r="116" customFormat="false" ht="15" hidden="false" customHeight="true" outlineLevel="0" collapsed="false">
      <c r="A116" s="12" t="s">
        <v>615</v>
      </c>
      <c r="B116" s="14" t="n">
        <v>45739</v>
      </c>
      <c r="C116" s="12" t="s">
        <v>504</v>
      </c>
      <c r="D116" s="13" t="s">
        <v>162</v>
      </c>
      <c r="E116" s="15" t="str">
        <f aca="false">IFERROR(INDEX(Dim_Employee!$B$2:$B$76,MATCH(D116,Dim_Employee!$A$2:$A$76,0)),"")</f>
        <v>Halima Nwosu</v>
      </c>
      <c r="F116" s="12" t="s">
        <v>490</v>
      </c>
      <c r="G116" s="16" t="n">
        <v>77.3</v>
      </c>
      <c r="H116" s="16" t="n">
        <v>97.8</v>
      </c>
      <c r="I116" s="17" t="n">
        <f aca="false">ROUND(G116/H116*100,1)</f>
        <v>79</v>
      </c>
      <c r="J116" s="16" t="n">
        <v>5.1</v>
      </c>
      <c r="K116" s="12" t="s">
        <v>516</v>
      </c>
      <c r="L116" s="12" t="s">
        <v>487</v>
      </c>
      <c r="M116" s="16" t="n">
        <v>15.7</v>
      </c>
      <c r="N116" s="16" t="n">
        <v>513.5</v>
      </c>
      <c r="O116" s="12" t="s">
        <v>492</v>
      </c>
    </row>
    <row r="117" customFormat="false" ht="15" hidden="false" customHeight="true" outlineLevel="0" collapsed="false">
      <c r="A117" s="12" t="s">
        <v>616</v>
      </c>
      <c r="B117" s="14" t="n">
        <v>45881</v>
      </c>
      <c r="C117" s="12" t="s">
        <v>500</v>
      </c>
      <c r="D117" s="13" t="s">
        <v>203</v>
      </c>
      <c r="E117" s="15" t="str">
        <f aca="false">IFERROR(INDEX(Dim_Employee!$B$2:$B$76,MATCH(D117,Dim_Employee!$A$2:$A$76,0)),"")</f>
        <v>Tunde Okonkwo</v>
      </c>
      <c r="F117" s="12" t="s">
        <v>497</v>
      </c>
      <c r="G117" s="16" t="n">
        <v>107.1</v>
      </c>
      <c r="H117" s="16" t="n">
        <v>115.2</v>
      </c>
      <c r="I117" s="17" t="n">
        <f aca="false">ROUND(G117/H117*100,1)</f>
        <v>93</v>
      </c>
      <c r="J117" s="16" t="n">
        <v>2.2</v>
      </c>
      <c r="K117" s="12" t="s">
        <v>516</v>
      </c>
      <c r="L117" s="12" t="s">
        <v>487</v>
      </c>
      <c r="M117" s="16" t="n">
        <v>23.73</v>
      </c>
      <c r="N117" s="16" t="n">
        <v>534.8</v>
      </c>
      <c r="O117" s="12" t="s">
        <v>488</v>
      </c>
    </row>
    <row r="118" customFormat="false" ht="15" hidden="false" customHeight="true" outlineLevel="0" collapsed="false">
      <c r="A118" s="12" t="s">
        <v>617</v>
      </c>
      <c r="B118" s="14" t="n">
        <v>45740</v>
      </c>
      <c r="C118" s="12" t="s">
        <v>504</v>
      </c>
      <c r="D118" s="13" t="s">
        <v>162</v>
      </c>
      <c r="E118" s="15" t="str">
        <f aca="false">IFERROR(INDEX(Dim_Employee!$B$2:$B$76,MATCH(D118,Dim_Employee!$A$2:$A$76,0)),"")</f>
        <v>Halima Nwosu</v>
      </c>
      <c r="F118" s="12" t="s">
        <v>490</v>
      </c>
      <c r="G118" s="16" t="n">
        <v>68.7</v>
      </c>
      <c r="H118" s="16" t="n">
        <v>94.3</v>
      </c>
      <c r="I118" s="17" t="n">
        <f aca="false">ROUND(G118/H118*100,1)</f>
        <v>72.9</v>
      </c>
      <c r="J118" s="16" t="n">
        <v>3.1</v>
      </c>
      <c r="K118" s="12" t="s">
        <v>491</v>
      </c>
      <c r="L118" s="12" t="s">
        <v>487</v>
      </c>
      <c r="M118" s="16" t="n">
        <v>13.14</v>
      </c>
      <c r="N118" s="16" t="n">
        <v>499.4</v>
      </c>
      <c r="O118" s="12" t="s">
        <v>488</v>
      </c>
    </row>
    <row r="119" customFormat="false" ht="15" hidden="false" customHeight="true" outlineLevel="0" collapsed="false">
      <c r="A119" s="12" t="s">
        <v>618</v>
      </c>
      <c r="B119" s="14" t="n">
        <v>45844</v>
      </c>
      <c r="C119" s="12" t="s">
        <v>500</v>
      </c>
      <c r="D119" s="13" t="s">
        <v>146</v>
      </c>
      <c r="E119" s="15" t="str">
        <f aca="false">IFERROR(INDEX(Dim_Employee!$B$2:$B$76,MATCH(D119,Dim_Employee!$A$2:$A$76,0)),"")</f>
        <v>Olamide Sani</v>
      </c>
      <c r="F119" s="12" t="s">
        <v>497</v>
      </c>
      <c r="G119" s="16" t="n">
        <v>82.9</v>
      </c>
      <c r="H119" s="16" t="n">
        <v>112.1</v>
      </c>
      <c r="I119" s="17" t="n">
        <f aca="false">ROUND(G119/H119*100,1)</f>
        <v>74</v>
      </c>
      <c r="J119" s="16" t="n">
        <v>6.4</v>
      </c>
      <c r="K119" s="12" t="s">
        <v>516</v>
      </c>
      <c r="L119" s="12" t="s">
        <v>487</v>
      </c>
      <c r="M119" s="16" t="n">
        <v>15.97</v>
      </c>
      <c r="N119" s="16" t="n">
        <v>601.5</v>
      </c>
      <c r="O119" s="12" t="s">
        <v>492</v>
      </c>
    </row>
    <row r="120" customFormat="false" ht="15" hidden="false" customHeight="true" outlineLevel="0" collapsed="false">
      <c r="A120" s="12" t="s">
        <v>619</v>
      </c>
      <c r="B120" s="14" t="n">
        <v>45982</v>
      </c>
      <c r="C120" s="12" t="s">
        <v>484</v>
      </c>
      <c r="D120" s="13" t="s">
        <v>152</v>
      </c>
      <c r="E120" s="15" t="str">
        <f aca="false">IFERROR(INDEX(Dim_Employee!$B$2:$B$76,MATCH(D120,Dim_Employee!$A$2:$A$76,0)),"")</f>
        <v>Abdullahi Aliyu</v>
      </c>
      <c r="F120" s="12" t="s">
        <v>497</v>
      </c>
      <c r="G120" s="16" t="n">
        <v>76.1</v>
      </c>
      <c r="H120" s="16" t="n">
        <v>97.4</v>
      </c>
      <c r="I120" s="17" t="n">
        <f aca="false">ROUND(G120/H120*100,1)</f>
        <v>78.1</v>
      </c>
      <c r="J120" s="16" t="n">
        <v>2.3</v>
      </c>
      <c r="K120" s="12" t="s">
        <v>491</v>
      </c>
      <c r="L120" s="12" t="s">
        <v>487</v>
      </c>
      <c r="M120" s="16" t="n">
        <v>15.91</v>
      </c>
      <c r="N120" s="16" t="n">
        <v>498.6</v>
      </c>
      <c r="O120" s="12" t="s">
        <v>495</v>
      </c>
    </row>
    <row r="121" customFormat="false" ht="15" hidden="false" customHeight="true" outlineLevel="0" collapsed="false">
      <c r="A121" s="12" t="s">
        <v>620</v>
      </c>
      <c r="B121" s="14" t="n">
        <v>45789</v>
      </c>
      <c r="C121" s="12" t="s">
        <v>504</v>
      </c>
      <c r="D121" s="13" t="s">
        <v>179</v>
      </c>
      <c r="E121" s="15" t="str">
        <f aca="false">IFERROR(INDEX(Dim_Employee!$B$2:$B$76,MATCH(D121,Dim_Employee!$A$2:$A$76,0)),"")</f>
        <v>Amaka Bakare</v>
      </c>
      <c r="F121" s="12" t="s">
        <v>490</v>
      </c>
      <c r="G121" s="16" t="n">
        <v>84.4</v>
      </c>
      <c r="H121" s="16" t="n">
        <v>99.6</v>
      </c>
      <c r="I121" s="17" t="n">
        <f aca="false">ROUND(G121/H121*100,1)</f>
        <v>84.7</v>
      </c>
      <c r="J121" s="16" t="n">
        <v>1.6</v>
      </c>
      <c r="K121" s="12" t="s">
        <v>491</v>
      </c>
      <c r="L121" s="12" t="s">
        <v>487</v>
      </c>
      <c r="M121" s="16" t="n">
        <v>17.28</v>
      </c>
      <c r="N121" s="16" t="n">
        <v>524.9</v>
      </c>
      <c r="O121" s="12" t="s">
        <v>492</v>
      </c>
    </row>
    <row r="122" customFormat="false" ht="15" hidden="false" customHeight="true" outlineLevel="0" collapsed="false">
      <c r="A122" s="12" t="s">
        <v>621</v>
      </c>
      <c r="B122" s="14" t="n">
        <v>45881</v>
      </c>
      <c r="C122" s="12" t="s">
        <v>484</v>
      </c>
      <c r="D122" s="13" t="s">
        <v>179</v>
      </c>
      <c r="E122" s="15" t="str">
        <f aca="false">IFERROR(INDEX(Dim_Employee!$B$2:$B$76,MATCH(D122,Dim_Employee!$A$2:$A$76,0)),"")</f>
        <v>Amaka Bakare</v>
      </c>
      <c r="F122" s="12" t="s">
        <v>485</v>
      </c>
      <c r="G122" s="16" t="n">
        <v>79.1</v>
      </c>
      <c r="H122" s="16" t="n">
        <v>108.5</v>
      </c>
      <c r="I122" s="17" t="n">
        <f aca="false">ROUND(G122/H122*100,1)</f>
        <v>72.9</v>
      </c>
      <c r="J122" s="16" t="n">
        <v>5.4</v>
      </c>
      <c r="K122" s="12" t="s">
        <v>486</v>
      </c>
      <c r="L122" s="12" t="s">
        <v>487</v>
      </c>
      <c r="M122" s="16" t="n">
        <v>15.18</v>
      </c>
      <c r="N122" s="16" t="n">
        <v>559.3</v>
      </c>
      <c r="O122" s="12" t="s">
        <v>488</v>
      </c>
    </row>
    <row r="123" customFormat="false" ht="15" hidden="false" customHeight="true" outlineLevel="0" collapsed="false">
      <c r="A123" s="12" t="s">
        <v>622</v>
      </c>
      <c r="B123" s="14" t="n">
        <v>45685</v>
      </c>
      <c r="C123" s="12" t="s">
        <v>484</v>
      </c>
      <c r="D123" s="13" t="s">
        <v>179</v>
      </c>
      <c r="E123" s="15" t="str">
        <f aca="false">IFERROR(INDEX(Dim_Employee!$B$2:$B$76,MATCH(D123,Dim_Employee!$A$2:$A$76,0)),"")</f>
        <v>Amaka Bakare</v>
      </c>
      <c r="F123" s="12" t="s">
        <v>485</v>
      </c>
      <c r="G123" s="16" t="n">
        <v>68.5</v>
      </c>
      <c r="H123" s="16" t="n">
        <v>95.1</v>
      </c>
      <c r="I123" s="17" t="n">
        <f aca="false">ROUND(G123/H123*100,1)</f>
        <v>72</v>
      </c>
      <c r="J123" s="16" t="n">
        <v>3.7</v>
      </c>
      <c r="K123" s="12" t="s">
        <v>486</v>
      </c>
      <c r="L123" s="12" t="s">
        <v>487</v>
      </c>
      <c r="M123" s="16" t="n">
        <v>14.36</v>
      </c>
      <c r="N123" s="16" t="n">
        <v>591.5</v>
      </c>
      <c r="O123" s="12" t="s">
        <v>495</v>
      </c>
    </row>
    <row r="124" customFormat="false" ht="15" hidden="false" customHeight="true" outlineLevel="0" collapsed="false">
      <c r="A124" s="12" t="s">
        <v>623</v>
      </c>
      <c r="B124" s="14" t="n">
        <v>45953</v>
      </c>
      <c r="C124" s="12" t="s">
        <v>500</v>
      </c>
      <c r="D124" s="13" t="s">
        <v>203</v>
      </c>
      <c r="E124" s="15" t="str">
        <f aca="false">IFERROR(INDEX(Dim_Employee!$B$2:$B$76,MATCH(D124,Dim_Employee!$A$2:$A$76,0)),"")</f>
        <v>Tunde Okonkwo</v>
      </c>
      <c r="F124" s="12" t="s">
        <v>485</v>
      </c>
      <c r="G124" s="16" t="n">
        <v>108.6</v>
      </c>
      <c r="H124" s="16" t="n">
        <v>107.8</v>
      </c>
      <c r="I124" s="17" t="n">
        <f aca="false">ROUND(G124/H124*100,1)</f>
        <v>100.7</v>
      </c>
      <c r="J124" s="16" t="n">
        <v>0</v>
      </c>
      <c r="K124" s="12" t="s">
        <v>501</v>
      </c>
      <c r="L124" s="12" t="s">
        <v>487</v>
      </c>
      <c r="M124" s="16" t="n">
        <v>24.71</v>
      </c>
      <c r="N124" s="16" t="n">
        <v>512.4</v>
      </c>
      <c r="O124" s="12" t="s">
        <v>495</v>
      </c>
    </row>
    <row r="125" customFormat="false" ht="15" hidden="false" customHeight="true" outlineLevel="0" collapsed="false">
      <c r="A125" s="12" t="s">
        <v>624</v>
      </c>
      <c r="B125" s="14" t="n">
        <v>46014</v>
      </c>
      <c r="C125" s="12" t="s">
        <v>484</v>
      </c>
      <c r="D125" s="13" t="s">
        <v>152</v>
      </c>
      <c r="E125" s="15" t="str">
        <f aca="false">IFERROR(INDEX(Dim_Employee!$B$2:$B$76,MATCH(D125,Dim_Employee!$A$2:$A$76,0)),"")</f>
        <v>Abdullahi Aliyu</v>
      </c>
      <c r="F125" s="12" t="s">
        <v>497</v>
      </c>
      <c r="G125" s="16" t="n">
        <v>112.3</v>
      </c>
      <c r="H125" s="16" t="n">
        <v>118.2</v>
      </c>
      <c r="I125" s="17" t="n">
        <f aca="false">ROUND(G125/H125*100,1)</f>
        <v>95</v>
      </c>
      <c r="J125" s="16" t="n">
        <v>1.2</v>
      </c>
      <c r="K125" s="12" t="s">
        <v>498</v>
      </c>
      <c r="L125" s="12" t="s">
        <v>487</v>
      </c>
      <c r="M125" s="16" t="n">
        <v>21.76</v>
      </c>
      <c r="N125" s="16" t="n">
        <v>610</v>
      </c>
      <c r="O125" s="12" t="s">
        <v>488</v>
      </c>
    </row>
    <row r="126" customFormat="false" ht="15" hidden="false" customHeight="true" outlineLevel="0" collapsed="false">
      <c r="A126" s="12" t="s">
        <v>625</v>
      </c>
      <c r="B126" s="14" t="n">
        <v>45792</v>
      </c>
      <c r="C126" s="12" t="s">
        <v>494</v>
      </c>
      <c r="D126" s="13" t="s">
        <v>195</v>
      </c>
      <c r="E126" s="15" t="str">
        <f aca="false">IFERROR(INDEX(Dim_Employee!$B$2:$B$76,MATCH(D126,Dim_Employee!$A$2:$A$76,0)),"")</f>
        <v>Peace Balogun</v>
      </c>
      <c r="F126" s="12" t="s">
        <v>497</v>
      </c>
      <c r="G126" s="16" t="n">
        <v>84.9</v>
      </c>
      <c r="H126" s="16" t="n">
        <v>116.7</v>
      </c>
      <c r="I126" s="17" t="n">
        <f aca="false">ROUND(G126/H126*100,1)</f>
        <v>72.8</v>
      </c>
      <c r="J126" s="16" t="n">
        <v>4.5</v>
      </c>
      <c r="K126" s="12" t="s">
        <v>486</v>
      </c>
      <c r="L126" s="12" t="s">
        <v>487</v>
      </c>
      <c r="M126" s="16" t="n">
        <v>17.42</v>
      </c>
      <c r="N126" s="16" t="n">
        <v>603.8</v>
      </c>
      <c r="O126" s="12" t="s">
        <v>495</v>
      </c>
    </row>
    <row r="127" customFormat="false" ht="15" hidden="false" customHeight="true" outlineLevel="0" collapsed="false">
      <c r="A127" s="12" t="s">
        <v>626</v>
      </c>
      <c r="B127" s="14" t="n">
        <v>45967</v>
      </c>
      <c r="C127" s="12" t="s">
        <v>484</v>
      </c>
      <c r="D127" s="13" t="s">
        <v>199</v>
      </c>
      <c r="E127" s="15" t="str">
        <f aca="false">IFERROR(INDEX(Dim_Employee!$B$2:$B$76,MATCH(D127,Dim_Employee!$A$2:$A$76,0)),"")</f>
        <v>Olamide Anyanwu</v>
      </c>
      <c r="F127" s="12" t="s">
        <v>485</v>
      </c>
      <c r="G127" s="16" t="n">
        <v>84.3</v>
      </c>
      <c r="H127" s="16" t="n">
        <v>93.8</v>
      </c>
      <c r="I127" s="17" t="n">
        <f aca="false">ROUND(G127/H127*100,1)</f>
        <v>89.9</v>
      </c>
      <c r="J127" s="16" t="n">
        <v>2.3</v>
      </c>
      <c r="K127" s="12" t="s">
        <v>486</v>
      </c>
      <c r="L127" s="12" t="s">
        <v>487</v>
      </c>
      <c r="M127" s="16" t="n">
        <v>17.78</v>
      </c>
      <c r="N127" s="16" t="n">
        <v>601.5</v>
      </c>
      <c r="O127" s="12" t="s">
        <v>492</v>
      </c>
    </row>
    <row r="128" customFormat="false" ht="15" hidden="false" customHeight="true" outlineLevel="0" collapsed="false">
      <c r="A128" s="12" t="s">
        <v>627</v>
      </c>
      <c r="B128" s="14" t="n">
        <v>45954</v>
      </c>
      <c r="C128" s="12" t="s">
        <v>500</v>
      </c>
      <c r="D128" s="13" t="s">
        <v>183</v>
      </c>
      <c r="E128" s="15" t="str">
        <f aca="false">IFERROR(INDEX(Dim_Employee!$B$2:$B$76,MATCH(D128,Dim_Employee!$A$2:$A$76,0)),"")</f>
        <v>Titilayo Danjuma</v>
      </c>
      <c r="F128" s="12" t="s">
        <v>490</v>
      </c>
      <c r="G128" s="16" t="n">
        <v>81</v>
      </c>
      <c r="H128" s="16" t="n">
        <v>95.1</v>
      </c>
      <c r="I128" s="17" t="n">
        <f aca="false">ROUND(G128/H128*100,1)</f>
        <v>85.2</v>
      </c>
      <c r="J128" s="16" t="n">
        <v>3.6</v>
      </c>
      <c r="K128" s="12" t="s">
        <v>498</v>
      </c>
      <c r="L128" s="12" t="s">
        <v>487</v>
      </c>
      <c r="M128" s="16" t="n">
        <v>17.47</v>
      </c>
      <c r="N128" s="16" t="n">
        <v>577.5</v>
      </c>
      <c r="O128" s="12" t="s">
        <v>495</v>
      </c>
    </row>
    <row r="129" customFormat="false" ht="15" hidden="false" customHeight="true" outlineLevel="0" collapsed="false">
      <c r="A129" s="12" t="s">
        <v>628</v>
      </c>
      <c r="B129" s="14" t="n">
        <v>45737</v>
      </c>
      <c r="C129" s="12" t="s">
        <v>500</v>
      </c>
      <c r="D129" s="13" t="s">
        <v>175</v>
      </c>
      <c r="E129" s="15" t="str">
        <f aca="false">IFERROR(INDEX(Dim_Employee!$B$2:$B$76,MATCH(D129,Dim_Employee!$A$2:$A$76,0)),"")</f>
        <v>Kingsley Okonkwo</v>
      </c>
      <c r="F129" s="12" t="s">
        <v>490</v>
      </c>
      <c r="G129" s="16" t="n">
        <v>92.2</v>
      </c>
      <c r="H129" s="16" t="n">
        <v>99</v>
      </c>
      <c r="I129" s="17" t="n">
        <f aca="false">ROUND(G129/H129*100,1)</f>
        <v>93.1</v>
      </c>
      <c r="J129" s="16" t="n">
        <v>1.8</v>
      </c>
      <c r="K129" s="12" t="s">
        <v>491</v>
      </c>
      <c r="L129" s="12" t="s">
        <v>487</v>
      </c>
      <c r="M129" s="16" t="n">
        <v>19.74</v>
      </c>
      <c r="N129" s="16" t="n">
        <v>528.8</v>
      </c>
      <c r="O129" s="12" t="s">
        <v>495</v>
      </c>
    </row>
    <row r="130" customFormat="false" ht="15" hidden="false" customHeight="true" outlineLevel="0" collapsed="false">
      <c r="A130" s="12" t="s">
        <v>629</v>
      </c>
      <c r="B130" s="14" t="n">
        <v>45710</v>
      </c>
      <c r="C130" s="12" t="s">
        <v>500</v>
      </c>
      <c r="D130" s="13" t="s">
        <v>183</v>
      </c>
      <c r="E130" s="15" t="str">
        <f aca="false">IFERROR(INDEX(Dim_Employee!$B$2:$B$76,MATCH(D130,Dim_Employee!$A$2:$A$76,0)),"")</f>
        <v>Titilayo Danjuma</v>
      </c>
      <c r="F130" s="12" t="s">
        <v>497</v>
      </c>
      <c r="G130" s="16" t="n">
        <v>94.7</v>
      </c>
      <c r="H130" s="16" t="n">
        <v>118.7</v>
      </c>
      <c r="I130" s="17" t="n">
        <f aca="false">ROUND(G130/H130*100,1)</f>
        <v>79.8</v>
      </c>
      <c r="J130" s="16" t="n">
        <v>7</v>
      </c>
      <c r="K130" s="12" t="s">
        <v>498</v>
      </c>
      <c r="L130" s="12" t="s">
        <v>487</v>
      </c>
      <c r="M130" s="16" t="n">
        <v>19.45</v>
      </c>
      <c r="N130" s="16" t="n">
        <v>617.7</v>
      </c>
      <c r="O130" s="12" t="s">
        <v>512</v>
      </c>
    </row>
    <row r="131" customFormat="false" ht="15" hidden="false" customHeight="true" outlineLevel="0" collapsed="false">
      <c r="A131" s="12" t="s">
        <v>630</v>
      </c>
      <c r="B131" s="14" t="n">
        <v>45712</v>
      </c>
      <c r="C131" s="12" t="s">
        <v>504</v>
      </c>
      <c r="D131" s="13" t="s">
        <v>179</v>
      </c>
      <c r="E131" s="15" t="str">
        <f aca="false">IFERROR(INDEX(Dim_Employee!$B$2:$B$76,MATCH(D131,Dim_Employee!$A$2:$A$76,0)),"")</f>
        <v>Amaka Bakare</v>
      </c>
      <c r="F131" s="12" t="s">
        <v>490</v>
      </c>
      <c r="G131" s="16" t="n">
        <v>80.2</v>
      </c>
      <c r="H131" s="16" t="n">
        <v>103</v>
      </c>
      <c r="I131" s="17" t="n">
        <f aca="false">ROUND(G131/H131*100,1)</f>
        <v>77.9</v>
      </c>
      <c r="J131" s="16" t="n">
        <v>5.2</v>
      </c>
      <c r="K131" s="12" t="s">
        <v>516</v>
      </c>
      <c r="L131" s="12" t="s">
        <v>487</v>
      </c>
      <c r="M131" s="16" t="n">
        <v>16.73</v>
      </c>
      <c r="N131" s="16" t="n">
        <v>481.8</v>
      </c>
      <c r="O131" s="12" t="s">
        <v>492</v>
      </c>
    </row>
    <row r="132" customFormat="false" ht="15" hidden="false" customHeight="true" outlineLevel="0" collapsed="false">
      <c r="A132" s="12" t="s">
        <v>631</v>
      </c>
      <c r="B132" s="14" t="n">
        <v>45730</v>
      </c>
      <c r="C132" s="12" t="s">
        <v>504</v>
      </c>
      <c r="D132" s="13" t="s">
        <v>171</v>
      </c>
      <c r="E132" s="15" t="str">
        <f aca="false">IFERROR(INDEX(Dim_Employee!$B$2:$B$76,MATCH(D132,Dim_Employee!$A$2:$A$76,0)),"")</f>
        <v>Musa Adeyemi</v>
      </c>
      <c r="F132" s="12" t="s">
        <v>497</v>
      </c>
      <c r="G132" s="16" t="n">
        <v>95.5</v>
      </c>
      <c r="H132" s="16" t="n">
        <v>105</v>
      </c>
      <c r="I132" s="17" t="n">
        <f aca="false">ROUND(G132/H132*100,1)</f>
        <v>91</v>
      </c>
      <c r="J132" s="16" t="n">
        <v>1.8</v>
      </c>
      <c r="K132" s="12" t="s">
        <v>491</v>
      </c>
      <c r="L132" s="12" t="s">
        <v>487</v>
      </c>
      <c r="M132" s="16" t="n">
        <v>18.17</v>
      </c>
      <c r="N132" s="16" t="n">
        <v>513.9</v>
      </c>
      <c r="O132" s="12" t="s">
        <v>492</v>
      </c>
    </row>
    <row r="133" customFormat="false" ht="15" hidden="false" customHeight="true" outlineLevel="0" collapsed="false">
      <c r="A133" s="12" t="s">
        <v>632</v>
      </c>
      <c r="B133" s="14" t="n">
        <v>45986</v>
      </c>
      <c r="C133" s="12" t="s">
        <v>500</v>
      </c>
      <c r="D133" s="13" t="s">
        <v>195</v>
      </c>
      <c r="E133" s="15" t="str">
        <f aca="false">IFERROR(INDEX(Dim_Employee!$B$2:$B$76,MATCH(D133,Dim_Employee!$A$2:$A$76,0)),"")</f>
        <v>Peace Balogun</v>
      </c>
      <c r="F133" s="12" t="s">
        <v>497</v>
      </c>
      <c r="G133" s="16" t="n">
        <v>106.2</v>
      </c>
      <c r="H133" s="16" t="n">
        <v>115.4</v>
      </c>
      <c r="I133" s="17" t="n">
        <f aca="false">ROUND(G133/H133*100,1)</f>
        <v>92</v>
      </c>
      <c r="J133" s="16" t="n">
        <v>2.1</v>
      </c>
      <c r="K133" s="12" t="s">
        <v>498</v>
      </c>
      <c r="L133" s="12" t="s">
        <v>487</v>
      </c>
      <c r="M133" s="16" t="n">
        <v>20.71</v>
      </c>
      <c r="N133" s="16" t="n">
        <v>540.6</v>
      </c>
      <c r="O133" s="12" t="s">
        <v>512</v>
      </c>
    </row>
    <row r="134" customFormat="false" ht="15" hidden="false" customHeight="true" outlineLevel="0" collapsed="false">
      <c r="A134" s="12" t="s">
        <v>633</v>
      </c>
      <c r="B134" s="14" t="n">
        <v>46022</v>
      </c>
      <c r="C134" s="12" t="s">
        <v>500</v>
      </c>
      <c r="D134" s="13" t="s">
        <v>152</v>
      </c>
      <c r="E134" s="15" t="str">
        <f aca="false">IFERROR(INDEX(Dim_Employee!$B$2:$B$76,MATCH(D134,Dim_Employee!$A$2:$A$76,0)),"")</f>
        <v>Abdullahi Aliyu</v>
      </c>
      <c r="F134" s="12" t="s">
        <v>485</v>
      </c>
      <c r="G134" s="16" t="n">
        <v>92.6</v>
      </c>
      <c r="H134" s="16" t="n">
        <v>116.8</v>
      </c>
      <c r="I134" s="17" t="n">
        <f aca="false">ROUND(G134/H134*100,1)</f>
        <v>79.3</v>
      </c>
      <c r="J134" s="16" t="n">
        <v>4.4</v>
      </c>
      <c r="K134" s="12" t="s">
        <v>516</v>
      </c>
      <c r="L134" s="12" t="s">
        <v>487</v>
      </c>
      <c r="M134" s="16" t="n">
        <v>19.38</v>
      </c>
      <c r="N134" s="16" t="n">
        <v>482.8</v>
      </c>
      <c r="O134" s="12" t="s">
        <v>492</v>
      </c>
    </row>
    <row r="135" customFormat="false" ht="15" hidden="false" customHeight="true" outlineLevel="0" collapsed="false">
      <c r="A135" s="12" t="s">
        <v>634</v>
      </c>
      <c r="B135" s="14" t="n">
        <v>45908</v>
      </c>
      <c r="C135" s="12" t="s">
        <v>484</v>
      </c>
      <c r="D135" s="13" t="s">
        <v>162</v>
      </c>
      <c r="E135" s="15" t="str">
        <f aca="false">IFERROR(INDEX(Dim_Employee!$B$2:$B$76,MATCH(D135,Dim_Employee!$A$2:$A$76,0)),"")</f>
        <v>Halima Nwosu</v>
      </c>
      <c r="F135" s="12" t="s">
        <v>490</v>
      </c>
      <c r="G135" s="16" t="n">
        <v>95.6</v>
      </c>
      <c r="H135" s="16" t="n">
        <v>116.8</v>
      </c>
      <c r="I135" s="17" t="n">
        <f aca="false">ROUND(G135/H135*100,1)</f>
        <v>81.8</v>
      </c>
      <c r="J135" s="16" t="n">
        <v>2.2</v>
      </c>
      <c r="K135" s="12" t="s">
        <v>498</v>
      </c>
      <c r="L135" s="12" t="s">
        <v>487</v>
      </c>
      <c r="M135" s="16" t="n">
        <v>19</v>
      </c>
      <c r="N135" s="16" t="n">
        <v>580.3</v>
      </c>
      <c r="O135" s="12" t="s">
        <v>495</v>
      </c>
    </row>
    <row r="136" customFormat="false" ht="15" hidden="false" customHeight="true" outlineLevel="0" collapsed="false">
      <c r="A136" s="12" t="s">
        <v>635</v>
      </c>
      <c r="B136" s="14" t="n">
        <v>45901</v>
      </c>
      <c r="C136" s="12" t="s">
        <v>484</v>
      </c>
      <c r="D136" s="13" t="s">
        <v>187</v>
      </c>
      <c r="E136" s="15" t="str">
        <f aca="false">IFERROR(INDEX(Dim_Employee!$B$2:$B$76,MATCH(D136,Dim_Employee!$A$2:$A$76,0)),"")</f>
        <v>Uche Ojo</v>
      </c>
      <c r="F136" s="12" t="s">
        <v>497</v>
      </c>
      <c r="G136" s="16" t="n">
        <v>83</v>
      </c>
      <c r="H136" s="16" t="n">
        <v>93</v>
      </c>
      <c r="I136" s="17" t="n">
        <f aca="false">ROUND(G136/H136*100,1)</f>
        <v>89.2</v>
      </c>
      <c r="J136" s="16" t="n">
        <v>2.1</v>
      </c>
      <c r="K136" s="12" t="s">
        <v>501</v>
      </c>
      <c r="L136" s="12" t="s">
        <v>487</v>
      </c>
      <c r="M136" s="16" t="n">
        <v>17</v>
      </c>
      <c r="N136" s="16" t="n">
        <v>528</v>
      </c>
      <c r="O136" s="12" t="s">
        <v>492</v>
      </c>
    </row>
    <row r="137" customFormat="false" ht="15" hidden="false" customHeight="true" outlineLevel="0" collapsed="false">
      <c r="A137" s="12" t="s">
        <v>636</v>
      </c>
      <c r="B137" s="14" t="n">
        <v>45720</v>
      </c>
      <c r="C137" s="12" t="s">
        <v>504</v>
      </c>
      <c r="D137" s="13" t="s">
        <v>167</v>
      </c>
      <c r="E137" s="15" t="str">
        <f aca="false">IFERROR(INDEX(Dim_Employee!$B$2:$B$76,MATCH(D137,Dim_Employee!$A$2:$A$76,0)),"")</f>
        <v>Emmanuel Yakubu</v>
      </c>
      <c r="F137" s="12" t="s">
        <v>497</v>
      </c>
      <c r="G137" s="16" t="n">
        <v>92.8</v>
      </c>
      <c r="H137" s="16" t="n">
        <v>119.7</v>
      </c>
      <c r="I137" s="17" t="n">
        <f aca="false">ROUND(G137/H137*100,1)</f>
        <v>77.5</v>
      </c>
      <c r="J137" s="16" t="n">
        <v>5.5</v>
      </c>
      <c r="K137" s="12" t="s">
        <v>498</v>
      </c>
      <c r="L137" s="12" t="s">
        <v>487</v>
      </c>
      <c r="M137" s="16" t="n">
        <v>18.65</v>
      </c>
      <c r="N137" s="16" t="n">
        <v>536</v>
      </c>
      <c r="O137" s="12" t="s">
        <v>488</v>
      </c>
    </row>
    <row r="138" customFormat="false" ht="15" hidden="false" customHeight="true" outlineLevel="0" collapsed="false">
      <c r="A138" s="12" t="s">
        <v>637</v>
      </c>
      <c r="B138" s="14" t="n">
        <v>45838</v>
      </c>
      <c r="C138" s="12" t="s">
        <v>504</v>
      </c>
      <c r="D138" s="13" t="s">
        <v>146</v>
      </c>
      <c r="E138" s="15" t="str">
        <f aca="false">IFERROR(INDEX(Dim_Employee!$B$2:$B$76,MATCH(D138,Dim_Employee!$A$2:$A$76,0)),"")</f>
        <v>Olamide Sani</v>
      </c>
      <c r="F138" s="12" t="s">
        <v>490</v>
      </c>
      <c r="G138" s="16" t="n">
        <v>86.8</v>
      </c>
      <c r="H138" s="16" t="n">
        <v>102.6</v>
      </c>
      <c r="I138" s="17" t="n">
        <f aca="false">ROUND(G138/H138*100,1)</f>
        <v>84.6</v>
      </c>
      <c r="J138" s="16" t="n">
        <v>3.8</v>
      </c>
      <c r="K138" s="12" t="s">
        <v>498</v>
      </c>
      <c r="L138" s="12" t="s">
        <v>487</v>
      </c>
      <c r="M138" s="16" t="n">
        <v>19.07</v>
      </c>
      <c r="N138" s="16" t="n">
        <v>611.6</v>
      </c>
      <c r="O138" s="12" t="s">
        <v>495</v>
      </c>
    </row>
    <row r="139" customFormat="false" ht="15" hidden="false" customHeight="true" outlineLevel="0" collapsed="false">
      <c r="A139" s="12" t="s">
        <v>638</v>
      </c>
      <c r="B139" s="14" t="n">
        <v>45693</v>
      </c>
      <c r="C139" s="12" t="s">
        <v>500</v>
      </c>
      <c r="D139" s="13" t="s">
        <v>191</v>
      </c>
      <c r="E139" s="15" t="str">
        <f aca="false">IFERROR(INDEX(Dim_Employee!$B$2:$B$76,MATCH(D139,Dim_Employee!$A$2:$A$76,0)),"")</f>
        <v>Chukwudi Eze</v>
      </c>
      <c r="F139" s="12" t="s">
        <v>485</v>
      </c>
      <c r="G139" s="16" t="n">
        <v>79.9</v>
      </c>
      <c r="H139" s="16" t="n">
        <v>103.9</v>
      </c>
      <c r="I139" s="17" t="n">
        <f aca="false">ROUND(G139/H139*100,1)</f>
        <v>76.9</v>
      </c>
      <c r="J139" s="16" t="n">
        <v>6.9</v>
      </c>
      <c r="K139" s="12" t="s">
        <v>491</v>
      </c>
      <c r="L139" s="12" t="s">
        <v>487</v>
      </c>
      <c r="M139" s="16" t="n">
        <v>17.48</v>
      </c>
      <c r="N139" s="16" t="n">
        <v>594</v>
      </c>
      <c r="O139" s="12" t="s">
        <v>495</v>
      </c>
    </row>
    <row r="140" customFormat="false" ht="15" hidden="false" customHeight="true" outlineLevel="0" collapsed="false">
      <c r="A140" s="12" t="s">
        <v>639</v>
      </c>
      <c r="B140" s="14" t="n">
        <v>45869</v>
      </c>
      <c r="C140" s="12" t="s">
        <v>494</v>
      </c>
      <c r="D140" s="13" t="s">
        <v>187</v>
      </c>
      <c r="E140" s="15" t="str">
        <f aca="false">IFERROR(INDEX(Dim_Employee!$B$2:$B$76,MATCH(D140,Dim_Employee!$A$2:$A$76,0)),"")</f>
        <v>Uche Ojo</v>
      </c>
      <c r="F140" s="12" t="s">
        <v>485</v>
      </c>
      <c r="G140" s="16" t="n">
        <v>106.6</v>
      </c>
      <c r="H140" s="16" t="n">
        <v>110</v>
      </c>
      <c r="I140" s="17" t="n">
        <f aca="false">ROUND(G140/H140*100,1)</f>
        <v>96.9</v>
      </c>
      <c r="J140" s="16" t="n">
        <v>0.9</v>
      </c>
      <c r="K140" s="12" t="s">
        <v>501</v>
      </c>
      <c r="L140" s="12" t="s">
        <v>487</v>
      </c>
      <c r="M140" s="16" t="n">
        <v>23.02</v>
      </c>
      <c r="N140" s="16" t="n">
        <v>589.2</v>
      </c>
      <c r="O140" s="12" t="s">
        <v>492</v>
      </c>
    </row>
    <row r="141" customFormat="false" ht="15" hidden="false" customHeight="true" outlineLevel="0" collapsed="false">
      <c r="A141" s="12" t="s">
        <v>640</v>
      </c>
      <c r="B141" s="14" t="n">
        <v>46009</v>
      </c>
      <c r="C141" s="12" t="s">
        <v>504</v>
      </c>
      <c r="D141" s="13" t="s">
        <v>187</v>
      </c>
      <c r="E141" s="15" t="str">
        <f aca="false">IFERROR(INDEX(Dim_Employee!$B$2:$B$76,MATCH(D141,Dim_Employee!$A$2:$A$76,0)),"")</f>
        <v>Uche Ojo</v>
      </c>
      <c r="F141" s="12" t="s">
        <v>485</v>
      </c>
      <c r="G141" s="16" t="n">
        <v>89.6</v>
      </c>
      <c r="H141" s="16" t="n">
        <v>113.5</v>
      </c>
      <c r="I141" s="17" t="n">
        <f aca="false">ROUND(G141/H141*100,1)</f>
        <v>78.9</v>
      </c>
      <c r="J141" s="16" t="n">
        <v>5.8</v>
      </c>
      <c r="K141" s="12" t="s">
        <v>491</v>
      </c>
      <c r="L141" s="12" t="s">
        <v>487</v>
      </c>
      <c r="M141" s="16" t="n">
        <v>18.75</v>
      </c>
      <c r="N141" s="16" t="n">
        <v>592.8</v>
      </c>
      <c r="O141" s="12" t="s">
        <v>512</v>
      </c>
    </row>
    <row r="142" customFormat="false" ht="15" hidden="false" customHeight="true" outlineLevel="0" collapsed="false">
      <c r="A142" s="12" t="s">
        <v>641</v>
      </c>
      <c r="B142" s="14" t="n">
        <v>45877</v>
      </c>
      <c r="C142" s="12" t="s">
        <v>484</v>
      </c>
      <c r="D142" s="13" t="s">
        <v>187</v>
      </c>
      <c r="E142" s="15" t="str">
        <f aca="false">IFERROR(INDEX(Dim_Employee!$B$2:$B$76,MATCH(D142,Dim_Employee!$A$2:$A$76,0)),"")</f>
        <v>Uche Ojo</v>
      </c>
      <c r="F142" s="12" t="s">
        <v>497</v>
      </c>
      <c r="G142" s="16" t="n">
        <v>78.9</v>
      </c>
      <c r="H142" s="16" t="n">
        <v>97.3</v>
      </c>
      <c r="I142" s="17" t="n">
        <f aca="false">ROUND(G142/H142*100,1)</f>
        <v>81.1</v>
      </c>
      <c r="J142" s="16" t="n">
        <v>3.6</v>
      </c>
      <c r="K142" s="12" t="s">
        <v>516</v>
      </c>
      <c r="L142" s="12" t="s">
        <v>487</v>
      </c>
      <c r="M142" s="16" t="n">
        <v>15.47</v>
      </c>
      <c r="N142" s="16" t="n">
        <v>522.4</v>
      </c>
      <c r="O142" s="12" t="s">
        <v>492</v>
      </c>
    </row>
    <row r="143" customFormat="false" ht="15" hidden="false" customHeight="true" outlineLevel="0" collapsed="false">
      <c r="A143" s="12" t="s">
        <v>642</v>
      </c>
      <c r="B143" s="14" t="n">
        <v>45729</v>
      </c>
      <c r="C143" s="12" t="s">
        <v>504</v>
      </c>
      <c r="D143" s="13" t="s">
        <v>141</v>
      </c>
      <c r="E143" s="15" t="str">
        <f aca="false">IFERROR(INDEX(Dim_Employee!$B$2:$B$76,MATCH(D143,Dim_Employee!$A$2:$A$76,0)),"")</f>
        <v>Abdullahi Adeyemi</v>
      </c>
      <c r="F143" s="12" t="s">
        <v>497</v>
      </c>
      <c r="G143" s="16" t="n">
        <v>82.4</v>
      </c>
      <c r="H143" s="16" t="n">
        <v>92.6</v>
      </c>
      <c r="I143" s="17" t="n">
        <f aca="false">ROUND(G143/H143*100,1)</f>
        <v>89</v>
      </c>
      <c r="J143" s="16" t="n">
        <v>1.7</v>
      </c>
      <c r="K143" s="12" t="s">
        <v>486</v>
      </c>
      <c r="L143" s="12" t="s">
        <v>487</v>
      </c>
      <c r="M143" s="16" t="n">
        <v>17.82</v>
      </c>
      <c r="N143" s="16" t="n">
        <v>509.4</v>
      </c>
      <c r="O143" s="12" t="s">
        <v>488</v>
      </c>
    </row>
    <row r="144" customFormat="false" ht="15" hidden="false" customHeight="true" outlineLevel="0" collapsed="false">
      <c r="A144" s="12" t="s">
        <v>643</v>
      </c>
      <c r="B144" s="14" t="n">
        <v>45777</v>
      </c>
      <c r="C144" s="12" t="s">
        <v>500</v>
      </c>
      <c r="D144" s="13" t="s">
        <v>179</v>
      </c>
      <c r="E144" s="15" t="str">
        <f aca="false">IFERROR(INDEX(Dim_Employee!$B$2:$B$76,MATCH(D144,Dim_Employee!$A$2:$A$76,0)),"")</f>
        <v>Amaka Bakare</v>
      </c>
      <c r="F144" s="12" t="s">
        <v>485</v>
      </c>
      <c r="G144" s="16" t="n">
        <v>73.2</v>
      </c>
      <c r="H144" s="16" t="n">
        <v>97.5</v>
      </c>
      <c r="I144" s="17" t="n">
        <f aca="false">ROUND(G144/H144*100,1)</f>
        <v>75.1</v>
      </c>
      <c r="J144" s="16" t="n">
        <v>3.1</v>
      </c>
      <c r="K144" s="12" t="s">
        <v>498</v>
      </c>
      <c r="L144" s="12" t="s">
        <v>487</v>
      </c>
      <c r="M144" s="16" t="n">
        <v>14.36</v>
      </c>
      <c r="N144" s="16" t="n">
        <v>606.6</v>
      </c>
      <c r="O144" s="12" t="s">
        <v>495</v>
      </c>
    </row>
    <row r="145" customFormat="false" ht="15" hidden="false" customHeight="true" outlineLevel="0" collapsed="false">
      <c r="A145" s="12" t="s">
        <v>644</v>
      </c>
      <c r="B145" s="14" t="n">
        <v>45810</v>
      </c>
      <c r="C145" s="12" t="s">
        <v>500</v>
      </c>
      <c r="D145" s="13" t="s">
        <v>146</v>
      </c>
      <c r="E145" s="15" t="str">
        <f aca="false">IFERROR(INDEX(Dim_Employee!$B$2:$B$76,MATCH(D145,Dim_Employee!$A$2:$A$76,0)),"")</f>
        <v>Olamide Sani</v>
      </c>
      <c r="F145" s="12" t="s">
        <v>485</v>
      </c>
      <c r="G145" s="16" t="n">
        <v>108.8</v>
      </c>
      <c r="H145" s="16" t="n">
        <v>110.1</v>
      </c>
      <c r="I145" s="17" t="n">
        <f aca="false">ROUND(G145/H145*100,1)</f>
        <v>98.8</v>
      </c>
      <c r="J145" s="16" t="n">
        <v>0.3</v>
      </c>
      <c r="K145" s="12" t="s">
        <v>491</v>
      </c>
      <c r="L145" s="12" t="s">
        <v>487</v>
      </c>
      <c r="M145" s="16" t="n">
        <v>22.98</v>
      </c>
      <c r="N145" s="16" t="n">
        <v>583.9</v>
      </c>
      <c r="O145" s="12" t="s">
        <v>492</v>
      </c>
    </row>
    <row r="146" customFormat="false" ht="15" hidden="false" customHeight="true" outlineLevel="0" collapsed="false">
      <c r="A146" s="12" t="s">
        <v>645</v>
      </c>
      <c r="B146" s="14" t="n">
        <v>45729</v>
      </c>
      <c r="C146" s="12" t="s">
        <v>494</v>
      </c>
      <c r="D146" s="13" t="s">
        <v>152</v>
      </c>
      <c r="E146" s="15" t="str">
        <f aca="false">IFERROR(INDEX(Dim_Employee!$B$2:$B$76,MATCH(D146,Dim_Employee!$A$2:$A$76,0)),"")</f>
        <v>Abdullahi Aliyu</v>
      </c>
      <c r="F146" s="12" t="s">
        <v>485</v>
      </c>
      <c r="G146" s="16" t="n">
        <v>85.3</v>
      </c>
      <c r="H146" s="16" t="n">
        <v>106.7</v>
      </c>
      <c r="I146" s="17" t="n">
        <f aca="false">ROUND(G146/H146*100,1)</f>
        <v>79.9</v>
      </c>
      <c r="J146" s="16" t="n">
        <v>3.1</v>
      </c>
      <c r="K146" s="12" t="s">
        <v>486</v>
      </c>
      <c r="L146" s="12" t="s">
        <v>487</v>
      </c>
      <c r="M146" s="16" t="n">
        <v>17.86</v>
      </c>
      <c r="N146" s="16" t="n">
        <v>606.8</v>
      </c>
      <c r="O146" s="12" t="s">
        <v>492</v>
      </c>
    </row>
    <row r="147" customFormat="false" ht="15" hidden="false" customHeight="true" outlineLevel="0" collapsed="false">
      <c r="A147" s="12" t="s">
        <v>646</v>
      </c>
      <c r="B147" s="14" t="n">
        <v>45661</v>
      </c>
      <c r="C147" s="12" t="s">
        <v>500</v>
      </c>
      <c r="D147" s="13" t="s">
        <v>171</v>
      </c>
      <c r="E147" s="15" t="str">
        <f aca="false">IFERROR(INDEX(Dim_Employee!$B$2:$B$76,MATCH(D147,Dim_Employee!$A$2:$A$76,0)),"")</f>
        <v>Musa Adeyemi</v>
      </c>
      <c r="F147" s="12" t="s">
        <v>485</v>
      </c>
      <c r="G147" s="16" t="n">
        <v>92.5</v>
      </c>
      <c r="H147" s="16" t="n">
        <v>104.9</v>
      </c>
      <c r="I147" s="17" t="n">
        <f aca="false">ROUND(G147/H147*100,1)</f>
        <v>88.2</v>
      </c>
      <c r="J147" s="16" t="n">
        <v>3.4</v>
      </c>
      <c r="K147" s="12" t="s">
        <v>486</v>
      </c>
      <c r="L147" s="12" t="s">
        <v>487</v>
      </c>
      <c r="M147" s="16" t="n">
        <v>19.66</v>
      </c>
      <c r="N147" s="16" t="n">
        <v>573.1</v>
      </c>
      <c r="O147" s="12" t="s">
        <v>492</v>
      </c>
    </row>
    <row r="148" customFormat="false" ht="15" hidden="false" customHeight="true" outlineLevel="0" collapsed="false">
      <c r="A148" s="12" t="s">
        <v>647</v>
      </c>
      <c r="B148" s="14" t="n">
        <v>45750</v>
      </c>
      <c r="C148" s="12" t="s">
        <v>504</v>
      </c>
      <c r="D148" s="13" t="s">
        <v>187</v>
      </c>
      <c r="E148" s="15" t="str">
        <f aca="false">IFERROR(INDEX(Dim_Employee!$B$2:$B$76,MATCH(D148,Dim_Employee!$A$2:$A$76,0)),"")</f>
        <v>Uche Ojo</v>
      </c>
      <c r="F148" s="12" t="s">
        <v>497</v>
      </c>
      <c r="G148" s="16" t="n">
        <v>104.9</v>
      </c>
      <c r="H148" s="16" t="n">
        <v>102.8</v>
      </c>
      <c r="I148" s="17" t="n">
        <f aca="false">ROUND(G148/H148*100,1)</f>
        <v>102</v>
      </c>
      <c r="J148" s="16" t="n">
        <v>0</v>
      </c>
      <c r="K148" s="12" t="s">
        <v>491</v>
      </c>
      <c r="L148" s="12" t="s">
        <v>487</v>
      </c>
      <c r="M148" s="16" t="n">
        <v>20.02</v>
      </c>
      <c r="N148" s="16" t="n">
        <v>486.4</v>
      </c>
      <c r="O148" s="12" t="s">
        <v>512</v>
      </c>
    </row>
    <row r="149" customFormat="false" ht="15" hidden="false" customHeight="true" outlineLevel="0" collapsed="false">
      <c r="A149" s="12" t="s">
        <v>648</v>
      </c>
      <c r="B149" s="14" t="n">
        <v>45675</v>
      </c>
      <c r="C149" s="12" t="s">
        <v>500</v>
      </c>
      <c r="D149" s="13" t="s">
        <v>152</v>
      </c>
      <c r="E149" s="15" t="str">
        <f aca="false">IFERROR(INDEX(Dim_Employee!$B$2:$B$76,MATCH(D149,Dim_Employee!$A$2:$A$76,0)),"")</f>
        <v>Abdullahi Aliyu</v>
      </c>
      <c r="F149" s="12" t="s">
        <v>497</v>
      </c>
      <c r="G149" s="16" t="n">
        <v>91.1</v>
      </c>
      <c r="H149" s="16" t="n">
        <v>105.3</v>
      </c>
      <c r="I149" s="17" t="n">
        <f aca="false">ROUND(G149/H149*100,1)</f>
        <v>86.5</v>
      </c>
      <c r="J149" s="16" t="n">
        <v>4</v>
      </c>
      <c r="K149" s="12" t="s">
        <v>498</v>
      </c>
      <c r="L149" s="12" t="s">
        <v>487</v>
      </c>
      <c r="M149" s="16" t="n">
        <v>17.77</v>
      </c>
      <c r="N149" s="16" t="n">
        <v>493.2</v>
      </c>
      <c r="O149" s="12" t="s">
        <v>512</v>
      </c>
    </row>
    <row r="150" customFormat="false" ht="15" hidden="false" customHeight="true" outlineLevel="0" collapsed="false">
      <c r="A150" s="12" t="s">
        <v>649</v>
      </c>
      <c r="B150" s="14" t="n">
        <v>45765</v>
      </c>
      <c r="C150" s="12" t="s">
        <v>504</v>
      </c>
      <c r="D150" s="13" t="s">
        <v>183</v>
      </c>
      <c r="E150" s="15" t="str">
        <f aca="false">IFERROR(INDEX(Dim_Employee!$B$2:$B$76,MATCH(D150,Dim_Employee!$A$2:$A$76,0)),"")</f>
        <v>Titilayo Danjuma</v>
      </c>
      <c r="F150" s="12" t="s">
        <v>485</v>
      </c>
      <c r="G150" s="16" t="n">
        <v>91.5</v>
      </c>
      <c r="H150" s="16" t="n">
        <v>104.2</v>
      </c>
      <c r="I150" s="17" t="n">
        <f aca="false">ROUND(G150/H150*100,1)</f>
        <v>87.8</v>
      </c>
      <c r="J150" s="16" t="n">
        <v>3.2</v>
      </c>
      <c r="K150" s="12" t="s">
        <v>498</v>
      </c>
      <c r="L150" s="12" t="s">
        <v>487</v>
      </c>
      <c r="M150" s="16" t="n">
        <v>18.31</v>
      </c>
      <c r="N150" s="16" t="n">
        <v>487.4</v>
      </c>
      <c r="O150" s="12" t="s">
        <v>512</v>
      </c>
    </row>
    <row r="151" customFormat="false" ht="15" hidden="false" customHeight="true" outlineLevel="0" collapsed="false">
      <c r="A151" s="12" t="s">
        <v>650</v>
      </c>
      <c r="B151" s="14" t="n">
        <v>45797</v>
      </c>
      <c r="C151" s="12" t="s">
        <v>504</v>
      </c>
      <c r="D151" s="13" t="s">
        <v>179</v>
      </c>
      <c r="E151" s="15" t="str">
        <f aca="false">IFERROR(INDEX(Dim_Employee!$B$2:$B$76,MATCH(D151,Dim_Employee!$A$2:$A$76,0)),"")</f>
        <v>Amaka Bakare</v>
      </c>
      <c r="F151" s="12" t="s">
        <v>490</v>
      </c>
      <c r="G151" s="16" t="n">
        <v>87.4</v>
      </c>
      <c r="H151" s="16" t="n">
        <v>100.7</v>
      </c>
      <c r="I151" s="17" t="n">
        <f aca="false">ROUND(G151/H151*100,1)</f>
        <v>86.8</v>
      </c>
      <c r="J151" s="16" t="n">
        <v>2.2</v>
      </c>
      <c r="K151" s="12" t="s">
        <v>491</v>
      </c>
      <c r="L151" s="12" t="s">
        <v>487</v>
      </c>
      <c r="M151" s="16" t="n">
        <v>19.37</v>
      </c>
      <c r="N151" s="16" t="n">
        <v>526.3</v>
      </c>
      <c r="O151" s="12" t="s">
        <v>512</v>
      </c>
    </row>
    <row r="152" customFormat="false" ht="15" hidden="false" customHeight="true" outlineLevel="0" collapsed="false">
      <c r="A152" s="12" t="s">
        <v>651</v>
      </c>
      <c r="B152" s="14" t="n">
        <v>45678</v>
      </c>
      <c r="C152" s="12" t="s">
        <v>494</v>
      </c>
      <c r="D152" s="13" t="s">
        <v>179</v>
      </c>
      <c r="E152" s="15" t="str">
        <f aca="false">IFERROR(INDEX(Dim_Employee!$B$2:$B$76,MATCH(D152,Dim_Employee!$A$2:$A$76,0)),"")</f>
        <v>Amaka Bakare</v>
      </c>
      <c r="F152" s="12" t="s">
        <v>497</v>
      </c>
      <c r="G152" s="16" t="n">
        <v>94.9</v>
      </c>
      <c r="H152" s="16" t="n">
        <v>93.8</v>
      </c>
      <c r="I152" s="17" t="n">
        <f aca="false">ROUND(G152/H152*100,1)</f>
        <v>101.2</v>
      </c>
      <c r="J152" s="16" t="n">
        <v>0</v>
      </c>
      <c r="K152" s="12" t="s">
        <v>486</v>
      </c>
      <c r="L152" s="12" t="s">
        <v>487</v>
      </c>
      <c r="M152" s="16" t="n">
        <v>19.57</v>
      </c>
      <c r="N152" s="16" t="n">
        <v>560.4</v>
      </c>
      <c r="O152" s="12" t="s">
        <v>492</v>
      </c>
    </row>
    <row r="153" customFormat="false" ht="15" hidden="false" customHeight="true" outlineLevel="0" collapsed="false">
      <c r="A153" s="12" t="s">
        <v>652</v>
      </c>
      <c r="B153" s="14" t="n">
        <v>45901</v>
      </c>
      <c r="C153" s="12" t="s">
        <v>484</v>
      </c>
      <c r="D153" s="13" t="s">
        <v>179</v>
      </c>
      <c r="E153" s="15" t="str">
        <f aca="false">IFERROR(INDEX(Dim_Employee!$B$2:$B$76,MATCH(D153,Dim_Employee!$A$2:$A$76,0)),"")</f>
        <v>Amaka Bakare</v>
      </c>
      <c r="F153" s="12" t="s">
        <v>497</v>
      </c>
      <c r="G153" s="16" t="n">
        <v>68.5</v>
      </c>
      <c r="H153" s="16" t="n">
        <v>93.3</v>
      </c>
      <c r="I153" s="17" t="n">
        <f aca="false">ROUND(G153/H153*100,1)</f>
        <v>73.4</v>
      </c>
      <c r="J153" s="16" t="n">
        <v>6.6</v>
      </c>
      <c r="K153" s="12" t="s">
        <v>516</v>
      </c>
      <c r="L153" s="12" t="s">
        <v>487</v>
      </c>
      <c r="M153" s="16" t="n">
        <v>14.69</v>
      </c>
      <c r="N153" s="16" t="n">
        <v>566.3</v>
      </c>
      <c r="O153" s="12" t="s">
        <v>488</v>
      </c>
    </row>
    <row r="154" customFormat="false" ht="15" hidden="false" customHeight="true" outlineLevel="0" collapsed="false">
      <c r="A154" s="12" t="s">
        <v>653</v>
      </c>
      <c r="B154" s="14" t="n">
        <v>45747</v>
      </c>
      <c r="C154" s="12" t="s">
        <v>484</v>
      </c>
      <c r="D154" s="13" t="s">
        <v>167</v>
      </c>
      <c r="E154" s="15" t="str">
        <f aca="false">IFERROR(INDEX(Dim_Employee!$B$2:$B$76,MATCH(D154,Dim_Employee!$A$2:$A$76,0)),"")</f>
        <v>Emmanuel Yakubu</v>
      </c>
      <c r="F154" s="12" t="s">
        <v>497</v>
      </c>
      <c r="G154" s="16" t="n">
        <v>83</v>
      </c>
      <c r="H154" s="16" t="n">
        <v>91.2</v>
      </c>
      <c r="I154" s="17" t="n">
        <f aca="false">ROUND(G154/H154*100,1)</f>
        <v>91</v>
      </c>
      <c r="J154" s="16" t="n">
        <v>1.8</v>
      </c>
      <c r="K154" s="12" t="s">
        <v>498</v>
      </c>
      <c r="L154" s="12" t="s">
        <v>487</v>
      </c>
      <c r="M154" s="16" t="n">
        <v>15.89</v>
      </c>
      <c r="N154" s="16" t="n">
        <v>588.4</v>
      </c>
      <c r="O154" s="12" t="s">
        <v>488</v>
      </c>
    </row>
    <row r="155" customFormat="false" ht="15" hidden="false" customHeight="true" outlineLevel="0" collapsed="false">
      <c r="A155" s="12" t="s">
        <v>654</v>
      </c>
      <c r="B155" s="14" t="n">
        <v>46021</v>
      </c>
      <c r="C155" s="12" t="s">
        <v>504</v>
      </c>
      <c r="D155" s="13" t="s">
        <v>187</v>
      </c>
      <c r="E155" s="15" t="str">
        <f aca="false">IFERROR(INDEX(Dim_Employee!$B$2:$B$76,MATCH(D155,Dim_Employee!$A$2:$A$76,0)),"")</f>
        <v>Uche Ojo</v>
      </c>
      <c r="F155" s="12" t="s">
        <v>485</v>
      </c>
      <c r="G155" s="16" t="n">
        <v>88.5</v>
      </c>
      <c r="H155" s="16" t="n">
        <v>116.2</v>
      </c>
      <c r="I155" s="17" t="n">
        <f aca="false">ROUND(G155/H155*100,1)</f>
        <v>76.2</v>
      </c>
      <c r="J155" s="16" t="n">
        <v>4.5</v>
      </c>
      <c r="K155" s="12" t="s">
        <v>498</v>
      </c>
      <c r="L155" s="12" t="s">
        <v>487</v>
      </c>
      <c r="M155" s="16" t="n">
        <v>16.94</v>
      </c>
      <c r="N155" s="16" t="n">
        <v>482.9</v>
      </c>
      <c r="O155" s="12" t="s">
        <v>488</v>
      </c>
    </row>
    <row r="156" customFormat="false" ht="15" hidden="false" customHeight="true" outlineLevel="0" collapsed="false">
      <c r="A156" s="12" t="s">
        <v>655</v>
      </c>
      <c r="B156" s="14" t="n">
        <v>45873</v>
      </c>
      <c r="C156" s="12" t="s">
        <v>494</v>
      </c>
      <c r="D156" s="13" t="s">
        <v>203</v>
      </c>
      <c r="E156" s="15" t="str">
        <f aca="false">IFERROR(INDEX(Dim_Employee!$B$2:$B$76,MATCH(D156,Dim_Employee!$A$2:$A$76,0)),"")</f>
        <v>Tunde Okonkwo</v>
      </c>
      <c r="F156" s="12" t="s">
        <v>485</v>
      </c>
      <c r="G156" s="16" t="n">
        <v>78.3</v>
      </c>
      <c r="H156" s="16" t="n">
        <v>107</v>
      </c>
      <c r="I156" s="17" t="n">
        <f aca="false">ROUND(G156/H156*100,1)</f>
        <v>73.2</v>
      </c>
      <c r="J156" s="16" t="n">
        <v>3.6</v>
      </c>
      <c r="K156" s="12" t="s">
        <v>498</v>
      </c>
      <c r="L156" s="12" t="s">
        <v>487</v>
      </c>
      <c r="M156" s="16" t="n">
        <v>17.01</v>
      </c>
      <c r="N156" s="16" t="n">
        <v>563.1</v>
      </c>
      <c r="O156" s="12" t="s">
        <v>495</v>
      </c>
    </row>
    <row r="157" customFormat="false" ht="15" hidden="false" customHeight="true" outlineLevel="0" collapsed="false">
      <c r="A157" s="12" t="s">
        <v>656</v>
      </c>
      <c r="B157" s="14" t="n">
        <v>45899</v>
      </c>
      <c r="C157" s="12" t="s">
        <v>500</v>
      </c>
      <c r="D157" s="13" t="s">
        <v>203</v>
      </c>
      <c r="E157" s="15" t="str">
        <f aca="false">IFERROR(INDEX(Dim_Employee!$B$2:$B$76,MATCH(D157,Dim_Employee!$A$2:$A$76,0)),"")</f>
        <v>Tunde Okonkwo</v>
      </c>
      <c r="F157" s="12" t="s">
        <v>490</v>
      </c>
      <c r="G157" s="16" t="n">
        <v>100.1</v>
      </c>
      <c r="H157" s="16" t="n">
        <v>113.1</v>
      </c>
      <c r="I157" s="17" t="n">
        <f aca="false">ROUND(G157/H157*100,1)</f>
        <v>88.5</v>
      </c>
      <c r="J157" s="16" t="n">
        <v>1.5</v>
      </c>
      <c r="K157" s="12" t="s">
        <v>491</v>
      </c>
      <c r="L157" s="12" t="s">
        <v>487</v>
      </c>
      <c r="M157" s="16" t="n">
        <v>20.73</v>
      </c>
      <c r="N157" s="16" t="n">
        <v>481.3</v>
      </c>
      <c r="O157" s="12" t="s">
        <v>488</v>
      </c>
    </row>
    <row r="158" customFormat="false" ht="15" hidden="false" customHeight="true" outlineLevel="0" collapsed="false">
      <c r="A158" s="12" t="s">
        <v>657</v>
      </c>
      <c r="B158" s="14" t="n">
        <v>45799</v>
      </c>
      <c r="C158" s="12" t="s">
        <v>500</v>
      </c>
      <c r="D158" s="13" t="s">
        <v>146</v>
      </c>
      <c r="E158" s="15" t="str">
        <f aca="false">IFERROR(INDEX(Dim_Employee!$B$2:$B$76,MATCH(D158,Dim_Employee!$A$2:$A$76,0)),"")</f>
        <v>Olamide Sani</v>
      </c>
      <c r="F158" s="12" t="s">
        <v>485</v>
      </c>
      <c r="G158" s="16" t="n">
        <v>73</v>
      </c>
      <c r="H158" s="16" t="n">
        <v>96.5</v>
      </c>
      <c r="I158" s="17" t="n">
        <f aca="false">ROUND(G158/H158*100,1)</f>
        <v>75.6</v>
      </c>
      <c r="J158" s="16" t="n">
        <v>4.6</v>
      </c>
      <c r="K158" s="12" t="s">
        <v>491</v>
      </c>
      <c r="L158" s="12" t="s">
        <v>487</v>
      </c>
      <c r="M158" s="16" t="n">
        <v>14.42</v>
      </c>
      <c r="N158" s="16" t="n">
        <v>487</v>
      </c>
      <c r="O158" s="12" t="s">
        <v>495</v>
      </c>
    </row>
    <row r="159" customFormat="false" ht="15" hidden="false" customHeight="true" outlineLevel="0" collapsed="false">
      <c r="A159" s="12" t="s">
        <v>658</v>
      </c>
      <c r="B159" s="14" t="n">
        <v>46000</v>
      </c>
      <c r="C159" s="12" t="s">
        <v>504</v>
      </c>
      <c r="D159" s="13" t="s">
        <v>146</v>
      </c>
      <c r="E159" s="15" t="str">
        <f aca="false">IFERROR(INDEX(Dim_Employee!$B$2:$B$76,MATCH(D159,Dim_Employee!$A$2:$A$76,0)),"")</f>
        <v>Olamide Sani</v>
      </c>
      <c r="F159" s="12" t="s">
        <v>490</v>
      </c>
      <c r="G159" s="16" t="n">
        <v>87.7</v>
      </c>
      <c r="H159" s="16" t="n">
        <v>98.8</v>
      </c>
      <c r="I159" s="17" t="n">
        <f aca="false">ROUND(G159/H159*100,1)</f>
        <v>88.8</v>
      </c>
      <c r="J159" s="16" t="n">
        <v>2.2</v>
      </c>
      <c r="K159" s="12" t="s">
        <v>491</v>
      </c>
      <c r="L159" s="12" t="s">
        <v>487</v>
      </c>
      <c r="M159" s="16" t="n">
        <v>16.7</v>
      </c>
      <c r="N159" s="16" t="n">
        <v>482.1</v>
      </c>
      <c r="O159" s="12" t="s">
        <v>488</v>
      </c>
    </row>
    <row r="160" customFormat="false" ht="15" hidden="false" customHeight="true" outlineLevel="0" collapsed="false">
      <c r="A160" s="12" t="s">
        <v>659</v>
      </c>
      <c r="B160" s="14" t="n">
        <v>45907</v>
      </c>
      <c r="C160" s="12" t="s">
        <v>484</v>
      </c>
      <c r="D160" s="13" t="s">
        <v>191</v>
      </c>
      <c r="E160" s="15" t="str">
        <f aca="false">IFERROR(INDEX(Dim_Employee!$B$2:$B$76,MATCH(D160,Dim_Employee!$A$2:$A$76,0)),"")</f>
        <v>Chukwudi Eze</v>
      </c>
      <c r="F160" s="12" t="s">
        <v>485</v>
      </c>
      <c r="G160" s="16" t="n">
        <v>93.2</v>
      </c>
      <c r="H160" s="16" t="n">
        <v>99.3</v>
      </c>
      <c r="I160" s="17" t="n">
        <f aca="false">ROUND(G160/H160*100,1)</f>
        <v>93.9</v>
      </c>
      <c r="J160" s="16" t="n">
        <v>0.8</v>
      </c>
      <c r="K160" s="12" t="s">
        <v>498</v>
      </c>
      <c r="L160" s="12" t="s">
        <v>487</v>
      </c>
      <c r="M160" s="16" t="n">
        <v>19.85</v>
      </c>
      <c r="N160" s="16" t="n">
        <v>541.4</v>
      </c>
      <c r="O160" s="12" t="s">
        <v>495</v>
      </c>
    </row>
    <row r="161" customFormat="false" ht="15" hidden="false" customHeight="true" outlineLevel="0" collapsed="false">
      <c r="A161" s="12" t="s">
        <v>660</v>
      </c>
      <c r="B161" s="14" t="n">
        <v>45741</v>
      </c>
      <c r="C161" s="12" t="s">
        <v>494</v>
      </c>
      <c r="D161" s="13" t="s">
        <v>157</v>
      </c>
      <c r="E161" s="15" t="str">
        <f aca="false">IFERROR(INDEX(Dim_Employee!$B$2:$B$76,MATCH(D161,Dim_Employee!$A$2:$A$76,0)),"")</f>
        <v>Kelechi Ojo</v>
      </c>
      <c r="F161" s="12" t="s">
        <v>485</v>
      </c>
      <c r="G161" s="16" t="n">
        <v>89.8</v>
      </c>
      <c r="H161" s="16" t="n">
        <v>119</v>
      </c>
      <c r="I161" s="17" t="n">
        <f aca="false">ROUND(G161/H161*100,1)</f>
        <v>75.5</v>
      </c>
      <c r="J161" s="16" t="n">
        <v>8.5</v>
      </c>
      <c r="K161" s="12" t="s">
        <v>498</v>
      </c>
      <c r="L161" s="12" t="s">
        <v>487</v>
      </c>
      <c r="M161" s="16" t="n">
        <v>19.89</v>
      </c>
      <c r="N161" s="16" t="n">
        <v>612.3</v>
      </c>
      <c r="O161" s="12" t="s">
        <v>512</v>
      </c>
    </row>
    <row r="162" customFormat="false" ht="15" hidden="false" customHeight="true" outlineLevel="0" collapsed="false">
      <c r="A162" s="12" t="s">
        <v>661</v>
      </c>
      <c r="B162" s="14" t="n">
        <v>45965</v>
      </c>
      <c r="C162" s="12" t="s">
        <v>504</v>
      </c>
      <c r="D162" s="13" t="s">
        <v>179</v>
      </c>
      <c r="E162" s="15" t="str">
        <f aca="false">IFERROR(INDEX(Dim_Employee!$B$2:$B$76,MATCH(D162,Dim_Employee!$A$2:$A$76,0)),"")</f>
        <v>Amaka Bakare</v>
      </c>
      <c r="F162" s="12" t="s">
        <v>497</v>
      </c>
      <c r="G162" s="16" t="n">
        <v>89.2</v>
      </c>
      <c r="H162" s="16" t="n">
        <v>98.4</v>
      </c>
      <c r="I162" s="17" t="n">
        <f aca="false">ROUND(G162/H162*100,1)</f>
        <v>90.7</v>
      </c>
      <c r="J162" s="16" t="n">
        <v>2.1</v>
      </c>
      <c r="K162" s="12" t="s">
        <v>491</v>
      </c>
      <c r="L162" s="12" t="s">
        <v>487</v>
      </c>
      <c r="M162" s="16" t="n">
        <v>17</v>
      </c>
      <c r="N162" s="16" t="n">
        <v>501.2</v>
      </c>
      <c r="O162" s="12" t="s">
        <v>512</v>
      </c>
    </row>
    <row r="163" customFormat="false" ht="15" hidden="false" customHeight="true" outlineLevel="0" collapsed="false">
      <c r="A163" s="12" t="s">
        <v>662</v>
      </c>
      <c r="B163" s="14" t="n">
        <v>45850</v>
      </c>
      <c r="C163" s="12" t="s">
        <v>500</v>
      </c>
      <c r="D163" s="13" t="s">
        <v>195</v>
      </c>
      <c r="E163" s="15" t="str">
        <f aca="false">IFERROR(INDEX(Dim_Employee!$B$2:$B$76,MATCH(D163,Dim_Employee!$A$2:$A$76,0)),"")</f>
        <v>Peace Balogun</v>
      </c>
      <c r="F163" s="12" t="s">
        <v>485</v>
      </c>
      <c r="G163" s="16" t="n">
        <v>94.7</v>
      </c>
      <c r="H163" s="16" t="n">
        <v>119.3</v>
      </c>
      <c r="I163" s="17" t="n">
        <f aca="false">ROUND(G163/H163*100,1)</f>
        <v>79.4</v>
      </c>
      <c r="J163" s="16" t="n">
        <v>4.4</v>
      </c>
      <c r="K163" s="12" t="s">
        <v>498</v>
      </c>
      <c r="L163" s="12" t="s">
        <v>487</v>
      </c>
      <c r="M163" s="16" t="n">
        <v>18</v>
      </c>
      <c r="N163" s="16" t="n">
        <v>516.8</v>
      </c>
      <c r="O163" s="12" t="s">
        <v>492</v>
      </c>
    </row>
    <row r="164" customFormat="false" ht="15" hidden="false" customHeight="true" outlineLevel="0" collapsed="false">
      <c r="A164" s="12" t="s">
        <v>663</v>
      </c>
      <c r="B164" s="14" t="n">
        <v>45679</v>
      </c>
      <c r="C164" s="12" t="s">
        <v>504</v>
      </c>
      <c r="D164" s="13" t="s">
        <v>162</v>
      </c>
      <c r="E164" s="15" t="str">
        <f aca="false">IFERROR(INDEX(Dim_Employee!$B$2:$B$76,MATCH(D164,Dim_Employee!$A$2:$A$76,0)),"")</f>
        <v>Halima Nwosu</v>
      </c>
      <c r="F164" s="12" t="s">
        <v>490</v>
      </c>
      <c r="G164" s="16" t="n">
        <v>103.8</v>
      </c>
      <c r="H164" s="16" t="n">
        <v>107.6</v>
      </c>
      <c r="I164" s="17" t="n">
        <f aca="false">ROUND(G164/H164*100,1)</f>
        <v>96.5</v>
      </c>
      <c r="J164" s="16" t="n">
        <v>1.1</v>
      </c>
      <c r="K164" s="12" t="s">
        <v>501</v>
      </c>
      <c r="L164" s="12" t="s">
        <v>487</v>
      </c>
      <c r="M164" s="16" t="n">
        <v>23.32</v>
      </c>
      <c r="N164" s="16" t="n">
        <v>560.1</v>
      </c>
      <c r="O164" s="12" t="s">
        <v>512</v>
      </c>
    </row>
    <row r="165" customFormat="false" ht="15" hidden="false" customHeight="true" outlineLevel="0" collapsed="false">
      <c r="A165" s="12" t="s">
        <v>664</v>
      </c>
      <c r="B165" s="14" t="n">
        <v>45853</v>
      </c>
      <c r="C165" s="12" t="s">
        <v>500</v>
      </c>
      <c r="D165" s="13" t="s">
        <v>203</v>
      </c>
      <c r="E165" s="15" t="str">
        <f aca="false">IFERROR(INDEX(Dim_Employee!$B$2:$B$76,MATCH(D165,Dim_Employee!$A$2:$A$76,0)),"")</f>
        <v>Tunde Okonkwo</v>
      </c>
      <c r="F165" s="12" t="s">
        <v>497</v>
      </c>
      <c r="G165" s="16" t="n">
        <v>74.9</v>
      </c>
      <c r="H165" s="16" t="n">
        <v>100.4</v>
      </c>
      <c r="I165" s="17" t="n">
        <f aca="false">ROUND(G165/H165*100,1)</f>
        <v>74.6</v>
      </c>
      <c r="J165" s="16" t="n">
        <v>5.4</v>
      </c>
      <c r="K165" s="12" t="s">
        <v>534</v>
      </c>
      <c r="L165" s="12" t="s">
        <v>487</v>
      </c>
      <c r="M165" s="16" t="n">
        <v>14.93</v>
      </c>
      <c r="N165" s="16" t="n">
        <v>565</v>
      </c>
      <c r="O165" s="12" t="s">
        <v>492</v>
      </c>
    </row>
    <row r="166" customFormat="false" ht="15" hidden="false" customHeight="true" outlineLevel="0" collapsed="false">
      <c r="A166" s="12" t="s">
        <v>665</v>
      </c>
      <c r="B166" s="14" t="n">
        <v>45662</v>
      </c>
      <c r="C166" s="12" t="s">
        <v>494</v>
      </c>
      <c r="D166" s="13" t="s">
        <v>199</v>
      </c>
      <c r="E166" s="15" t="str">
        <f aca="false">IFERROR(INDEX(Dim_Employee!$B$2:$B$76,MATCH(D166,Dim_Employee!$A$2:$A$76,0)),"")</f>
        <v>Olamide Anyanwu</v>
      </c>
      <c r="F166" s="12" t="s">
        <v>485</v>
      </c>
      <c r="G166" s="16" t="n">
        <v>111.1</v>
      </c>
      <c r="H166" s="16" t="n">
        <v>111.3</v>
      </c>
      <c r="I166" s="17" t="n">
        <f aca="false">ROUND(G166/H166*100,1)</f>
        <v>99.8</v>
      </c>
      <c r="J166" s="16" t="n">
        <v>0</v>
      </c>
      <c r="K166" s="12" t="s">
        <v>486</v>
      </c>
      <c r="L166" s="12" t="s">
        <v>487</v>
      </c>
      <c r="M166" s="16" t="n">
        <v>23.49</v>
      </c>
      <c r="N166" s="16" t="n">
        <v>529.7</v>
      </c>
      <c r="O166" s="12" t="s">
        <v>488</v>
      </c>
    </row>
    <row r="167" customFormat="false" ht="15" hidden="false" customHeight="true" outlineLevel="0" collapsed="false">
      <c r="A167" s="12" t="s">
        <v>666</v>
      </c>
      <c r="B167" s="14" t="n">
        <v>45925</v>
      </c>
      <c r="C167" s="12" t="s">
        <v>504</v>
      </c>
      <c r="D167" s="13" t="s">
        <v>171</v>
      </c>
      <c r="E167" s="15" t="str">
        <f aca="false">IFERROR(INDEX(Dim_Employee!$B$2:$B$76,MATCH(D167,Dim_Employee!$A$2:$A$76,0)),"")</f>
        <v>Musa Adeyemi</v>
      </c>
      <c r="F167" s="12" t="s">
        <v>485</v>
      </c>
      <c r="G167" s="16" t="n">
        <v>89.3</v>
      </c>
      <c r="H167" s="16" t="n">
        <v>101.9</v>
      </c>
      <c r="I167" s="17" t="n">
        <f aca="false">ROUND(G167/H167*100,1)</f>
        <v>87.6</v>
      </c>
      <c r="J167" s="16" t="n">
        <v>1.9</v>
      </c>
      <c r="K167" s="12" t="s">
        <v>486</v>
      </c>
      <c r="L167" s="12" t="s">
        <v>487</v>
      </c>
      <c r="M167" s="16" t="n">
        <v>17.69</v>
      </c>
      <c r="N167" s="16" t="n">
        <v>509.8</v>
      </c>
      <c r="O167" s="12" t="s">
        <v>488</v>
      </c>
    </row>
    <row r="168" customFormat="false" ht="15" hidden="false" customHeight="true" outlineLevel="0" collapsed="false">
      <c r="A168" s="12" t="s">
        <v>667</v>
      </c>
      <c r="B168" s="14" t="n">
        <v>45841</v>
      </c>
      <c r="C168" s="12" t="s">
        <v>494</v>
      </c>
      <c r="D168" s="13" t="s">
        <v>162</v>
      </c>
      <c r="E168" s="15" t="str">
        <f aca="false">IFERROR(INDEX(Dim_Employee!$B$2:$B$76,MATCH(D168,Dim_Employee!$A$2:$A$76,0)),"")</f>
        <v>Halima Nwosu</v>
      </c>
      <c r="F168" s="12" t="s">
        <v>497</v>
      </c>
      <c r="G168" s="16" t="n">
        <v>92.2</v>
      </c>
      <c r="H168" s="16" t="n">
        <v>114.2</v>
      </c>
      <c r="I168" s="17" t="n">
        <f aca="false">ROUND(G168/H168*100,1)</f>
        <v>80.7</v>
      </c>
      <c r="J168" s="16" t="n">
        <v>4.7</v>
      </c>
      <c r="K168" s="12" t="s">
        <v>516</v>
      </c>
      <c r="L168" s="12" t="s">
        <v>487</v>
      </c>
      <c r="M168" s="16" t="n">
        <v>18.43</v>
      </c>
      <c r="N168" s="16" t="n">
        <v>609.2</v>
      </c>
      <c r="O168" s="12" t="s">
        <v>492</v>
      </c>
    </row>
    <row r="169" customFormat="false" ht="15" hidden="false" customHeight="true" outlineLevel="0" collapsed="false">
      <c r="A169" s="12" t="s">
        <v>668</v>
      </c>
      <c r="B169" s="14" t="n">
        <v>45699</v>
      </c>
      <c r="C169" s="12" t="s">
        <v>500</v>
      </c>
      <c r="D169" s="13" t="s">
        <v>187</v>
      </c>
      <c r="E169" s="15" t="str">
        <f aca="false">IFERROR(INDEX(Dim_Employee!$B$2:$B$76,MATCH(D169,Dim_Employee!$A$2:$A$76,0)),"")</f>
        <v>Uche Ojo</v>
      </c>
      <c r="F169" s="12" t="s">
        <v>485</v>
      </c>
      <c r="G169" s="16" t="n">
        <v>96.5</v>
      </c>
      <c r="H169" s="16" t="n">
        <v>116</v>
      </c>
      <c r="I169" s="17" t="n">
        <f aca="false">ROUND(G169/H169*100,1)</f>
        <v>83.2</v>
      </c>
      <c r="J169" s="16" t="n">
        <v>3.8</v>
      </c>
      <c r="K169" s="12" t="s">
        <v>491</v>
      </c>
      <c r="L169" s="12" t="s">
        <v>487</v>
      </c>
      <c r="M169" s="16" t="n">
        <v>19.67</v>
      </c>
      <c r="N169" s="16" t="n">
        <v>552.7</v>
      </c>
      <c r="O169" s="12" t="s">
        <v>488</v>
      </c>
    </row>
    <row r="170" customFormat="false" ht="15" hidden="false" customHeight="true" outlineLevel="0" collapsed="false">
      <c r="A170" s="12" t="s">
        <v>669</v>
      </c>
      <c r="B170" s="14" t="n">
        <v>45906</v>
      </c>
      <c r="C170" s="12" t="s">
        <v>500</v>
      </c>
      <c r="D170" s="13" t="s">
        <v>152</v>
      </c>
      <c r="E170" s="15" t="str">
        <f aca="false">IFERROR(INDEX(Dim_Employee!$B$2:$B$76,MATCH(D170,Dim_Employee!$A$2:$A$76,0)),"")</f>
        <v>Abdullahi Aliyu</v>
      </c>
      <c r="F170" s="12" t="s">
        <v>485</v>
      </c>
      <c r="G170" s="16" t="n">
        <v>92.6</v>
      </c>
      <c r="H170" s="16" t="n">
        <v>91</v>
      </c>
      <c r="I170" s="17" t="n">
        <f aca="false">ROUND(G170/H170*100,1)</f>
        <v>101.8</v>
      </c>
      <c r="J170" s="16" t="n">
        <v>0</v>
      </c>
      <c r="K170" s="12" t="s">
        <v>534</v>
      </c>
      <c r="L170" s="12" t="s">
        <v>487</v>
      </c>
      <c r="M170" s="16" t="n">
        <v>18.63</v>
      </c>
      <c r="N170" s="16" t="n">
        <v>493.6</v>
      </c>
      <c r="O170" s="12" t="s">
        <v>492</v>
      </c>
    </row>
    <row r="171" customFormat="false" ht="15" hidden="false" customHeight="true" outlineLevel="0" collapsed="false">
      <c r="A171" s="12" t="s">
        <v>670</v>
      </c>
      <c r="B171" s="14" t="n">
        <v>45750</v>
      </c>
      <c r="C171" s="12" t="s">
        <v>494</v>
      </c>
      <c r="D171" s="13" t="s">
        <v>157</v>
      </c>
      <c r="E171" s="15" t="str">
        <f aca="false">IFERROR(INDEX(Dim_Employee!$B$2:$B$76,MATCH(D171,Dim_Employee!$A$2:$A$76,0)),"")</f>
        <v>Kelechi Ojo</v>
      </c>
      <c r="F171" s="12" t="s">
        <v>490</v>
      </c>
      <c r="G171" s="16" t="n">
        <v>71.4</v>
      </c>
      <c r="H171" s="16" t="n">
        <v>97.6</v>
      </c>
      <c r="I171" s="17" t="n">
        <f aca="false">ROUND(G171/H171*100,1)</f>
        <v>73.2</v>
      </c>
      <c r="J171" s="16" t="n">
        <v>3.7</v>
      </c>
      <c r="K171" s="12" t="s">
        <v>498</v>
      </c>
      <c r="L171" s="12" t="s">
        <v>487</v>
      </c>
      <c r="M171" s="16" t="n">
        <v>13.67</v>
      </c>
      <c r="N171" s="16" t="n">
        <v>531.7</v>
      </c>
      <c r="O171" s="12" t="s">
        <v>492</v>
      </c>
    </row>
    <row r="172" customFormat="false" ht="15" hidden="false" customHeight="true" outlineLevel="0" collapsed="false">
      <c r="A172" s="12" t="s">
        <v>671</v>
      </c>
      <c r="B172" s="14" t="n">
        <v>45964</v>
      </c>
      <c r="C172" s="12" t="s">
        <v>494</v>
      </c>
      <c r="D172" s="13" t="s">
        <v>203</v>
      </c>
      <c r="E172" s="15" t="str">
        <f aca="false">IFERROR(INDEX(Dim_Employee!$B$2:$B$76,MATCH(D172,Dim_Employee!$A$2:$A$76,0)),"")</f>
        <v>Tunde Okonkwo</v>
      </c>
      <c r="F172" s="12" t="s">
        <v>490</v>
      </c>
      <c r="G172" s="16" t="n">
        <v>117.6</v>
      </c>
      <c r="H172" s="16" t="n">
        <v>118.4</v>
      </c>
      <c r="I172" s="17" t="n">
        <f aca="false">ROUND(G172/H172*100,1)</f>
        <v>99.3</v>
      </c>
      <c r="J172" s="16" t="n">
        <v>0.1</v>
      </c>
      <c r="K172" s="12" t="s">
        <v>491</v>
      </c>
      <c r="L172" s="12" t="s">
        <v>487</v>
      </c>
      <c r="M172" s="16" t="n">
        <v>22.77</v>
      </c>
      <c r="N172" s="16" t="n">
        <v>524.6</v>
      </c>
      <c r="O172" s="12" t="s">
        <v>495</v>
      </c>
    </row>
    <row r="173" customFormat="false" ht="15" hidden="false" customHeight="true" outlineLevel="0" collapsed="false">
      <c r="A173" s="12" t="s">
        <v>672</v>
      </c>
      <c r="B173" s="14" t="n">
        <v>45887</v>
      </c>
      <c r="C173" s="12" t="s">
        <v>500</v>
      </c>
      <c r="D173" s="13" t="s">
        <v>146</v>
      </c>
      <c r="E173" s="15" t="str">
        <f aca="false">IFERROR(INDEX(Dim_Employee!$B$2:$B$76,MATCH(D173,Dim_Employee!$A$2:$A$76,0)),"")</f>
        <v>Olamide Sani</v>
      </c>
      <c r="F173" s="12" t="s">
        <v>485</v>
      </c>
      <c r="G173" s="16" t="n">
        <v>109.3</v>
      </c>
      <c r="H173" s="16" t="n">
        <v>118.7</v>
      </c>
      <c r="I173" s="17" t="n">
        <f aca="false">ROUND(G173/H173*100,1)</f>
        <v>92.1</v>
      </c>
      <c r="J173" s="16" t="n">
        <v>1.7</v>
      </c>
      <c r="K173" s="12" t="s">
        <v>534</v>
      </c>
      <c r="L173" s="12" t="s">
        <v>487</v>
      </c>
      <c r="M173" s="16" t="n">
        <v>25.1</v>
      </c>
      <c r="N173" s="16" t="n">
        <v>511</v>
      </c>
      <c r="O173" s="12" t="s">
        <v>488</v>
      </c>
    </row>
    <row r="174" customFormat="false" ht="15" hidden="false" customHeight="true" outlineLevel="0" collapsed="false">
      <c r="A174" s="12" t="s">
        <v>673</v>
      </c>
      <c r="B174" s="14" t="n">
        <v>45672</v>
      </c>
      <c r="C174" s="12" t="s">
        <v>484</v>
      </c>
      <c r="D174" s="13" t="s">
        <v>175</v>
      </c>
      <c r="E174" s="15" t="str">
        <f aca="false">IFERROR(INDEX(Dim_Employee!$B$2:$B$76,MATCH(D174,Dim_Employee!$A$2:$A$76,0)),"")</f>
        <v>Kingsley Okonkwo</v>
      </c>
      <c r="F174" s="12" t="s">
        <v>485</v>
      </c>
      <c r="G174" s="16" t="n">
        <v>87.2</v>
      </c>
      <c r="H174" s="16" t="n">
        <v>118.2</v>
      </c>
      <c r="I174" s="17" t="n">
        <f aca="false">ROUND(G174/H174*100,1)</f>
        <v>73.8</v>
      </c>
      <c r="J174" s="16" t="n">
        <v>6.5</v>
      </c>
      <c r="K174" s="12" t="s">
        <v>501</v>
      </c>
      <c r="L174" s="12" t="s">
        <v>487</v>
      </c>
      <c r="M174" s="16" t="n">
        <v>19.04</v>
      </c>
      <c r="N174" s="16" t="n">
        <v>570.5</v>
      </c>
      <c r="O174" s="12" t="s">
        <v>492</v>
      </c>
    </row>
    <row r="175" customFormat="false" ht="15" hidden="false" customHeight="true" outlineLevel="0" collapsed="false">
      <c r="A175" s="12" t="s">
        <v>674</v>
      </c>
      <c r="B175" s="14" t="n">
        <v>45759</v>
      </c>
      <c r="C175" s="12" t="s">
        <v>504</v>
      </c>
      <c r="D175" s="13" t="s">
        <v>141</v>
      </c>
      <c r="E175" s="15" t="str">
        <f aca="false">IFERROR(INDEX(Dim_Employee!$B$2:$B$76,MATCH(D175,Dim_Employee!$A$2:$A$76,0)),"")</f>
        <v>Abdullahi Adeyemi</v>
      </c>
      <c r="F175" s="12" t="s">
        <v>497</v>
      </c>
      <c r="G175" s="16" t="n">
        <v>75.8</v>
      </c>
      <c r="H175" s="16" t="n">
        <v>93</v>
      </c>
      <c r="I175" s="17" t="n">
        <f aca="false">ROUND(G175/H175*100,1)</f>
        <v>81.5</v>
      </c>
      <c r="J175" s="16" t="n">
        <v>1.7</v>
      </c>
      <c r="K175" s="12" t="s">
        <v>491</v>
      </c>
      <c r="L175" s="12" t="s">
        <v>487</v>
      </c>
      <c r="M175" s="16" t="n">
        <v>16.7</v>
      </c>
      <c r="N175" s="16" t="n">
        <v>494.8</v>
      </c>
      <c r="O175" s="12" t="s">
        <v>512</v>
      </c>
    </row>
    <row r="176" customFormat="false" ht="15" hidden="false" customHeight="true" outlineLevel="0" collapsed="false">
      <c r="A176" s="12" t="s">
        <v>675</v>
      </c>
      <c r="B176" s="14" t="n">
        <v>45744</v>
      </c>
      <c r="C176" s="12" t="s">
        <v>494</v>
      </c>
      <c r="D176" s="13" t="s">
        <v>187</v>
      </c>
      <c r="E176" s="15" t="str">
        <f aca="false">IFERROR(INDEX(Dim_Employee!$B$2:$B$76,MATCH(D176,Dim_Employee!$A$2:$A$76,0)),"")</f>
        <v>Uche Ojo</v>
      </c>
      <c r="F176" s="12" t="s">
        <v>490</v>
      </c>
      <c r="G176" s="16" t="n">
        <v>74</v>
      </c>
      <c r="H176" s="16" t="n">
        <v>97.7</v>
      </c>
      <c r="I176" s="17" t="n">
        <f aca="false">ROUND(G176/H176*100,1)</f>
        <v>75.7</v>
      </c>
      <c r="J176" s="16" t="n">
        <v>4.7</v>
      </c>
      <c r="K176" s="12" t="s">
        <v>501</v>
      </c>
      <c r="L176" s="12" t="s">
        <v>487</v>
      </c>
      <c r="M176" s="16" t="n">
        <v>16.77</v>
      </c>
      <c r="N176" s="16" t="n">
        <v>604.9</v>
      </c>
      <c r="O176" s="12" t="s">
        <v>492</v>
      </c>
    </row>
    <row r="177" customFormat="false" ht="15" hidden="false" customHeight="true" outlineLevel="0" collapsed="false">
      <c r="A177" s="12" t="s">
        <v>676</v>
      </c>
      <c r="B177" s="14" t="n">
        <v>45697</v>
      </c>
      <c r="C177" s="12" t="s">
        <v>504</v>
      </c>
      <c r="D177" s="13" t="s">
        <v>167</v>
      </c>
      <c r="E177" s="15" t="str">
        <f aca="false">IFERROR(INDEX(Dim_Employee!$B$2:$B$76,MATCH(D177,Dim_Employee!$A$2:$A$76,0)),"")</f>
        <v>Emmanuel Yakubu</v>
      </c>
      <c r="F177" s="12" t="s">
        <v>497</v>
      </c>
      <c r="G177" s="16" t="n">
        <v>87.4</v>
      </c>
      <c r="H177" s="16" t="n">
        <v>114</v>
      </c>
      <c r="I177" s="17" t="n">
        <f aca="false">ROUND(G177/H177*100,1)</f>
        <v>76.7</v>
      </c>
      <c r="J177" s="16" t="n">
        <v>7.1</v>
      </c>
      <c r="K177" s="12" t="s">
        <v>498</v>
      </c>
      <c r="L177" s="12" t="s">
        <v>487</v>
      </c>
      <c r="M177" s="16" t="n">
        <v>18.17</v>
      </c>
      <c r="N177" s="16" t="n">
        <v>493.6</v>
      </c>
      <c r="O177" s="12" t="s">
        <v>492</v>
      </c>
    </row>
    <row r="178" customFormat="false" ht="15" hidden="false" customHeight="true" outlineLevel="0" collapsed="false">
      <c r="A178" s="12" t="s">
        <v>677</v>
      </c>
      <c r="B178" s="14" t="n">
        <v>45777</v>
      </c>
      <c r="C178" s="12" t="s">
        <v>494</v>
      </c>
      <c r="D178" s="13" t="s">
        <v>91</v>
      </c>
      <c r="E178" s="15" t="str">
        <f aca="false">IFERROR(INDEX(Dim_Employee!$B$2:$B$76,MATCH(D178,Dim_Employee!$A$2:$A$76,0)),"")</f>
        <v>Ngozi Okafor</v>
      </c>
      <c r="F178" s="12" t="s">
        <v>490</v>
      </c>
      <c r="G178" s="16" t="n">
        <v>93.2</v>
      </c>
      <c r="H178" s="16" t="n">
        <v>108.9</v>
      </c>
      <c r="I178" s="17" t="n">
        <f aca="false">ROUND(G178/H178*100,1)</f>
        <v>85.6</v>
      </c>
      <c r="J178" s="16" t="n">
        <v>2.6</v>
      </c>
      <c r="K178" s="12" t="s">
        <v>491</v>
      </c>
      <c r="L178" s="12" t="s">
        <v>487</v>
      </c>
      <c r="M178" s="16" t="n">
        <v>18.24</v>
      </c>
      <c r="N178" s="16" t="n">
        <v>511</v>
      </c>
      <c r="O178" s="12" t="s">
        <v>488</v>
      </c>
    </row>
    <row r="179" customFormat="false" ht="15" hidden="false" customHeight="true" outlineLevel="0" collapsed="false">
      <c r="A179" s="12" t="s">
        <v>678</v>
      </c>
      <c r="B179" s="14" t="n">
        <v>45734</v>
      </c>
      <c r="C179" s="12" t="s">
        <v>504</v>
      </c>
      <c r="D179" s="13" t="s">
        <v>162</v>
      </c>
      <c r="E179" s="15" t="str">
        <f aca="false">IFERROR(INDEX(Dim_Employee!$B$2:$B$76,MATCH(D179,Dim_Employee!$A$2:$A$76,0)),"")</f>
        <v>Halima Nwosu</v>
      </c>
      <c r="F179" s="12" t="s">
        <v>485</v>
      </c>
      <c r="G179" s="16" t="n">
        <v>98.7</v>
      </c>
      <c r="H179" s="16" t="n">
        <v>111.4</v>
      </c>
      <c r="I179" s="17" t="n">
        <f aca="false">ROUND(G179/H179*100,1)</f>
        <v>88.6</v>
      </c>
      <c r="J179" s="16" t="n">
        <v>1.6</v>
      </c>
      <c r="K179" s="12" t="s">
        <v>498</v>
      </c>
      <c r="L179" s="12" t="s">
        <v>487</v>
      </c>
      <c r="M179" s="16" t="n">
        <v>19.37</v>
      </c>
      <c r="N179" s="16" t="n">
        <v>518</v>
      </c>
      <c r="O179" s="12" t="s">
        <v>512</v>
      </c>
    </row>
    <row r="180" customFormat="false" ht="15" hidden="false" customHeight="true" outlineLevel="0" collapsed="false">
      <c r="A180" s="12" t="s">
        <v>679</v>
      </c>
      <c r="B180" s="14" t="n">
        <v>45891</v>
      </c>
      <c r="C180" s="12" t="s">
        <v>494</v>
      </c>
      <c r="D180" s="13" t="s">
        <v>183</v>
      </c>
      <c r="E180" s="15" t="str">
        <f aca="false">IFERROR(INDEX(Dim_Employee!$B$2:$B$76,MATCH(D180,Dim_Employee!$A$2:$A$76,0)),"")</f>
        <v>Titilayo Danjuma</v>
      </c>
      <c r="F180" s="12" t="s">
        <v>490</v>
      </c>
      <c r="G180" s="16" t="n">
        <v>91.1</v>
      </c>
      <c r="H180" s="16" t="n">
        <v>114.1</v>
      </c>
      <c r="I180" s="17" t="n">
        <f aca="false">ROUND(G180/H180*100,1)</f>
        <v>79.8</v>
      </c>
      <c r="J180" s="16" t="n">
        <v>2.8</v>
      </c>
      <c r="K180" s="12" t="s">
        <v>498</v>
      </c>
      <c r="L180" s="12" t="s">
        <v>487</v>
      </c>
      <c r="M180" s="16" t="n">
        <v>19.18</v>
      </c>
      <c r="N180" s="16" t="n">
        <v>568.3</v>
      </c>
      <c r="O180" s="12" t="s">
        <v>495</v>
      </c>
    </row>
    <row r="181" customFormat="false" ht="15" hidden="false" customHeight="true" outlineLevel="0" collapsed="false">
      <c r="A181" s="12" t="s">
        <v>680</v>
      </c>
      <c r="B181" s="14" t="n">
        <v>45844</v>
      </c>
      <c r="C181" s="12" t="s">
        <v>494</v>
      </c>
      <c r="D181" s="13" t="s">
        <v>203</v>
      </c>
      <c r="E181" s="15" t="str">
        <f aca="false">IFERROR(INDEX(Dim_Employee!$B$2:$B$76,MATCH(D181,Dim_Employee!$A$2:$A$76,0)),"")</f>
        <v>Tunde Okonkwo</v>
      </c>
      <c r="F181" s="12" t="s">
        <v>485</v>
      </c>
      <c r="G181" s="16" t="n">
        <v>87</v>
      </c>
      <c r="H181" s="16" t="n">
        <v>115.1</v>
      </c>
      <c r="I181" s="17" t="n">
        <f aca="false">ROUND(G181/H181*100,1)</f>
        <v>75.6</v>
      </c>
      <c r="J181" s="16" t="n">
        <v>7.1</v>
      </c>
      <c r="K181" s="12" t="s">
        <v>534</v>
      </c>
      <c r="L181" s="12" t="s">
        <v>487</v>
      </c>
      <c r="M181" s="16" t="n">
        <v>19.75</v>
      </c>
      <c r="N181" s="16" t="n">
        <v>493.7</v>
      </c>
      <c r="O181" s="12" t="s">
        <v>512</v>
      </c>
    </row>
    <row r="182" customFormat="false" ht="15" hidden="false" customHeight="true" outlineLevel="0" collapsed="false">
      <c r="A182" s="12" t="s">
        <v>681</v>
      </c>
      <c r="B182" s="14" t="n">
        <v>45808</v>
      </c>
      <c r="C182" s="12" t="s">
        <v>500</v>
      </c>
      <c r="D182" s="13" t="s">
        <v>195</v>
      </c>
      <c r="E182" s="15" t="str">
        <f aca="false">IFERROR(INDEX(Dim_Employee!$B$2:$B$76,MATCH(D182,Dim_Employee!$A$2:$A$76,0)),"")</f>
        <v>Peace Balogun</v>
      </c>
      <c r="F182" s="12" t="s">
        <v>497</v>
      </c>
      <c r="G182" s="16" t="n">
        <v>86.2</v>
      </c>
      <c r="H182" s="16" t="n">
        <v>116.9</v>
      </c>
      <c r="I182" s="17" t="n">
        <f aca="false">ROUND(G182/H182*100,1)</f>
        <v>73.7</v>
      </c>
      <c r="J182" s="16" t="n">
        <v>7.5</v>
      </c>
      <c r="K182" s="12" t="s">
        <v>498</v>
      </c>
      <c r="L182" s="12" t="s">
        <v>487</v>
      </c>
      <c r="M182" s="16" t="n">
        <v>19.16</v>
      </c>
      <c r="N182" s="16" t="n">
        <v>527.7</v>
      </c>
      <c r="O182" s="12" t="s">
        <v>495</v>
      </c>
    </row>
    <row r="183" customFormat="false" ht="15" hidden="false" customHeight="true" outlineLevel="0" collapsed="false">
      <c r="A183" s="12" t="s">
        <v>682</v>
      </c>
      <c r="B183" s="14" t="n">
        <v>45753</v>
      </c>
      <c r="C183" s="12" t="s">
        <v>504</v>
      </c>
      <c r="D183" s="13" t="s">
        <v>199</v>
      </c>
      <c r="E183" s="15" t="str">
        <f aca="false">IFERROR(INDEX(Dim_Employee!$B$2:$B$76,MATCH(D183,Dim_Employee!$A$2:$A$76,0)),"")</f>
        <v>Olamide Anyanwu</v>
      </c>
      <c r="F183" s="12" t="s">
        <v>485</v>
      </c>
      <c r="G183" s="16" t="n">
        <v>87.4</v>
      </c>
      <c r="H183" s="16" t="n">
        <v>90.1</v>
      </c>
      <c r="I183" s="17" t="n">
        <f aca="false">ROUND(G183/H183*100,1)</f>
        <v>97</v>
      </c>
      <c r="J183" s="16" t="n">
        <v>0.6</v>
      </c>
      <c r="K183" s="12" t="s">
        <v>498</v>
      </c>
      <c r="L183" s="12" t="s">
        <v>487</v>
      </c>
      <c r="M183" s="16" t="n">
        <v>18.04</v>
      </c>
      <c r="N183" s="16" t="n">
        <v>518.8</v>
      </c>
      <c r="O183" s="12" t="s">
        <v>495</v>
      </c>
    </row>
    <row r="184" customFormat="false" ht="15" hidden="false" customHeight="true" outlineLevel="0" collapsed="false">
      <c r="A184" s="12" t="s">
        <v>683</v>
      </c>
      <c r="B184" s="14" t="n">
        <v>45747</v>
      </c>
      <c r="C184" s="12" t="s">
        <v>500</v>
      </c>
      <c r="D184" s="13" t="s">
        <v>157</v>
      </c>
      <c r="E184" s="15" t="str">
        <f aca="false">IFERROR(INDEX(Dim_Employee!$B$2:$B$76,MATCH(D184,Dim_Employee!$A$2:$A$76,0)),"")</f>
        <v>Kelechi Ojo</v>
      </c>
      <c r="F184" s="12" t="s">
        <v>497</v>
      </c>
      <c r="G184" s="16" t="n">
        <v>101.1</v>
      </c>
      <c r="H184" s="16" t="n">
        <v>115.3</v>
      </c>
      <c r="I184" s="17" t="n">
        <f aca="false">ROUND(G184/H184*100,1)</f>
        <v>87.7</v>
      </c>
      <c r="J184" s="16" t="n">
        <v>2.1</v>
      </c>
      <c r="K184" s="12" t="s">
        <v>498</v>
      </c>
      <c r="L184" s="12" t="s">
        <v>487</v>
      </c>
      <c r="M184" s="16" t="n">
        <v>19.56</v>
      </c>
      <c r="N184" s="16" t="n">
        <v>565.2</v>
      </c>
      <c r="O184" s="12" t="s">
        <v>492</v>
      </c>
    </row>
    <row r="185" customFormat="false" ht="15" hidden="false" customHeight="true" outlineLevel="0" collapsed="false">
      <c r="A185" s="12" t="s">
        <v>684</v>
      </c>
      <c r="B185" s="14" t="n">
        <v>45979</v>
      </c>
      <c r="C185" s="12" t="s">
        <v>500</v>
      </c>
      <c r="D185" s="13" t="s">
        <v>175</v>
      </c>
      <c r="E185" s="15" t="str">
        <f aca="false">IFERROR(INDEX(Dim_Employee!$B$2:$B$76,MATCH(D185,Dim_Employee!$A$2:$A$76,0)),"")</f>
        <v>Kingsley Okonkwo</v>
      </c>
      <c r="F185" s="12" t="s">
        <v>497</v>
      </c>
      <c r="G185" s="16" t="n">
        <v>72.5</v>
      </c>
      <c r="H185" s="16" t="n">
        <v>95.3</v>
      </c>
      <c r="I185" s="17" t="n">
        <f aca="false">ROUND(G185/H185*100,1)</f>
        <v>76.1</v>
      </c>
      <c r="J185" s="16" t="n">
        <v>5.3</v>
      </c>
      <c r="K185" s="12" t="s">
        <v>498</v>
      </c>
      <c r="L185" s="12" t="s">
        <v>487</v>
      </c>
      <c r="M185" s="16" t="n">
        <v>13.8</v>
      </c>
      <c r="N185" s="16" t="n">
        <v>576.9</v>
      </c>
      <c r="O185" s="12" t="s">
        <v>492</v>
      </c>
    </row>
    <row r="186" customFormat="false" ht="15" hidden="false" customHeight="true" outlineLevel="0" collapsed="false">
      <c r="A186" s="12" t="s">
        <v>685</v>
      </c>
      <c r="B186" s="14" t="n">
        <v>45985</v>
      </c>
      <c r="C186" s="12" t="s">
        <v>494</v>
      </c>
      <c r="D186" s="13" t="s">
        <v>141</v>
      </c>
      <c r="E186" s="15" t="str">
        <f aca="false">IFERROR(INDEX(Dim_Employee!$B$2:$B$76,MATCH(D186,Dim_Employee!$A$2:$A$76,0)),"")</f>
        <v>Abdullahi Adeyemi</v>
      </c>
      <c r="F186" s="12" t="s">
        <v>490</v>
      </c>
      <c r="G186" s="16" t="n">
        <v>87</v>
      </c>
      <c r="H186" s="16" t="n">
        <v>105.6</v>
      </c>
      <c r="I186" s="17" t="n">
        <f aca="false">ROUND(G186/H186*100,1)</f>
        <v>82.4</v>
      </c>
      <c r="J186" s="16" t="n">
        <v>2.9</v>
      </c>
      <c r="K186" s="12" t="s">
        <v>498</v>
      </c>
      <c r="L186" s="12" t="s">
        <v>487</v>
      </c>
      <c r="M186" s="16" t="n">
        <v>19.7</v>
      </c>
      <c r="N186" s="16" t="n">
        <v>546.7</v>
      </c>
      <c r="O186" s="12" t="s">
        <v>512</v>
      </c>
    </row>
    <row r="187" customFormat="false" ht="15" hidden="false" customHeight="true" outlineLevel="0" collapsed="false">
      <c r="A187" s="12" t="s">
        <v>686</v>
      </c>
      <c r="B187" s="14" t="n">
        <v>45741</v>
      </c>
      <c r="C187" s="12" t="s">
        <v>504</v>
      </c>
      <c r="D187" s="13" t="s">
        <v>171</v>
      </c>
      <c r="E187" s="15" t="str">
        <f aca="false">IFERROR(INDEX(Dim_Employee!$B$2:$B$76,MATCH(D187,Dim_Employee!$A$2:$A$76,0)),"")</f>
        <v>Musa Adeyemi</v>
      </c>
      <c r="F187" s="12" t="s">
        <v>497</v>
      </c>
      <c r="G187" s="16" t="n">
        <v>92.7</v>
      </c>
      <c r="H187" s="16" t="n">
        <v>95.6</v>
      </c>
      <c r="I187" s="17" t="n">
        <f aca="false">ROUND(G187/H187*100,1)</f>
        <v>97</v>
      </c>
      <c r="J187" s="16" t="n">
        <v>0.5</v>
      </c>
      <c r="K187" s="12" t="s">
        <v>491</v>
      </c>
      <c r="L187" s="12" t="s">
        <v>487</v>
      </c>
      <c r="M187" s="16" t="n">
        <v>17.63</v>
      </c>
      <c r="N187" s="16" t="n">
        <v>552.8</v>
      </c>
      <c r="O187" s="12" t="s">
        <v>492</v>
      </c>
    </row>
    <row r="188" customFormat="false" ht="15" hidden="false" customHeight="true" outlineLevel="0" collapsed="false">
      <c r="A188" s="12" t="s">
        <v>687</v>
      </c>
      <c r="B188" s="14" t="n">
        <v>45822</v>
      </c>
      <c r="C188" s="12" t="s">
        <v>494</v>
      </c>
      <c r="D188" s="13" t="s">
        <v>146</v>
      </c>
      <c r="E188" s="15" t="str">
        <f aca="false">IFERROR(INDEX(Dim_Employee!$B$2:$B$76,MATCH(D188,Dim_Employee!$A$2:$A$76,0)),"")</f>
        <v>Olamide Sani</v>
      </c>
      <c r="F188" s="12" t="s">
        <v>497</v>
      </c>
      <c r="G188" s="16" t="n">
        <v>87.5</v>
      </c>
      <c r="H188" s="16" t="n">
        <v>93.6</v>
      </c>
      <c r="I188" s="17" t="n">
        <f aca="false">ROUND(G188/H188*100,1)</f>
        <v>93.5</v>
      </c>
      <c r="J188" s="16" t="n">
        <v>1.6</v>
      </c>
      <c r="K188" s="12" t="s">
        <v>501</v>
      </c>
      <c r="L188" s="12" t="s">
        <v>487</v>
      </c>
      <c r="M188" s="16" t="n">
        <v>16.84</v>
      </c>
      <c r="N188" s="16" t="n">
        <v>602.2</v>
      </c>
      <c r="O188" s="12" t="s">
        <v>492</v>
      </c>
    </row>
    <row r="189" customFormat="false" ht="15" hidden="false" customHeight="true" outlineLevel="0" collapsed="false">
      <c r="A189" s="12" t="s">
        <v>688</v>
      </c>
      <c r="B189" s="14" t="n">
        <v>45668</v>
      </c>
      <c r="C189" s="12" t="s">
        <v>500</v>
      </c>
      <c r="D189" s="13" t="s">
        <v>199</v>
      </c>
      <c r="E189" s="15" t="str">
        <f aca="false">IFERROR(INDEX(Dim_Employee!$B$2:$B$76,MATCH(D189,Dim_Employee!$A$2:$A$76,0)),"")</f>
        <v>Olamide Anyanwu</v>
      </c>
      <c r="F189" s="12" t="s">
        <v>490</v>
      </c>
      <c r="G189" s="16" t="n">
        <v>92.7</v>
      </c>
      <c r="H189" s="16" t="n">
        <v>105.4</v>
      </c>
      <c r="I189" s="17" t="n">
        <f aca="false">ROUND(G189/H189*100,1)</f>
        <v>88</v>
      </c>
      <c r="J189" s="16" t="n">
        <v>2.6</v>
      </c>
      <c r="K189" s="12" t="s">
        <v>498</v>
      </c>
      <c r="L189" s="12" t="s">
        <v>487</v>
      </c>
      <c r="M189" s="16" t="n">
        <v>18.29</v>
      </c>
      <c r="N189" s="16" t="n">
        <v>494.4</v>
      </c>
      <c r="O189" s="12" t="s">
        <v>512</v>
      </c>
    </row>
    <row r="190" customFormat="false" ht="15" hidden="false" customHeight="true" outlineLevel="0" collapsed="false">
      <c r="A190" s="12" t="s">
        <v>689</v>
      </c>
      <c r="B190" s="14" t="n">
        <v>45791</v>
      </c>
      <c r="C190" s="12" t="s">
        <v>484</v>
      </c>
      <c r="D190" s="13" t="s">
        <v>91</v>
      </c>
      <c r="E190" s="15" t="str">
        <f aca="false">IFERROR(INDEX(Dim_Employee!$B$2:$B$76,MATCH(D190,Dim_Employee!$A$2:$A$76,0)),"")</f>
        <v>Ngozi Okafor</v>
      </c>
      <c r="F190" s="12" t="s">
        <v>497</v>
      </c>
      <c r="G190" s="16" t="n">
        <v>90.4</v>
      </c>
      <c r="H190" s="16" t="n">
        <v>90.6</v>
      </c>
      <c r="I190" s="17" t="n">
        <f aca="false">ROUND(G190/H190*100,1)</f>
        <v>99.8</v>
      </c>
      <c r="J190" s="16" t="n">
        <v>0</v>
      </c>
      <c r="K190" s="12" t="s">
        <v>491</v>
      </c>
      <c r="L190" s="12" t="s">
        <v>487</v>
      </c>
      <c r="M190" s="16" t="n">
        <v>18.85</v>
      </c>
      <c r="N190" s="16" t="n">
        <v>513.4</v>
      </c>
      <c r="O190" s="12" t="s">
        <v>492</v>
      </c>
    </row>
    <row r="191" customFormat="false" ht="15" hidden="false" customHeight="true" outlineLevel="0" collapsed="false">
      <c r="A191" s="12" t="s">
        <v>690</v>
      </c>
      <c r="B191" s="14" t="n">
        <v>45797</v>
      </c>
      <c r="C191" s="12" t="s">
        <v>484</v>
      </c>
      <c r="D191" s="13" t="s">
        <v>152</v>
      </c>
      <c r="E191" s="15" t="str">
        <f aca="false">IFERROR(INDEX(Dim_Employee!$B$2:$B$76,MATCH(D191,Dim_Employee!$A$2:$A$76,0)),"")</f>
        <v>Abdullahi Aliyu</v>
      </c>
      <c r="F191" s="12" t="s">
        <v>485</v>
      </c>
      <c r="G191" s="16" t="n">
        <v>75.2</v>
      </c>
      <c r="H191" s="16" t="n">
        <v>100.5</v>
      </c>
      <c r="I191" s="17" t="n">
        <f aca="false">ROUND(G191/H191*100,1)</f>
        <v>74.8</v>
      </c>
      <c r="J191" s="16" t="n">
        <v>3.4</v>
      </c>
      <c r="K191" s="12" t="s">
        <v>486</v>
      </c>
      <c r="L191" s="12" t="s">
        <v>487</v>
      </c>
      <c r="M191" s="16" t="n">
        <v>15.79</v>
      </c>
      <c r="N191" s="16" t="n">
        <v>519.1</v>
      </c>
      <c r="O191" s="12" t="s">
        <v>488</v>
      </c>
    </row>
    <row r="192" customFormat="false" ht="15" hidden="false" customHeight="true" outlineLevel="0" collapsed="false">
      <c r="A192" s="12" t="s">
        <v>691</v>
      </c>
      <c r="B192" s="14" t="n">
        <v>45774</v>
      </c>
      <c r="C192" s="12" t="s">
        <v>500</v>
      </c>
      <c r="D192" s="13" t="s">
        <v>152</v>
      </c>
      <c r="E192" s="15" t="str">
        <f aca="false">IFERROR(INDEX(Dim_Employee!$B$2:$B$76,MATCH(D192,Dim_Employee!$A$2:$A$76,0)),"")</f>
        <v>Abdullahi Aliyu</v>
      </c>
      <c r="F192" s="12" t="s">
        <v>497</v>
      </c>
      <c r="G192" s="16" t="n">
        <v>77.8</v>
      </c>
      <c r="H192" s="16" t="n">
        <v>102.2</v>
      </c>
      <c r="I192" s="17" t="n">
        <f aca="false">ROUND(G192/H192*100,1)</f>
        <v>76.1</v>
      </c>
      <c r="J192" s="16" t="n">
        <v>5.3</v>
      </c>
      <c r="K192" s="12" t="s">
        <v>486</v>
      </c>
      <c r="L192" s="12" t="s">
        <v>487</v>
      </c>
      <c r="M192" s="16" t="n">
        <v>17.11</v>
      </c>
      <c r="N192" s="16" t="n">
        <v>503</v>
      </c>
      <c r="O192" s="12" t="s">
        <v>488</v>
      </c>
    </row>
    <row r="193" customFormat="false" ht="15" hidden="false" customHeight="true" outlineLevel="0" collapsed="false">
      <c r="A193" s="12" t="s">
        <v>692</v>
      </c>
      <c r="B193" s="14" t="n">
        <v>45676</v>
      </c>
      <c r="C193" s="12" t="s">
        <v>494</v>
      </c>
      <c r="D193" s="13" t="s">
        <v>191</v>
      </c>
      <c r="E193" s="15" t="str">
        <f aca="false">IFERROR(INDEX(Dim_Employee!$B$2:$B$76,MATCH(D193,Dim_Employee!$A$2:$A$76,0)),"")</f>
        <v>Chukwudi Eze</v>
      </c>
      <c r="F193" s="12" t="s">
        <v>490</v>
      </c>
      <c r="G193" s="16" t="n">
        <v>99.6</v>
      </c>
      <c r="H193" s="16" t="n">
        <v>110.8</v>
      </c>
      <c r="I193" s="17" t="n">
        <f aca="false">ROUND(G193/H193*100,1)</f>
        <v>89.9</v>
      </c>
      <c r="J193" s="16" t="n">
        <v>2.5</v>
      </c>
      <c r="K193" s="12" t="s">
        <v>501</v>
      </c>
      <c r="L193" s="12" t="s">
        <v>487</v>
      </c>
      <c r="M193" s="16" t="n">
        <v>20.27</v>
      </c>
      <c r="N193" s="16" t="n">
        <v>513.7</v>
      </c>
      <c r="O193" s="12" t="s">
        <v>512</v>
      </c>
    </row>
    <row r="194" customFormat="false" ht="15" hidden="false" customHeight="true" outlineLevel="0" collapsed="false">
      <c r="A194" s="12" t="s">
        <v>693</v>
      </c>
      <c r="B194" s="14" t="n">
        <v>45822</v>
      </c>
      <c r="C194" s="12" t="s">
        <v>494</v>
      </c>
      <c r="D194" s="13" t="s">
        <v>195</v>
      </c>
      <c r="E194" s="15" t="str">
        <f aca="false">IFERROR(INDEX(Dim_Employee!$B$2:$B$76,MATCH(D194,Dim_Employee!$A$2:$A$76,0)),"")</f>
        <v>Peace Balogun</v>
      </c>
      <c r="F194" s="12" t="s">
        <v>497</v>
      </c>
      <c r="G194" s="16" t="n">
        <v>102.5</v>
      </c>
      <c r="H194" s="16" t="n">
        <v>115.3</v>
      </c>
      <c r="I194" s="17" t="n">
        <f aca="false">ROUND(G194/H194*100,1)</f>
        <v>88.9</v>
      </c>
      <c r="J194" s="16" t="n">
        <v>3.8</v>
      </c>
      <c r="K194" s="12" t="s">
        <v>498</v>
      </c>
      <c r="L194" s="12" t="s">
        <v>487</v>
      </c>
      <c r="M194" s="16" t="n">
        <v>21.6</v>
      </c>
      <c r="N194" s="16" t="n">
        <v>614.1</v>
      </c>
      <c r="O194" s="12" t="s">
        <v>512</v>
      </c>
    </row>
    <row r="195" customFormat="false" ht="15" hidden="false" customHeight="true" outlineLevel="0" collapsed="false">
      <c r="A195" s="12" t="s">
        <v>694</v>
      </c>
      <c r="B195" s="14" t="n">
        <v>45713</v>
      </c>
      <c r="C195" s="12" t="s">
        <v>500</v>
      </c>
      <c r="D195" s="13" t="s">
        <v>171</v>
      </c>
      <c r="E195" s="15" t="str">
        <f aca="false">IFERROR(INDEX(Dim_Employee!$B$2:$B$76,MATCH(D195,Dim_Employee!$A$2:$A$76,0)),"")</f>
        <v>Musa Adeyemi</v>
      </c>
      <c r="F195" s="12" t="s">
        <v>490</v>
      </c>
      <c r="G195" s="16" t="n">
        <v>106.7</v>
      </c>
      <c r="H195" s="16" t="n">
        <v>116.1</v>
      </c>
      <c r="I195" s="17" t="n">
        <f aca="false">ROUND(G195/H195*100,1)</f>
        <v>91.9</v>
      </c>
      <c r="J195" s="16" t="n">
        <v>1</v>
      </c>
      <c r="K195" s="12" t="s">
        <v>498</v>
      </c>
      <c r="L195" s="12" t="s">
        <v>487</v>
      </c>
      <c r="M195" s="16" t="n">
        <v>21.13</v>
      </c>
      <c r="N195" s="16" t="n">
        <v>573.7</v>
      </c>
      <c r="O195" s="12" t="s">
        <v>495</v>
      </c>
    </row>
    <row r="196" customFormat="false" ht="15" hidden="false" customHeight="true" outlineLevel="0" collapsed="false">
      <c r="A196" s="12" t="s">
        <v>695</v>
      </c>
      <c r="B196" s="14" t="n">
        <v>45890</v>
      </c>
      <c r="C196" s="12" t="s">
        <v>484</v>
      </c>
      <c r="D196" s="13" t="s">
        <v>157</v>
      </c>
      <c r="E196" s="15" t="str">
        <f aca="false">IFERROR(INDEX(Dim_Employee!$B$2:$B$76,MATCH(D196,Dim_Employee!$A$2:$A$76,0)),"")</f>
        <v>Kelechi Ojo</v>
      </c>
      <c r="F196" s="12" t="s">
        <v>490</v>
      </c>
      <c r="G196" s="16" t="n">
        <v>86.1</v>
      </c>
      <c r="H196" s="16" t="n">
        <v>102.6</v>
      </c>
      <c r="I196" s="17" t="n">
        <f aca="false">ROUND(G196/H196*100,1)</f>
        <v>83.9</v>
      </c>
      <c r="J196" s="16" t="n">
        <v>4.9</v>
      </c>
      <c r="K196" s="12" t="s">
        <v>498</v>
      </c>
      <c r="L196" s="12" t="s">
        <v>487</v>
      </c>
      <c r="M196" s="16" t="n">
        <v>18.57</v>
      </c>
      <c r="N196" s="16" t="n">
        <v>517.2</v>
      </c>
      <c r="O196" s="12" t="s">
        <v>512</v>
      </c>
    </row>
    <row r="197" customFormat="false" ht="15" hidden="false" customHeight="true" outlineLevel="0" collapsed="false">
      <c r="A197" s="12" t="s">
        <v>696</v>
      </c>
      <c r="B197" s="14" t="n">
        <v>45880</v>
      </c>
      <c r="C197" s="12" t="s">
        <v>500</v>
      </c>
      <c r="D197" s="13" t="s">
        <v>141</v>
      </c>
      <c r="E197" s="15" t="str">
        <f aca="false">IFERROR(INDEX(Dim_Employee!$B$2:$B$76,MATCH(D197,Dim_Employee!$A$2:$A$76,0)),"")</f>
        <v>Abdullahi Adeyemi</v>
      </c>
      <c r="F197" s="12" t="s">
        <v>490</v>
      </c>
      <c r="G197" s="16" t="n">
        <v>86.4</v>
      </c>
      <c r="H197" s="16" t="n">
        <v>108.6</v>
      </c>
      <c r="I197" s="17" t="n">
        <f aca="false">ROUND(G197/H197*100,1)</f>
        <v>79.6</v>
      </c>
      <c r="J197" s="16" t="n">
        <v>4.5</v>
      </c>
      <c r="K197" s="12" t="s">
        <v>498</v>
      </c>
      <c r="L197" s="12" t="s">
        <v>487</v>
      </c>
      <c r="M197" s="16" t="n">
        <v>17.47</v>
      </c>
      <c r="N197" s="16" t="n">
        <v>570.7</v>
      </c>
      <c r="O197" s="12" t="s">
        <v>488</v>
      </c>
    </row>
    <row r="198" customFormat="false" ht="15" hidden="false" customHeight="true" outlineLevel="0" collapsed="false">
      <c r="A198" s="12" t="s">
        <v>697</v>
      </c>
      <c r="B198" s="14" t="n">
        <v>45795</v>
      </c>
      <c r="C198" s="12" t="s">
        <v>484</v>
      </c>
      <c r="D198" s="13" t="s">
        <v>141</v>
      </c>
      <c r="E198" s="15" t="str">
        <f aca="false">IFERROR(INDEX(Dim_Employee!$B$2:$B$76,MATCH(D198,Dim_Employee!$A$2:$A$76,0)),"")</f>
        <v>Abdullahi Adeyemi</v>
      </c>
      <c r="F198" s="12" t="s">
        <v>485</v>
      </c>
      <c r="G198" s="16" t="n">
        <v>108.5</v>
      </c>
      <c r="H198" s="16" t="n">
        <v>107.8</v>
      </c>
      <c r="I198" s="17" t="n">
        <f aca="false">ROUND(G198/H198*100,1)</f>
        <v>100.6</v>
      </c>
      <c r="J198" s="16" t="n">
        <v>0</v>
      </c>
      <c r="K198" s="12" t="s">
        <v>491</v>
      </c>
      <c r="L198" s="12" t="s">
        <v>487</v>
      </c>
      <c r="M198" s="16" t="n">
        <v>24.66</v>
      </c>
      <c r="N198" s="16" t="n">
        <v>541.6</v>
      </c>
      <c r="O198" s="12" t="s">
        <v>495</v>
      </c>
    </row>
    <row r="199" customFormat="false" ht="15" hidden="false" customHeight="true" outlineLevel="0" collapsed="false">
      <c r="A199" s="12" t="s">
        <v>698</v>
      </c>
      <c r="B199" s="14" t="n">
        <v>45702</v>
      </c>
      <c r="C199" s="12" t="s">
        <v>504</v>
      </c>
      <c r="D199" s="13" t="s">
        <v>179</v>
      </c>
      <c r="E199" s="15" t="str">
        <f aca="false">IFERROR(INDEX(Dim_Employee!$B$2:$B$76,MATCH(D199,Dim_Employee!$A$2:$A$76,0)),"")</f>
        <v>Amaka Bakare</v>
      </c>
      <c r="F199" s="12" t="s">
        <v>485</v>
      </c>
      <c r="G199" s="16" t="n">
        <v>105</v>
      </c>
      <c r="H199" s="16" t="n">
        <v>117.5</v>
      </c>
      <c r="I199" s="17" t="n">
        <f aca="false">ROUND(G199/H199*100,1)</f>
        <v>89.4</v>
      </c>
      <c r="J199" s="16" t="n">
        <v>1.9</v>
      </c>
      <c r="K199" s="12" t="s">
        <v>491</v>
      </c>
      <c r="L199" s="12" t="s">
        <v>487</v>
      </c>
      <c r="M199" s="16" t="n">
        <v>22.34</v>
      </c>
      <c r="N199" s="16" t="n">
        <v>571.1</v>
      </c>
      <c r="O199" s="12" t="s">
        <v>495</v>
      </c>
    </row>
    <row r="200" customFormat="false" ht="15" hidden="false" customHeight="true" outlineLevel="0" collapsed="false">
      <c r="A200" s="12" t="s">
        <v>699</v>
      </c>
      <c r="B200" s="14" t="n">
        <v>45898</v>
      </c>
      <c r="C200" s="12" t="s">
        <v>504</v>
      </c>
      <c r="D200" s="13" t="s">
        <v>187</v>
      </c>
      <c r="E200" s="15" t="str">
        <f aca="false">IFERROR(INDEX(Dim_Employee!$B$2:$B$76,MATCH(D200,Dim_Employee!$A$2:$A$76,0)),"")</f>
        <v>Uche Ojo</v>
      </c>
      <c r="F200" s="12" t="s">
        <v>490</v>
      </c>
      <c r="G200" s="16" t="n">
        <v>91.8</v>
      </c>
      <c r="H200" s="16" t="n">
        <v>103.8</v>
      </c>
      <c r="I200" s="17" t="n">
        <f aca="false">ROUND(G200/H200*100,1)</f>
        <v>88.4</v>
      </c>
      <c r="J200" s="16" t="n">
        <v>2.7</v>
      </c>
      <c r="K200" s="12" t="s">
        <v>498</v>
      </c>
      <c r="L200" s="12" t="s">
        <v>487</v>
      </c>
      <c r="M200" s="16" t="n">
        <v>18.26</v>
      </c>
      <c r="N200" s="16" t="n">
        <v>551.7</v>
      </c>
      <c r="O200" s="12" t="s">
        <v>492</v>
      </c>
    </row>
    <row r="201" customFormat="false" ht="15" hidden="false" customHeight="true" outlineLevel="0" collapsed="false">
      <c r="A201" s="12" t="s">
        <v>700</v>
      </c>
      <c r="B201" s="14" t="n">
        <v>45780</v>
      </c>
      <c r="C201" s="12" t="s">
        <v>504</v>
      </c>
      <c r="D201" s="13" t="s">
        <v>191</v>
      </c>
      <c r="E201" s="15" t="str">
        <f aca="false">IFERROR(INDEX(Dim_Employee!$B$2:$B$76,MATCH(D201,Dim_Employee!$A$2:$A$76,0)),"")</f>
        <v>Chukwudi Eze</v>
      </c>
      <c r="F201" s="12" t="s">
        <v>497</v>
      </c>
      <c r="G201" s="16" t="n">
        <v>74.7</v>
      </c>
      <c r="H201" s="16" t="n">
        <v>90.4</v>
      </c>
      <c r="I201" s="17" t="n">
        <f aca="false">ROUND(G201/H201*100,1)</f>
        <v>82.6</v>
      </c>
      <c r="J201" s="16" t="n">
        <v>4.3</v>
      </c>
      <c r="K201" s="12" t="s">
        <v>498</v>
      </c>
      <c r="L201" s="12" t="s">
        <v>487</v>
      </c>
      <c r="M201" s="16" t="n">
        <v>15</v>
      </c>
      <c r="N201" s="16" t="n">
        <v>603</v>
      </c>
      <c r="O201" s="12" t="s">
        <v>495</v>
      </c>
    </row>
    <row r="202" customFormat="false" ht="15" hidden="false" customHeight="true" outlineLevel="0" collapsed="false">
      <c r="A202" s="12" t="s">
        <v>701</v>
      </c>
      <c r="B202" s="14" t="n">
        <v>45968</v>
      </c>
      <c r="C202" s="12" t="s">
        <v>504</v>
      </c>
      <c r="D202" s="13" t="s">
        <v>179</v>
      </c>
      <c r="E202" s="15" t="str">
        <f aca="false">IFERROR(INDEX(Dim_Employee!$B$2:$B$76,MATCH(D202,Dim_Employee!$A$2:$A$76,0)),"")</f>
        <v>Amaka Bakare</v>
      </c>
      <c r="F202" s="12" t="s">
        <v>485</v>
      </c>
      <c r="G202" s="16" t="n">
        <v>66.6</v>
      </c>
      <c r="H202" s="16" t="n">
        <v>91.7</v>
      </c>
      <c r="I202" s="17" t="n">
        <f aca="false">ROUND(G202/H202*100,1)</f>
        <v>72.6</v>
      </c>
      <c r="J202" s="16" t="n">
        <v>5.3</v>
      </c>
      <c r="K202" s="12" t="s">
        <v>491</v>
      </c>
      <c r="L202" s="12" t="s">
        <v>487</v>
      </c>
      <c r="M202" s="16" t="n">
        <v>14.03</v>
      </c>
      <c r="N202" s="16" t="n">
        <v>596.8</v>
      </c>
      <c r="O202" s="12" t="s">
        <v>512</v>
      </c>
    </row>
    <row r="203" customFormat="false" ht="15" hidden="false" customHeight="true" outlineLevel="0" collapsed="false">
      <c r="A203" s="12" t="s">
        <v>702</v>
      </c>
      <c r="B203" s="14" t="n">
        <v>45737</v>
      </c>
      <c r="C203" s="12" t="s">
        <v>494</v>
      </c>
      <c r="D203" s="13" t="s">
        <v>152</v>
      </c>
      <c r="E203" s="15" t="str">
        <f aca="false">IFERROR(INDEX(Dim_Employee!$B$2:$B$76,MATCH(D203,Dim_Employee!$A$2:$A$76,0)),"")</f>
        <v>Abdullahi Aliyu</v>
      </c>
      <c r="F203" s="12" t="s">
        <v>485</v>
      </c>
      <c r="G203" s="16" t="n">
        <v>107.4</v>
      </c>
      <c r="H203" s="16" t="n">
        <v>105.6</v>
      </c>
      <c r="I203" s="17" t="n">
        <f aca="false">ROUND(G203/H203*100,1)</f>
        <v>101.7</v>
      </c>
      <c r="J203" s="16" t="n">
        <v>0</v>
      </c>
      <c r="K203" s="12" t="s">
        <v>491</v>
      </c>
      <c r="L203" s="12" t="s">
        <v>487</v>
      </c>
      <c r="M203" s="16" t="n">
        <v>21.01</v>
      </c>
      <c r="N203" s="16" t="n">
        <v>508.3</v>
      </c>
      <c r="O203" s="12" t="s">
        <v>512</v>
      </c>
    </row>
    <row r="204" customFormat="false" ht="15" hidden="false" customHeight="true" outlineLevel="0" collapsed="false">
      <c r="A204" s="12" t="s">
        <v>703</v>
      </c>
      <c r="B204" s="14" t="n">
        <v>45901</v>
      </c>
      <c r="C204" s="12" t="s">
        <v>504</v>
      </c>
      <c r="D204" s="13" t="s">
        <v>152</v>
      </c>
      <c r="E204" s="15" t="str">
        <f aca="false">IFERROR(INDEX(Dim_Employee!$B$2:$B$76,MATCH(D204,Dim_Employee!$A$2:$A$76,0)),"")</f>
        <v>Abdullahi Aliyu</v>
      </c>
      <c r="F204" s="12" t="s">
        <v>497</v>
      </c>
      <c r="G204" s="16" t="n">
        <v>105.8</v>
      </c>
      <c r="H204" s="16" t="n">
        <v>112.2</v>
      </c>
      <c r="I204" s="17" t="n">
        <f aca="false">ROUND(G204/H204*100,1)</f>
        <v>94.3</v>
      </c>
      <c r="J204" s="16" t="n">
        <v>1.6</v>
      </c>
      <c r="K204" s="12" t="s">
        <v>491</v>
      </c>
      <c r="L204" s="12" t="s">
        <v>487</v>
      </c>
      <c r="M204" s="16" t="n">
        <v>23.97</v>
      </c>
      <c r="N204" s="16" t="n">
        <v>497.8</v>
      </c>
      <c r="O204" s="12" t="s">
        <v>488</v>
      </c>
    </row>
    <row r="205" customFormat="false" ht="15" hidden="false" customHeight="true" outlineLevel="0" collapsed="false">
      <c r="A205" s="12" t="s">
        <v>704</v>
      </c>
      <c r="B205" s="14" t="n">
        <v>45861</v>
      </c>
      <c r="C205" s="12" t="s">
        <v>500</v>
      </c>
      <c r="D205" s="13" t="s">
        <v>91</v>
      </c>
      <c r="E205" s="15" t="str">
        <f aca="false">IFERROR(INDEX(Dim_Employee!$B$2:$B$76,MATCH(D205,Dim_Employee!$A$2:$A$76,0)),"")</f>
        <v>Ngozi Okafor</v>
      </c>
      <c r="F205" s="12" t="s">
        <v>485</v>
      </c>
      <c r="G205" s="16" t="n">
        <v>90.5</v>
      </c>
      <c r="H205" s="16" t="n">
        <v>102.3</v>
      </c>
      <c r="I205" s="17" t="n">
        <f aca="false">ROUND(G205/H205*100,1)</f>
        <v>88.5</v>
      </c>
      <c r="J205" s="16" t="n">
        <v>1.5</v>
      </c>
      <c r="K205" s="12" t="s">
        <v>516</v>
      </c>
      <c r="L205" s="12" t="s">
        <v>487</v>
      </c>
      <c r="M205" s="16" t="n">
        <v>18.21</v>
      </c>
      <c r="N205" s="16" t="n">
        <v>567</v>
      </c>
      <c r="O205" s="12" t="s">
        <v>488</v>
      </c>
    </row>
    <row r="206" customFormat="false" ht="15" hidden="false" customHeight="true" outlineLevel="0" collapsed="false">
      <c r="A206" s="12" t="s">
        <v>705</v>
      </c>
      <c r="B206" s="14" t="n">
        <v>45838</v>
      </c>
      <c r="C206" s="12" t="s">
        <v>504</v>
      </c>
      <c r="D206" s="13" t="s">
        <v>191</v>
      </c>
      <c r="E206" s="15" t="str">
        <f aca="false">IFERROR(INDEX(Dim_Employee!$B$2:$B$76,MATCH(D206,Dim_Employee!$A$2:$A$76,0)),"")</f>
        <v>Chukwudi Eze</v>
      </c>
      <c r="F206" s="12" t="s">
        <v>485</v>
      </c>
      <c r="G206" s="16" t="n">
        <v>107.3</v>
      </c>
      <c r="H206" s="16" t="n">
        <v>115.6</v>
      </c>
      <c r="I206" s="17" t="n">
        <f aca="false">ROUND(G206/H206*100,1)</f>
        <v>92.8</v>
      </c>
      <c r="J206" s="16" t="n">
        <v>1.3</v>
      </c>
      <c r="K206" s="12" t="s">
        <v>498</v>
      </c>
      <c r="L206" s="12" t="s">
        <v>487</v>
      </c>
      <c r="M206" s="16" t="n">
        <v>22.77</v>
      </c>
      <c r="N206" s="16" t="n">
        <v>533.8</v>
      </c>
      <c r="O206" s="12" t="s">
        <v>512</v>
      </c>
    </row>
    <row r="207" customFormat="false" ht="15" hidden="false" customHeight="true" outlineLevel="0" collapsed="false">
      <c r="A207" s="12" t="s">
        <v>706</v>
      </c>
      <c r="B207" s="14" t="n">
        <v>45885</v>
      </c>
      <c r="C207" s="12" t="s">
        <v>504</v>
      </c>
      <c r="D207" s="13" t="s">
        <v>91</v>
      </c>
      <c r="E207" s="15" t="str">
        <f aca="false">IFERROR(INDEX(Dim_Employee!$B$2:$B$76,MATCH(D207,Dim_Employee!$A$2:$A$76,0)),"")</f>
        <v>Ngozi Okafor</v>
      </c>
      <c r="F207" s="12" t="s">
        <v>490</v>
      </c>
      <c r="G207" s="16" t="n">
        <v>110.7</v>
      </c>
      <c r="H207" s="16" t="n">
        <v>113.6</v>
      </c>
      <c r="I207" s="17" t="n">
        <f aca="false">ROUND(G207/H207*100,1)</f>
        <v>97.4</v>
      </c>
      <c r="J207" s="16" t="n">
        <v>0.6</v>
      </c>
      <c r="K207" s="12" t="s">
        <v>486</v>
      </c>
      <c r="L207" s="12" t="s">
        <v>487</v>
      </c>
      <c r="M207" s="16" t="n">
        <v>24.59</v>
      </c>
      <c r="N207" s="16" t="n">
        <v>541</v>
      </c>
      <c r="O207" s="12" t="s">
        <v>492</v>
      </c>
    </row>
    <row r="208" customFormat="false" ht="15" hidden="false" customHeight="true" outlineLevel="0" collapsed="false">
      <c r="A208" s="12" t="s">
        <v>707</v>
      </c>
      <c r="B208" s="14" t="n">
        <v>45969</v>
      </c>
      <c r="C208" s="12" t="s">
        <v>500</v>
      </c>
      <c r="D208" s="13" t="s">
        <v>171</v>
      </c>
      <c r="E208" s="15" t="str">
        <f aca="false">IFERROR(INDEX(Dim_Employee!$B$2:$B$76,MATCH(D208,Dim_Employee!$A$2:$A$76,0)),"")</f>
        <v>Musa Adeyemi</v>
      </c>
      <c r="F208" s="12" t="s">
        <v>485</v>
      </c>
      <c r="G208" s="16" t="n">
        <v>92.2</v>
      </c>
      <c r="H208" s="16" t="n">
        <v>92.6</v>
      </c>
      <c r="I208" s="17" t="n">
        <f aca="false">ROUND(G208/H208*100,1)</f>
        <v>99.6</v>
      </c>
      <c r="J208" s="16" t="n">
        <v>0.1</v>
      </c>
      <c r="K208" s="12" t="s">
        <v>498</v>
      </c>
      <c r="L208" s="12" t="s">
        <v>487</v>
      </c>
      <c r="M208" s="16" t="n">
        <v>19.09</v>
      </c>
      <c r="N208" s="16" t="n">
        <v>607.5</v>
      </c>
      <c r="O208" s="12" t="s">
        <v>488</v>
      </c>
    </row>
    <row r="209" customFormat="false" ht="15" hidden="false" customHeight="true" outlineLevel="0" collapsed="false">
      <c r="A209" s="12" t="s">
        <v>708</v>
      </c>
      <c r="B209" s="14" t="n">
        <v>45932</v>
      </c>
      <c r="C209" s="12" t="s">
        <v>504</v>
      </c>
      <c r="D209" s="13" t="s">
        <v>91</v>
      </c>
      <c r="E209" s="15" t="str">
        <f aca="false">IFERROR(INDEX(Dim_Employee!$B$2:$B$76,MATCH(D209,Dim_Employee!$A$2:$A$76,0)),"")</f>
        <v>Ngozi Okafor</v>
      </c>
      <c r="F209" s="12" t="s">
        <v>497</v>
      </c>
      <c r="G209" s="16" t="n">
        <v>81.3</v>
      </c>
      <c r="H209" s="16" t="n">
        <v>91.4</v>
      </c>
      <c r="I209" s="17" t="n">
        <f aca="false">ROUND(G209/H209*100,1)</f>
        <v>88.9</v>
      </c>
      <c r="J209" s="16" t="n">
        <v>2</v>
      </c>
      <c r="K209" s="12" t="s">
        <v>491</v>
      </c>
      <c r="L209" s="12" t="s">
        <v>487</v>
      </c>
      <c r="M209" s="16" t="n">
        <v>16.87</v>
      </c>
      <c r="N209" s="16" t="n">
        <v>595.6</v>
      </c>
      <c r="O209" s="12" t="s">
        <v>492</v>
      </c>
    </row>
    <row r="210" customFormat="false" ht="15" hidden="false" customHeight="true" outlineLevel="0" collapsed="false">
      <c r="A210" s="12" t="s">
        <v>709</v>
      </c>
      <c r="B210" s="14" t="n">
        <v>45889</v>
      </c>
      <c r="C210" s="12" t="s">
        <v>484</v>
      </c>
      <c r="D210" s="13" t="s">
        <v>191</v>
      </c>
      <c r="E210" s="15" t="str">
        <f aca="false">IFERROR(INDEX(Dim_Employee!$B$2:$B$76,MATCH(D210,Dim_Employee!$A$2:$A$76,0)),"")</f>
        <v>Chukwudi Eze</v>
      </c>
      <c r="F210" s="12" t="s">
        <v>497</v>
      </c>
      <c r="G210" s="16" t="n">
        <v>76.1</v>
      </c>
      <c r="H210" s="16" t="n">
        <v>103.9</v>
      </c>
      <c r="I210" s="17" t="n">
        <f aca="false">ROUND(G210/H210*100,1)</f>
        <v>73.2</v>
      </c>
      <c r="J210" s="16" t="n">
        <v>6.5</v>
      </c>
      <c r="K210" s="12" t="s">
        <v>498</v>
      </c>
      <c r="L210" s="12" t="s">
        <v>487</v>
      </c>
      <c r="M210" s="16" t="n">
        <v>15.16</v>
      </c>
      <c r="N210" s="16" t="n">
        <v>537.3</v>
      </c>
      <c r="O210" s="12" t="s">
        <v>492</v>
      </c>
    </row>
    <row r="211" customFormat="false" ht="15" hidden="false" customHeight="true" outlineLevel="0" collapsed="false">
      <c r="A211" s="12" t="s">
        <v>710</v>
      </c>
      <c r="B211" s="14" t="n">
        <v>45883</v>
      </c>
      <c r="C211" s="12" t="s">
        <v>504</v>
      </c>
      <c r="D211" s="13" t="s">
        <v>157</v>
      </c>
      <c r="E211" s="15" t="str">
        <f aca="false">IFERROR(INDEX(Dim_Employee!$B$2:$B$76,MATCH(D211,Dim_Employee!$A$2:$A$76,0)),"")</f>
        <v>Kelechi Ojo</v>
      </c>
      <c r="F211" s="12" t="s">
        <v>497</v>
      </c>
      <c r="G211" s="16" t="n">
        <v>117.5</v>
      </c>
      <c r="H211" s="16" t="n">
        <v>116.4</v>
      </c>
      <c r="I211" s="17" t="n">
        <f aca="false">ROUND(G211/H211*100,1)</f>
        <v>100.9</v>
      </c>
      <c r="J211" s="16" t="n">
        <v>0</v>
      </c>
      <c r="K211" s="12" t="s">
        <v>486</v>
      </c>
      <c r="L211" s="12" t="s">
        <v>487</v>
      </c>
      <c r="M211" s="16" t="n">
        <v>26.16</v>
      </c>
      <c r="N211" s="16" t="n">
        <v>503.9</v>
      </c>
      <c r="O211" s="12" t="s">
        <v>512</v>
      </c>
    </row>
    <row r="212" customFormat="false" ht="15" hidden="false" customHeight="true" outlineLevel="0" collapsed="false">
      <c r="A212" s="12" t="s">
        <v>711</v>
      </c>
      <c r="B212" s="14" t="n">
        <v>45714</v>
      </c>
      <c r="C212" s="12" t="s">
        <v>504</v>
      </c>
      <c r="D212" s="13" t="s">
        <v>187</v>
      </c>
      <c r="E212" s="15" t="str">
        <f aca="false">IFERROR(INDEX(Dim_Employee!$B$2:$B$76,MATCH(D212,Dim_Employee!$A$2:$A$76,0)),"")</f>
        <v>Uche Ojo</v>
      </c>
      <c r="F212" s="12" t="s">
        <v>497</v>
      </c>
      <c r="G212" s="16" t="n">
        <v>115.6</v>
      </c>
      <c r="H212" s="16" t="n">
        <v>119.4</v>
      </c>
      <c r="I212" s="17" t="n">
        <f aca="false">ROUND(G212/H212*100,1)</f>
        <v>96.8</v>
      </c>
      <c r="J212" s="16" t="n">
        <v>0.8</v>
      </c>
      <c r="K212" s="12" t="s">
        <v>498</v>
      </c>
      <c r="L212" s="12" t="s">
        <v>487</v>
      </c>
      <c r="M212" s="16" t="n">
        <v>26.29</v>
      </c>
      <c r="N212" s="16" t="n">
        <v>551.2</v>
      </c>
      <c r="O212" s="12" t="s">
        <v>492</v>
      </c>
    </row>
    <row r="213" customFormat="false" ht="15" hidden="false" customHeight="true" outlineLevel="0" collapsed="false">
      <c r="A213" s="12" t="s">
        <v>712</v>
      </c>
      <c r="B213" s="14" t="n">
        <v>45754</v>
      </c>
      <c r="C213" s="12" t="s">
        <v>494</v>
      </c>
      <c r="D213" s="13" t="s">
        <v>162</v>
      </c>
      <c r="E213" s="15" t="str">
        <f aca="false">IFERROR(INDEX(Dim_Employee!$B$2:$B$76,MATCH(D213,Dim_Employee!$A$2:$A$76,0)),"")</f>
        <v>Halima Nwosu</v>
      </c>
      <c r="F213" s="12" t="s">
        <v>490</v>
      </c>
      <c r="G213" s="16" t="n">
        <v>102</v>
      </c>
      <c r="H213" s="16" t="n">
        <v>105.7</v>
      </c>
      <c r="I213" s="17" t="n">
        <f aca="false">ROUND(G213/H213*100,1)</f>
        <v>96.5</v>
      </c>
      <c r="J213" s="16" t="n">
        <v>0.5</v>
      </c>
      <c r="K213" s="12" t="s">
        <v>498</v>
      </c>
      <c r="L213" s="12" t="s">
        <v>487</v>
      </c>
      <c r="M213" s="16" t="n">
        <v>21.69</v>
      </c>
      <c r="N213" s="16" t="n">
        <v>494.9</v>
      </c>
      <c r="O213" s="12" t="s">
        <v>488</v>
      </c>
    </row>
    <row r="214" customFormat="false" ht="15" hidden="false" customHeight="true" outlineLevel="0" collapsed="false">
      <c r="A214" s="12" t="s">
        <v>713</v>
      </c>
      <c r="B214" s="14" t="n">
        <v>45941</v>
      </c>
      <c r="C214" s="12" t="s">
        <v>484</v>
      </c>
      <c r="D214" s="13" t="s">
        <v>195</v>
      </c>
      <c r="E214" s="15" t="str">
        <f aca="false">IFERROR(INDEX(Dim_Employee!$B$2:$B$76,MATCH(D214,Dim_Employee!$A$2:$A$76,0)),"")</f>
        <v>Peace Balogun</v>
      </c>
      <c r="F214" s="12" t="s">
        <v>485</v>
      </c>
      <c r="G214" s="16" t="n">
        <v>65.1</v>
      </c>
      <c r="H214" s="16" t="n">
        <v>90.3</v>
      </c>
      <c r="I214" s="17" t="n">
        <f aca="false">ROUND(G214/H214*100,1)</f>
        <v>72.1</v>
      </c>
      <c r="J214" s="16" t="n">
        <v>6.1</v>
      </c>
      <c r="K214" s="12" t="s">
        <v>498</v>
      </c>
      <c r="L214" s="12" t="s">
        <v>487</v>
      </c>
      <c r="M214" s="16" t="n">
        <v>12.63</v>
      </c>
      <c r="N214" s="16" t="n">
        <v>482.2</v>
      </c>
      <c r="O214" s="12" t="s">
        <v>488</v>
      </c>
    </row>
    <row r="215" customFormat="false" ht="15" hidden="false" customHeight="true" outlineLevel="0" collapsed="false">
      <c r="A215" s="12" t="s">
        <v>714</v>
      </c>
      <c r="B215" s="14" t="n">
        <v>45989</v>
      </c>
      <c r="C215" s="12" t="s">
        <v>500</v>
      </c>
      <c r="D215" s="13" t="s">
        <v>167</v>
      </c>
      <c r="E215" s="15" t="str">
        <f aca="false">IFERROR(INDEX(Dim_Employee!$B$2:$B$76,MATCH(D215,Dim_Employee!$A$2:$A$76,0)),"")</f>
        <v>Emmanuel Yakubu</v>
      </c>
      <c r="F215" s="12" t="s">
        <v>497</v>
      </c>
      <c r="G215" s="16" t="n">
        <v>90.6</v>
      </c>
      <c r="H215" s="16" t="n">
        <v>95.3</v>
      </c>
      <c r="I215" s="17" t="n">
        <f aca="false">ROUND(G215/H215*100,1)</f>
        <v>95.1</v>
      </c>
      <c r="J215" s="16" t="n">
        <v>1</v>
      </c>
      <c r="K215" s="12" t="s">
        <v>498</v>
      </c>
      <c r="L215" s="12" t="s">
        <v>487</v>
      </c>
      <c r="M215" s="16" t="n">
        <v>19.39</v>
      </c>
      <c r="N215" s="16" t="n">
        <v>500.3</v>
      </c>
      <c r="O215" s="12" t="s">
        <v>488</v>
      </c>
    </row>
    <row r="216" customFormat="false" ht="15" hidden="false" customHeight="true" outlineLevel="0" collapsed="false">
      <c r="A216" s="12" t="s">
        <v>715</v>
      </c>
      <c r="B216" s="14" t="n">
        <v>45897</v>
      </c>
      <c r="C216" s="12" t="s">
        <v>494</v>
      </c>
      <c r="D216" s="13" t="s">
        <v>91</v>
      </c>
      <c r="E216" s="15" t="str">
        <f aca="false">IFERROR(INDEX(Dim_Employee!$B$2:$B$76,MATCH(D216,Dim_Employee!$A$2:$A$76,0)),"")</f>
        <v>Ngozi Okafor</v>
      </c>
      <c r="F216" s="12" t="s">
        <v>490</v>
      </c>
      <c r="G216" s="16" t="n">
        <v>71.7</v>
      </c>
      <c r="H216" s="16" t="n">
        <v>93</v>
      </c>
      <c r="I216" s="17" t="n">
        <f aca="false">ROUND(G216/H216*100,1)</f>
        <v>77.1</v>
      </c>
      <c r="J216" s="16" t="n">
        <v>4.4</v>
      </c>
      <c r="K216" s="12" t="s">
        <v>491</v>
      </c>
      <c r="L216" s="12" t="s">
        <v>487</v>
      </c>
      <c r="M216" s="16" t="n">
        <v>15.59</v>
      </c>
      <c r="N216" s="16" t="n">
        <v>561</v>
      </c>
      <c r="O216" s="12" t="s">
        <v>495</v>
      </c>
    </row>
    <row r="217" customFormat="false" ht="15" hidden="false" customHeight="true" outlineLevel="0" collapsed="false">
      <c r="A217" s="12" t="s">
        <v>716</v>
      </c>
      <c r="B217" s="14" t="n">
        <v>45708</v>
      </c>
      <c r="C217" s="12" t="s">
        <v>484</v>
      </c>
      <c r="D217" s="13" t="s">
        <v>171</v>
      </c>
      <c r="E217" s="15" t="str">
        <f aca="false">IFERROR(INDEX(Dim_Employee!$B$2:$B$76,MATCH(D217,Dim_Employee!$A$2:$A$76,0)),"")</f>
        <v>Musa Adeyemi</v>
      </c>
      <c r="F217" s="12" t="s">
        <v>485</v>
      </c>
      <c r="G217" s="16" t="n">
        <v>77.5</v>
      </c>
      <c r="H217" s="16" t="n">
        <v>100.6</v>
      </c>
      <c r="I217" s="17" t="n">
        <f aca="false">ROUND(G217/H217*100,1)</f>
        <v>77</v>
      </c>
      <c r="J217" s="16" t="n">
        <v>3.5</v>
      </c>
      <c r="K217" s="12" t="s">
        <v>498</v>
      </c>
      <c r="L217" s="12" t="s">
        <v>487</v>
      </c>
      <c r="M217" s="16" t="n">
        <v>16.66</v>
      </c>
      <c r="N217" s="16" t="n">
        <v>482.7</v>
      </c>
      <c r="O217" s="12" t="s">
        <v>495</v>
      </c>
    </row>
    <row r="218" customFormat="false" ht="15" hidden="false" customHeight="true" outlineLevel="0" collapsed="false">
      <c r="A218" s="12" t="s">
        <v>717</v>
      </c>
      <c r="B218" s="14" t="n">
        <v>45975</v>
      </c>
      <c r="C218" s="12" t="s">
        <v>500</v>
      </c>
      <c r="D218" s="13" t="s">
        <v>191</v>
      </c>
      <c r="E218" s="15" t="str">
        <f aca="false">IFERROR(INDEX(Dim_Employee!$B$2:$B$76,MATCH(D218,Dim_Employee!$A$2:$A$76,0)),"")</f>
        <v>Chukwudi Eze</v>
      </c>
      <c r="F218" s="12" t="s">
        <v>490</v>
      </c>
      <c r="G218" s="16" t="n">
        <v>108.3</v>
      </c>
      <c r="H218" s="16" t="n">
        <v>107.5</v>
      </c>
      <c r="I218" s="17" t="n">
        <f aca="false">ROUND(G218/H218*100,1)</f>
        <v>100.7</v>
      </c>
      <c r="J218" s="16" t="n">
        <v>0</v>
      </c>
      <c r="K218" s="12" t="s">
        <v>498</v>
      </c>
      <c r="L218" s="12" t="s">
        <v>487</v>
      </c>
      <c r="M218" s="16" t="n">
        <v>21.27</v>
      </c>
      <c r="N218" s="16" t="n">
        <v>562.2</v>
      </c>
      <c r="O218" s="12" t="s">
        <v>495</v>
      </c>
    </row>
    <row r="219" customFormat="false" ht="15" hidden="false" customHeight="true" outlineLevel="0" collapsed="false">
      <c r="A219" s="12" t="s">
        <v>718</v>
      </c>
      <c r="B219" s="14" t="n">
        <v>45872</v>
      </c>
      <c r="C219" s="12" t="s">
        <v>504</v>
      </c>
      <c r="D219" s="13" t="s">
        <v>183</v>
      </c>
      <c r="E219" s="15" t="str">
        <f aca="false">IFERROR(INDEX(Dim_Employee!$B$2:$B$76,MATCH(D219,Dim_Employee!$A$2:$A$76,0)),"")</f>
        <v>Titilayo Danjuma</v>
      </c>
      <c r="F219" s="12" t="s">
        <v>485</v>
      </c>
      <c r="G219" s="16" t="n">
        <v>88.4</v>
      </c>
      <c r="H219" s="16" t="n">
        <v>90.2</v>
      </c>
      <c r="I219" s="17" t="n">
        <f aca="false">ROUND(G219/H219*100,1)</f>
        <v>98</v>
      </c>
      <c r="J219" s="16" t="n">
        <v>0.3</v>
      </c>
      <c r="K219" s="12" t="s">
        <v>534</v>
      </c>
      <c r="L219" s="12" t="s">
        <v>487</v>
      </c>
      <c r="M219" s="16" t="n">
        <v>17.03</v>
      </c>
      <c r="N219" s="16" t="n">
        <v>574.8</v>
      </c>
      <c r="O219" s="12" t="s">
        <v>495</v>
      </c>
    </row>
    <row r="220" customFormat="false" ht="15" hidden="false" customHeight="true" outlineLevel="0" collapsed="false">
      <c r="A220" s="12" t="s">
        <v>719</v>
      </c>
      <c r="B220" s="14" t="n">
        <v>45782</v>
      </c>
      <c r="C220" s="12" t="s">
        <v>484</v>
      </c>
      <c r="D220" s="13" t="s">
        <v>195</v>
      </c>
      <c r="E220" s="15" t="str">
        <f aca="false">IFERROR(INDEX(Dim_Employee!$B$2:$B$76,MATCH(D220,Dim_Employee!$A$2:$A$76,0)),"")</f>
        <v>Peace Balogun</v>
      </c>
      <c r="F220" s="12" t="s">
        <v>490</v>
      </c>
      <c r="G220" s="16" t="n">
        <v>97.6</v>
      </c>
      <c r="H220" s="16" t="n">
        <v>99.3</v>
      </c>
      <c r="I220" s="17" t="n">
        <f aca="false">ROUND(G220/H220*100,1)</f>
        <v>98.3</v>
      </c>
      <c r="J220" s="16" t="n">
        <v>0.3</v>
      </c>
      <c r="K220" s="12" t="s">
        <v>498</v>
      </c>
      <c r="L220" s="12" t="s">
        <v>487</v>
      </c>
      <c r="M220" s="16" t="n">
        <v>20.02</v>
      </c>
      <c r="N220" s="16" t="n">
        <v>481.1</v>
      </c>
      <c r="O220" s="12" t="s">
        <v>512</v>
      </c>
    </row>
    <row r="221" customFormat="false" ht="15" hidden="false" customHeight="true" outlineLevel="0" collapsed="false">
      <c r="A221" s="12" t="s">
        <v>720</v>
      </c>
      <c r="B221" s="14" t="n">
        <v>45855</v>
      </c>
      <c r="C221" s="12" t="s">
        <v>504</v>
      </c>
      <c r="D221" s="13" t="s">
        <v>191</v>
      </c>
      <c r="E221" s="15" t="str">
        <f aca="false">IFERROR(INDEX(Dim_Employee!$B$2:$B$76,MATCH(D221,Dim_Employee!$A$2:$A$76,0)),"")</f>
        <v>Chukwudi Eze</v>
      </c>
      <c r="F221" s="12" t="s">
        <v>485</v>
      </c>
      <c r="G221" s="16" t="n">
        <v>80.6</v>
      </c>
      <c r="H221" s="16" t="n">
        <v>106.8</v>
      </c>
      <c r="I221" s="17" t="n">
        <f aca="false">ROUND(G221/H221*100,1)</f>
        <v>75.5</v>
      </c>
      <c r="J221" s="16" t="n">
        <v>5.4</v>
      </c>
      <c r="K221" s="12" t="s">
        <v>491</v>
      </c>
      <c r="L221" s="12" t="s">
        <v>487</v>
      </c>
      <c r="M221" s="16" t="n">
        <v>18.41</v>
      </c>
      <c r="N221" s="16" t="n">
        <v>539.1</v>
      </c>
      <c r="O221" s="12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6" min="6" style="1" width="18"/>
    <col collapsed="false" customWidth="true" hidden="false" outlineLevel="0" max="7" min="7" style="1" width="26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0" min="10" style="1" width="15"/>
    <col collapsed="false" customWidth="true" hidden="false" outlineLevel="0" max="11" min="11" style="1" width="18"/>
  </cols>
  <sheetData>
    <row r="1" customFormat="false" ht="26.25" hidden="false" customHeight="true" outlineLevel="0" collapsed="false">
      <c r="A1" s="10" t="s">
        <v>721</v>
      </c>
      <c r="B1" s="10" t="s">
        <v>722</v>
      </c>
      <c r="C1" s="10" t="s">
        <v>126</v>
      </c>
      <c r="D1" s="10" t="s">
        <v>127</v>
      </c>
      <c r="E1" s="10" t="s">
        <v>723</v>
      </c>
      <c r="F1" s="10" t="s">
        <v>724</v>
      </c>
      <c r="G1" s="10" t="s">
        <v>725</v>
      </c>
      <c r="H1" s="10" t="s">
        <v>726</v>
      </c>
      <c r="I1" s="10" t="s">
        <v>727</v>
      </c>
      <c r="J1" s="10" t="s">
        <v>728</v>
      </c>
      <c r="K1" s="10" t="s">
        <v>729</v>
      </c>
    </row>
    <row r="2" customFormat="false" ht="15" hidden="false" customHeight="true" outlineLevel="0" collapsed="false">
      <c r="A2" s="12" t="s">
        <v>730</v>
      </c>
      <c r="B2" s="14" t="n">
        <v>45783</v>
      </c>
      <c r="C2" s="13" t="s">
        <v>226</v>
      </c>
      <c r="D2" s="15" t="str">
        <f aca="false">IFERROR(INDEX(Dim_Employee!$B$2:$B$76,MATCH(C2,Dim_Employee!$A$2:$A$76,0)),"")</f>
        <v>Tunde Nnamdi</v>
      </c>
      <c r="E2" s="12" t="s">
        <v>97</v>
      </c>
      <c r="F2" s="12" t="s">
        <v>731</v>
      </c>
      <c r="G2" s="12" t="s">
        <v>732</v>
      </c>
      <c r="H2" s="12" t="s">
        <v>733</v>
      </c>
      <c r="I2" s="12" t="s">
        <v>734</v>
      </c>
      <c r="J2" s="14"/>
      <c r="K2" s="18" t="n">
        <v>2206103.37</v>
      </c>
    </row>
    <row r="3" customFormat="false" ht="15" hidden="false" customHeight="true" outlineLevel="0" collapsed="false">
      <c r="A3" s="12" t="s">
        <v>735</v>
      </c>
      <c r="B3" s="14" t="n">
        <v>45998</v>
      </c>
      <c r="C3" s="13" t="s">
        <v>216</v>
      </c>
      <c r="D3" s="15" t="str">
        <f aca="false">IFERROR(INDEX(Dim_Employee!$B$2:$B$76,MATCH(C3,Dim_Employee!$A$2:$A$76,0)),"")</f>
        <v>Yusuf Sani</v>
      </c>
      <c r="E3" s="12" t="s">
        <v>24</v>
      </c>
      <c r="F3" s="12" t="s">
        <v>736</v>
      </c>
      <c r="G3" s="12" t="s">
        <v>737</v>
      </c>
      <c r="H3" s="12" t="s">
        <v>738</v>
      </c>
      <c r="I3" s="12" t="s">
        <v>739</v>
      </c>
      <c r="J3" s="14"/>
      <c r="K3" s="18" t="n">
        <v>508524.96</v>
      </c>
    </row>
    <row r="4" customFormat="false" ht="15" hidden="false" customHeight="true" outlineLevel="0" collapsed="false">
      <c r="A4" s="12" t="s">
        <v>740</v>
      </c>
      <c r="B4" s="14" t="n">
        <v>45936</v>
      </c>
      <c r="C4" s="13" t="s">
        <v>216</v>
      </c>
      <c r="D4" s="15" t="str">
        <f aca="false">IFERROR(INDEX(Dim_Employee!$B$2:$B$76,MATCH(C4,Dim_Employee!$A$2:$A$76,0)),"")</f>
        <v>Yusuf Sani</v>
      </c>
      <c r="E4" s="12" t="s">
        <v>111</v>
      </c>
      <c r="F4" s="12" t="s">
        <v>731</v>
      </c>
      <c r="G4" s="12" t="s">
        <v>737</v>
      </c>
      <c r="H4" s="12" t="s">
        <v>733</v>
      </c>
      <c r="I4" s="12" t="s">
        <v>741</v>
      </c>
      <c r="J4" s="14" t="n">
        <v>46017</v>
      </c>
      <c r="K4" s="18" t="n">
        <v>1796947.42</v>
      </c>
    </row>
    <row r="5" customFormat="false" ht="15" hidden="false" customHeight="true" outlineLevel="0" collapsed="false">
      <c r="A5" s="12" t="s">
        <v>742</v>
      </c>
      <c r="B5" s="14" t="n">
        <v>45850</v>
      </c>
      <c r="C5" s="13" t="s">
        <v>221</v>
      </c>
      <c r="D5" s="15" t="str">
        <f aca="false">IFERROR(INDEX(Dim_Employee!$B$2:$B$76,MATCH(C5,Dim_Employee!$A$2:$A$76,0)),"")</f>
        <v>Aisha Danjuma</v>
      </c>
      <c r="E5" s="12" t="s">
        <v>111</v>
      </c>
      <c r="F5" s="12" t="s">
        <v>743</v>
      </c>
      <c r="G5" s="12" t="s">
        <v>737</v>
      </c>
      <c r="H5" s="12" t="s">
        <v>733</v>
      </c>
      <c r="I5" s="12" t="s">
        <v>741</v>
      </c>
      <c r="J5" s="14" t="n">
        <v>45898</v>
      </c>
      <c r="K5" s="18" t="n">
        <v>2290826.17</v>
      </c>
    </row>
    <row r="6" customFormat="false" ht="15" hidden="false" customHeight="true" outlineLevel="0" collapsed="false">
      <c r="A6" s="12" t="s">
        <v>744</v>
      </c>
      <c r="B6" s="14" t="n">
        <v>46019</v>
      </c>
      <c r="C6" s="13" t="s">
        <v>211</v>
      </c>
      <c r="D6" s="15" t="str">
        <f aca="false">IFERROR(INDEX(Dim_Employee!$B$2:$B$76,MATCH(C6,Dim_Employee!$A$2:$A$76,0)),"")</f>
        <v>Abdullahi Yakubu</v>
      </c>
      <c r="E6" s="12" t="s">
        <v>115</v>
      </c>
      <c r="F6" s="12" t="s">
        <v>731</v>
      </c>
      <c r="G6" s="12" t="s">
        <v>745</v>
      </c>
      <c r="H6" s="12" t="s">
        <v>738</v>
      </c>
      <c r="I6" s="12" t="s">
        <v>746</v>
      </c>
      <c r="J6" s="14"/>
      <c r="K6" s="18" t="n">
        <v>2050545.63</v>
      </c>
    </row>
    <row r="7" customFormat="false" ht="15" hidden="false" customHeight="true" outlineLevel="0" collapsed="false">
      <c r="A7" s="12" t="s">
        <v>747</v>
      </c>
      <c r="B7" s="14" t="n">
        <v>45766</v>
      </c>
      <c r="C7" s="13" t="s">
        <v>226</v>
      </c>
      <c r="D7" s="15" t="str">
        <f aca="false">IFERROR(INDEX(Dim_Employee!$B$2:$B$76,MATCH(C7,Dim_Employee!$A$2:$A$76,0)),"")</f>
        <v>Tunde Nnamdi</v>
      </c>
      <c r="E7" s="12" t="s">
        <v>16</v>
      </c>
      <c r="F7" s="12" t="s">
        <v>743</v>
      </c>
      <c r="G7" s="12" t="s">
        <v>748</v>
      </c>
      <c r="H7" s="12" t="s">
        <v>738</v>
      </c>
      <c r="I7" s="12" t="s">
        <v>741</v>
      </c>
      <c r="J7" s="14" t="n">
        <v>45872</v>
      </c>
      <c r="K7" s="18" t="n">
        <v>1388525.18</v>
      </c>
    </row>
    <row r="8" customFormat="false" ht="15" hidden="false" customHeight="true" outlineLevel="0" collapsed="false">
      <c r="A8" s="12" t="s">
        <v>749</v>
      </c>
      <c r="B8" s="14" t="n">
        <v>45672</v>
      </c>
      <c r="C8" s="13" t="s">
        <v>221</v>
      </c>
      <c r="D8" s="15" t="str">
        <f aca="false">IFERROR(INDEX(Dim_Employee!$B$2:$B$76,MATCH(C8,Dim_Employee!$A$2:$A$76,0)),"")</f>
        <v>Aisha Danjuma</v>
      </c>
      <c r="E8" s="12" t="s">
        <v>16</v>
      </c>
      <c r="F8" s="12" t="s">
        <v>731</v>
      </c>
      <c r="G8" s="12" t="s">
        <v>748</v>
      </c>
      <c r="H8" s="12" t="s">
        <v>738</v>
      </c>
      <c r="I8" s="12" t="s">
        <v>741</v>
      </c>
      <c r="J8" s="14" t="n">
        <v>45721</v>
      </c>
      <c r="K8" s="18" t="n">
        <v>3891882.47</v>
      </c>
    </row>
    <row r="9" customFormat="false" ht="15" hidden="false" customHeight="true" outlineLevel="0" collapsed="false">
      <c r="A9" s="12" t="s">
        <v>750</v>
      </c>
      <c r="B9" s="14" t="n">
        <v>45822</v>
      </c>
      <c r="C9" s="13" t="s">
        <v>211</v>
      </c>
      <c r="D9" s="15" t="str">
        <f aca="false">IFERROR(INDEX(Dim_Employee!$B$2:$B$76,MATCH(C9,Dim_Employee!$A$2:$A$76,0)),"")</f>
        <v>Abdullahi Yakubu</v>
      </c>
      <c r="E9" s="12" t="s">
        <v>16</v>
      </c>
      <c r="F9" s="12" t="s">
        <v>751</v>
      </c>
      <c r="G9" s="12" t="s">
        <v>752</v>
      </c>
      <c r="H9" s="12" t="s">
        <v>753</v>
      </c>
      <c r="I9" s="12" t="s">
        <v>741</v>
      </c>
      <c r="J9" s="14" t="n">
        <v>45916</v>
      </c>
      <c r="K9" s="18" t="n">
        <v>4035642.71</v>
      </c>
    </row>
    <row r="10" customFormat="false" ht="15" hidden="false" customHeight="true" outlineLevel="0" collapsed="false">
      <c r="A10" s="12" t="s">
        <v>754</v>
      </c>
      <c r="B10" s="14" t="n">
        <v>45756</v>
      </c>
      <c r="C10" s="13" t="s">
        <v>216</v>
      </c>
      <c r="D10" s="15" t="str">
        <f aca="false">IFERROR(INDEX(Dim_Employee!$B$2:$B$76,MATCH(C10,Dim_Employee!$A$2:$A$76,0)),"")</f>
        <v>Yusuf Sani</v>
      </c>
      <c r="E10" s="12" t="s">
        <v>104</v>
      </c>
      <c r="F10" s="12" t="s">
        <v>755</v>
      </c>
      <c r="G10" s="12" t="s">
        <v>748</v>
      </c>
      <c r="H10" s="12" t="s">
        <v>733</v>
      </c>
      <c r="I10" s="12" t="s">
        <v>739</v>
      </c>
      <c r="J10" s="14"/>
      <c r="K10" s="18" t="n">
        <v>674356.25</v>
      </c>
    </row>
    <row r="11" customFormat="false" ht="15" hidden="false" customHeight="true" outlineLevel="0" collapsed="false">
      <c r="A11" s="12" t="s">
        <v>756</v>
      </c>
      <c r="B11" s="14" t="n">
        <v>45802</v>
      </c>
      <c r="C11" s="13" t="s">
        <v>221</v>
      </c>
      <c r="D11" s="15" t="str">
        <f aca="false">IFERROR(INDEX(Dim_Employee!$B$2:$B$76,MATCH(C11,Dim_Employee!$A$2:$A$76,0)),"")</f>
        <v>Aisha Danjuma</v>
      </c>
      <c r="E11" s="12" t="s">
        <v>111</v>
      </c>
      <c r="F11" s="12" t="s">
        <v>731</v>
      </c>
      <c r="G11" s="12" t="s">
        <v>757</v>
      </c>
      <c r="H11" s="12" t="s">
        <v>753</v>
      </c>
      <c r="I11" s="12" t="s">
        <v>746</v>
      </c>
      <c r="J11" s="14"/>
      <c r="K11" s="18" t="n">
        <v>923147.5</v>
      </c>
    </row>
    <row r="12" customFormat="false" ht="15" hidden="false" customHeight="true" outlineLevel="0" collapsed="false">
      <c r="A12" s="12" t="s">
        <v>758</v>
      </c>
      <c r="B12" s="14" t="n">
        <v>46005</v>
      </c>
      <c r="C12" s="13" t="s">
        <v>216</v>
      </c>
      <c r="D12" s="15" t="str">
        <f aca="false">IFERROR(INDEX(Dim_Employee!$B$2:$B$76,MATCH(C12,Dim_Employee!$A$2:$A$76,0)),"")</f>
        <v>Yusuf Sani</v>
      </c>
      <c r="E12" s="12" t="s">
        <v>111</v>
      </c>
      <c r="F12" s="12" t="s">
        <v>751</v>
      </c>
      <c r="G12" s="12" t="s">
        <v>759</v>
      </c>
      <c r="H12" s="12" t="s">
        <v>733</v>
      </c>
      <c r="I12" s="12" t="s">
        <v>746</v>
      </c>
      <c r="J12" s="14"/>
      <c r="K12" s="18" t="n">
        <v>4241235.81</v>
      </c>
    </row>
    <row r="13" customFormat="false" ht="15" hidden="false" customHeight="true" outlineLevel="0" collapsed="false">
      <c r="A13" s="12" t="s">
        <v>760</v>
      </c>
      <c r="B13" s="14" t="n">
        <v>45979</v>
      </c>
      <c r="C13" s="13" t="s">
        <v>216</v>
      </c>
      <c r="D13" s="15" t="str">
        <f aca="false">IFERROR(INDEX(Dim_Employee!$B$2:$B$76,MATCH(C13,Dim_Employee!$A$2:$A$76,0)),"")</f>
        <v>Yusuf Sani</v>
      </c>
      <c r="E13" s="12" t="s">
        <v>97</v>
      </c>
      <c r="F13" s="12" t="s">
        <v>755</v>
      </c>
      <c r="G13" s="12" t="s">
        <v>748</v>
      </c>
      <c r="H13" s="12" t="s">
        <v>733</v>
      </c>
      <c r="I13" s="12" t="s">
        <v>739</v>
      </c>
      <c r="J13" s="14"/>
      <c r="K13" s="18" t="n">
        <v>3064138.02</v>
      </c>
    </row>
    <row r="14" customFormat="false" ht="15" hidden="false" customHeight="true" outlineLevel="0" collapsed="false">
      <c r="A14" s="12" t="s">
        <v>761</v>
      </c>
      <c r="B14" s="14" t="n">
        <v>46022</v>
      </c>
      <c r="C14" s="13" t="s">
        <v>211</v>
      </c>
      <c r="D14" s="15" t="str">
        <f aca="false">IFERROR(INDEX(Dim_Employee!$B$2:$B$76,MATCH(C14,Dim_Employee!$A$2:$A$76,0)),"")</f>
        <v>Abdullahi Yakubu</v>
      </c>
      <c r="E14" s="12" t="s">
        <v>111</v>
      </c>
      <c r="F14" s="12" t="s">
        <v>751</v>
      </c>
      <c r="G14" s="12" t="s">
        <v>757</v>
      </c>
      <c r="H14" s="12" t="s">
        <v>738</v>
      </c>
      <c r="I14" s="12" t="s">
        <v>739</v>
      </c>
      <c r="J14" s="14"/>
      <c r="K14" s="18" t="n">
        <v>3796950.45</v>
      </c>
    </row>
    <row r="15" customFormat="false" ht="15" hidden="false" customHeight="true" outlineLevel="0" collapsed="false">
      <c r="A15" s="12" t="s">
        <v>762</v>
      </c>
      <c r="B15" s="14" t="n">
        <v>45852</v>
      </c>
      <c r="C15" s="13" t="s">
        <v>211</v>
      </c>
      <c r="D15" s="15" t="str">
        <f aca="false">IFERROR(INDEX(Dim_Employee!$B$2:$B$76,MATCH(C15,Dim_Employee!$A$2:$A$76,0)),"")</f>
        <v>Abdullahi Yakubu</v>
      </c>
      <c r="E15" s="12" t="s">
        <v>115</v>
      </c>
      <c r="F15" s="12" t="s">
        <v>755</v>
      </c>
      <c r="G15" s="12" t="s">
        <v>757</v>
      </c>
      <c r="H15" s="12" t="s">
        <v>738</v>
      </c>
      <c r="I15" s="12" t="s">
        <v>739</v>
      </c>
      <c r="J15" s="14"/>
      <c r="K15" s="18" t="n">
        <v>1176892.05</v>
      </c>
    </row>
    <row r="16" customFormat="false" ht="15" hidden="false" customHeight="true" outlineLevel="0" collapsed="false">
      <c r="A16" s="12" t="s">
        <v>763</v>
      </c>
      <c r="B16" s="14" t="n">
        <v>45924</v>
      </c>
      <c r="C16" s="13" t="s">
        <v>221</v>
      </c>
      <c r="D16" s="15" t="str">
        <f aca="false">IFERROR(INDEX(Dim_Employee!$B$2:$B$76,MATCH(C16,Dim_Employee!$A$2:$A$76,0)),"")</f>
        <v>Aisha Danjuma</v>
      </c>
      <c r="E16" s="12" t="s">
        <v>111</v>
      </c>
      <c r="F16" s="12" t="s">
        <v>743</v>
      </c>
      <c r="G16" s="12" t="s">
        <v>745</v>
      </c>
      <c r="H16" s="12" t="s">
        <v>753</v>
      </c>
      <c r="I16" s="12" t="s">
        <v>746</v>
      </c>
      <c r="J16" s="14"/>
      <c r="K16" s="18" t="n">
        <v>603767</v>
      </c>
    </row>
    <row r="17" customFormat="false" ht="15" hidden="false" customHeight="true" outlineLevel="0" collapsed="false">
      <c r="A17" s="12" t="s">
        <v>764</v>
      </c>
      <c r="B17" s="14" t="n">
        <v>45679</v>
      </c>
      <c r="C17" s="13" t="s">
        <v>216</v>
      </c>
      <c r="D17" s="15" t="str">
        <f aca="false">IFERROR(INDEX(Dim_Employee!$B$2:$B$76,MATCH(C17,Dim_Employee!$A$2:$A$76,0)),"")</f>
        <v>Yusuf Sani</v>
      </c>
      <c r="E17" s="12" t="s">
        <v>97</v>
      </c>
      <c r="F17" s="12" t="s">
        <v>751</v>
      </c>
      <c r="G17" s="12" t="s">
        <v>765</v>
      </c>
      <c r="H17" s="12" t="s">
        <v>738</v>
      </c>
      <c r="I17" s="12" t="s">
        <v>739</v>
      </c>
      <c r="J17" s="14"/>
      <c r="K17" s="18" t="n">
        <v>1090188.85</v>
      </c>
    </row>
    <row r="18" customFormat="false" ht="15" hidden="false" customHeight="true" outlineLevel="0" collapsed="false">
      <c r="A18" s="12" t="s">
        <v>766</v>
      </c>
      <c r="B18" s="14" t="n">
        <v>45702</v>
      </c>
      <c r="C18" s="13" t="s">
        <v>216</v>
      </c>
      <c r="D18" s="15" t="str">
        <f aca="false">IFERROR(INDEX(Dim_Employee!$B$2:$B$76,MATCH(C18,Dim_Employee!$A$2:$A$76,0)),"")</f>
        <v>Yusuf Sani</v>
      </c>
      <c r="E18" s="12" t="s">
        <v>104</v>
      </c>
      <c r="F18" s="12" t="s">
        <v>731</v>
      </c>
      <c r="G18" s="12" t="s">
        <v>737</v>
      </c>
      <c r="H18" s="12" t="s">
        <v>733</v>
      </c>
      <c r="I18" s="12" t="s">
        <v>734</v>
      </c>
      <c r="J18" s="14"/>
      <c r="K18" s="18" t="n">
        <v>495171.24</v>
      </c>
    </row>
    <row r="19" customFormat="false" ht="15" hidden="false" customHeight="true" outlineLevel="0" collapsed="false">
      <c r="A19" s="12" t="s">
        <v>767</v>
      </c>
      <c r="B19" s="14" t="n">
        <v>45884</v>
      </c>
      <c r="C19" s="13" t="s">
        <v>221</v>
      </c>
      <c r="D19" s="15" t="str">
        <f aca="false">IFERROR(INDEX(Dim_Employee!$B$2:$B$76,MATCH(C19,Dim_Employee!$A$2:$A$76,0)),"")</f>
        <v>Aisha Danjuma</v>
      </c>
      <c r="E19" s="12" t="s">
        <v>104</v>
      </c>
      <c r="F19" s="12" t="s">
        <v>743</v>
      </c>
      <c r="G19" s="12" t="s">
        <v>759</v>
      </c>
      <c r="H19" s="12" t="s">
        <v>738</v>
      </c>
      <c r="I19" s="12" t="s">
        <v>746</v>
      </c>
      <c r="J19" s="14"/>
      <c r="K19" s="18" t="n">
        <v>3399110.66</v>
      </c>
    </row>
    <row r="20" customFormat="false" ht="15" hidden="false" customHeight="true" outlineLevel="0" collapsed="false">
      <c r="A20" s="12" t="s">
        <v>768</v>
      </c>
      <c r="B20" s="14" t="n">
        <v>45877</v>
      </c>
      <c r="C20" s="13" t="s">
        <v>211</v>
      </c>
      <c r="D20" s="15" t="str">
        <f aca="false">IFERROR(INDEX(Dim_Employee!$B$2:$B$76,MATCH(C20,Dim_Employee!$A$2:$A$76,0)),"")</f>
        <v>Abdullahi Yakubu</v>
      </c>
      <c r="E20" s="12" t="s">
        <v>97</v>
      </c>
      <c r="F20" s="12" t="s">
        <v>751</v>
      </c>
      <c r="G20" s="12" t="s">
        <v>752</v>
      </c>
      <c r="H20" s="12" t="s">
        <v>733</v>
      </c>
      <c r="I20" s="12" t="s">
        <v>741</v>
      </c>
      <c r="J20" s="14" t="n">
        <v>45949</v>
      </c>
      <c r="K20" s="18" t="n">
        <v>2754697.24</v>
      </c>
    </row>
    <row r="21" customFormat="false" ht="15" hidden="false" customHeight="true" outlineLevel="0" collapsed="false">
      <c r="A21" s="12" t="s">
        <v>769</v>
      </c>
      <c r="B21" s="14" t="n">
        <v>45936</v>
      </c>
      <c r="C21" s="13" t="s">
        <v>211</v>
      </c>
      <c r="D21" s="15" t="str">
        <f aca="false">IFERROR(INDEX(Dim_Employee!$B$2:$B$76,MATCH(C21,Dim_Employee!$A$2:$A$76,0)),"")</f>
        <v>Abdullahi Yakubu</v>
      </c>
      <c r="E21" s="12" t="s">
        <v>97</v>
      </c>
      <c r="F21" s="12" t="s">
        <v>751</v>
      </c>
      <c r="G21" s="12" t="s">
        <v>757</v>
      </c>
      <c r="H21" s="12" t="s">
        <v>733</v>
      </c>
      <c r="I21" s="12" t="s">
        <v>746</v>
      </c>
      <c r="J21" s="14"/>
      <c r="K21" s="18" t="n">
        <v>2087608.06</v>
      </c>
    </row>
    <row r="22" customFormat="false" ht="15" hidden="false" customHeight="true" outlineLevel="0" collapsed="false">
      <c r="A22" s="12" t="s">
        <v>770</v>
      </c>
      <c r="B22" s="14" t="n">
        <v>45983</v>
      </c>
      <c r="C22" s="13" t="s">
        <v>211</v>
      </c>
      <c r="D22" s="15" t="str">
        <f aca="false">IFERROR(INDEX(Dim_Employee!$B$2:$B$76,MATCH(C22,Dim_Employee!$A$2:$A$76,0)),"")</f>
        <v>Abdullahi Yakubu</v>
      </c>
      <c r="E22" s="12" t="s">
        <v>97</v>
      </c>
      <c r="F22" s="12" t="s">
        <v>736</v>
      </c>
      <c r="G22" s="12" t="s">
        <v>759</v>
      </c>
      <c r="H22" s="12" t="s">
        <v>738</v>
      </c>
      <c r="I22" s="12" t="s">
        <v>746</v>
      </c>
      <c r="J22" s="14"/>
      <c r="K22" s="18" t="n">
        <v>1227469.55</v>
      </c>
    </row>
    <row r="23" customFormat="false" ht="15" hidden="false" customHeight="true" outlineLevel="0" collapsed="false">
      <c r="A23" s="12" t="s">
        <v>771</v>
      </c>
      <c r="B23" s="14" t="n">
        <v>45661</v>
      </c>
      <c r="C23" s="13" t="s">
        <v>211</v>
      </c>
      <c r="D23" s="15" t="str">
        <f aca="false">IFERROR(INDEX(Dim_Employee!$B$2:$B$76,MATCH(C23,Dim_Employee!$A$2:$A$76,0)),"")</f>
        <v>Abdullahi Yakubu</v>
      </c>
      <c r="E23" s="12" t="s">
        <v>97</v>
      </c>
      <c r="F23" s="12" t="s">
        <v>755</v>
      </c>
      <c r="G23" s="12" t="s">
        <v>732</v>
      </c>
      <c r="H23" s="12" t="s">
        <v>733</v>
      </c>
      <c r="I23" s="12" t="s">
        <v>734</v>
      </c>
      <c r="J23" s="14"/>
      <c r="K23" s="18" t="n">
        <v>3553190.86</v>
      </c>
    </row>
    <row r="24" customFormat="false" ht="15" hidden="false" customHeight="true" outlineLevel="0" collapsed="false">
      <c r="A24" s="12" t="s">
        <v>772</v>
      </c>
      <c r="B24" s="14" t="n">
        <v>45946</v>
      </c>
      <c r="C24" s="13" t="s">
        <v>226</v>
      </c>
      <c r="D24" s="15" t="str">
        <f aca="false">IFERROR(INDEX(Dim_Employee!$B$2:$B$76,MATCH(C24,Dim_Employee!$A$2:$A$76,0)),"")</f>
        <v>Tunde Nnamdi</v>
      </c>
      <c r="E24" s="12" t="s">
        <v>104</v>
      </c>
      <c r="F24" s="12" t="s">
        <v>751</v>
      </c>
      <c r="G24" s="12" t="s">
        <v>752</v>
      </c>
      <c r="H24" s="12" t="s">
        <v>738</v>
      </c>
      <c r="I24" s="12" t="s">
        <v>741</v>
      </c>
      <c r="J24" s="14" t="n">
        <v>45998</v>
      </c>
      <c r="K24" s="18" t="n">
        <v>4709023.48</v>
      </c>
    </row>
    <row r="25" customFormat="false" ht="15" hidden="false" customHeight="true" outlineLevel="0" collapsed="false">
      <c r="A25" s="12" t="s">
        <v>773</v>
      </c>
      <c r="B25" s="14" t="n">
        <v>45964</v>
      </c>
      <c r="C25" s="13" t="s">
        <v>211</v>
      </c>
      <c r="D25" s="15" t="str">
        <f aca="false">IFERROR(INDEX(Dim_Employee!$B$2:$B$76,MATCH(C25,Dim_Employee!$A$2:$A$76,0)),"")</f>
        <v>Abdullahi Yakubu</v>
      </c>
      <c r="E25" s="12" t="s">
        <v>111</v>
      </c>
      <c r="F25" s="12" t="s">
        <v>736</v>
      </c>
      <c r="G25" s="12" t="s">
        <v>748</v>
      </c>
      <c r="H25" s="12" t="s">
        <v>738</v>
      </c>
      <c r="I25" s="12" t="s">
        <v>734</v>
      </c>
      <c r="J25" s="14"/>
      <c r="K25" s="18" t="n">
        <v>111237.96</v>
      </c>
    </row>
    <row r="26" customFormat="false" ht="15" hidden="false" customHeight="true" outlineLevel="0" collapsed="false">
      <c r="A26" s="12" t="s">
        <v>774</v>
      </c>
      <c r="B26" s="14" t="n">
        <v>45763</v>
      </c>
      <c r="C26" s="13" t="s">
        <v>221</v>
      </c>
      <c r="D26" s="15" t="str">
        <f aca="false">IFERROR(INDEX(Dim_Employee!$B$2:$B$76,MATCH(C26,Dim_Employee!$A$2:$A$76,0)),"")</f>
        <v>Aisha Danjuma</v>
      </c>
      <c r="E26" s="12" t="s">
        <v>16</v>
      </c>
      <c r="F26" s="12" t="s">
        <v>755</v>
      </c>
      <c r="G26" s="12" t="s">
        <v>732</v>
      </c>
      <c r="H26" s="12" t="s">
        <v>733</v>
      </c>
      <c r="I26" s="12" t="s">
        <v>739</v>
      </c>
      <c r="J26" s="14"/>
      <c r="K26" s="18" t="n">
        <v>3523038.03</v>
      </c>
    </row>
    <row r="27" customFormat="false" ht="15" hidden="false" customHeight="true" outlineLevel="0" collapsed="false">
      <c r="A27" s="12" t="s">
        <v>775</v>
      </c>
      <c r="B27" s="14" t="n">
        <v>45715</v>
      </c>
      <c r="C27" s="13" t="s">
        <v>221</v>
      </c>
      <c r="D27" s="15" t="str">
        <f aca="false">IFERROR(INDEX(Dim_Employee!$B$2:$B$76,MATCH(C27,Dim_Employee!$A$2:$A$76,0)),"")</f>
        <v>Aisha Danjuma</v>
      </c>
      <c r="E27" s="12" t="s">
        <v>111</v>
      </c>
      <c r="F27" s="12" t="s">
        <v>731</v>
      </c>
      <c r="G27" s="12" t="s">
        <v>745</v>
      </c>
      <c r="H27" s="12" t="s">
        <v>733</v>
      </c>
      <c r="I27" s="12" t="s">
        <v>741</v>
      </c>
      <c r="J27" s="14" t="n">
        <v>45766</v>
      </c>
      <c r="K27" s="18" t="n">
        <v>2809781.69</v>
      </c>
    </row>
    <row r="28" customFormat="false" ht="15" hidden="false" customHeight="true" outlineLevel="0" collapsed="false">
      <c r="A28" s="12" t="s">
        <v>776</v>
      </c>
      <c r="B28" s="14" t="n">
        <v>45663</v>
      </c>
      <c r="C28" s="13" t="s">
        <v>95</v>
      </c>
      <c r="D28" s="15" t="str">
        <f aca="false">IFERROR(INDEX(Dim_Employee!$B$2:$B$76,MATCH(C28,Dim_Employee!$A$2:$A$76,0)),"")</f>
        <v>Titilayo Abubakar</v>
      </c>
      <c r="E28" s="12" t="s">
        <v>111</v>
      </c>
      <c r="F28" s="12" t="s">
        <v>751</v>
      </c>
      <c r="G28" s="12" t="s">
        <v>745</v>
      </c>
      <c r="H28" s="12" t="s">
        <v>753</v>
      </c>
      <c r="I28" s="12" t="s">
        <v>734</v>
      </c>
      <c r="J28" s="14"/>
      <c r="K28" s="18" t="n">
        <v>2840084.31</v>
      </c>
    </row>
    <row r="29" customFormat="false" ht="15" hidden="false" customHeight="true" outlineLevel="0" collapsed="false">
      <c r="A29" s="12" t="s">
        <v>777</v>
      </c>
      <c r="B29" s="14" t="n">
        <v>45988</v>
      </c>
      <c r="C29" s="13" t="s">
        <v>95</v>
      </c>
      <c r="D29" s="15" t="str">
        <f aca="false">IFERROR(INDEX(Dim_Employee!$B$2:$B$76,MATCH(C29,Dim_Employee!$A$2:$A$76,0)),"")</f>
        <v>Titilayo Abubakar</v>
      </c>
      <c r="E29" s="12" t="s">
        <v>111</v>
      </c>
      <c r="F29" s="12" t="s">
        <v>731</v>
      </c>
      <c r="G29" s="12" t="s">
        <v>737</v>
      </c>
      <c r="H29" s="12" t="s">
        <v>738</v>
      </c>
      <c r="I29" s="12" t="s">
        <v>734</v>
      </c>
      <c r="J29" s="14"/>
      <c r="K29" s="18" t="n">
        <v>1642974.51</v>
      </c>
    </row>
    <row r="30" customFormat="false" ht="15" hidden="false" customHeight="true" outlineLevel="0" collapsed="false">
      <c r="A30" s="12" t="s">
        <v>778</v>
      </c>
      <c r="B30" s="14" t="n">
        <v>45704</v>
      </c>
      <c r="C30" s="13" t="s">
        <v>216</v>
      </c>
      <c r="D30" s="15" t="str">
        <f aca="false">IFERROR(INDEX(Dim_Employee!$B$2:$B$76,MATCH(C30,Dim_Employee!$A$2:$A$76,0)),"")</f>
        <v>Yusuf Sani</v>
      </c>
      <c r="E30" s="12" t="s">
        <v>104</v>
      </c>
      <c r="F30" s="12" t="s">
        <v>743</v>
      </c>
      <c r="G30" s="12" t="s">
        <v>732</v>
      </c>
      <c r="H30" s="12" t="s">
        <v>738</v>
      </c>
      <c r="I30" s="12" t="s">
        <v>746</v>
      </c>
      <c r="J30" s="14"/>
      <c r="K30" s="18" t="n">
        <v>436816.78</v>
      </c>
    </row>
    <row r="31" customFormat="false" ht="15" hidden="false" customHeight="true" outlineLevel="0" collapsed="false">
      <c r="A31" s="12" t="s">
        <v>779</v>
      </c>
      <c r="B31" s="14" t="n">
        <v>45670</v>
      </c>
      <c r="C31" s="13" t="s">
        <v>95</v>
      </c>
      <c r="D31" s="15" t="str">
        <f aca="false">IFERROR(INDEX(Dim_Employee!$B$2:$B$76,MATCH(C31,Dim_Employee!$A$2:$A$76,0)),"")</f>
        <v>Titilayo Abubakar</v>
      </c>
      <c r="E31" s="12" t="s">
        <v>97</v>
      </c>
      <c r="F31" s="12" t="s">
        <v>755</v>
      </c>
      <c r="G31" s="12" t="s">
        <v>745</v>
      </c>
      <c r="H31" s="12" t="s">
        <v>733</v>
      </c>
      <c r="I31" s="12" t="s">
        <v>734</v>
      </c>
      <c r="J31" s="14"/>
      <c r="K31" s="18" t="n">
        <v>3208599.4</v>
      </c>
    </row>
    <row r="32" customFormat="false" ht="15" hidden="false" customHeight="true" outlineLevel="0" collapsed="false">
      <c r="A32" s="12" t="s">
        <v>780</v>
      </c>
      <c r="B32" s="14" t="n">
        <v>45710</v>
      </c>
      <c r="C32" s="13" t="s">
        <v>211</v>
      </c>
      <c r="D32" s="15" t="str">
        <f aca="false">IFERROR(INDEX(Dim_Employee!$B$2:$B$76,MATCH(C32,Dim_Employee!$A$2:$A$76,0)),"")</f>
        <v>Abdullahi Yakubu</v>
      </c>
      <c r="E32" s="12" t="s">
        <v>104</v>
      </c>
      <c r="F32" s="12" t="s">
        <v>743</v>
      </c>
      <c r="G32" s="12" t="s">
        <v>745</v>
      </c>
      <c r="H32" s="12" t="s">
        <v>733</v>
      </c>
      <c r="I32" s="12" t="s">
        <v>746</v>
      </c>
      <c r="J32" s="14"/>
      <c r="K32" s="18" t="n">
        <v>3254159.91</v>
      </c>
    </row>
    <row r="33" customFormat="false" ht="15" hidden="false" customHeight="true" outlineLevel="0" collapsed="false">
      <c r="A33" s="12" t="s">
        <v>781</v>
      </c>
      <c r="B33" s="14" t="n">
        <v>45821</v>
      </c>
      <c r="C33" s="13" t="s">
        <v>216</v>
      </c>
      <c r="D33" s="15" t="str">
        <f aca="false">IFERROR(INDEX(Dim_Employee!$B$2:$B$76,MATCH(C33,Dim_Employee!$A$2:$A$76,0)),"")</f>
        <v>Yusuf Sani</v>
      </c>
      <c r="E33" s="12" t="s">
        <v>97</v>
      </c>
      <c r="F33" s="12" t="s">
        <v>743</v>
      </c>
      <c r="G33" s="12" t="s">
        <v>745</v>
      </c>
      <c r="H33" s="12" t="s">
        <v>753</v>
      </c>
      <c r="I33" s="12" t="s">
        <v>741</v>
      </c>
      <c r="J33" s="14" t="n">
        <v>45878</v>
      </c>
      <c r="K33" s="18" t="n">
        <v>1305072.22</v>
      </c>
    </row>
    <row r="34" customFormat="false" ht="15" hidden="false" customHeight="true" outlineLevel="0" collapsed="false">
      <c r="A34" s="12" t="s">
        <v>782</v>
      </c>
      <c r="B34" s="14" t="n">
        <v>45679</v>
      </c>
      <c r="C34" s="13" t="s">
        <v>95</v>
      </c>
      <c r="D34" s="15" t="str">
        <f aca="false">IFERROR(INDEX(Dim_Employee!$B$2:$B$76,MATCH(C34,Dim_Employee!$A$2:$A$76,0)),"")</f>
        <v>Titilayo Abubakar</v>
      </c>
      <c r="E34" s="12" t="s">
        <v>115</v>
      </c>
      <c r="F34" s="12" t="s">
        <v>731</v>
      </c>
      <c r="G34" s="12" t="s">
        <v>765</v>
      </c>
      <c r="H34" s="12" t="s">
        <v>753</v>
      </c>
      <c r="I34" s="12" t="s">
        <v>739</v>
      </c>
      <c r="J34" s="14"/>
      <c r="K34" s="18" t="n">
        <v>2497180.19</v>
      </c>
    </row>
    <row r="35" customFormat="false" ht="15" hidden="false" customHeight="true" outlineLevel="0" collapsed="false">
      <c r="A35" s="12" t="s">
        <v>783</v>
      </c>
      <c r="B35" s="14" t="n">
        <v>45738</v>
      </c>
      <c r="C35" s="13" t="s">
        <v>221</v>
      </c>
      <c r="D35" s="15" t="str">
        <f aca="false">IFERROR(INDEX(Dim_Employee!$B$2:$B$76,MATCH(C35,Dim_Employee!$A$2:$A$76,0)),"")</f>
        <v>Aisha Danjuma</v>
      </c>
      <c r="E35" s="12" t="s">
        <v>115</v>
      </c>
      <c r="F35" s="12" t="s">
        <v>743</v>
      </c>
      <c r="G35" s="12" t="s">
        <v>748</v>
      </c>
      <c r="H35" s="12" t="s">
        <v>733</v>
      </c>
      <c r="I35" s="12" t="s">
        <v>746</v>
      </c>
      <c r="J35" s="14"/>
      <c r="K35" s="18" t="n">
        <v>1176121.39</v>
      </c>
    </row>
    <row r="36" customFormat="false" ht="15" hidden="false" customHeight="true" outlineLevel="0" collapsed="false">
      <c r="A36" s="12" t="s">
        <v>784</v>
      </c>
      <c r="B36" s="14" t="n">
        <v>45884</v>
      </c>
      <c r="C36" s="13" t="s">
        <v>211</v>
      </c>
      <c r="D36" s="15" t="str">
        <f aca="false">IFERROR(INDEX(Dim_Employee!$B$2:$B$76,MATCH(C36,Dim_Employee!$A$2:$A$76,0)),"")</f>
        <v>Abdullahi Yakubu</v>
      </c>
      <c r="E36" s="12" t="s">
        <v>16</v>
      </c>
      <c r="F36" s="12" t="s">
        <v>751</v>
      </c>
      <c r="G36" s="12" t="s">
        <v>759</v>
      </c>
      <c r="H36" s="12" t="s">
        <v>738</v>
      </c>
      <c r="I36" s="12" t="s">
        <v>734</v>
      </c>
      <c r="J36" s="14"/>
      <c r="K36" s="18" t="n">
        <v>1130462.55</v>
      </c>
    </row>
    <row r="37" customFormat="false" ht="15" hidden="false" customHeight="true" outlineLevel="0" collapsed="false">
      <c r="A37" s="12" t="s">
        <v>785</v>
      </c>
      <c r="B37" s="14" t="n">
        <v>45659</v>
      </c>
      <c r="C37" s="13" t="s">
        <v>216</v>
      </c>
      <c r="D37" s="15" t="str">
        <f aca="false">IFERROR(INDEX(Dim_Employee!$B$2:$B$76,MATCH(C37,Dim_Employee!$A$2:$A$76,0)),"")</f>
        <v>Yusuf Sani</v>
      </c>
      <c r="E37" s="12" t="s">
        <v>115</v>
      </c>
      <c r="F37" s="12" t="s">
        <v>743</v>
      </c>
      <c r="G37" s="12" t="s">
        <v>786</v>
      </c>
      <c r="H37" s="12" t="s">
        <v>733</v>
      </c>
      <c r="I37" s="12" t="s">
        <v>739</v>
      </c>
      <c r="J37" s="14"/>
      <c r="K37" s="18" t="n">
        <v>406371.35</v>
      </c>
    </row>
    <row r="38" customFormat="false" ht="15" hidden="false" customHeight="true" outlineLevel="0" collapsed="false">
      <c r="A38" s="12" t="s">
        <v>787</v>
      </c>
      <c r="B38" s="14" t="n">
        <v>45921</v>
      </c>
      <c r="C38" s="13" t="s">
        <v>95</v>
      </c>
      <c r="D38" s="15" t="str">
        <f aca="false">IFERROR(INDEX(Dim_Employee!$B$2:$B$76,MATCH(C38,Dim_Employee!$A$2:$A$76,0)),"")</f>
        <v>Titilayo Abubakar</v>
      </c>
      <c r="E38" s="12" t="s">
        <v>24</v>
      </c>
      <c r="F38" s="12" t="s">
        <v>751</v>
      </c>
      <c r="G38" s="12" t="s">
        <v>759</v>
      </c>
      <c r="H38" s="12" t="s">
        <v>733</v>
      </c>
      <c r="I38" s="12" t="s">
        <v>734</v>
      </c>
      <c r="J38" s="14"/>
      <c r="K38" s="18" t="n">
        <v>4782239.71</v>
      </c>
    </row>
    <row r="39" customFormat="false" ht="15" hidden="false" customHeight="true" outlineLevel="0" collapsed="false">
      <c r="A39" s="12" t="s">
        <v>788</v>
      </c>
      <c r="B39" s="14" t="n">
        <v>45742</v>
      </c>
      <c r="C39" s="13" t="s">
        <v>211</v>
      </c>
      <c r="D39" s="15" t="str">
        <f aca="false">IFERROR(INDEX(Dim_Employee!$B$2:$B$76,MATCH(C39,Dim_Employee!$A$2:$A$76,0)),"")</f>
        <v>Abdullahi Yakubu</v>
      </c>
      <c r="E39" s="12" t="s">
        <v>24</v>
      </c>
      <c r="F39" s="12" t="s">
        <v>751</v>
      </c>
      <c r="G39" s="12" t="s">
        <v>759</v>
      </c>
      <c r="H39" s="12" t="s">
        <v>753</v>
      </c>
      <c r="I39" s="12" t="s">
        <v>734</v>
      </c>
      <c r="J39" s="14"/>
      <c r="K39" s="18" t="n">
        <v>3392544.31</v>
      </c>
    </row>
    <row r="40" customFormat="false" ht="15" hidden="false" customHeight="true" outlineLevel="0" collapsed="false">
      <c r="A40" s="12" t="s">
        <v>789</v>
      </c>
      <c r="B40" s="14" t="n">
        <v>45758</v>
      </c>
      <c r="C40" s="13" t="s">
        <v>226</v>
      </c>
      <c r="D40" s="15" t="str">
        <f aca="false">IFERROR(INDEX(Dim_Employee!$B$2:$B$76,MATCH(C40,Dim_Employee!$A$2:$A$76,0)),"")</f>
        <v>Tunde Nnamdi</v>
      </c>
      <c r="E40" s="12" t="s">
        <v>16</v>
      </c>
      <c r="F40" s="12" t="s">
        <v>743</v>
      </c>
      <c r="G40" s="12" t="s">
        <v>745</v>
      </c>
      <c r="H40" s="12" t="s">
        <v>738</v>
      </c>
      <c r="I40" s="12" t="s">
        <v>734</v>
      </c>
      <c r="J40" s="14"/>
      <c r="K40" s="18" t="n">
        <v>2170456.46</v>
      </c>
    </row>
    <row r="41" customFormat="false" ht="15" hidden="false" customHeight="true" outlineLevel="0" collapsed="false">
      <c r="A41" s="12" t="s">
        <v>790</v>
      </c>
      <c r="B41" s="14" t="n">
        <v>45978</v>
      </c>
      <c r="C41" s="13" t="s">
        <v>226</v>
      </c>
      <c r="D41" s="15" t="str">
        <f aca="false">IFERROR(INDEX(Dim_Employee!$B$2:$B$76,MATCH(C41,Dim_Employee!$A$2:$A$76,0)),"")</f>
        <v>Tunde Nnamdi</v>
      </c>
      <c r="E41" s="12" t="s">
        <v>115</v>
      </c>
      <c r="F41" s="12" t="s">
        <v>743</v>
      </c>
      <c r="G41" s="12" t="s">
        <v>748</v>
      </c>
      <c r="H41" s="12" t="s">
        <v>753</v>
      </c>
      <c r="I41" s="12" t="s">
        <v>741</v>
      </c>
      <c r="J41" s="14" t="n">
        <v>46039</v>
      </c>
      <c r="K41" s="18" t="n">
        <v>347041.82</v>
      </c>
    </row>
    <row r="42" customFormat="false" ht="15" hidden="false" customHeight="true" outlineLevel="0" collapsed="false">
      <c r="A42" s="12" t="s">
        <v>791</v>
      </c>
      <c r="B42" s="14" t="n">
        <v>45969</v>
      </c>
      <c r="C42" s="13" t="s">
        <v>216</v>
      </c>
      <c r="D42" s="15" t="str">
        <f aca="false">IFERROR(INDEX(Dim_Employee!$B$2:$B$76,MATCH(C42,Dim_Employee!$A$2:$A$76,0)),"")</f>
        <v>Yusuf Sani</v>
      </c>
      <c r="E42" s="12" t="s">
        <v>115</v>
      </c>
      <c r="F42" s="12" t="s">
        <v>743</v>
      </c>
      <c r="G42" s="12" t="s">
        <v>786</v>
      </c>
      <c r="H42" s="12" t="s">
        <v>753</v>
      </c>
      <c r="I42" s="12" t="s">
        <v>746</v>
      </c>
      <c r="J42" s="14"/>
      <c r="K42" s="18" t="n">
        <v>2429624.57</v>
      </c>
    </row>
    <row r="43" customFormat="false" ht="15" hidden="false" customHeight="true" outlineLevel="0" collapsed="false">
      <c r="A43" s="12" t="s">
        <v>792</v>
      </c>
      <c r="B43" s="14" t="n">
        <v>45811</v>
      </c>
      <c r="C43" s="13" t="s">
        <v>211</v>
      </c>
      <c r="D43" s="15" t="str">
        <f aca="false">IFERROR(INDEX(Dim_Employee!$B$2:$B$76,MATCH(C43,Dim_Employee!$A$2:$A$76,0)),"")</f>
        <v>Abdullahi Yakubu</v>
      </c>
      <c r="E43" s="12" t="s">
        <v>115</v>
      </c>
      <c r="F43" s="12" t="s">
        <v>751</v>
      </c>
      <c r="G43" s="12" t="s">
        <v>737</v>
      </c>
      <c r="H43" s="12" t="s">
        <v>733</v>
      </c>
      <c r="I43" s="12" t="s">
        <v>746</v>
      </c>
      <c r="J43" s="14"/>
      <c r="K43" s="18" t="n">
        <v>3711595.59</v>
      </c>
    </row>
    <row r="44" customFormat="false" ht="15" hidden="false" customHeight="true" outlineLevel="0" collapsed="false">
      <c r="A44" s="12" t="s">
        <v>793</v>
      </c>
      <c r="B44" s="14" t="n">
        <v>45733</v>
      </c>
      <c r="C44" s="13" t="s">
        <v>95</v>
      </c>
      <c r="D44" s="15" t="str">
        <f aca="false">IFERROR(INDEX(Dim_Employee!$B$2:$B$76,MATCH(C44,Dim_Employee!$A$2:$A$76,0)),"")</f>
        <v>Titilayo Abubakar</v>
      </c>
      <c r="E44" s="12" t="s">
        <v>115</v>
      </c>
      <c r="F44" s="12" t="s">
        <v>743</v>
      </c>
      <c r="G44" s="12" t="s">
        <v>786</v>
      </c>
      <c r="H44" s="12" t="s">
        <v>733</v>
      </c>
      <c r="I44" s="12" t="s">
        <v>746</v>
      </c>
      <c r="J44" s="14"/>
      <c r="K44" s="18" t="n">
        <v>1239179.87</v>
      </c>
    </row>
    <row r="45" customFormat="false" ht="15" hidden="false" customHeight="true" outlineLevel="0" collapsed="false">
      <c r="A45" s="12" t="s">
        <v>794</v>
      </c>
      <c r="B45" s="14" t="n">
        <v>45860</v>
      </c>
      <c r="C45" s="13" t="s">
        <v>221</v>
      </c>
      <c r="D45" s="15" t="str">
        <f aca="false">IFERROR(INDEX(Dim_Employee!$B$2:$B$76,MATCH(C45,Dim_Employee!$A$2:$A$76,0)),"")</f>
        <v>Aisha Danjuma</v>
      </c>
      <c r="E45" s="12" t="s">
        <v>16</v>
      </c>
      <c r="F45" s="12" t="s">
        <v>736</v>
      </c>
      <c r="G45" s="12" t="s">
        <v>757</v>
      </c>
      <c r="H45" s="12" t="s">
        <v>753</v>
      </c>
      <c r="I45" s="12" t="s">
        <v>746</v>
      </c>
      <c r="J45" s="14"/>
      <c r="K45" s="18" t="n">
        <v>1053960.84</v>
      </c>
    </row>
    <row r="46" customFormat="false" ht="15" hidden="false" customHeight="true" outlineLevel="0" collapsed="false">
      <c r="A46" s="12" t="s">
        <v>795</v>
      </c>
      <c r="B46" s="14" t="n">
        <v>45771</v>
      </c>
      <c r="C46" s="13" t="s">
        <v>95</v>
      </c>
      <c r="D46" s="15" t="str">
        <f aca="false">IFERROR(INDEX(Dim_Employee!$B$2:$B$76,MATCH(C46,Dim_Employee!$A$2:$A$76,0)),"")</f>
        <v>Titilayo Abubakar</v>
      </c>
      <c r="E46" s="12" t="s">
        <v>104</v>
      </c>
      <c r="F46" s="12" t="s">
        <v>751</v>
      </c>
      <c r="G46" s="12" t="s">
        <v>737</v>
      </c>
      <c r="H46" s="12" t="s">
        <v>738</v>
      </c>
      <c r="I46" s="12" t="s">
        <v>746</v>
      </c>
      <c r="J46" s="14"/>
      <c r="K46" s="18" t="n">
        <v>1295133.67</v>
      </c>
    </row>
    <row r="47" customFormat="false" ht="15" hidden="false" customHeight="true" outlineLevel="0" collapsed="false">
      <c r="A47" s="12" t="s">
        <v>796</v>
      </c>
      <c r="B47" s="14" t="n">
        <v>45774</v>
      </c>
      <c r="C47" s="13" t="s">
        <v>221</v>
      </c>
      <c r="D47" s="15" t="str">
        <f aca="false">IFERROR(INDEX(Dim_Employee!$B$2:$B$76,MATCH(C47,Dim_Employee!$A$2:$A$76,0)),"")</f>
        <v>Aisha Danjuma</v>
      </c>
      <c r="E47" s="12" t="s">
        <v>97</v>
      </c>
      <c r="F47" s="12" t="s">
        <v>743</v>
      </c>
      <c r="G47" s="12" t="s">
        <v>748</v>
      </c>
      <c r="H47" s="12" t="s">
        <v>738</v>
      </c>
      <c r="I47" s="12" t="s">
        <v>734</v>
      </c>
      <c r="J47" s="14"/>
      <c r="K47" s="18" t="n">
        <v>4550803</v>
      </c>
    </row>
    <row r="48" customFormat="false" ht="15" hidden="false" customHeight="true" outlineLevel="0" collapsed="false">
      <c r="A48" s="12" t="s">
        <v>797</v>
      </c>
      <c r="B48" s="14" t="n">
        <v>45699</v>
      </c>
      <c r="C48" s="13" t="s">
        <v>226</v>
      </c>
      <c r="D48" s="15" t="str">
        <f aca="false">IFERROR(INDEX(Dim_Employee!$B$2:$B$76,MATCH(C48,Dim_Employee!$A$2:$A$76,0)),"")</f>
        <v>Tunde Nnamdi</v>
      </c>
      <c r="E48" s="12" t="s">
        <v>104</v>
      </c>
      <c r="F48" s="12" t="s">
        <v>751</v>
      </c>
      <c r="G48" s="12" t="s">
        <v>759</v>
      </c>
      <c r="H48" s="12" t="s">
        <v>733</v>
      </c>
      <c r="I48" s="12" t="s">
        <v>734</v>
      </c>
      <c r="J48" s="14"/>
      <c r="K48" s="18" t="n">
        <v>2540496.42</v>
      </c>
    </row>
    <row r="49" customFormat="false" ht="15" hidden="false" customHeight="true" outlineLevel="0" collapsed="false">
      <c r="A49" s="12" t="s">
        <v>798</v>
      </c>
      <c r="B49" s="14" t="n">
        <v>45716</v>
      </c>
      <c r="C49" s="13" t="s">
        <v>226</v>
      </c>
      <c r="D49" s="15" t="str">
        <f aca="false">IFERROR(INDEX(Dim_Employee!$B$2:$B$76,MATCH(C49,Dim_Employee!$A$2:$A$76,0)),"")</f>
        <v>Tunde Nnamdi</v>
      </c>
      <c r="E49" s="12" t="s">
        <v>111</v>
      </c>
      <c r="F49" s="12" t="s">
        <v>731</v>
      </c>
      <c r="G49" s="12" t="s">
        <v>752</v>
      </c>
      <c r="H49" s="12" t="s">
        <v>733</v>
      </c>
      <c r="I49" s="12" t="s">
        <v>739</v>
      </c>
      <c r="J49" s="14"/>
      <c r="K49" s="18" t="n">
        <v>4802164.83</v>
      </c>
    </row>
    <row r="50" customFormat="false" ht="15" hidden="false" customHeight="true" outlineLevel="0" collapsed="false">
      <c r="A50" s="12" t="s">
        <v>799</v>
      </c>
      <c r="B50" s="14" t="n">
        <v>45901</v>
      </c>
      <c r="C50" s="13" t="s">
        <v>226</v>
      </c>
      <c r="D50" s="15" t="str">
        <f aca="false">IFERROR(INDEX(Dim_Employee!$B$2:$B$76,MATCH(C50,Dim_Employee!$A$2:$A$76,0)),"")</f>
        <v>Tunde Nnamdi</v>
      </c>
      <c r="E50" s="12" t="s">
        <v>97</v>
      </c>
      <c r="F50" s="12" t="s">
        <v>755</v>
      </c>
      <c r="G50" s="12" t="s">
        <v>765</v>
      </c>
      <c r="H50" s="12" t="s">
        <v>738</v>
      </c>
      <c r="I50" s="12" t="s">
        <v>739</v>
      </c>
      <c r="J50" s="14"/>
      <c r="K50" s="18" t="n">
        <v>283749.37</v>
      </c>
    </row>
    <row r="51" customFormat="false" ht="15" hidden="false" customHeight="true" outlineLevel="0" collapsed="false">
      <c r="A51" s="12" t="s">
        <v>800</v>
      </c>
      <c r="B51" s="14" t="n">
        <v>45665</v>
      </c>
      <c r="C51" s="13" t="s">
        <v>95</v>
      </c>
      <c r="D51" s="15" t="str">
        <f aca="false">IFERROR(INDEX(Dim_Employee!$B$2:$B$76,MATCH(C51,Dim_Employee!$A$2:$A$76,0)),"")</f>
        <v>Titilayo Abubakar</v>
      </c>
      <c r="E51" s="12" t="s">
        <v>24</v>
      </c>
      <c r="F51" s="12" t="s">
        <v>751</v>
      </c>
      <c r="G51" s="12" t="s">
        <v>757</v>
      </c>
      <c r="H51" s="12" t="s">
        <v>738</v>
      </c>
      <c r="I51" s="12" t="s">
        <v>741</v>
      </c>
      <c r="J51" s="14" t="n">
        <v>45733</v>
      </c>
      <c r="K51" s="18" t="n">
        <v>4448705.83</v>
      </c>
    </row>
    <row r="52" customFormat="false" ht="15" hidden="false" customHeight="true" outlineLevel="0" collapsed="false">
      <c r="A52" s="12" t="s">
        <v>801</v>
      </c>
      <c r="B52" s="14" t="n">
        <v>45761</v>
      </c>
      <c r="C52" s="13" t="s">
        <v>226</v>
      </c>
      <c r="D52" s="15" t="str">
        <f aca="false">IFERROR(INDEX(Dim_Employee!$B$2:$B$76,MATCH(C52,Dim_Employee!$A$2:$A$76,0)),"")</f>
        <v>Tunde Nnamdi</v>
      </c>
      <c r="E52" s="12" t="s">
        <v>104</v>
      </c>
      <c r="F52" s="12" t="s">
        <v>755</v>
      </c>
      <c r="G52" s="12" t="s">
        <v>757</v>
      </c>
      <c r="H52" s="12" t="s">
        <v>733</v>
      </c>
      <c r="I52" s="12" t="s">
        <v>739</v>
      </c>
      <c r="J52" s="14"/>
      <c r="K52" s="18" t="n">
        <v>4215296.41</v>
      </c>
    </row>
    <row r="53" customFormat="false" ht="15" hidden="false" customHeight="true" outlineLevel="0" collapsed="false">
      <c r="A53" s="12" t="s">
        <v>802</v>
      </c>
      <c r="B53" s="14" t="n">
        <v>45788</v>
      </c>
      <c r="C53" s="13" t="s">
        <v>95</v>
      </c>
      <c r="D53" s="15" t="str">
        <f aca="false">IFERROR(INDEX(Dim_Employee!$B$2:$B$76,MATCH(C53,Dim_Employee!$A$2:$A$76,0)),"")</f>
        <v>Titilayo Abubakar</v>
      </c>
      <c r="E53" s="12" t="s">
        <v>97</v>
      </c>
      <c r="F53" s="12" t="s">
        <v>755</v>
      </c>
      <c r="G53" s="12" t="s">
        <v>752</v>
      </c>
      <c r="H53" s="12" t="s">
        <v>738</v>
      </c>
      <c r="I53" s="12" t="s">
        <v>739</v>
      </c>
      <c r="J53" s="14"/>
      <c r="K53" s="18" t="n">
        <v>4742747.6</v>
      </c>
    </row>
    <row r="54" customFormat="false" ht="15" hidden="false" customHeight="true" outlineLevel="0" collapsed="false">
      <c r="A54" s="12" t="s">
        <v>803</v>
      </c>
      <c r="B54" s="14" t="n">
        <v>45680</v>
      </c>
      <c r="C54" s="13" t="s">
        <v>221</v>
      </c>
      <c r="D54" s="15" t="str">
        <f aca="false">IFERROR(INDEX(Dim_Employee!$B$2:$B$76,MATCH(C54,Dim_Employee!$A$2:$A$76,0)),"")</f>
        <v>Aisha Danjuma</v>
      </c>
      <c r="E54" s="12" t="s">
        <v>16</v>
      </c>
      <c r="F54" s="12" t="s">
        <v>755</v>
      </c>
      <c r="G54" s="12" t="s">
        <v>752</v>
      </c>
      <c r="H54" s="12" t="s">
        <v>733</v>
      </c>
      <c r="I54" s="12" t="s">
        <v>746</v>
      </c>
      <c r="J54" s="14"/>
      <c r="K54" s="18" t="n">
        <v>3035107.58</v>
      </c>
    </row>
    <row r="55" customFormat="false" ht="15" hidden="false" customHeight="true" outlineLevel="0" collapsed="false">
      <c r="A55" s="12" t="s">
        <v>804</v>
      </c>
      <c r="B55" s="14" t="n">
        <v>46003</v>
      </c>
      <c r="C55" s="13" t="s">
        <v>95</v>
      </c>
      <c r="D55" s="15" t="str">
        <f aca="false">IFERROR(INDEX(Dim_Employee!$B$2:$B$76,MATCH(C55,Dim_Employee!$A$2:$A$76,0)),"")</f>
        <v>Titilayo Abubakar</v>
      </c>
      <c r="E55" s="12" t="s">
        <v>24</v>
      </c>
      <c r="F55" s="12" t="s">
        <v>736</v>
      </c>
      <c r="G55" s="12" t="s">
        <v>759</v>
      </c>
      <c r="H55" s="12" t="s">
        <v>733</v>
      </c>
      <c r="I55" s="12" t="s">
        <v>741</v>
      </c>
      <c r="J55" s="14" t="n">
        <v>46045</v>
      </c>
      <c r="K55" s="18" t="n">
        <v>4944221.7</v>
      </c>
    </row>
    <row r="56" customFormat="false" ht="15" hidden="false" customHeight="true" outlineLevel="0" collapsed="false">
      <c r="A56" s="12" t="s">
        <v>805</v>
      </c>
      <c r="B56" s="14" t="n">
        <v>45716</v>
      </c>
      <c r="C56" s="13" t="s">
        <v>221</v>
      </c>
      <c r="D56" s="15" t="str">
        <f aca="false">IFERROR(INDEX(Dim_Employee!$B$2:$B$76,MATCH(C56,Dim_Employee!$A$2:$A$76,0)),"")</f>
        <v>Aisha Danjuma</v>
      </c>
      <c r="E56" s="12" t="s">
        <v>111</v>
      </c>
      <c r="F56" s="12" t="s">
        <v>751</v>
      </c>
      <c r="G56" s="12" t="s">
        <v>748</v>
      </c>
      <c r="H56" s="12" t="s">
        <v>753</v>
      </c>
      <c r="I56" s="12" t="s">
        <v>739</v>
      </c>
      <c r="J56" s="14"/>
      <c r="K56" s="18" t="n">
        <v>967080.55</v>
      </c>
    </row>
    <row r="57" customFormat="false" ht="15" hidden="false" customHeight="true" outlineLevel="0" collapsed="false">
      <c r="A57" s="12" t="s">
        <v>806</v>
      </c>
      <c r="B57" s="14" t="n">
        <v>45806</v>
      </c>
      <c r="C57" s="13" t="s">
        <v>226</v>
      </c>
      <c r="D57" s="15" t="str">
        <f aca="false">IFERROR(INDEX(Dim_Employee!$B$2:$B$76,MATCH(C57,Dim_Employee!$A$2:$A$76,0)),"")</f>
        <v>Tunde Nnamdi</v>
      </c>
      <c r="E57" s="12" t="s">
        <v>97</v>
      </c>
      <c r="F57" s="12" t="s">
        <v>743</v>
      </c>
      <c r="G57" s="12" t="s">
        <v>732</v>
      </c>
      <c r="H57" s="12" t="s">
        <v>738</v>
      </c>
      <c r="I57" s="12" t="s">
        <v>734</v>
      </c>
      <c r="J57" s="14"/>
      <c r="K57" s="18" t="n">
        <v>3463123.19</v>
      </c>
    </row>
    <row r="58" customFormat="false" ht="15" hidden="false" customHeight="true" outlineLevel="0" collapsed="false">
      <c r="A58" s="12" t="s">
        <v>807</v>
      </c>
      <c r="B58" s="14" t="n">
        <v>45885</v>
      </c>
      <c r="C58" s="13" t="s">
        <v>216</v>
      </c>
      <c r="D58" s="15" t="str">
        <f aca="false">IFERROR(INDEX(Dim_Employee!$B$2:$B$76,MATCH(C58,Dim_Employee!$A$2:$A$76,0)),"")</f>
        <v>Yusuf Sani</v>
      </c>
      <c r="E58" s="12" t="s">
        <v>16</v>
      </c>
      <c r="F58" s="12" t="s">
        <v>755</v>
      </c>
      <c r="G58" s="12" t="s">
        <v>757</v>
      </c>
      <c r="H58" s="12" t="s">
        <v>738</v>
      </c>
      <c r="I58" s="12" t="s">
        <v>739</v>
      </c>
      <c r="J58" s="14"/>
      <c r="K58" s="18" t="n">
        <v>2445648.77</v>
      </c>
    </row>
    <row r="59" customFormat="false" ht="15" hidden="false" customHeight="true" outlineLevel="0" collapsed="false">
      <c r="A59" s="12" t="s">
        <v>808</v>
      </c>
      <c r="B59" s="14" t="n">
        <v>45676</v>
      </c>
      <c r="C59" s="13" t="s">
        <v>95</v>
      </c>
      <c r="D59" s="15" t="str">
        <f aca="false">IFERROR(INDEX(Dim_Employee!$B$2:$B$76,MATCH(C59,Dim_Employee!$A$2:$A$76,0)),"")</f>
        <v>Titilayo Abubakar</v>
      </c>
      <c r="E59" s="12" t="s">
        <v>97</v>
      </c>
      <c r="F59" s="12" t="s">
        <v>743</v>
      </c>
      <c r="G59" s="12" t="s">
        <v>786</v>
      </c>
      <c r="H59" s="12" t="s">
        <v>753</v>
      </c>
      <c r="I59" s="12" t="s">
        <v>739</v>
      </c>
      <c r="J59" s="14"/>
      <c r="K59" s="18" t="n">
        <v>4839270.32</v>
      </c>
    </row>
    <row r="60" customFormat="false" ht="15" hidden="false" customHeight="true" outlineLevel="0" collapsed="false">
      <c r="A60" s="12" t="s">
        <v>809</v>
      </c>
      <c r="B60" s="14" t="n">
        <v>45859</v>
      </c>
      <c r="C60" s="13" t="s">
        <v>221</v>
      </c>
      <c r="D60" s="15" t="str">
        <f aca="false">IFERROR(INDEX(Dim_Employee!$B$2:$B$76,MATCH(C60,Dim_Employee!$A$2:$A$76,0)),"")</f>
        <v>Aisha Danjuma</v>
      </c>
      <c r="E60" s="12" t="s">
        <v>115</v>
      </c>
      <c r="F60" s="12" t="s">
        <v>751</v>
      </c>
      <c r="G60" s="12" t="s">
        <v>745</v>
      </c>
      <c r="H60" s="12" t="s">
        <v>733</v>
      </c>
      <c r="I60" s="12" t="s">
        <v>741</v>
      </c>
      <c r="J60" s="14" t="n">
        <v>45947</v>
      </c>
      <c r="K60" s="18" t="n">
        <v>1120756.06</v>
      </c>
    </row>
    <row r="61" customFormat="false" ht="15" hidden="false" customHeight="true" outlineLevel="0" collapsed="false">
      <c r="A61" s="12" t="s">
        <v>810</v>
      </c>
      <c r="B61" s="14" t="n">
        <v>45959</v>
      </c>
      <c r="C61" s="13" t="s">
        <v>211</v>
      </c>
      <c r="D61" s="15" t="str">
        <f aca="false">IFERROR(INDEX(Dim_Employee!$B$2:$B$76,MATCH(C61,Dim_Employee!$A$2:$A$76,0)),"")</f>
        <v>Abdullahi Yakubu</v>
      </c>
      <c r="E61" s="12" t="s">
        <v>97</v>
      </c>
      <c r="F61" s="12" t="s">
        <v>736</v>
      </c>
      <c r="G61" s="12" t="s">
        <v>745</v>
      </c>
      <c r="H61" s="12" t="s">
        <v>738</v>
      </c>
      <c r="I61" s="12" t="s">
        <v>739</v>
      </c>
      <c r="J61" s="14"/>
      <c r="K61" s="18" t="n">
        <v>1690277.52</v>
      </c>
    </row>
    <row r="62" customFormat="false" ht="15" hidden="false" customHeight="true" outlineLevel="0" collapsed="false">
      <c r="A62" s="12" t="s">
        <v>811</v>
      </c>
      <c r="B62" s="14" t="n">
        <v>45856</v>
      </c>
      <c r="C62" s="13" t="s">
        <v>221</v>
      </c>
      <c r="D62" s="15" t="str">
        <f aca="false">IFERROR(INDEX(Dim_Employee!$B$2:$B$76,MATCH(C62,Dim_Employee!$A$2:$A$76,0)),"")</f>
        <v>Aisha Danjuma</v>
      </c>
      <c r="E62" s="12" t="s">
        <v>24</v>
      </c>
      <c r="F62" s="12" t="s">
        <v>751</v>
      </c>
      <c r="G62" s="12" t="s">
        <v>745</v>
      </c>
      <c r="H62" s="12" t="s">
        <v>738</v>
      </c>
      <c r="I62" s="12" t="s">
        <v>746</v>
      </c>
      <c r="J62" s="14"/>
      <c r="K62" s="18" t="n">
        <v>1702208.23</v>
      </c>
    </row>
    <row r="63" customFormat="false" ht="15" hidden="false" customHeight="true" outlineLevel="0" collapsed="false">
      <c r="A63" s="12" t="s">
        <v>812</v>
      </c>
      <c r="B63" s="14" t="n">
        <v>45785</v>
      </c>
      <c r="C63" s="13" t="s">
        <v>95</v>
      </c>
      <c r="D63" s="15" t="str">
        <f aca="false">IFERROR(INDEX(Dim_Employee!$B$2:$B$76,MATCH(C63,Dim_Employee!$A$2:$A$76,0)),"")</f>
        <v>Titilayo Abubakar</v>
      </c>
      <c r="E63" s="12" t="s">
        <v>115</v>
      </c>
      <c r="F63" s="12" t="s">
        <v>751</v>
      </c>
      <c r="G63" s="12" t="s">
        <v>757</v>
      </c>
      <c r="H63" s="12" t="s">
        <v>738</v>
      </c>
      <c r="I63" s="12" t="s">
        <v>734</v>
      </c>
      <c r="J63" s="14"/>
      <c r="K63" s="18" t="n">
        <v>761072.43</v>
      </c>
    </row>
    <row r="64" customFormat="false" ht="15" hidden="false" customHeight="true" outlineLevel="0" collapsed="false">
      <c r="A64" s="12" t="s">
        <v>813</v>
      </c>
      <c r="B64" s="14" t="n">
        <v>45797</v>
      </c>
      <c r="C64" s="13" t="s">
        <v>221</v>
      </c>
      <c r="D64" s="15" t="str">
        <f aca="false">IFERROR(INDEX(Dim_Employee!$B$2:$B$76,MATCH(C64,Dim_Employee!$A$2:$A$76,0)),"")</f>
        <v>Aisha Danjuma</v>
      </c>
      <c r="E64" s="12" t="s">
        <v>115</v>
      </c>
      <c r="F64" s="12" t="s">
        <v>755</v>
      </c>
      <c r="G64" s="12" t="s">
        <v>745</v>
      </c>
      <c r="H64" s="12" t="s">
        <v>738</v>
      </c>
      <c r="I64" s="12" t="s">
        <v>739</v>
      </c>
      <c r="J64" s="14"/>
      <c r="K64" s="18" t="n">
        <v>2664335.07</v>
      </c>
    </row>
    <row r="65" customFormat="false" ht="15" hidden="false" customHeight="true" outlineLevel="0" collapsed="false">
      <c r="A65" s="12" t="s">
        <v>814</v>
      </c>
      <c r="B65" s="14" t="n">
        <v>46015</v>
      </c>
      <c r="C65" s="13" t="s">
        <v>211</v>
      </c>
      <c r="D65" s="15" t="str">
        <f aca="false">IFERROR(INDEX(Dim_Employee!$B$2:$B$76,MATCH(C65,Dim_Employee!$A$2:$A$76,0)),"")</f>
        <v>Abdullahi Yakubu</v>
      </c>
      <c r="E65" s="12" t="s">
        <v>115</v>
      </c>
      <c r="F65" s="12" t="s">
        <v>751</v>
      </c>
      <c r="G65" s="12" t="s">
        <v>737</v>
      </c>
      <c r="H65" s="12" t="s">
        <v>738</v>
      </c>
      <c r="I65" s="12" t="s">
        <v>739</v>
      </c>
      <c r="J65" s="14"/>
      <c r="K65" s="18" t="n">
        <v>3183854</v>
      </c>
    </row>
    <row r="66" customFormat="false" ht="15" hidden="false" customHeight="true" outlineLevel="0" collapsed="false">
      <c r="A66" s="12" t="s">
        <v>815</v>
      </c>
      <c r="B66" s="14" t="n">
        <v>45843</v>
      </c>
      <c r="C66" s="13" t="s">
        <v>95</v>
      </c>
      <c r="D66" s="15" t="str">
        <f aca="false">IFERROR(INDEX(Dim_Employee!$B$2:$B$76,MATCH(C66,Dim_Employee!$A$2:$A$76,0)),"")</f>
        <v>Titilayo Abubakar</v>
      </c>
      <c r="E66" s="12" t="s">
        <v>97</v>
      </c>
      <c r="F66" s="12" t="s">
        <v>736</v>
      </c>
      <c r="G66" s="12" t="s">
        <v>748</v>
      </c>
      <c r="H66" s="12" t="s">
        <v>733</v>
      </c>
      <c r="I66" s="12" t="s">
        <v>746</v>
      </c>
      <c r="J66" s="14"/>
      <c r="K66" s="18" t="n">
        <v>3828494.12</v>
      </c>
    </row>
    <row r="67" customFormat="false" ht="15" hidden="false" customHeight="true" outlineLevel="0" collapsed="false">
      <c r="A67" s="12" t="s">
        <v>816</v>
      </c>
      <c r="B67" s="14" t="n">
        <v>45918</v>
      </c>
      <c r="C67" s="13" t="s">
        <v>216</v>
      </c>
      <c r="D67" s="15" t="str">
        <f aca="false">IFERROR(INDEX(Dim_Employee!$B$2:$B$76,MATCH(C67,Dim_Employee!$A$2:$A$76,0)),"")</f>
        <v>Yusuf Sani</v>
      </c>
      <c r="E67" s="12" t="s">
        <v>115</v>
      </c>
      <c r="F67" s="12" t="s">
        <v>731</v>
      </c>
      <c r="G67" s="12" t="s">
        <v>745</v>
      </c>
      <c r="H67" s="12" t="s">
        <v>733</v>
      </c>
      <c r="I67" s="12" t="s">
        <v>741</v>
      </c>
      <c r="J67" s="14" t="n">
        <v>45972</v>
      </c>
      <c r="K67" s="18" t="n">
        <v>1719220.8</v>
      </c>
    </row>
    <row r="68" customFormat="false" ht="15" hidden="false" customHeight="true" outlineLevel="0" collapsed="false">
      <c r="A68" s="12" t="s">
        <v>817</v>
      </c>
      <c r="B68" s="14" t="n">
        <v>45904</v>
      </c>
      <c r="C68" s="13" t="s">
        <v>216</v>
      </c>
      <c r="D68" s="15" t="str">
        <f aca="false">IFERROR(INDEX(Dim_Employee!$B$2:$B$76,MATCH(C68,Dim_Employee!$A$2:$A$76,0)),"")</f>
        <v>Yusuf Sani</v>
      </c>
      <c r="E68" s="12" t="s">
        <v>97</v>
      </c>
      <c r="F68" s="12" t="s">
        <v>736</v>
      </c>
      <c r="G68" s="12" t="s">
        <v>745</v>
      </c>
      <c r="H68" s="12" t="s">
        <v>733</v>
      </c>
      <c r="I68" s="12" t="s">
        <v>746</v>
      </c>
      <c r="J68" s="14"/>
      <c r="K68" s="18" t="n">
        <v>1066542.45</v>
      </c>
    </row>
    <row r="69" customFormat="false" ht="15" hidden="false" customHeight="true" outlineLevel="0" collapsed="false">
      <c r="A69" s="12" t="s">
        <v>818</v>
      </c>
      <c r="B69" s="14" t="n">
        <v>45865</v>
      </c>
      <c r="C69" s="13" t="s">
        <v>221</v>
      </c>
      <c r="D69" s="15" t="str">
        <f aca="false">IFERROR(INDEX(Dim_Employee!$B$2:$B$76,MATCH(C69,Dim_Employee!$A$2:$A$76,0)),"")</f>
        <v>Aisha Danjuma</v>
      </c>
      <c r="E69" s="12" t="s">
        <v>111</v>
      </c>
      <c r="F69" s="12" t="s">
        <v>743</v>
      </c>
      <c r="G69" s="12" t="s">
        <v>732</v>
      </c>
      <c r="H69" s="12" t="s">
        <v>753</v>
      </c>
      <c r="I69" s="12" t="s">
        <v>734</v>
      </c>
      <c r="J69" s="14"/>
      <c r="K69" s="18" t="n">
        <v>2954624.68</v>
      </c>
    </row>
    <row r="70" customFormat="false" ht="15" hidden="false" customHeight="true" outlineLevel="0" collapsed="false">
      <c r="A70" s="12" t="s">
        <v>819</v>
      </c>
      <c r="B70" s="14" t="n">
        <v>45812</v>
      </c>
      <c r="C70" s="13" t="s">
        <v>211</v>
      </c>
      <c r="D70" s="15" t="str">
        <f aca="false">IFERROR(INDEX(Dim_Employee!$B$2:$B$76,MATCH(C70,Dim_Employee!$A$2:$A$76,0)),"")</f>
        <v>Abdullahi Yakubu</v>
      </c>
      <c r="E70" s="12" t="s">
        <v>24</v>
      </c>
      <c r="F70" s="12" t="s">
        <v>743</v>
      </c>
      <c r="G70" s="12" t="s">
        <v>752</v>
      </c>
      <c r="H70" s="12" t="s">
        <v>738</v>
      </c>
      <c r="I70" s="12" t="s">
        <v>746</v>
      </c>
      <c r="J70" s="14"/>
      <c r="K70" s="18" t="n">
        <v>4830797.47</v>
      </c>
    </row>
    <row r="71" customFormat="false" ht="15" hidden="false" customHeight="true" outlineLevel="0" collapsed="false">
      <c r="A71" s="12" t="s">
        <v>820</v>
      </c>
      <c r="B71" s="14" t="n">
        <v>45755</v>
      </c>
      <c r="C71" s="13" t="s">
        <v>95</v>
      </c>
      <c r="D71" s="15" t="str">
        <f aca="false">IFERROR(INDEX(Dim_Employee!$B$2:$B$76,MATCH(C71,Dim_Employee!$A$2:$A$76,0)),"")</f>
        <v>Titilayo Abubakar</v>
      </c>
      <c r="E71" s="12" t="s">
        <v>115</v>
      </c>
      <c r="F71" s="12" t="s">
        <v>736</v>
      </c>
      <c r="G71" s="12" t="s">
        <v>732</v>
      </c>
      <c r="H71" s="12" t="s">
        <v>738</v>
      </c>
      <c r="I71" s="12" t="s">
        <v>739</v>
      </c>
      <c r="J71" s="14"/>
      <c r="K71" s="18" t="n">
        <v>4937938.09</v>
      </c>
    </row>
    <row r="72" customFormat="false" ht="15" hidden="false" customHeight="true" outlineLevel="0" collapsed="false">
      <c r="A72" s="12" t="s">
        <v>821</v>
      </c>
      <c r="B72" s="14" t="n">
        <v>46011</v>
      </c>
      <c r="C72" s="13" t="s">
        <v>216</v>
      </c>
      <c r="D72" s="15" t="str">
        <f aca="false">IFERROR(INDEX(Dim_Employee!$B$2:$B$76,MATCH(C72,Dim_Employee!$A$2:$A$76,0)),"")</f>
        <v>Yusuf Sani</v>
      </c>
      <c r="E72" s="12" t="s">
        <v>104</v>
      </c>
      <c r="F72" s="12" t="s">
        <v>751</v>
      </c>
      <c r="G72" s="12" t="s">
        <v>759</v>
      </c>
      <c r="H72" s="12" t="s">
        <v>733</v>
      </c>
      <c r="I72" s="12" t="s">
        <v>734</v>
      </c>
      <c r="J72" s="14"/>
      <c r="K72" s="18" t="n">
        <v>917403.47</v>
      </c>
    </row>
    <row r="73" customFormat="false" ht="15" hidden="false" customHeight="true" outlineLevel="0" collapsed="false">
      <c r="A73" s="12" t="s">
        <v>822</v>
      </c>
      <c r="B73" s="14" t="n">
        <v>45937</v>
      </c>
      <c r="C73" s="13" t="s">
        <v>216</v>
      </c>
      <c r="D73" s="15" t="str">
        <f aca="false">IFERROR(INDEX(Dim_Employee!$B$2:$B$76,MATCH(C73,Dim_Employee!$A$2:$A$76,0)),"")</f>
        <v>Yusuf Sani</v>
      </c>
      <c r="E73" s="12" t="s">
        <v>97</v>
      </c>
      <c r="F73" s="12" t="s">
        <v>755</v>
      </c>
      <c r="G73" s="12" t="s">
        <v>737</v>
      </c>
      <c r="H73" s="12" t="s">
        <v>738</v>
      </c>
      <c r="I73" s="12" t="s">
        <v>739</v>
      </c>
      <c r="J73" s="14"/>
      <c r="K73" s="18" t="n">
        <v>1130655.52</v>
      </c>
    </row>
    <row r="74" customFormat="false" ht="15" hidden="false" customHeight="true" outlineLevel="0" collapsed="false">
      <c r="A74" s="12" t="s">
        <v>823</v>
      </c>
      <c r="B74" s="14" t="n">
        <v>45887</v>
      </c>
      <c r="C74" s="13" t="s">
        <v>221</v>
      </c>
      <c r="D74" s="15" t="str">
        <f aca="false">IFERROR(INDEX(Dim_Employee!$B$2:$B$76,MATCH(C74,Dim_Employee!$A$2:$A$76,0)),"")</f>
        <v>Aisha Danjuma</v>
      </c>
      <c r="E74" s="12" t="s">
        <v>24</v>
      </c>
      <c r="F74" s="12" t="s">
        <v>743</v>
      </c>
      <c r="G74" s="12" t="s">
        <v>748</v>
      </c>
      <c r="H74" s="12" t="s">
        <v>733</v>
      </c>
      <c r="I74" s="12" t="s">
        <v>741</v>
      </c>
      <c r="J74" s="14" t="n">
        <v>45974</v>
      </c>
      <c r="K74" s="18" t="n">
        <v>3682752.32</v>
      </c>
    </row>
    <row r="75" customFormat="false" ht="15" hidden="false" customHeight="true" outlineLevel="0" collapsed="false">
      <c r="A75" s="12" t="s">
        <v>824</v>
      </c>
      <c r="B75" s="14" t="n">
        <v>45965</v>
      </c>
      <c r="C75" s="13" t="s">
        <v>211</v>
      </c>
      <c r="D75" s="15" t="str">
        <f aca="false">IFERROR(INDEX(Dim_Employee!$B$2:$B$76,MATCH(C75,Dim_Employee!$A$2:$A$76,0)),"")</f>
        <v>Abdullahi Yakubu</v>
      </c>
      <c r="E75" s="12" t="s">
        <v>16</v>
      </c>
      <c r="F75" s="12" t="s">
        <v>751</v>
      </c>
      <c r="G75" s="12" t="s">
        <v>745</v>
      </c>
      <c r="H75" s="12" t="s">
        <v>738</v>
      </c>
      <c r="I75" s="12" t="s">
        <v>739</v>
      </c>
      <c r="J75" s="14"/>
      <c r="K75" s="18" t="n">
        <v>74997.93</v>
      </c>
    </row>
    <row r="76" customFormat="false" ht="15" hidden="false" customHeight="true" outlineLevel="0" collapsed="false">
      <c r="A76" s="12" t="s">
        <v>825</v>
      </c>
      <c r="B76" s="14" t="n">
        <v>45932</v>
      </c>
      <c r="C76" s="13" t="s">
        <v>216</v>
      </c>
      <c r="D76" s="15" t="str">
        <f aca="false">IFERROR(INDEX(Dim_Employee!$B$2:$B$76,MATCH(C76,Dim_Employee!$A$2:$A$76,0)),"")</f>
        <v>Yusuf Sani</v>
      </c>
      <c r="E76" s="12" t="s">
        <v>104</v>
      </c>
      <c r="F76" s="12" t="s">
        <v>755</v>
      </c>
      <c r="G76" s="12" t="s">
        <v>765</v>
      </c>
      <c r="H76" s="12" t="s">
        <v>733</v>
      </c>
      <c r="I76" s="12" t="s">
        <v>739</v>
      </c>
      <c r="J76" s="14"/>
      <c r="K76" s="18" t="n">
        <v>1667413.17</v>
      </c>
    </row>
    <row r="77" customFormat="false" ht="15" hidden="false" customHeight="true" outlineLevel="0" collapsed="false">
      <c r="A77" s="12" t="s">
        <v>826</v>
      </c>
      <c r="B77" s="14" t="n">
        <v>45990</v>
      </c>
      <c r="C77" s="13" t="s">
        <v>95</v>
      </c>
      <c r="D77" s="15" t="str">
        <f aca="false">IFERROR(INDEX(Dim_Employee!$B$2:$B$76,MATCH(C77,Dim_Employee!$A$2:$A$76,0)),"")</f>
        <v>Titilayo Abubakar</v>
      </c>
      <c r="E77" s="12" t="s">
        <v>111</v>
      </c>
      <c r="F77" s="12" t="s">
        <v>743</v>
      </c>
      <c r="G77" s="12" t="s">
        <v>745</v>
      </c>
      <c r="H77" s="12" t="s">
        <v>733</v>
      </c>
      <c r="I77" s="12" t="s">
        <v>734</v>
      </c>
      <c r="J77" s="14"/>
      <c r="K77" s="18" t="n">
        <v>4323359.3</v>
      </c>
    </row>
    <row r="78" customFormat="false" ht="15" hidden="false" customHeight="true" outlineLevel="0" collapsed="false">
      <c r="A78" s="12" t="s">
        <v>827</v>
      </c>
      <c r="B78" s="14" t="n">
        <v>45702</v>
      </c>
      <c r="C78" s="13" t="s">
        <v>95</v>
      </c>
      <c r="D78" s="15" t="str">
        <f aca="false">IFERROR(INDEX(Dim_Employee!$B$2:$B$76,MATCH(C78,Dim_Employee!$A$2:$A$76,0)),"")</f>
        <v>Titilayo Abubakar</v>
      </c>
      <c r="E78" s="12" t="s">
        <v>111</v>
      </c>
      <c r="F78" s="12" t="s">
        <v>743</v>
      </c>
      <c r="G78" s="12" t="s">
        <v>786</v>
      </c>
      <c r="H78" s="12" t="s">
        <v>733</v>
      </c>
      <c r="I78" s="12" t="s">
        <v>746</v>
      </c>
      <c r="J78" s="14"/>
      <c r="K78" s="18" t="n">
        <v>2343721.6</v>
      </c>
    </row>
    <row r="79" customFormat="false" ht="15" hidden="false" customHeight="true" outlineLevel="0" collapsed="false">
      <c r="A79" s="12" t="s">
        <v>828</v>
      </c>
      <c r="B79" s="14" t="n">
        <v>45671</v>
      </c>
      <c r="C79" s="13" t="s">
        <v>95</v>
      </c>
      <c r="D79" s="15" t="str">
        <f aca="false">IFERROR(INDEX(Dim_Employee!$B$2:$B$76,MATCH(C79,Dim_Employee!$A$2:$A$76,0)),"")</f>
        <v>Titilayo Abubakar</v>
      </c>
      <c r="E79" s="12" t="s">
        <v>115</v>
      </c>
      <c r="F79" s="12" t="s">
        <v>755</v>
      </c>
      <c r="G79" s="12" t="s">
        <v>765</v>
      </c>
      <c r="H79" s="12" t="s">
        <v>738</v>
      </c>
      <c r="I79" s="12" t="s">
        <v>746</v>
      </c>
      <c r="J79" s="14"/>
      <c r="K79" s="18" t="n">
        <v>3565212.41</v>
      </c>
    </row>
    <row r="80" customFormat="false" ht="15" hidden="false" customHeight="true" outlineLevel="0" collapsed="false">
      <c r="A80" s="12" t="s">
        <v>829</v>
      </c>
      <c r="B80" s="14" t="n">
        <v>45738</v>
      </c>
      <c r="C80" s="13" t="s">
        <v>216</v>
      </c>
      <c r="D80" s="15" t="str">
        <f aca="false">IFERROR(INDEX(Dim_Employee!$B$2:$B$76,MATCH(C80,Dim_Employee!$A$2:$A$76,0)),"")</f>
        <v>Yusuf Sani</v>
      </c>
      <c r="E80" s="12" t="s">
        <v>16</v>
      </c>
      <c r="F80" s="12" t="s">
        <v>736</v>
      </c>
      <c r="G80" s="12" t="s">
        <v>737</v>
      </c>
      <c r="H80" s="12" t="s">
        <v>733</v>
      </c>
      <c r="I80" s="12" t="s">
        <v>739</v>
      </c>
      <c r="J80" s="14"/>
      <c r="K80" s="18" t="n">
        <v>3847581.95</v>
      </c>
    </row>
    <row r="81" customFormat="false" ht="15" hidden="false" customHeight="true" outlineLevel="0" collapsed="false">
      <c r="A81" s="12" t="s">
        <v>830</v>
      </c>
      <c r="B81" s="14" t="n">
        <v>45841</v>
      </c>
      <c r="C81" s="13" t="s">
        <v>95</v>
      </c>
      <c r="D81" s="15" t="str">
        <f aca="false">IFERROR(INDEX(Dim_Employee!$B$2:$B$76,MATCH(C81,Dim_Employee!$A$2:$A$76,0)),"")</f>
        <v>Titilayo Abubakar</v>
      </c>
      <c r="E81" s="12" t="s">
        <v>111</v>
      </c>
      <c r="F81" s="12" t="s">
        <v>755</v>
      </c>
      <c r="G81" s="12" t="s">
        <v>752</v>
      </c>
      <c r="H81" s="12" t="s">
        <v>738</v>
      </c>
      <c r="I81" s="12" t="s">
        <v>746</v>
      </c>
      <c r="J81" s="14"/>
      <c r="K81" s="18" t="n">
        <v>4336140.05</v>
      </c>
    </row>
    <row r="82" customFormat="false" ht="15" hidden="false" customHeight="true" outlineLevel="0" collapsed="false">
      <c r="A82" s="12" t="s">
        <v>831</v>
      </c>
      <c r="B82" s="14" t="n">
        <v>45994</v>
      </c>
      <c r="C82" s="13" t="s">
        <v>211</v>
      </c>
      <c r="D82" s="15" t="str">
        <f aca="false">IFERROR(INDEX(Dim_Employee!$B$2:$B$76,MATCH(C82,Dim_Employee!$A$2:$A$76,0)),"")</f>
        <v>Abdullahi Yakubu</v>
      </c>
      <c r="E82" s="12" t="s">
        <v>97</v>
      </c>
      <c r="F82" s="12" t="s">
        <v>743</v>
      </c>
      <c r="G82" s="12" t="s">
        <v>732</v>
      </c>
      <c r="H82" s="12" t="s">
        <v>753</v>
      </c>
      <c r="I82" s="12" t="s">
        <v>746</v>
      </c>
      <c r="J82" s="14"/>
      <c r="K82" s="18" t="n">
        <v>2413926.93</v>
      </c>
    </row>
    <row r="83" customFormat="false" ht="15" hidden="false" customHeight="true" outlineLevel="0" collapsed="false">
      <c r="A83" s="12" t="s">
        <v>832</v>
      </c>
      <c r="B83" s="14" t="n">
        <v>45989</v>
      </c>
      <c r="C83" s="13" t="s">
        <v>95</v>
      </c>
      <c r="D83" s="15" t="str">
        <f aca="false">IFERROR(INDEX(Dim_Employee!$B$2:$B$76,MATCH(C83,Dim_Employee!$A$2:$A$76,0)),"")</f>
        <v>Titilayo Abubakar</v>
      </c>
      <c r="E83" s="12" t="s">
        <v>104</v>
      </c>
      <c r="F83" s="12" t="s">
        <v>743</v>
      </c>
      <c r="G83" s="12" t="s">
        <v>759</v>
      </c>
      <c r="H83" s="12" t="s">
        <v>738</v>
      </c>
      <c r="I83" s="12" t="s">
        <v>746</v>
      </c>
      <c r="J83" s="14"/>
      <c r="K83" s="18" t="n">
        <v>1838706.71</v>
      </c>
    </row>
    <row r="84" customFormat="false" ht="15" hidden="false" customHeight="true" outlineLevel="0" collapsed="false">
      <c r="A84" s="12" t="s">
        <v>833</v>
      </c>
      <c r="B84" s="14" t="n">
        <v>45798</v>
      </c>
      <c r="C84" s="13" t="s">
        <v>226</v>
      </c>
      <c r="D84" s="15" t="str">
        <f aca="false">IFERROR(INDEX(Dim_Employee!$B$2:$B$76,MATCH(C84,Dim_Employee!$A$2:$A$76,0)),"")</f>
        <v>Tunde Nnamdi</v>
      </c>
      <c r="E84" s="12" t="s">
        <v>16</v>
      </c>
      <c r="F84" s="12" t="s">
        <v>743</v>
      </c>
      <c r="G84" s="12" t="s">
        <v>759</v>
      </c>
      <c r="H84" s="12" t="s">
        <v>733</v>
      </c>
      <c r="I84" s="12" t="s">
        <v>741</v>
      </c>
      <c r="J84" s="14" t="n">
        <v>45840</v>
      </c>
      <c r="K84" s="18" t="n">
        <v>4055526.25</v>
      </c>
    </row>
    <row r="85" customFormat="false" ht="15" hidden="false" customHeight="true" outlineLevel="0" collapsed="false">
      <c r="A85" s="12" t="s">
        <v>834</v>
      </c>
      <c r="B85" s="14" t="n">
        <v>45735</v>
      </c>
      <c r="C85" s="13" t="s">
        <v>216</v>
      </c>
      <c r="D85" s="15" t="str">
        <f aca="false">IFERROR(INDEX(Dim_Employee!$B$2:$B$76,MATCH(C85,Dim_Employee!$A$2:$A$76,0)),"")</f>
        <v>Yusuf Sani</v>
      </c>
      <c r="E85" s="12" t="s">
        <v>16</v>
      </c>
      <c r="F85" s="12" t="s">
        <v>751</v>
      </c>
      <c r="G85" s="12" t="s">
        <v>757</v>
      </c>
      <c r="H85" s="12" t="s">
        <v>733</v>
      </c>
      <c r="I85" s="12" t="s">
        <v>741</v>
      </c>
      <c r="J85" s="14" t="n">
        <v>45796</v>
      </c>
      <c r="K85" s="18" t="n">
        <v>2739194.44</v>
      </c>
    </row>
    <row r="86" customFormat="false" ht="15" hidden="false" customHeight="true" outlineLevel="0" collapsed="false">
      <c r="A86" s="12" t="s">
        <v>835</v>
      </c>
      <c r="B86" s="14" t="n">
        <v>45942</v>
      </c>
      <c r="C86" s="13" t="s">
        <v>211</v>
      </c>
      <c r="D86" s="15" t="str">
        <f aca="false">IFERROR(INDEX(Dim_Employee!$B$2:$B$76,MATCH(C86,Dim_Employee!$A$2:$A$76,0)),"")</f>
        <v>Abdullahi Yakubu</v>
      </c>
      <c r="E86" s="12" t="s">
        <v>115</v>
      </c>
      <c r="F86" s="12" t="s">
        <v>755</v>
      </c>
      <c r="G86" s="12" t="s">
        <v>757</v>
      </c>
      <c r="H86" s="12" t="s">
        <v>753</v>
      </c>
      <c r="I86" s="12" t="s">
        <v>741</v>
      </c>
      <c r="J86" s="14" t="n">
        <v>45985</v>
      </c>
      <c r="K86" s="18" t="n">
        <v>4360634.38</v>
      </c>
    </row>
    <row r="87" customFormat="false" ht="15" hidden="false" customHeight="true" outlineLevel="0" collapsed="false">
      <c r="A87" s="12" t="s">
        <v>836</v>
      </c>
      <c r="B87" s="14" t="n">
        <v>45928</v>
      </c>
      <c r="C87" s="13" t="s">
        <v>211</v>
      </c>
      <c r="D87" s="15" t="str">
        <f aca="false">IFERROR(INDEX(Dim_Employee!$B$2:$B$76,MATCH(C87,Dim_Employee!$A$2:$A$76,0)),"")</f>
        <v>Abdullahi Yakubu</v>
      </c>
      <c r="E87" s="12" t="s">
        <v>24</v>
      </c>
      <c r="F87" s="12" t="s">
        <v>736</v>
      </c>
      <c r="G87" s="12" t="s">
        <v>759</v>
      </c>
      <c r="H87" s="12" t="s">
        <v>753</v>
      </c>
      <c r="I87" s="12" t="s">
        <v>739</v>
      </c>
      <c r="J87" s="14"/>
      <c r="K87" s="18" t="n">
        <v>2519740.17</v>
      </c>
    </row>
    <row r="88" customFormat="false" ht="15" hidden="false" customHeight="true" outlineLevel="0" collapsed="false">
      <c r="A88" s="12" t="s">
        <v>837</v>
      </c>
      <c r="B88" s="14" t="n">
        <v>45857</v>
      </c>
      <c r="C88" s="13" t="s">
        <v>216</v>
      </c>
      <c r="D88" s="15" t="str">
        <f aca="false">IFERROR(INDEX(Dim_Employee!$B$2:$B$76,MATCH(C88,Dim_Employee!$A$2:$A$76,0)),"")</f>
        <v>Yusuf Sani</v>
      </c>
      <c r="E88" s="12" t="s">
        <v>97</v>
      </c>
      <c r="F88" s="12" t="s">
        <v>755</v>
      </c>
      <c r="G88" s="12" t="s">
        <v>765</v>
      </c>
      <c r="H88" s="12" t="s">
        <v>733</v>
      </c>
      <c r="I88" s="12" t="s">
        <v>734</v>
      </c>
      <c r="J88" s="14"/>
      <c r="K88" s="18" t="n">
        <v>3680258.94</v>
      </c>
    </row>
    <row r="89" customFormat="false" ht="15" hidden="false" customHeight="true" outlineLevel="0" collapsed="false">
      <c r="A89" s="12" t="s">
        <v>838</v>
      </c>
      <c r="B89" s="14" t="n">
        <v>45988</v>
      </c>
      <c r="C89" s="13" t="s">
        <v>95</v>
      </c>
      <c r="D89" s="15" t="str">
        <f aca="false">IFERROR(INDEX(Dim_Employee!$B$2:$B$76,MATCH(C89,Dim_Employee!$A$2:$A$76,0)),"")</f>
        <v>Titilayo Abubakar</v>
      </c>
      <c r="E89" s="12" t="s">
        <v>104</v>
      </c>
      <c r="F89" s="12" t="s">
        <v>755</v>
      </c>
      <c r="G89" s="12" t="s">
        <v>765</v>
      </c>
      <c r="H89" s="12" t="s">
        <v>733</v>
      </c>
      <c r="I89" s="12" t="s">
        <v>734</v>
      </c>
      <c r="J89" s="14"/>
      <c r="K89" s="18" t="n">
        <v>1911160.08</v>
      </c>
    </row>
    <row r="90" customFormat="false" ht="15" hidden="false" customHeight="true" outlineLevel="0" collapsed="false">
      <c r="A90" s="12" t="s">
        <v>839</v>
      </c>
      <c r="B90" s="14" t="n">
        <v>45994</v>
      </c>
      <c r="C90" s="13" t="s">
        <v>221</v>
      </c>
      <c r="D90" s="15" t="str">
        <f aca="false">IFERROR(INDEX(Dim_Employee!$B$2:$B$76,MATCH(C90,Dim_Employee!$A$2:$A$76,0)),"")</f>
        <v>Aisha Danjuma</v>
      </c>
      <c r="E90" s="12" t="s">
        <v>24</v>
      </c>
      <c r="F90" s="12" t="s">
        <v>751</v>
      </c>
      <c r="G90" s="12" t="s">
        <v>732</v>
      </c>
      <c r="H90" s="12" t="s">
        <v>738</v>
      </c>
      <c r="I90" s="12" t="s">
        <v>741</v>
      </c>
      <c r="J90" s="14" t="n">
        <v>46007</v>
      </c>
      <c r="K90" s="18" t="n">
        <v>1247054.41</v>
      </c>
    </row>
    <row r="91" customFormat="false" ht="15" hidden="false" customHeight="true" outlineLevel="0" collapsed="false">
      <c r="A91" s="12" t="s">
        <v>840</v>
      </c>
      <c r="B91" s="14" t="n">
        <v>45762</v>
      </c>
      <c r="C91" s="13" t="s">
        <v>216</v>
      </c>
      <c r="D91" s="15" t="str">
        <f aca="false">IFERROR(INDEX(Dim_Employee!$B$2:$B$76,MATCH(C91,Dim_Employee!$A$2:$A$76,0)),"")</f>
        <v>Yusuf Sani</v>
      </c>
      <c r="E91" s="12" t="s">
        <v>111</v>
      </c>
      <c r="F91" s="12" t="s">
        <v>755</v>
      </c>
      <c r="G91" s="12" t="s">
        <v>732</v>
      </c>
      <c r="H91" s="12" t="s">
        <v>753</v>
      </c>
      <c r="I91" s="12" t="s">
        <v>746</v>
      </c>
      <c r="J91" s="14"/>
      <c r="K91" s="18" t="n">
        <v>2518076.75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5"/>
    <col collapsed="false" customWidth="true" hidden="false" outlineLevel="0" max="11" min="11" style="1" width="14"/>
    <col collapsed="false" customWidth="true" hidden="false" outlineLevel="0" max="12" min="12" style="1" width="15"/>
    <col collapsed="false" customWidth="true" hidden="false" outlineLevel="0" max="13" min="13" style="1" width="16"/>
  </cols>
  <sheetData>
    <row r="1" customFormat="false" ht="26.25" hidden="false" customHeight="true" outlineLevel="0" collapsed="false">
      <c r="A1" s="10" t="s">
        <v>841</v>
      </c>
      <c r="B1" s="10" t="s">
        <v>9</v>
      </c>
      <c r="C1" s="10" t="s">
        <v>126</v>
      </c>
      <c r="D1" s="10" t="s">
        <v>127</v>
      </c>
      <c r="E1" s="10" t="s">
        <v>842</v>
      </c>
      <c r="F1" s="10" t="s">
        <v>843</v>
      </c>
      <c r="G1" s="10" t="s">
        <v>844</v>
      </c>
      <c r="H1" s="10" t="s">
        <v>845</v>
      </c>
      <c r="I1" s="10" t="s">
        <v>846</v>
      </c>
      <c r="J1" s="10" t="s">
        <v>847</v>
      </c>
      <c r="K1" s="10" t="s">
        <v>848</v>
      </c>
      <c r="L1" s="10" t="s">
        <v>849</v>
      </c>
      <c r="M1" s="10" t="s">
        <v>850</v>
      </c>
    </row>
    <row r="2" customFormat="false" ht="15" hidden="false" customHeight="true" outlineLevel="0" collapsed="false">
      <c r="A2" s="12" t="s">
        <v>851</v>
      </c>
      <c r="B2" s="14" t="n">
        <v>45727</v>
      </c>
      <c r="C2" s="13" t="s">
        <v>240</v>
      </c>
      <c r="D2" s="15" t="str">
        <f aca="false">IFERROR(INDEX(Dim_Employee!$B$2:$B$76,MATCH(C2,Dim_Employee!$A$2:$A$76,0)),"")</f>
        <v>Titilayo Okafor</v>
      </c>
      <c r="E2" s="12" t="s">
        <v>852</v>
      </c>
      <c r="F2" s="12" t="s">
        <v>853</v>
      </c>
      <c r="G2" s="12" t="s">
        <v>854</v>
      </c>
      <c r="H2" s="12" t="n">
        <v>197</v>
      </c>
      <c r="I2" s="18" t="n">
        <v>228283.84</v>
      </c>
      <c r="J2" s="19" t="n">
        <f aca="false">H2*I2</f>
        <v>44971916.48</v>
      </c>
      <c r="K2" s="12" t="n">
        <v>7</v>
      </c>
      <c r="L2" s="12" t="s">
        <v>855</v>
      </c>
      <c r="M2" s="12" t="s">
        <v>856</v>
      </c>
    </row>
    <row r="3" customFormat="false" ht="15" hidden="false" customHeight="true" outlineLevel="0" collapsed="false">
      <c r="A3" s="12" t="s">
        <v>857</v>
      </c>
      <c r="B3" s="14" t="n">
        <v>45970</v>
      </c>
      <c r="C3" s="13" t="s">
        <v>263</v>
      </c>
      <c r="D3" s="15" t="str">
        <f aca="false">IFERROR(INDEX(Dim_Employee!$B$2:$B$76,MATCH(C3,Dim_Employee!$A$2:$A$76,0)),"")</f>
        <v>Amaka Usman</v>
      </c>
      <c r="E3" s="12" t="s">
        <v>858</v>
      </c>
      <c r="F3" s="12" t="s">
        <v>859</v>
      </c>
      <c r="G3" s="12" t="s">
        <v>860</v>
      </c>
      <c r="H3" s="12" t="n">
        <v>42</v>
      </c>
      <c r="I3" s="18" t="n">
        <v>272823.31</v>
      </c>
      <c r="J3" s="19" t="n">
        <f aca="false">H3*I3</f>
        <v>11458579.02</v>
      </c>
      <c r="K3" s="12" t="n">
        <v>39</v>
      </c>
      <c r="L3" s="12" t="s">
        <v>861</v>
      </c>
      <c r="M3" s="12" t="s">
        <v>856</v>
      </c>
    </row>
    <row r="4" customFormat="false" ht="15" hidden="false" customHeight="true" outlineLevel="0" collapsed="false">
      <c r="A4" s="12" t="s">
        <v>862</v>
      </c>
      <c r="B4" s="14" t="n">
        <v>45882</v>
      </c>
      <c r="C4" s="13" t="s">
        <v>255</v>
      </c>
      <c r="D4" s="15" t="str">
        <f aca="false">IFERROR(INDEX(Dim_Employee!$B$2:$B$76,MATCH(C4,Dim_Employee!$A$2:$A$76,0)),"")</f>
        <v>Adaeze Onyeka</v>
      </c>
      <c r="E4" s="12" t="s">
        <v>863</v>
      </c>
      <c r="F4" s="12" t="s">
        <v>864</v>
      </c>
      <c r="G4" s="12" t="s">
        <v>865</v>
      </c>
      <c r="H4" s="12" t="n">
        <v>200</v>
      </c>
      <c r="I4" s="18" t="n">
        <v>658188.28</v>
      </c>
      <c r="J4" s="19" t="n">
        <f aca="false">H4*I4</f>
        <v>131637656</v>
      </c>
      <c r="K4" s="12" t="n">
        <v>57</v>
      </c>
      <c r="L4" s="12" t="s">
        <v>866</v>
      </c>
      <c r="M4" s="12" t="s">
        <v>867</v>
      </c>
    </row>
    <row r="5" customFormat="false" ht="15" hidden="false" customHeight="true" outlineLevel="0" collapsed="false">
      <c r="A5" s="12" t="s">
        <v>868</v>
      </c>
      <c r="B5" s="14" t="n">
        <v>45662</v>
      </c>
      <c r="C5" s="13" t="s">
        <v>99</v>
      </c>
      <c r="D5" s="15" t="str">
        <f aca="false">IFERROR(INDEX(Dim_Employee!$B$2:$B$76,MATCH(C5,Dim_Employee!$A$2:$A$76,0)),"")</f>
        <v>Zainab Igwe</v>
      </c>
      <c r="E5" s="12" t="s">
        <v>863</v>
      </c>
      <c r="F5" s="12" t="s">
        <v>864</v>
      </c>
      <c r="G5" s="12" t="s">
        <v>869</v>
      </c>
      <c r="H5" s="12" t="n">
        <v>39</v>
      </c>
      <c r="I5" s="18" t="n">
        <v>828224.47</v>
      </c>
      <c r="J5" s="19" t="n">
        <f aca="false">H5*I5</f>
        <v>32300754.33</v>
      </c>
      <c r="K5" s="12" t="n">
        <v>11</v>
      </c>
      <c r="L5" s="12" t="s">
        <v>855</v>
      </c>
      <c r="M5" s="12" t="s">
        <v>856</v>
      </c>
    </row>
    <row r="6" customFormat="false" ht="15" hidden="false" customHeight="true" outlineLevel="0" collapsed="false">
      <c r="A6" s="12" t="s">
        <v>870</v>
      </c>
      <c r="B6" s="14" t="n">
        <v>45870</v>
      </c>
      <c r="C6" s="13" t="s">
        <v>240</v>
      </c>
      <c r="D6" s="15" t="str">
        <f aca="false">IFERROR(INDEX(Dim_Employee!$B$2:$B$76,MATCH(C6,Dim_Employee!$A$2:$A$76,0)),"")</f>
        <v>Titilayo Okafor</v>
      </c>
      <c r="E6" s="12" t="s">
        <v>871</v>
      </c>
      <c r="F6" s="12" t="s">
        <v>853</v>
      </c>
      <c r="G6" s="12" t="s">
        <v>872</v>
      </c>
      <c r="H6" s="12" t="n">
        <v>175</v>
      </c>
      <c r="I6" s="18" t="n">
        <v>338502.11</v>
      </c>
      <c r="J6" s="19" t="n">
        <f aca="false">H6*I6</f>
        <v>59237869.25</v>
      </c>
      <c r="K6" s="12" t="n">
        <v>60</v>
      </c>
      <c r="L6" s="12" t="s">
        <v>873</v>
      </c>
      <c r="M6" s="12" t="s">
        <v>867</v>
      </c>
    </row>
    <row r="7" customFormat="false" ht="15" hidden="false" customHeight="true" outlineLevel="0" collapsed="false">
      <c r="A7" s="12" t="s">
        <v>874</v>
      </c>
      <c r="B7" s="14" t="n">
        <v>45979</v>
      </c>
      <c r="C7" s="13" t="s">
        <v>99</v>
      </c>
      <c r="D7" s="15" t="str">
        <f aca="false">IFERROR(INDEX(Dim_Employee!$B$2:$B$76,MATCH(C7,Dim_Employee!$A$2:$A$76,0)),"")</f>
        <v>Zainab Igwe</v>
      </c>
      <c r="E7" s="12" t="s">
        <v>875</v>
      </c>
      <c r="F7" s="12" t="s">
        <v>876</v>
      </c>
      <c r="G7" s="12" t="s">
        <v>877</v>
      </c>
      <c r="H7" s="12" t="n">
        <v>61</v>
      </c>
      <c r="I7" s="18" t="n">
        <v>172369.21</v>
      </c>
      <c r="J7" s="19" t="n">
        <f aca="false">H7*I7</f>
        <v>10514521.81</v>
      </c>
      <c r="K7" s="12" t="n">
        <v>10</v>
      </c>
      <c r="L7" s="12" t="s">
        <v>866</v>
      </c>
      <c r="M7" s="12" t="s">
        <v>878</v>
      </c>
    </row>
    <row r="8" customFormat="false" ht="15" hidden="false" customHeight="true" outlineLevel="0" collapsed="false">
      <c r="A8" s="12" t="s">
        <v>879</v>
      </c>
      <c r="B8" s="14" t="n">
        <v>45682</v>
      </c>
      <c r="C8" s="13" t="s">
        <v>259</v>
      </c>
      <c r="D8" s="15" t="str">
        <f aca="false">IFERROR(INDEX(Dim_Employee!$B$2:$B$76,MATCH(C8,Dim_Employee!$A$2:$A$76,0)),"")</f>
        <v>Blessing Balogun</v>
      </c>
      <c r="E8" s="12" t="s">
        <v>871</v>
      </c>
      <c r="F8" s="12" t="s">
        <v>880</v>
      </c>
      <c r="G8" s="12" t="s">
        <v>881</v>
      </c>
      <c r="H8" s="12" t="n">
        <v>27</v>
      </c>
      <c r="I8" s="18" t="n">
        <v>619635.93</v>
      </c>
      <c r="J8" s="19" t="n">
        <f aca="false">H8*I8</f>
        <v>16730170.11</v>
      </c>
      <c r="K8" s="12" t="n">
        <v>58</v>
      </c>
      <c r="L8" s="12" t="s">
        <v>861</v>
      </c>
      <c r="M8" s="12" t="s">
        <v>856</v>
      </c>
    </row>
    <row r="9" customFormat="false" ht="15" hidden="false" customHeight="true" outlineLevel="0" collapsed="false">
      <c r="A9" s="12" t="s">
        <v>882</v>
      </c>
      <c r="B9" s="14" t="n">
        <v>45749</v>
      </c>
      <c r="C9" s="13" t="s">
        <v>263</v>
      </c>
      <c r="D9" s="15" t="str">
        <f aca="false">IFERROR(INDEX(Dim_Employee!$B$2:$B$76,MATCH(C9,Dim_Employee!$A$2:$A$76,0)),"")</f>
        <v>Amaka Usman</v>
      </c>
      <c r="E9" s="12" t="s">
        <v>883</v>
      </c>
      <c r="F9" s="12" t="s">
        <v>859</v>
      </c>
      <c r="G9" s="12" t="s">
        <v>860</v>
      </c>
      <c r="H9" s="12" t="n">
        <v>135</v>
      </c>
      <c r="I9" s="18" t="n">
        <v>365060.85</v>
      </c>
      <c r="J9" s="19" t="n">
        <f aca="false">H9*I9</f>
        <v>49283214.75</v>
      </c>
      <c r="K9" s="12" t="n">
        <v>42</v>
      </c>
      <c r="L9" s="12" t="s">
        <v>861</v>
      </c>
      <c r="M9" s="12" t="s">
        <v>878</v>
      </c>
    </row>
    <row r="10" customFormat="false" ht="15" hidden="false" customHeight="true" outlineLevel="0" collapsed="false">
      <c r="A10" s="12" t="s">
        <v>884</v>
      </c>
      <c r="B10" s="14" t="n">
        <v>45768</v>
      </c>
      <c r="C10" s="13" t="s">
        <v>255</v>
      </c>
      <c r="D10" s="15" t="str">
        <f aca="false">IFERROR(INDEX(Dim_Employee!$B$2:$B$76,MATCH(C10,Dim_Employee!$A$2:$A$76,0)),"")</f>
        <v>Adaeze Onyeka</v>
      </c>
      <c r="E10" s="12" t="s">
        <v>883</v>
      </c>
      <c r="F10" s="12" t="s">
        <v>853</v>
      </c>
      <c r="G10" s="12" t="s">
        <v>872</v>
      </c>
      <c r="H10" s="12" t="n">
        <v>20</v>
      </c>
      <c r="I10" s="18" t="n">
        <v>298001.19</v>
      </c>
      <c r="J10" s="19" t="n">
        <f aca="false">H10*I10</f>
        <v>5960023.8</v>
      </c>
      <c r="K10" s="12" t="n">
        <v>6</v>
      </c>
      <c r="L10" s="12" t="s">
        <v>855</v>
      </c>
      <c r="M10" s="12" t="s">
        <v>878</v>
      </c>
    </row>
    <row r="11" customFormat="false" ht="15" hidden="false" customHeight="true" outlineLevel="0" collapsed="false">
      <c r="A11" s="12" t="s">
        <v>885</v>
      </c>
      <c r="B11" s="14" t="n">
        <v>45680</v>
      </c>
      <c r="C11" s="13" t="s">
        <v>240</v>
      </c>
      <c r="D11" s="15" t="str">
        <f aca="false">IFERROR(INDEX(Dim_Employee!$B$2:$B$76,MATCH(C11,Dim_Employee!$A$2:$A$76,0)),"")</f>
        <v>Titilayo Okafor</v>
      </c>
      <c r="E11" s="12" t="s">
        <v>883</v>
      </c>
      <c r="F11" s="12" t="s">
        <v>864</v>
      </c>
      <c r="G11" s="12" t="s">
        <v>886</v>
      </c>
      <c r="H11" s="12" t="n">
        <v>68</v>
      </c>
      <c r="I11" s="18" t="n">
        <v>229749.74</v>
      </c>
      <c r="J11" s="19" t="n">
        <f aca="false">H11*I11</f>
        <v>15622982.32</v>
      </c>
      <c r="K11" s="12" t="n">
        <v>28</v>
      </c>
      <c r="L11" s="12" t="s">
        <v>855</v>
      </c>
      <c r="M11" s="12" t="s">
        <v>867</v>
      </c>
    </row>
    <row r="12" customFormat="false" ht="15" hidden="false" customHeight="true" outlineLevel="0" collapsed="false">
      <c r="A12" s="12" t="s">
        <v>887</v>
      </c>
      <c r="B12" s="14" t="n">
        <v>45890</v>
      </c>
      <c r="C12" s="13" t="s">
        <v>99</v>
      </c>
      <c r="D12" s="15" t="str">
        <f aca="false">IFERROR(INDEX(Dim_Employee!$B$2:$B$76,MATCH(C12,Dim_Employee!$A$2:$A$76,0)),"")</f>
        <v>Zainab Igwe</v>
      </c>
      <c r="E12" s="12" t="s">
        <v>852</v>
      </c>
      <c r="F12" s="12" t="s">
        <v>888</v>
      </c>
      <c r="G12" s="12" t="s">
        <v>889</v>
      </c>
      <c r="H12" s="12" t="n">
        <v>177</v>
      </c>
      <c r="I12" s="18" t="n">
        <v>36634.48</v>
      </c>
      <c r="J12" s="19" t="n">
        <f aca="false">H12*I12</f>
        <v>6484302.96</v>
      </c>
      <c r="K12" s="12" t="n">
        <v>23</v>
      </c>
      <c r="L12" s="12" t="s">
        <v>873</v>
      </c>
      <c r="M12" s="12" t="s">
        <v>878</v>
      </c>
    </row>
    <row r="13" customFormat="false" ht="15" hidden="false" customHeight="true" outlineLevel="0" collapsed="false">
      <c r="A13" s="12" t="s">
        <v>890</v>
      </c>
      <c r="B13" s="14" t="n">
        <v>45872</v>
      </c>
      <c r="C13" s="13" t="s">
        <v>250</v>
      </c>
      <c r="D13" s="15" t="str">
        <f aca="false">IFERROR(INDEX(Dim_Employee!$B$2:$B$76,MATCH(C13,Dim_Employee!$A$2:$A$76,0)),"")</f>
        <v>Ibrahim Abubakar</v>
      </c>
      <c r="E13" s="12" t="s">
        <v>891</v>
      </c>
      <c r="F13" s="12" t="s">
        <v>853</v>
      </c>
      <c r="G13" s="12" t="s">
        <v>892</v>
      </c>
      <c r="H13" s="12" t="n">
        <v>109</v>
      </c>
      <c r="I13" s="18" t="n">
        <v>271548.08</v>
      </c>
      <c r="J13" s="19" t="n">
        <f aca="false">H13*I13</f>
        <v>29598740.72</v>
      </c>
      <c r="K13" s="12" t="n">
        <v>26</v>
      </c>
      <c r="L13" s="12" t="s">
        <v>873</v>
      </c>
      <c r="M13" s="12" t="s">
        <v>867</v>
      </c>
    </row>
    <row r="14" customFormat="false" ht="15" hidden="false" customHeight="true" outlineLevel="0" collapsed="false">
      <c r="A14" s="12" t="s">
        <v>893</v>
      </c>
      <c r="B14" s="14" t="n">
        <v>45914</v>
      </c>
      <c r="C14" s="13" t="s">
        <v>240</v>
      </c>
      <c r="D14" s="15" t="str">
        <f aca="false">IFERROR(INDEX(Dim_Employee!$B$2:$B$76,MATCH(C14,Dim_Employee!$A$2:$A$76,0)),"")</f>
        <v>Titilayo Okafor</v>
      </c>
      <c r="E14" s="12" t="s">
        <v>852</v>
      </c>
      <c r="F14" s="12" t="s">
        <v>880</v>
      </c>
      <c r="G14" s="12" t="s">
        <v>894</v>
      </c>
      <c r="H14" s="12" t="n">
        <v>2</v>
      </c>
      <c r="I14" s="18" t="n">
        <v>204369.12</v>
      </c>
      <c r="J14" s="19" t="n">
        <f aca="false">H14*I14</f>
        <v>408738.24</v>
      </c>
      <c r="K14" s="12" t="n">
        <v>17</v>
      </c>
      <c r="L14" s="12" t="s">
        <v>866</v>
      </c>
      <c r="M14" s="12" t="s">
        <v>878</v>
      </c>
    </row>
    <row r="15" customFormat="false" ht="15" hidden="false" customHeight="true" outlineLevel="0" collapsed="false">
      <c r="A15" s="12" t="s">
        <v>895</v>
      </c>
      <c r="B15" s="14" t="n">
        <v>45683</v>
      </c>
      <c r="C15" s="13" t="s">
        <v>235</v>
      </c>
      <c r="D15" s="15" t="str">
        <f aca="false">IFERROR(INDEX(Dim_Employee!$B$2:$B$76,MATCH(C15,Dim_Employee!$A$2:$A$76,0)),"")</f>
        <v>Uche Ibe</v>
      </c>
      <c r="E15" s="12" t="s">
        <v>891</v>
      </c>
      <c r="F15" s="12" t="s">
        <v>864</v>
      </c>
      <c r="G15" s="12" t="s">
        <v>869</v>
      </c>
      <c r="H15" s="12" t="n">
        <v>159</v>
      </c>
      <c r="I15" s="18" t="n">
        <v>666696.3</v>
      </c>
      <c r="J15" s="19" t="n">
        <f aca="false">H15*I15</f>
        <v>106004711.7</v>
      </c>
      <c r="K15" s="12" t="n">
        <v>45</v>
      </c>
      <c r="L15" s="12" t="s">
        <v>873</v>
      </c>
      <c r="M15" s="12" t="s">
        <v>878</v>
      </c>
    </row>
    <row r="16" customFormat="false" ht="15" hidden="false" customHeight="true" outlineLevel="0" collapsed="false">
      <c r="A16" s="12" t="s">
        <v>896</v>
      </c>
      <c r="B16" s="14" t="n">
        <v>45989</v>
      </c>
      <c r="C16" s="13" t="s">
        <v>255</v>
      </c>
      <c r="D16" s="15" t="str">
        <f aca="false">IFERROR(INDEX(Dim_Employee!$B$2:$B$76,MATCH(C16,Dim_Employee!$A$2:$A$76,0)),"")</f>
        <v>Adaeze Onyeka</v>
      </c>
      <c r="E16" s="12" t="s">
        <v>858</v>
      </c>
      <c r="F16" s="12" t="s">
        <v>853</v>
      </c>
      <c r="G16" s="12" t="s">
        <v>872</v>
      </c>
      <c r="H16" s="12" t="n">
        <v>148</v>
      </c>
      <c r="I16" s="18" t="n">
        <v>2291.05</v>
      </c>
      <c r="J16" s="19" t="n">
        <f aca="false">H16*I16</f>
        <v>339075.4</v>
      </c>
      <c r="K16" s="12" t="n">
        <v>23</v>
      </c>
      <c r="L16" s="12" t="s">
        <v>873</v>
      </c>
      <c r="M16" s="12" t="s">
        <v>856</v>
      </c>
    </row>
    <row r="17" customFormat="false" ht="15" hidden="false" customHeight="true" outlineLevel="0" collapsed="false">
      <c r="A17" s="12" t="s">
        <v>897</v>
      </c>
      <c r="B17" s="14" t="n">
        <v>45927</v>
      </c>
      <c r="C17" s="13" t="s">
        <v>259</v>
      </c>
      <c r="D17" s="15" t="str">
        <f aca="false">IFERROR(INDEX(Dim_Employee!$B$2:$B$76,MATCH(C17,Dim_Employee!$A$2:$A$76,0)),"")</f>
        <v>Blessing Balogun</v>
      </c>
      <c r="E17" s="12" t="s">
        <v>852</v>
      </c>
      <c r="F17" s="12" t="s">
        <v>888</v>
      </c>
      <c r="G17" s="12" t="s">
        <v>889</v>
      </c>
      <c r="H17" s="12" t="n">
        <v>183</v>
      </c>
      <c r="I17" s="18" t="n">
        <v>55904.08</v>
      </c>
      <c r="J17" s="19" t="n">
        <f aca="false">H17*I17</f>
        <v>10230446.64</v>
      </c>
      <c r="K17" s="12" t="n">
        <v>44</v>
      </c>
      <c r="L17" s="12" t="s">
        <v>855</v>
      </c>
      <c r="M17" s="12" t="s">
        <v>856</v>
      </c>
    </row>
    <row r="18" customFormat="false" ht="15" hidden="false" customHeight="true" outlineLevel="0" collapsed="false">
      <c r="A18" s="12" t="s">
        <v>898</v>
      </c>
      <c r="B18" s="14" t="n">
        <v>45900</v>
      </c>
      <c r="C18" s="13" t="s">
        <v>245</v>
      </c>
      <c r="D18" s="15" t="str">
        <f aca="false">IFERROR(INDEX(Dim_Employee!$B$2:$B$76,MATCH(C18,Dim_Employee!$A$2:$A$76,0)),"")</f>
        <v>Emeka Bakare</v>
      </c>
      <c r="E18" s="12" t="s">
        <v>871</v>
      </c>
      <c r="F18" s="12" t="s">
        <v>876</v>
      </c>
      <c r="G18" s="12" t="s">
        <v>899</v>
      </c>
      <c r="H18" s="12" t="n">
        <v>196</v>
      </c>
      <c r="I18" s="18" t="n">
        <v>226293.52</v>
      </c>
      <c r="J18" s="19" t="n">
        <f aca="false">H18*I18</f>
        <v>44353529.92</v>
      </c>
      <c r="K18" s="12" t="n">
        <v>39</v>
      </c>
      <c r="L18" s="12" t="s">
        <v>873</v>
      </c>
      <c r="M18" s="12" t="s">
        <v>878</v>
      </c>
    </row>
    <row r="19" customFormat="false" ht="15" hidden="false" customHeight="true" outlineLevel="0" collapsed="false">
      <c r="A19" s="12" t="s">
        <v>900</v>
      </c>
      <c r="B19" s="14" t="n">
        <v>45928</v>
      </c>
      <c r="C19" s="13" t="s">
        <v>245</v>
      </c>
      <c r="D19" s="15" t="str">
        <f aca="false">IFERROR(INDEX(Dim_Employee!$B$2:$B$76,MATCH(C19,Dim_Employee!$A$2:$A$76,0)),"")</f>
        <v>Emeka Bakare</v>
      </c>
      <c r="E19" s="12" t="s">
        <v>871</v>
      </c>
      <c r="F19" s="12" t="s">
        <v>859</v>
      </c>
      <c r="G19" s="12" t="s">
        <v>860</v>
      </c>
      <c r="H19" s="12" t="n">
        <v>17</v>
      </c>
      <c r="I19" s="18" t="n">
        <v>788338.4</v>
      </c>
      <c r="J19" s="19" t="n">
        <f aca="false">H19*I19</f>
        <v>13401752.8</v>
      </c>
      <c r="K19" s="12" t="n">
        <v>35</v>
      </c>
      <c r="L19" s="12" t="s">
        <v>866</v>
      </c>
      <c r="M19" s="12" t="s">
        <v>867</v>
      </c>
    </row>
    <row r="20" customFormat="false" ht="15" hidden="false" customHeight="true" outlineLevel="0" collapsed="false">
      <c r="A20" s="12" t="s">
        <v>901</v>
      </c>
      <c r="B20" s="14" t="n">
        <v>45996</v>
      </c>
      <c r="C20" s="13" t="s">
        <v>245</v>
      </c>
      <c r="D20" s="15" t="str">
        <f aca="false">IFERROR(INDEX(Dim_Employee!$B$2:$B$76,MATCH(C20,Dim_Employee!$A$2:$A$76,0)),"")</f>
        <v>Emeka Bakare</v>
      </c>
      <c r="E20" s="12" t="s">
        <v>858</v>
      </c>
      <c r="F20" s="12" t="s">
        <v>880</v>
      </c>
      <c r="G20" s="12" t="s">
        <v>881</v>
      </c>
      <c r="H20" s="12" t="n">
        <v>45</v>
      </c>
      <c r="I20" s="18" t="n">
        <v>130859.88</v>
      </c>
      <c r="J20" s="19" t="n">
        <f aca="false">H20*I20</f>
        <v>5888694.6</v>
      </c>
      <c r="K20" s="12" t="n">
        <v>42</v>
      </c>
      <c r="L20" s="12" t="s">
        <v>861</v>
      </c>
      <c r="M20" s="12" t="s">
        <v>867</v>
      </c>
    </row>
    <row r="21" customFormat="false" ht="15" hidden="false" customHeight="true" outlineLevel="0" collapsed="false">
      <c r="A21" s="12" t="s">
        <v>902</v>
      </c>
      <c r="B21" s="14" t="n">
        <v>45736</v>
      </c>
      <c r="C21" s="13" t="s">
        <v>259</v>
      </c>
      <c r="D21" s="15" t="str">
        <f aca="false">IFERROR(INDEX(Dim_Employee!$B$2:$B$76,MATCH(C21,Dim_Employee!$A$2:$A$76,0)),"")</f>
        <v>Blessing Balogun</v>
      </c>
      <c r="E21" s="12" t="s">
        <v>852</v>
      </c>
      <c r="F21" s="12" t="s">
        <v>888</v>
      </c>
      <c r="G21" s="12" t="s">
        <v>903</v>
      </c>
      <c r="H21" s="12" t="n">
        <v>110</v>
      </c>
      <c r="I21" s="18" t="n">
        <v>105894.36</v>
      </c>
      <c r="J21" s="19" t="n">
        <f aca="false">H21*I21</f>
        <v>11648379.6</v>
      </c>
      <c r="K21" s="12" t="n">
        <v>8</v>
      </c>
      <c r="L21" s="12" t="s">
        <v>855</v>
      </c>
      <c r="M21" s="12" t="s">
        <v>867</v>
      </c>
    </row>
    <row r="22" customFormat="false" ht="15" hidden="false" customHeight="true" outlineLevel="0" collapsed="false">
      <c r="A22" s="12" t="s">
        <v>904</v>
      </c>
      <c r="B22" s="14" t="n">
        <v>45860</v>
      </c>
      <c r="C22" s="13" t="s">
        <v>250</v>
      </c>
      <c r="D22" s="15" t="str">
        <f aca="false">IFERROR(INDEX(Dim_Employee!$B$2:$B$76,MATCH(C22,Dim_Employee!$A$2:$A$76,0)),"")</f>
        <v>Ibrahim Abubakar</v>
      </c>
      <c r="E22" s="12" t="s">
        <v>852</v>
      </c>
      <c r="F22" s="12" t="s">
        <v>853</v>
      </c>
      <c r="G22" s="12" t="s">
        <v>854</v>
      </c>
      <c r="H22" s="12" t="n">
        <v>170</v>
      </c>
      <c r="I22" s="18" t="n">
        <v>76168.23</v>
      </c>
      <c r="J22" s="19" t="n">
        <f aca="false">H22*I22</f>
        <v>12948599.1</v>
      </c>
      <c r="K22" s="12" t="n">
        <v>46</v>
      </c>
      <c r="L22" s="12" t="s">
        <v>861</v>
      </c>
      <c r="M22" s="12" t="s">
        <v>867</v>
      </c>
    </row>
    <row r="23" customFormat="false" ht="15" hidden="false" customHeight="true" outlineLevel="0" collapsed="false">
      <c r="A23" s="12" t="s">
        <v>905</v>
      </c>
      <c r="B23" s="14" t="n">
        <v>45734</v>
      </c>
      <c r="C23" s="13" t="s">
        <v>263</v>
      </c>
      <c r="D23" s="15" t="str">
        <f aca="false">IFERROR(INDEX(Dim_Employee!$B$2:$B$76,MATCH(C23,Dim_Employee!$A$2:$A$76,0)),"")</f>
        <v>Amaka Usman</v>
      </c>
      <c r="E23" s="12" t="s">
        <v>875</v>
      </c>
      <c r="F23" s="12" t="s">
        <v>880</v>
      </c>
      <c r="G23" s="12" t="s">
        <v>881</v>
      </c>
      <c r="H23" s="12" t="n">
        <v>45</v>
      </c>
      <c r="I23" s="18" t="n">
        <v>645344.19</v>
      </c>
      <c r="J23" s="19" t="n">
        <f aca="false">H23*I23</f>
        <v>29040488.55</v>
      </c>
      <c r="K23" s="12" t="n">
        <v>25</v>
      </c>
      <c r="L23" s="12" t="s">
        <v>873</v>
      </c>
      <c r="M23" s="12" t="s">
        <v>878</v>
      </c>
    </row>
    <row r="24" customFormat="false" ht="15" hidden="false" customHeight="true" outlineLevel="0" collapsed="false">
      <c r="A24" s="12" t="s">
        <v>906</v>
      </c>
      <c r="B24" s="14" t="n">
        <v>45853</v>
      </c>
      <c r="C24" s="13" t="s">
        <v>245</v>
      </c>
      <c r="D24" s="15" t="str">
        <f aca="false">IFERROR(INDEX(Dim_Employee!$B$2:$B$76,MATCH(C24,Dim_Employee!$A$2:$A$76,0)),"")</f>
        <v>Emeka Bakare</v>
      </c>
      <c r="E24" s="12" t="s">
        <v>852</v>
      </c>
      <c r="F24" s="12" t="s">
        <v>876</v>
      </c>
      <c r="G24" s="12" t="s">
        <v>877</v>
      </c>
      <c r="H24" s="12" t="n">
        <v>95</v>
      </c>
      <c r="I24" s="18" t="n">
        <v>445593.25</v>
      </c>
      <c r="J24" s="19" t="n">
        <f aca="false">H24*I24</f>
        <v>42331358.75</v>
      </c>
      <c r="K24" s="12" t="n">
        <v>37</v>
      </c>
      <c r="L24" s="12" t="s">
        <v>866</v>
      </c>
      <c r="M24" s="12" t="s">
        <v>856</v>
      </c>
    </row>
    <row r="25" customFormat="false" ht="15" hidden="false" customHeight="true" outlineLevel="0" collapsed="false">
      <c r="A25" s="12" t="s">
        <v>907</v>
      </c>
      <c r="B25" s="14" t="n">
        <v>45936</v>
      </c>
      <c r="C25" s="13" t="s">
        <v>250</v>
      </c>
      <c r="D25" s="15" t="str">
        <f aca="false">IFERROR(INDEX(Dim_Employee!$B$2:$B$76,MATCH(C25,Dim_Employee!$A$2:$A$76,0)),"")</f>
        <v>Ibrahim Abubakar</v>
      </c>
      <c r="E25" s="12" t="s">
        <v>852</v>
      </c>
      <c r="F25" s="12" t="s">
        <v>864</v>
      </c>
      <c r="G25" s="12" t="s">
        <v>869</v>
      </c>
      <c r="H25" s="12" t="n">
        <v>152</v>
      </c>
      <c r="I25" s="18" t="n">
        <v>152897.39</v>
      </c>
      <c r="J25" s="19" t="n">
        <f aca="false">H25*I25</f>
        <v>23240403.28</v>
      </c>
      <c r="K25" s="12" t="n">
        <v>18</v>
      </c>
      <c r="L25" s="12" t="s">
        <v>866</v>
      </c>
      <c r="M25" s="12" t="s">
        <v>867</v>
      </c>
    </row>
    <row r="26" customFormat="false" ht="15" hidden="false" customHeight="true" outlineLevel="0" collapsed="false">
      <c r="A26" s="12" t="s">
        <v>908</v>
      </c>
      <c r="B26" s="14" t="n">
        <v>45703</v>
      </c>
      <c r="C26" s="13" t="s">
        <v>263</v>
      </c>
      <c r="D26" s="15" t="str">
        <f aca="false">IFERROR(INDEX(Dim_Employee!$B$2:$B$76,MATCH(C26,Dim_Employee!$A$2:$A$76,0)),"")</f>
        <v>Amaka Usman</v>
      </c>
      <c r="E26" s="12" t="s">
        <v>883</v>
      </c>
      <c r="F26" s="12" t="s">
        <v>864</v>
      </c>
      <c r="G26" s="12" t="s">
        <v>909</v>
      </c>
      <c r="H26" s="12" t="n">
        <v>135</v>
      </c>
      <c r="I26" s="18" t="n">
        <v>541267.29</v>
      </c>
      <c r="J26" s="19" t="n">
        <f aca="false">H26*I26</f>
        <v>73071084.15</v>
      </c>
      <c r="K26" s="12" t="n">
        <v>29</v>
      </c>
      <c r="L26" s="12" t="s">
        <v>855</v>
      </c>
      <c r="M26" s="12" t="s">
        <v>878</v>
      </c>
    </row>
    <row r="27" customFormat="false" ht="15" hidden="false" customHeight="true" outlineLevel="0" collapsed="false">
      <c r="A27" s="12" t="s">
        <v>910</v>
      </c>
      <c r="B27" s="14" t="n">
        <v>45845</v>
      </c>
      <c r="C27" s="13" t="s">
        <v>255</v>
      </c>
      <c r="D27" s="15" t="str">
        <f aca="false">IFERROR(INDEX(Dim_Employee!$B$2:$B$76,MATCH(C27,Dim_Employee!$A$2:$A$76,0)),"")</f>
        <v>Adaeze Onyeka</v>
      </c>
      <c r="E27" s="12" t="s">
        <v>875</v>
      </c>
      <c r="F27" s="12" t="s">
        <v>864</v>
      </c>
      <c r="G27" s="12" t="s">
        <v>869</v>
      </c>
      <c r="H27" s="12" t="n">
        <v>184</v>
      </c>
      <c r="I27" s="18" t="n">
        <v>376986.71</v>
      </c>
      <c r="J27" s="19" t="n">
        <f aca="false">H27*I27</f>
        <v>69365554.64</v>
      </c>
      <c r="K27" s="12" t="n">
        <v>28</v>
      </c>
      <c r="L27" s="12" t="s">
        <v>873</v>
      </c>
      <c r="M27" s="12" t="s">
        <v>878</v>
      </c>
    </row>
    <row r="28" customFormat="false" ht="15" hidden="false" customHeight="true" outlineLevel="0" collapsed="false">
      <c r="A28" s="12" t="s">
        <v>911</v>
      </c>
      <c r="B28" s="14" t="n">
        <v>45954</v>
      </c>
      <c r="C28" s="13" t="s">
        <v>250</v>
      </c>
      <c r="D28" s="15" t="str">
        <f aca="false">IFERROR(INDEX(Dim_Employee!$B$2:$B$76,MATCH(C28,Dim_Employee!$A$2:$A$76,0)),"")</f>
        <v>Ibrahim Abubakar</v>
      </c>
      <c r="E28" s="12" t="s">
        <v>863</v>
      </c>
      <c r="F28" s="12" t="s">
        <v>888</v>
      </c>
      <c r="G28" s="12" t="s">
        <v>889</v>
      </c>
      <c r="H28" s="12" t="n">
        <v>62</v>
      </c>
      <c r="I28" s="18" t="n">
        <v>328475.62</v>
      </c>
      <c r="J28" s="19" t="n">
        <f aca="false">H28*I28</f>
        <v>20365488.44</v>
      </c>
      <c r="K28" s="12" t="n">
        <v>14</v>
      </c>
      <c r="L28" s="12" t="s">
        <v>855</v>
      </c>
      <c r="M28" s="12" t="s">
        <v>856</v>
      </c>
    </row>
    <row r="29" customFormat="false" ht="15" hidden="false" customHeight="true" outlineLevel="0" collapsed="false">
      <c r="A29" s="12" t="s">
        <v>912</v>
      </c>
      <c r="B29" s="14" t="n">
        <v>45886</v>
      </c>
      <c r="C29" s="13" t="s">
        <v>245</v>
      </c>
      <c r="D29" s="15" t="str">
        <f aca="false">IFERROR(INDEX(Dim_Employee!$B$2:$B$76,MATCH(C29,Dim_Employee!$A$2:$A$76,0)),"")</f>
        <v>Emeka Bakare</v>
      </c>
      <c r="E29" s="12" t="s">
        <v>891</v>
      </c>
      <c r="F29" s="12" t="s">
        <v>888</v>
      </c>
      <c r="G29" s="12" t="s">
        <v>903</v>
      </c>
      <c r="H29" s="12" t="n">
        <v>19</v>
      </c>
      <c r="I29" s="18" t="n">
        <v>69328.31</v>
      </c>
      <c r="J29" s="19" t="n">
        <f aca="false">H29*I29</f>
        <v>1317237.89</v>
      </c>
      <c r="K29" s="12" t="n">
        <v>35</v>
      </c>
      <c r="L29" s="12" t="s">
        <v>873</v>
      </c>
      <c r="M29" s="12" t="s">
        <v>867</v>
      </c>
    </row>
    <row r="30" customFormat="false" ht="15" hidden="false" customHeight="true" outlineLevel="0" collapsed="false">
      <c r="A30" s="12" t="s">
        <v>913</v>
      </c>
      <c r="B30" s="14" t="n">
        <v>45894</v>
      </c>
      <c r="C30" s="13" t="s">
        <v>99</v>
      </c>
      <c r="D30" s="15" t="str">
        <f aca="false">IFERROR(INDEX(Dim_Employee!$B$2:$B$76,MATCH(C30,Dim_Employee!$A$2:$A$76,0)),"")</f>
        <v>Zainab Igwe</v>
      </c>
      <c r="E30" s="12" t="s">
        <v>891</v>
      </c>
      <c r="F30" s="12" t="s">
        <v>864</v>
      </c>
      <c r="G30" s="12" t="s">
        <v>865</v>
      </c>
      <c r="H30" s="12" t="n">
        <v>152</v>
      </c>
      <c r="I30" s="18" t="n">
        <v>479620.83</v>
      </c>
      <c r="J30" s="19" t="n">
        <f aca="false">H30*I30</f>
        <v>72902366.16</v>
      </c>
      <c r="K30" s="12" t="n">
        <v>32</v>
      </c>
      <c r="L30" s="12" t="s">
        <v>866</v>
      </c>
      <c r="M30" s="12" t="s">
        <v>856</v>
      </c>
    </row>
    <row r="31" customFormat="false" ht="15" hidden="false" customHeight="true" outlineLevel="0" collapsed="false">
      <c r="A31" s="12" t="s">
        <v>914</v>
      </c>
      <c r="B31" s="14" t="n">
        <v>45662</v>
      </c>
      <c r="C31" s="13" t="s">
        <v>263</v>
      </c>
      <c r="D31" s="15" t="str">
        <f aca="false">IFERROR(INDEX(Dim_Employee!$B$2:$B$76,MATCH(C31,Dim_Employee!$A$2:$A$76,0)),"")</f>
        <v>Amaka Usman</v>
      </c>
      <c r="E31" s="12" t="s">
        <v>883</v>
      </c>
      <c r="F31" s="12" t="s">
        <v>853</v>
      </c>
      <c r="G31" s="12" t="s">
        <v>872</v>
      </c>
      <c r="H31" s="12" t="n">
        <v>126</v>
      </c>
      <c r="I31" s="18" t="n">
        <v>116286.11</v>
      </c>
      <c r="J31" s="19" t="n">
        <f aca="false">H31*I31</f>
        <v>14652049.86</v>
      </c>
      <c r="K31" s="12" t="n">
        <v>14</v>
      </c>
      <c r="L31" s="12" t="s">
        <v>873</v>
      </c>
      <c r="M31" s="12" t="s">
        <v>878</v>
      </c>
    </row>
    <row r="32" customFormat="false" ht="15" hidden="false" customHeight="true" outlineLevel="0" collapsed="false">
      <c r="A32" s="12" t="s">
        <v>915</v>
      </c>
      <c r="B32" s="14" t="n">
        <v>45856</v>
      </c>
      <c r="C32" s="13" t="s">
        <v>99</v>
      </c>
      <c r="D32" s="15" t="str">
        <f aca="false">IFERROR(INDEX(Dim_Employee!$B$2:$B$76,MATCH(C32,Dim_Employee!$A$2:$A$76,0)),"")</f>
        <v>Zainab Igwe</v>
      </c>
      <c r="E32" s="12" t="s">
        <v>858</v>
      </c>
      <c r="F32" s="12" t="s">
        <v>880</v>
      </c>
      <c r="G32" s="12" t="s">
        <v>881</v>
      </c>
      <c r="H32" s="12" t="n">
        <v>76</v>
      </c>
      <c r="I32" s="18" t="n">
        <v>471441.67</v>
      </c>
      <c r="J32" s="19" t="n">
        <f aca="false">H32*I32</f>
        <v>35829566.92</v>
      </c>
      <c r="K32" s="12" t="n">
        <v>7</v>
      </c>
      <c r="L32" s="12" t="s">
        <v>866</v>
      </c>
      <c r="M32" s="12" t="s">
        <v>856</v>
      </c>
    </row>
    <row r="33" customFormat="false" ht="15" hidden="false" customHeight="true" outlineLevel="0" collapsed="false">
      <c r="A33" s="12" t="s">
        <v>916</v>
      </c>
      <c r="B33" s="14" t="n">
        <v>45768</v>
      </c>
      <c r="C33" s="13" t="s">
        <v>99</v>
      </c>
      <c r="D33" s="15" t="str">
        <f aca="false">IFERROR(INDEX(Dim_Employee!$B$2:$B$76,MATCH(C33,Dim_Employee!$A$2:$A$76,0)),"")</f>
        <v>Zainab Igwe</v>
      </c>
      <c r="E33" s="12" t="s">
        <v>858</v>
      </c>
      <c r="F33" s="12" t="s">
        <v>864</v>
      </c>
      <c r="G33" s="12" t="s">
        <v>886</v>
      </c>
      <c r="H33" s="12" t="n">
        <v>128</v>
      </c>
      <c r="I33" s="18" t="n">
        <v>76380.34</v>
      </c>
      <c r="J33" s="19" t="n">
        <f aca="false">H33*I33</f>
        <v>9776683.52</v>
      </c>
      <c r="K33" s="12" t="n">
        <v>54</v>
      </c>
      <c r="L33" s="12" t="s">
        <v>866</v>
      </c>
      <c r="M33" s="12" t="s">
        <v>878</v>
      </c>
    </row>
    <row r="34" customFormat="false" ht="15" hidden="false" customHeight="true" outlineLevel="0" collapsed="false">
      <c r="A34" s="12" t="s">
        <v>917</v>
      </c>
      <c r="B34" s="14" t="n">
        <v>45871</v>
      </c>
      <c r="C34" s="13" t="s">
        <v>255</v>
      </c>
      <c r="D34" s="15" t="str">
        <f aca="false">IFERROR(INDEX(Dim_Employee!$B$2:$B$76,MATCH(C34,Dim_Employee!$A$2:$A$76,0)),"")</f>
        <v>Adaeze Onyeka</v>
      </c>
      <c r="E34" s="12" t="s">
        <v>863</v>
      </c>
      <c r="F34" s="12" t="s">
        <v>853</v>
      </c>
      <c r="G34" s="12" t="s">
        <v>854</v>
      </c>
      <c r="H34" s="12" t="n">
        <v>15</v>
      </c>
      <c r="I34" s="18" t="n">
        <v>468495.12</v>
      </c>
      <c r="J34" s="19" t="n">
        <f aca="false">H34*I34</f>
        <v>7027426.8</v>
      </c>
      <c r="K34" s="12" t="n">
        <v>54</v>
      </c>
      <c r="L34" s="12" t="s">
        <v>861</v>
      </c>
      <c r="M34" s="12" t="s">
        <v>878</v>
      </c>
    </row>
    <row r="35" customFormat="false" ht="15" hidden="false" customHeight="true" outlineLevel="0" collapsed="false">
      <c r="A35" s="12" t="s">
        <v>918</v>
      </c>
      <c r="B35" s="14" t="n">
        <v>45661</v>
      </c>
      <c r="C35" s="13" t="s">
        <v>240</v>
      </c>
      <c r="D35" s="15" t="str">
        <f aca="false">IFERROR(INDEX(Dim_Employee!$B$2:$B$76,MATCH(C35,Dim_Employee!$A$2:$A$76,0)),"")</f>
        <v>Titilayo Okafor</v>
      </c>
      <c r="E35" s="12" t="s">
        <v>863</v>
      </c>
      <c r="F35" s="12" t="s">
        <v>888</v>
      </c>
      <c r="G35" s="12" t="s">
        <v>889</v>
      </c>
      <c r="H35" s="12" t="n">
        <v>86</v>
      </c>
      <c r="I35" s="18" t="n">
        <v>162927.47</v>
      </c>
      <c r="J35" s="19" t="n">
        <f aca="false">H35*I35</f>
        <v>14011762.42</v>
      </c>
      <c r="K35" s="12" t="n">
        <v>19</v>
      </c>
      <c r="L35" s="12" t="s">
        <v>855</v>
      </c>
      <c r="M35" s="12" t="s">
        <v>856</v>
      </c>
    </row>
    <row r="36" customFormat="false" ht="15" hidden="false" customHeight="true" outlineLevel="0" collapsed="false">
      <c r="A36" s="12" t="s">
        <v>919</v>
      </c>
      <c r="B36" s="14" t="n">
        <v>45810</v>
      </c>
      <c r="C36" s="13" t="s">
        <v>255</v>
      </c>
      <c r="D36" s="15" t="str">
        <f aca="false">IFERROR(INDEX(Dim_Employee!$B$2:$B$76,MATCH(C36,Dim_Employee!$A$2:$A$76,0)),"")</f>
        <v>Adaeze Onyeka</v>
      </c>
      <c r="E36" s="12" t="s">
        <v>891</v>
      </c>
      <c r="F36" s="12" t="s">
        <v>853</v>
      </c>
      <c r="G36" s="12" t="s">
        <v>872</v>
      </c>
      <c r="H36" s="12" t="n">
        <v>66</v>
      </c>
      <c r="I36" s="18" t="n">
        <v>564865.57</v>
      </c>
      <c r="J36" s="19" t="n">
        <f aca="false">H36*I36</f>
        <v>37281127.62</v>
      </c>
      <c r="K36" s="12" t="n">
        <v>58</v>
      </c>
      <c r="L36" s="12" t="s">
        <v>873</v>
      </c>
      <c r="M36" s="12" t="s">
        <v>878</v>
      </c>
    </row>
    <row r="37" customFormat="false" ht="15" hidden="false" customHeight="true" outlineLevel="0" collapsed="false">
      <c r="A37" s="12" t="s">
        <v>920</v>
      </c>
      <c r="B37" s="14" t="n">
        <v>45852</v>
      </c>
      <c r="C37" s="13" t="s">
        <v>99</v>
      </c>
      <c r="D37" s="15" t="str">
        <f aca="false">IFERROR(INDEX(Dim_Employee!$B$2:$B$76,MATCH(C37,Dim_Employee!$A$2:$A$76,0)),"")</f>
        <v>Zainab Igwe</v>
      </c>
      <c r="E37" s="12" t="s">
        <v>891</v>
      </c>
      <c r="F37" s="12" t="s">
        <v>888</v>
      </c>
      <c r="G37" s="12" t="s">
        <v>889</v>
      </c>
      <c r="H37" s="12" t="n">
        <v>78</v>
      </c>
      <c r="I37" s="18" t="n">
        <v>212371.32</v>
      </c>
      <c r="J37" s="19" t="n">
        <f aca="false">H37*I37</f>
        <v>16564962.96</v>
      </c>
      <c r="K37" s="12" t="n">
        <v>18</v>
      </c>
      <c r="L37" s="12" t="s">
        <v>855</v>
      </c>
      <c r="M37" s="12" t="s">
        <v>856</v>
      </c>
    </row>
    <row r="38" customFormat="false" ht="15" hidden="false" customHeight="true" outlineLevel="0" collapsed="false">
      <c r="A38" s="12" t="s">
        <v>921</v>
      </c>
      <c r="B38" s="14" t="n">
        <v>45849</v>
      </c>
      <c r="C38" s="13" t="s">
        <v>240</v>
      </c>
      <c r="D38" s="15" t="str">
        <f aca="false">IFERROR(INDEX(Dim_Employee!$B$2:$B$76,MATCH(C38,Dim_Employee!$A$2:$A$76,0)),"")</f>
        <v>Titilayo Okafor</v>
      </c>
      <c r="E38" s="12" t="s">
        <v>858</v>
      </c>
      <c r="F38" s="12" t="s">
        <v>864</v>
      </c>
      <c r="G38" s="12" t="s">
        <v>865</v>
      </c>
      <c r="H38" s="12" t="n">
        <v>54</v>
      </c>
      <c r="I38" s="18" t="n">
        <v>457016.34</v>
      </c>
      <c r="J38" s="19" t="n">
        <f aca="false">H38*I38</f>
        <v>24678882.36</v>
      </c>
      <c r="K38" s="12" t="n">
        <v>47</v>
      </c>
      <c r="L38" s="12" t="s">
        <v>866</v>
      </c>
      <c r="M38" s="12" t="s">
        <v>867</v>
      </c>
    </row>
    <row r="39" customFormat="false" ht="15" hidden="false" customHeight="true" outlineLevel="0" collapsed="false">
      <c r="A39" s="12" t="s">
        <v>922</v>
      </c>
      <c r="B39" s="14" t="n">
        <v>45942</v>
      </c>
      <c r="C39" s="13" t="s">
        <v>255</v>
      </c>
      <c r="D39" s="15" t="str">
        <f aca="false">IFERROR(INDEX(Dim_Employee!$B$2:$B$76,MATCH(C39,Dim_Employee!$A$2:$A$76,0)),"")</f>
        <v>Adaeze Onyeka</v>
      </c>
      <c r="E39" s="12" t="s">
        <v>875</v>
      </c>
      <c r="F39" s="12" t="s">
        <v>859</v>
      </c>
      <c r="G39" s="12" t="s">
        <v>923</v>
      </c>
      <c r="H39" s="12" t="n">
        <v>117</v>
      </c>
      <c r="I39" s="18" t="n">
        <v>781592.83</v>
      </c>
      <c r="J39" s="19" t="n">
        <f aca="false">H39*I39</f>
        <v>91446361.11</v>
      </c>
      <c r="K39" s="12" t="n">
        <v>2</v>
      </c>
      <c r="L39" s="12" t="s">
        <v>861</v>
      </c>
      <c r="M39" s="12" t="s">
        <v>867</v>
      </c>
    </row>
    <row r="40" customFormat="false" ht="15" hidden="false" customHeight="true" outlineLevel="0" collapsed="false">
      <c r="A40" s="12" t="s">
        <v>924</v>
      </c>
      <c r="B40" s="14" t="n">
        <v>45882</v>
      </c>
      <c r="C40" s="13" t="s">
        <v>255</v>
      </c>
      <c r="D40" s="15" t="str">
        <f aca="false">IFERROR(INDEX(Dim_Employee!$B$2:$B$76,MATCH(C40,Dim_Employee!$A$2:$A$76,0)),"")</f>
        <v>Adaeze Onyeka</v>
      </c>
      <c r="E40" s="12" t="s">
        <v>852</v>
      </c>
      <c r="F40" s="12" t="s">
        <v>864</v>
      </c>
      <c r="G40" s="12" t="s">
        <v>909</v>
      </c>
      <c r="H40" s="12" t="n">
        <v>71</v>
      </c>
      <c r="I40" s="18" t="n">
        <v>187908.91</v>
      </c>
      <c r="J40" s="19" t="n">
        <f aca="false">H40*I40</f>
        <v>13341532.61</v>
      </c>
      <c r="K40" s="12" t="n">
        <v>47</v>
      </c>
      <c r="L40" s="12" t="s">
        <v>866</v>
      </c>
      <c r="M40" s="12" t="s">
        <v>878</v>
      </c>
    </row>
    <row r="41" customFormat="false" ht="15" hidden="false" customHeight="true" outlineLevel="0" collapsed="false">
      <c r="A41" s="12" t="s">
        <v>925</v>
      </c>
      <c r="B41" s="14" t="n">
        <v>45762</v>
      </c>
      <c r="C41" s="13" t="s">
        <v>263</v>
      </c>
      <c r="D41" s="15" t="str">
        <f aca="false">IFERROR(INDEX(Dim_Employee!$B$2:$B$76,MATCH(C41,Dim_Employee!$A$2:$A$76,0)),"")</f>
        <v>Amaka Usman</v>
      </c>
      <c r="E41" s="12" t="s">
        <v>875</v>
      </c>
      <c r="F41" s="12" t="s">
        <v>853</v>
      </c>
      <c r="G41" s="12" t="s">
        <v>892</v>
      </c>
      <c r="H41" s="12" t="n">
        <v>187</v>
      </c>
      <c r="I41" s="18" t="n">
        <v>378981.4</v>
      </c>
      <c r="J41" s="19" t="n">
        <f aca="false">H41*I41</f>
        <v>70869521.8</v>
      </c>
      <c r="K41" s="12" t="n">
        <v>29</v>
      </c>
      <c r="L41" s="12" t="s">
        <v>861</v>
      </c>
      <c r="M41" s="12" t="s">
        <v>856</v>
      </c>
    </row>
    <row r="42" customFormat="false" ht="15" hidden="false" customHeight="true" outlineLevel="0" collapsed="false">
      <c r="A42" s="12" t="s">
        <v>926</v>
      </c>
      <c r="B42" s="14" t="n">
        <v>45665</v>
      </c>
      <c r="C42" s="13" t="s">
        <v>240</v>
      </c>
      <c r="D42" s="15" t="str">
        <f aca="false">IFERROR(INDEX(Dim_Employee!$B$2:$B$76,MATCH(C42,Dim_Employee!$A$2:$A$76,0)),"")</f>
        <v>Titilayo Okafor</v>
      </c>
      <c r="E42" s="12" t="s">
        <v>863</v>
      </c>
      <c r="F42" s="12" t="s">
        <v>864</v>
      </c>
      <c r="G42" s="12" t="s">
        <v>865</v>
      </c>
      <c r="H42" s="12" t="n">
        <v>153</v>
      </c>
      <c r="I42" s="18" t="n">
        <v>423331.09</v>
      </c>
      <c r="J42" s="19" t="n">
        <f aca="false">H42*I42</f>
        <v>64769656.77</v>
      </c>
      <c r="K42" s="12" t="n">
        <v>16</v>
      </c>
      <c r="L42" s="12" t="s">
        <v>855</v>
      </c>
      <c r="M42" s="12" t="s">
        <v>856</v>
      </c>
    </row>
    <row r="43" customFormat="false" ht="15" hidden="false" customHeight="true" outlineLevel="0" collapsed="false">
      <c r="A43" s="12" t="s">
        <v>927</v>
      </c>
      <c r="B43" s="14" t="n">
        <v>45763</v>
      </c>
      <c r="C43" s="13" t="s">
        <v>240</v>
      </c>
      <c r="D43" s="15" t="str">
        <f aca="false">IFERROR(INDEX(Dim_Employee!$B$2:$B$76,MATCH(C43,Dim_Employee!$A$2:$A$76,0)),"")</f>
        <v>Titilayo Okafor</v>
      </c>
      <c r="E43" s="12" t="s">
        <v>928</v>
      </c>
      <c r="F43" s="12" t="s">
        <v>859</v>
      </c>
      <c r="G43" s="12" t="s">
        <v>923</v>
      </c>
      <c r="H43" s="12" t="n">
        <v>200</v>
      </c>
      <c r="I43" s="18" t="n">
        <v>780302.58</v>
      </c>
      <c r="J43" s="19" t="n">
        <f aca="false">H43*I43</f>
        <v>156060516</v>
      </c>
      <c r="K43" s="12" t="n">
        <v>8</v>
      </c>
      <c r="L43" s="12" t="s">
        <v>866</v>
      </c>
      <c r="M43" s="12" t="s">
        <v>856</v>
      </c>
    </row>
    <row r="44" customFormat="false" ht="15" hidden="false" customHeight="true" outlineLevel="0" collapsed="false">
      <c r="A44" s="12" t="s">
        <v>929</v>
      </c>
      <c r="B44" s="14" t="n">
        <v>45789</v>
      </c>
      <c r="C44" s="13" t="s">
        <v>99</v>
      </c>
      <c r="D44" s="15" t="str">
        <f aca="false">IFERROR(INDEX(Dim_Employee!$B$2:$B$76,MATCH(C44,Dim_Employee!$A$2:$A$76,0)),"")</f>
        <v>Zainab Igwe</v>
      </c>
      <c r="E44" s="12" t="s">
        <v>858</v>
      </c>
      <c r="F44" s="12" t="s">
        <v>853</v>
      </c>
      <c r="G44" s="12" t="s">
        <v>872</v>
      </c>
      <c r="H44" s="12" t="n">
        <v>58</v>
      </c>
      <c r="I44" s="18" t="n">
        <v>560559.92</v>
      </c>
      <c r="J44" s="19" t="n">
        <f aca="false">H44*I44</f>
        <v>32512475.36</v>
      </c>
      <c r="K44" s="12" t="n">
        <v>29</v>
      </c>
      <c r="L44" s="12" t="s">
        <v>866</v>
      </c>
      <c r="M44" s="12" t="s">
        <v>856</v>
      </c>
    </row>
    <row r="45" customFormat="false" ht="15" hidden="false" customHeight="true" outlineLevel="0" collapsed="false">
      <c r="A45" s="12" t="s">
        <v>930</v>
      </c>
      <c r="B45" s="14" t="n">
        <v>45808</v>
      </c>
      <c r="C45" s="13" t="s">
        <v>240</v>
      </c>
      <c r="D45" s="15" t="str">
        <f aca="false">IFERROR(INDEX(Dim_Employee!$B$2:$B$76,MATCH(C45,Dim_Employee!$A$2:$A$76,0)),"")</f>
        <v>Titilayo Okafor</v>
      </c>
      <c r="E45" s="12" t="s">
        <v>883</v>
      </c>
      <c r="F45" s="12" t="s">
        <v>864</v>
      </c>
      <c r="G45" s="12" t="s">
        <v>869</v>
      </c>
      <c r="H45" s="12" t="n">
        <v>41</v>
      </c>
      <c r="I45" s="18" t="n">
        <v>710953.82</v>
      </c>
      <c r="J45" s="19" t="n">
        <f aca="false">H45*I45</f>
        <v>29149106.62</v>
      </c>
      <c r="K45" s="12" t="n">
        <v>47</v>
      </c>
      <c r="L45" s="12" t="s">
        <v>866</v>
      </c>
      <c r="M45" s="12" t="s">
        <v>867</v>
      </c>
    </row>
    <row r="46" customFormat="false" ht="15" hidden="false" customHeight="true" outlineLevel="0" collapsed="false">
      <c r="A46" s="12" t="s">
        <v>931</v>
      </c>
      <c r="B46" s="14" t="n">
        <v>45735</v>
      </c>
      <c r="C46" s="13" t="s">
        <v>250</v>
      </c>
      <c r="D46" s="15" t="str">
        <f aca="false">IFERROR(INDEX(Dim_Employee!$B$2:$B$76,MATCH(C46,Dim_Employee!$A$2:$A$76,0)),"")</f>
        <v>Ibrahim Abubakar</v>
      </c>
      <c r="E46" s="12" t="s">
        <v>883</v>
      </c>
      <c r="F46" s="12" t="s">
        <v>888</v>
      </c>
      <c r="G46" s="12" t="s">
        <v>903</v>
      </c>
      <c r="H46" s="12" t="n">
        <v>141</v>
      </c>
      <c r="I46" s="18" t="n">
        <v>715347.54</v>
      </c>
      <c r="J46" s="19" t="n">
        <f aca="false">H46*I46</f>
        <v>100864003.14</v>
      </c>
      <c r="K46" s="12" t="n">
        <v>4</v>
      </c>
      <c r="L46" s="12" t="s">
        <v>855</v>
      </c>
      <c r="M46" s="12" t="s">
        <v>867</v>
      </c>
    </row>
    <row r="47" customFormat="false" ht="15" hidden="false" customHeight="true" outlineLevel="0" collapsed="false">
      <c r="A47" s="12" t="s">
        <v>932</v>
      </c>
      <c r="B47" s="14" t="n">
        <v>45937</v>
      </c>
      <c r="C47" s="13" t="s">
        <v>240</v>
      </c>
      <c r="D47" s="15" t="str">
        <f aca="false">IFERROR(INDEX(Dim_Employee!$B$2:$B$76,MATCH(C47,Dim_Employee!$A$2:$A$76,0)),"")</f>
        <v>Titilayo Okafor</v>
      </c>
      <c r="E47" s="12" t="s">
        <v>928</v>
      </c>
      <c r="F47" s="12" t="s">
        <v>880</v>
      </c>
      <c r="G47" s="12" t="s">
        <v>881</v>
      </c>
      <c r="H47" s="12" t="n">
        <v>75</v>
      </c>
      <c r="I47" s="18" t="n">
        <v>191025.16</v>
      </c>
      <c r="J47" s="19" t="n">
        <f aca="false">H47*I47</f>
        <v>14326887</v>
      </c>
      <c r="K47" s="12" t="n">
        <v>31</v>
      </c>
      <c r="L47" s="12" t="s">
        <v>866</v>
      </c>
      <c r="M47" s="12" t="s">
        <v>878</v>
      </c>
    </row>
    <row r="48" customFormat="false" ht="15" hidden="false" customHeight="true" outlineLevel="0" collapsed="false">
      <c r="A48" s="12" t="s">
        <v>933</v>
      </c>
      <c r="B48" s="14" t="n">
        <v>45716</v>
      </c>
      <c r="C48" s="13" t="s">
        <v>240</v>
      </c>
      <c r="D48" s="15" t="str">
        <f aca="false">IFERROR(INDEX(Dim_Employee!$B$2:$B$76,MATCH(C48,Dim_Employee!$A$2:$A$76,0)),"")</f>
        <v>Titilayo Okafor</v>
      </c>
      <c r="E48" s="12" t="s">
        <v>875</v>
      </c>
      <c r="F48" s="12" t="s">
        <v>853</v>
      </c>
      <c r="G48" s="12" t="s">
        <v>854</v>
      </c>
      <c r="H48" s="12" t="n">
        <v>86</v>
      </c>
      <c r="I48" s="18" t="n">
        <v>577552.45</v>
      </c>
      <c r="J48" s="19" t="n">
        <f aca="false">H48*I48</f>
        <v>49669510.7</v>
      </c>
      <c r="K48" s="12" t="n">
        <v>9</v>
      </c>
      <c r="L48" s="12" t="s">
        <v>866</v>
      </c>
      <c r="M48" s="12" t="s">
        <v>878</v>
      </c>
    </row>
    <row r="49" customFormat="false" ht="15" hidden="false" customHeight="true" outlineLevel="0" collapsed="false">
      <c r="A49" s="12" t="s">
        <v>934</v>
      </c>
      <c r="B49" s="14" t="n">
        <v>45912</v>
      </c>
      <c r="C49" s="13" t="s">
        <v>235</v>
      </c>
      <c r="D49" s="15" t="str">
        <f aca="false">IFERROR(INDEX(Dim_Employee!$B$2:$B$76,MATCH(C49,Dim_Employee!$A$2:$A$76,0)),"")</f>
        <v>Uche Ibe</v>
      </c>
      <c r="E49" s="12" t="s">
        <v>928</v>
      </c>
      <c r="F49" s="12" t="s">
        <v>888</v>
      </c>
      <c r="G49" s="12" t="s">
        <v>935</v>
      </c>
      <c r="H49" s="12" t="n">
        <v>126</v>
      </c>
      <c r="I49" s="18" t="n">
        <v>296734.35</v>
      </c>
      <c r="J49" s="19" t="n">
        <f aca="false">H49*I49</f>
        <v>37388528.1</v>
      </c>
      <c r="K49" s="12" t="n">
        <v>33</v>
      </c>
      <c r="L49" s="12" t="s">
        <v>855</v>
      </c>
      <c r="M49" s="12" t="s">
        <v>867</v>
      </c>
    </row>
    <row r="50" customFormat="false" ht="15" hidden="false" customHeight="true" outlineLevel="0" collapsed="false">
      <c r="A50" s="12" t="s">
        <v>936</v>
      </c>
      <c r="B50" s="14" t="n">
        <v>45774</v>
      </c>
      <c r="C50" s="13" t="s">
        <v>235</v>
      </c>
      <c r="D50" s="15" t="str">
        <f aca="false">IFERROR(INDEX(Dim_Employee!$B$2:$B$76,MATCH(C50,Dim_Employee!$A$2:$A$76,0)),"")</f>
        <v>Uche Ibe</v>
      </c>
      <c r="E50" s="12" t="s">
        <v>852</v>
      </c>
      <c r="F50" s="12" t="s">
        <v>859</v>
      </c>
      <c r="G50" s="12" t="s">
        <v>860</v>
      </c>
      <c r="H50" s="12" t="n">
        <v>36</v>
      </c>
      <c r="I50" s="18" t="n">
        <v>400681.65</v>
      </c>
      <c r="J50" s="19" t="n">
        <f aca="false">H50*I50</f>
        <v>14424539.4</v>
      </c>
      <c r="K50" s="12" t="n">
        <v>39</v>
      </c>
      <c r="L50" s="12" t="s">
        <v>861</v>
      </c>
      <c r="M50" s="12" t="s">
        <v>856</v>
      </c>
    </row>
    <row r="51" customFormat="false" ht="15" hidden="false" customHeight="true" outlineLevel="0" collapsed="false">
      <c r="A51" s="12" t="s">
        <v>937</v>
      </c>
      <c r="B51" s="14" t="n">
        <v>45683</v>
      </c>
      <c r="C51" s="13" t="s">
        <v>255</v>
      </c>
      <c r="D51" s="15" t="str">
        <f aca="false">IFERROR(INDEX(Dim_Employee!$B$2:$B$76,MATCH(C51,Dim_Employee!$A$2:$A$76,0)),"")</f>
        <v>Adaeze Onyeka</v>
      </c>
      <c r="E51" s="12" t="s">
        <v>863</v>
      </c>
      <c r="F51" s="12" t="s">
        <v>859</v>
      </c>
      <c r="G51" s="12" t="s">
        <v>923</v>
      </c>
      <c r="H51" s="12" t="n">
        <v>39</v>
      </c>
      <c r="I51" s="18" t="n">
        <v>558567.3</v>
      </c>
      <c r="J51" s="19" t="n">
        <f aca="false">H51*I51</f>
        <v>21784124.7</v>
      </c>
      <c r="K51" s="12" t="n">
        <v>24</v>
      </c>
      <c r="L51" s="12" t="s">
        <v>873</v>
      </c>
      <c r="M51" s="12" t="s">
        <v>867</v>
      </c>
    </row>
    <row r="52" customFormat="false" ht="15" hidden="false" customHeight="true" outlineLevel="0" collapsed="false">
      <c r="A52" s="12" t="s">
        <v>938</v>
      </c>
      <c r="B52" s="14" t="n">
        <v>45714</v>
      </c>
      <c r="C52" s="13" t="s">
        <v>245</v>
      </c>
      <c r="D52" s="15" t="str">
        <f aca="false">IFERROR(INDEX(Dim_Employee!$B$2:$B$76,MATCH(C52,Dim_Employee!$A$2:$A$76,0)),"")</f>
        <v>Emeka Bakare</v>
      </c>
      <c r="E52" s="12" t="s">
        <v>852</v>
      </c>
      <c r="F52" s="12" t="s">
        <v>888</v>
      </c>
      <c r="G52" s="12" t="s">
        <v>935</v>
      </c>
      <c r="H52" s="12" t="n">
        <v>191</v>
      </c>
      <c r="I52" s="18" t="n">
        <v>310397.24</v>
      </c>
      <c r="J52" s="19" t="n">
        <f aca="false">H52*I52</f>
        <v>59285872.84</v>
      </c>
      <c r="K52" s="12" t="n">
        <v>48</v>
      </c>
      <c r="L52" s="12" t="s">
        <v>873</v>
      </c>
      <c r="M52" s="12" t="s">
        <v>856</v>
      </c>
    </row>
    <row r="53" customFormat="false" ht="15" hidden="false" customHeight="true" outlineLevel="0" collapsed="false">
      <c r="A53" s="12" t="s">
        <v>939</v>
      </c>
      <c r="B53" s="14" t="n">
        <v>45676</v>
      </c>
      <c r="C53" s="13" t="s">
        <v>235</v>
      </c>
      <c r="D53" s="15" t="str">
        <f aca="false">IFERROR(INDEX(Dim_Employee!$B$2:$B$76,MATCH(C53,Dim_Employee!$A$2:$A$76,0)),"")</f>
        <v>Uche Ibe</v>
      </c>
      <c r="E53" s="12" t="s">
        <v>875</v>
      </c>
      <c r="F53" s="12" t="s">
        <v>859</v>
      </c>
      <c r="G53" s="12" t="s">
        <v>860</v>
      </c>
      <c r="H53" s="12" t="n">
        <v>153</v>
      </c>
      <c r="I53" s="18" t="n">
        <v>335183.86</v>
      </c>
      <c r="J53" s="19" t="n">
        <f aca="false">H53*I53</f>
        <v>51283130.58</v>
      </c>
      <c r="K53" s="12" t="n">
        <v>34</v>
      </c>
      <c r="L53" s="12" t="s">
        <v>861</v>
      </c>
      <c r="M53" s="12" t="s">
        <v>867</v>
      </c>
    </row>
    <row r="54" customFormat="false" ht="15" hidden="false" customHeight="true" outlineLevel="0" collapsed="false">
      <c r="A54" s="12" t="s">
        <v>940</v>
      </c>
      <c r="B54" s="14" t="n">
        <v>45697</v>
      </c>
      <c r="C54" s="13" t="s">
        <v>240</v>
      </c>
      <c r="D54" s="15" t="str">
        <f aca="false">IFERROR(INDEX(Dim_Employee!$B$2:$B$76,MATCH(C54,Dim_Employee!$A$2:$A$76,0)),"")</f>
        <v>Titilayo Okafor</v>
      </c>
      <c r="E54" s="12" t="s">
        <v>871</v>
      </c>
      <c r="F54" s="12" t="s">
        <v>853</v>
      </c>
      <c r="G54" s="12" t="s">
        <v>872</v>
      </c>
      <c r="H54" s="12" t="n">
        <v>148</v>
      </c>
      <c r="I54" s="18" t="n">
        <v>711855.89</v>
      </c>
      <c r="J54" s="19" t="n">
        <f aca="false">H54*I54</f>
        <v>105354671.72</v>
      </c>
      <c r="K54" s="12" t="n">
        <v>44</v>
      </c>
      <c r="L54" s="12" t="s">
        <v>866</v>
      </c>
      <c r="M54" s="12" t="s">
        <v>867</v>
      </c>
    </row>
    <row r="55" customFormat="false" ht="15" hidden="false" customHeight="true" outlineLevel="0" collapsed="false">
      <c r="A55" s="12" t="s">
        <v>941</v>
      </c>
      <c r="B55" s="14" t="n">
        <v>45988</v>
      </c>
      <c r="C55" s="13" t="s">
        <v>240</v>
      </c>
      <c r="D55" s="15" t="str">
        <f aca="false">IFERROR(INDEX(Dim_Employee!$B$2:$B$76,MATCH(C55,Dim_Employee!$A$2:$A$76,0)),"")</f>
        <v>Titilayo Okafor</v>
      </c>
      <c r="E55" s="12" t="s">
        <v>858</v>
      </c>
      <c r="F55" s="12" t="s">
        <v>880</v>
      </c>
      <c r="G55" s="12" t="s">
        <v>894</v>
      </c>
      <c r="H55" s="12" t="n">
        <v>24</v>
      </c>
      <c r="I55" s="18" t="n">
        <v>282888.79</v>
      </c>
      <c r="J55" s="19" t="n">
        <f aca="false">H55*I55</f>
        <v>6789330.96</v>
      </c>
      <c r="K55" s="12" t="n">
        <v>11</v>
      </c>
      <c r="L55" s="12" t="s">
        <v>855</v>
      </c>
      <c r="M55" s="12" t="s">
        <v>856</v>
      </c>
    </row>
    <row r="56" customFormat="false" ht="15" hidden="false" customHeight="true" outlineLevel="0" collapsed="false">
      <c r="A56" s="12" t="s">
        <v>942</v>
      </c>
      <c r="B56" s="14" t="n">
        <v>45796</v>
      </c>
      <c r="C56" s="13" t="s">
        <v>235</v>
      </c>
      <c r="D56" s="15" t="str">
        <f aca="false">IFERROR(INDEX(Dim_Employee!$B$2:$B$76,MATCH(C56,Dim_Employee!$A$2:$A$76,0)),"")</f>
        <v>Uche Ibe</v>
      </c>
      <c r="E56" s="12" t="s">
        <v>928</v>
      </c>
      <c r="F56" s="12" t="s">
        <v>859</v>
      </c>
      <c r="G56" s="12" t="s">
        <v>923</v>
      </c>
      <c r="H56" s="12" t="n">
        <v>30</v>
      </c>
      <c r="I56" s="18" t="n">
        <v>131384.65</v>
      </c>
      <c r="J56" s="19" t="n">
        <f aca="false">H56*I56</f>
        <v>3941539.5</v>
      </c>
      <c r="K56" s="12" t="n">
        <v>31</v>
      </c>
      <c r="L56" s="12" t="s">
        <v>866</v>
      </c>
      <c r="M56" s="12" t="s">
        <v>856</v>
      </c>
    </row>
    <row r="57" customFormat="false" ht="15" hidden="false" customHeight="true" outlineLevel="0" collapsed="false">
      <c r="A57" s="12" t="s">
        <v>943</v>
      </c>
      <c r="B57" s="14" t="n">
        <v>45759</v>
      </c>
      <c r="C57" s="13" t="s">
        <v>99</v>
      </c>
      <c r="D57" s="15" t="str">
        <f aca="false">IFERROR(INDEX(Dim_Employee!$B$2:$B$76,MATCH(C57,Dim_Employee!$A$2:$A$76,0)),"")</f>
        <v>Zainab Igwe</v>
      </c>
      <c r="E57" s="12" t="s">
        <v>852</v>
      </c>
      <c r="F57" s="12" t="s">
        <v>876</v>
      </c>
      <c r="G57" s="12" t="s">
        <v>944</v>
      </c>
      <c r="H57" s="12" t="n">
        <v>66</v>
      </c>
      <c r="I57" s="18" t="n">
        <v>312813.98</v>
      </c>
      <c r="J57" s="19" t="n">
        <f aca="false">H57*I57</f>
        <v>20645722.68</v>
      </c>
      <c r="K57" s="12" t="n">
        <v>37</v>
      </c>
      <c r="L57" s="12" t="s">
        <v>866</v>
      </c>
      <c r="M57" s="12" t="s">
        <v>856</v>
      </c>
    </row>
    <row r="58" customFormat="false" ht="15" hidden="false" customHeight="true" outlineLevel="0" collapsed="false">
      <c r="A58" s="12" t="s">
        <v>945</v>
      </c>
      <c r="B58" s="14" t="n">
        <v>45706</v>
      </c>
      <c r="C58" s="13" t="s">
        <v>245</v>
      </c>
      <c r="D58" s="15" t="str">
        <f aca="false">IFERROR(INDEX(Dim_Employee!$B$2:$B$76,MATCH(C58,Dim_Employee!$A$2:$A$76,0)),"")</f>
        <v>Emeka Bakare</v>
      </c>
      <c r="E58" s="12" t="s">
        <v>875</v>
      </c>
      <c r="F58" s="12" t="s">
        <v>880</v>
      </c>
      <c r="G58" s="12" t="s">
        <v>881</v>
      </c>
      <c r="H58" s="12" t="n">
        <v>137</v>
      </c>
      <c r="I58" s="18" t="n">
        <v>427274.18</v>
      </c>
      <c r="J58" s="19" t="n">
        <f aca="false">H58*I58</f>
        <v>58536562.66</v>
      </c>
      <c r="K58" s="12" t="n">
        <v>5</v>
      </c>
      <c r="L58" s="12" t="s">
        <v>873</v>
      </c>
      <c r="M58" s="12" t="s">
        <v>878</v>
      </c>
    </row>
    <row r="59" customFormat="false" ht="15" hidden="false" customHeight="true" outlineLevel="0" collapsed="false">
      <c r="A59" s="12" t="s">
        <v>946</v>
      </c>
      <c r="B59" s="14" t="n">
        <v>45745</v>
      </c>
      <c r="C59" s="13" t="s">
        <v>245</v>
      </c>
      <c r="D59" s="15" t="str">
        <f aca="false">IFERROR(INDEX(Dim_Employee!$B$2:$B$76,MATCH(C59,Dim_Employee!$A$2:$A$76,0)),"")</f>
        <v>Emeka Bakare</v>
      </c>
      <c r="E59" s="12" t="s">
        <v>863</v>
      </c>
      <c r="F59" s="12" t="s">
        <v>880</v>
      </c>
      <c r="G59" s="12" t="s">
        <v>894</v>
      </c>
      <c r="H59" s="12" t="n">
        <v>191</v>
      </c>
      <c r="I59" s="18" t="n">
        <v>196028.77</v>
      </c>
      <c r="J59" s="19" t="n">
        <f aca="false">H59*I59</f>
        <v>37441495.07</v>
      </c>
      <c r="K59" s="12" t="n">
        <v>3</v>
      </c>
      <c r="L59" s="12" t="s">
        <v>873</v>
      </c>
      <c r="M59" s="12" t="s">
        <v>867</v>
      </c>
    </row>
    <row r="60" customFormat="false" ht="15" hidden="false" customHeight="true" outlineLevel="0" collapsed="false">
      <c r="A60" s="12" t="s">
        <v>947</v>
      </c>
      <c r="B60" s="14" t="n">
        <v>45701</v>
      </c>
      <c r="C60" s="13" t="s">
        <v>235</v>
      </c>
      <c r="D60" s="15" t="str">
        <f aca="false">IFERROR(INDEX(Dim_Employee!$B$2:$B$76,MATCH(C60,Dim_Employee!$A$2:$A$76,0)),"")</f>
        <v>Uche Ibe</v>
      </c>
      <c r="E60" s="12" t="s">
        <v>883</v>
      </c>
      <c r="F60" s="12" t="s">
        <v>888</v>
      </c>
      <c r="G60" s="12" t="s">
        <v>935</v>
      </c>
      <c r="H60" s="12" t="n">
        <v>146</v>
      </c>
      <c r="I60" s="18" t="n">
        <v>757093.42</v>
      </c>
      <c r="J60" s="19" t="n">
        <f aca="false">H60*I60</f>
        <v>110535639.32</v>
      </c>
      <c r="K60" s="12" t="n">
        <v>17</v>
      </c>
      <c r="L60" s="12" t="s">
        <v>861</v>
      </c>
      <c r="M60" s="12" t="s">
        <v>856</v>
      </c>
    </row>
    <row r="61" customFormat="false" ht="15" hidden="false" customHeight="true" outlineLevel="0" collapsed="false">
      <c r="A61" s="12" t="s">
        <v>948</v>
      </c>
      <c r="B61" s="14" t="n">
        <v>45679</v>
      </c>
      <c r="C61" s="13" t="s">
        <v>235</v>
      </c>
      <c r="D61" s="15" t="str">
        <f aca="false">IFERROR(INDEX(Dim_Employee!$B$2:$B$76,MATCH(C61,Dim_Employee!$A$2:$A$76,0)),"")</f>
        <v>Uche Ibe</v>
      </c>
      <c r="E61" s="12" t="s">
        <v>883</v>
      </c>
      <c r="F61" s="12" t="s">
        <v>876</v>
      </c>
      <c r="G61" s="12" t="s">
        <v>899</v>
      </c>
      <c r="H61" s="12" t="n">
        <v>87</v>
      </c>
      <c r="I61" s="18" t="n">
        <v>835534.61</v>
      </c>
      <c r="J61" s="19" t="n">
        <f aca="false">H61*I61</f>
        <v>72691511.07</v>
      </c>
      <c r="K61" s="12" t="n">
        <v>51</v>
      </c>
      <c r="L61" s="12" t="s">
        <v>866</v>
      </c>
      <c r="M61" s="12" t="s">
        <v>867</v>
      </c>
    </row>
    <row r="62" customFormat="false" ht="15" hidden="false" customHeight="true" outlineLevel="0" collapsed="false">
      <c r="A62" s="12" t="s">
        <v>949</v>
      </c>
      <c r="B62" s="14" t="n">
        <v>45751</v>
      </c>
      <c r="C62" s="13" t="s">
        <v>255</v>
      </c>
      <c r="D62" s="15" t="str">
        <f aca="false">IFERROR(INDEX(Dim_Employee!$B$2:$B$76,MATCH(C62,Dim_Employee!$A$2:$A$76,0)),"")</f>
        <v>Adaeze Onyeka</v>
      </c>
      <c r="E62" s="12" t="s">
        <v>875</v>
      </c>
      <c r="F62" s="12" t="s">
        <v>864</v>
      </c>
      <c r="G62" s="12" t="s">
        <v>869</v>
      </c>
      <c r="H62" s="12" t="n">
        <v>195</v>
      </c>
      <c r="I62" s="18" t="n">
        <v>393328.67</v>
      </c>
      <c r="J62" s="19" t="n">
        <f aca="false">H62*I62</f>
        <v>76699090.65</v>
      </c>
      <c r="K62" s="12" t="n">
        <v>28</v>
      </c>
      <c r="L62" s="12" t="s">
        <v>873</v>
      </c>
      <c r="M62" s="12" t="s">
        <v>856</v>
      </c>
    </row>
    <row r="63" customFormat="false" ht="15" hidden="false" customHeight="true" outlineLevel="0" collapsed="false">
      <c r="A63" s="12" t="s">
        <v>950</v>
      </c>
      <c r="B63" s="14" t="n">
        <v>46005</v>
      </c>
      <c r="C63" s="13" t="s">
        <v>235</v>
      </c>
      <c r="D63" s="15" t="str">
        <f aca="false">IFERROR(INDEX(Dim_Employee!$B$2:$B$76,MATCH(C63,Dim_Employee!$A$2:$A$76,0)),"")</f>
        <v>Uche Ibe</v>
      </c>
      <c r="E63" s="12" t="s">
        <v>863</v>
      </c>
      <c r="F63" s="12" t="s">
        <v>859</v>
      </c>
      <c r="G63" s="12" t="s">
        <v>860</v>
      </c>
      <c r="H63" s="12" t="n">
        <v>38</v>
      </c>
      <c r="I63" s="18" t="n">
        <v>624090.93</v>
      </c>
      <c r="J63" s="19" t="n">
        <f aca="false">H63*I63</f>
        <v>23715455.34</v>
      </c>
      <c r="K63" s="12" t="n">
        <v>53</v>
      </c>
      <c r="L63" s="12" t="s">
        <v>855</v>
      </c>
      <c r="M63" s="12" t="s">
        <v>856</v>
      </c>
    </row>
    <row r="64" customFormat="false" ht="15" hidden="false" customHeight="true" outlineLevel="0" collapsed="false">
      <c r="A64" s="12" t="s">
        <v>951</v>
      </c>
      <c r="B64" s="14" t="n">
        <v>46020</v>
      </c>
      <c r="C64" s="13" t="s">
        <v>245</v>
      </c>
      <c r="D64" s="15" t="str">
        <f aca="false">IFERROR(INDEX(Dim_Employee!$B$2:$B$76,MATCH(C64,Dim_Employee!$A$2:$A$76,0)),"")</f>
        <v>Emeka Bakare</v>
      </c>
      <c r="E64" s="12" t="s">
        <v>928</v>
      </c>
      <c r="F64" s="12" t="s">
        <v>859</v>
      </c>
      <c r="G64" s="12" t="s">
        <v>860</v>
      </c>
      <c r="H64" s="12" t="n">
        <v>57</v>
      </c>
      <c r="I64" s="18" t="n">
        <v>583601.77</v>
      </c>
      <c r="J64" s="19" t="n">
        <f aca="false">H64*I64</f>
        <v>33265300.89</v>
      </c>
      <c r="K64" s="12" t="n">
        <v>52</v>
      </c>
      <c r="L64" s="12" t="s">
        <v>873</v>
      </c>
      <c r="M64" s="12" t="s">
        <v>856</v>
      </c>
    </row>
    <row r="65" customFormat="false" ht="15" hidden="false" customHeight="true" outlineLevel="0" collapsed="false">
      <c r="A65" s="12" t="s">
        <v>952</v>
      </c>
      <c r="B65" s="14" t="n">
        <v>45693</v>
      </c>
      <c r="C65" s="13" t="s">
        <v>263</v>
      </c>
      <c r="D65" s="15" t="str">
        <f aca="false">IFERROR(INDEX(Dim_Employee!$B$2:$B$76,MATCH(C65,Dim_Employee!$A$2:$A$76,0)),"")</f>
        <v>Amaka Usman</v>
      </c>
      <c r="E65" s="12" t="s">
        <v>928</v>
      </c>
      <c r="F65" s="12" t="s">
        <v>876</v>
      </c>
      <c r="G65" s="12" t="s">
        <v>877</v>
      </c>
      <c r="H65" s="12" t="n">
        <v>200</v>
      </c>
      <c r="I65" s="18" t="n">
        <v>281506.47</v>
      </c>
      <c r="J65" s="19" t="n">
        <f aca="false">H65*I65</f>
        <v>56301294</v>
      </c>
      <c r="K65" s="12" t="n">
        <v>57</v>
      </c>
      <c r="L65" s="12" t="s">
        <v>861</v>
      </c>
      <c r="M65" s="12" t="s">
        <v>867</v>
      </c>
    </row>
    <row r="66" customFormat="false" ht="15" hidden="false" customHeight="true" outlineLevel="0" collapsed="false">
      <c r="A66" s="12" t="s">
        <v>953</v>
      </c>
      <c r="B66" s="14" t="n">
        <v>45836</v>
      </c>
      <c r="C66" s="13" t="s">
        <v>259</v>
      </c>
      <c r="D66" s="15" t="str">
        <f aca="false">IFERROR(INDEX(Dim_Employee!$B$2:$B$76,MATCH(C66,Dim_Employee!$A$2:$A$76,0)),"")</f>
        <v>Blessing Balogun</v>
      </c>
      <c r="E66" s="12" t="s">
        <v>863</v>
      </c>
      <c r="F66" s="12" t="s">
        <v>864</v>
      </c>
      <c r="G66" s="12" t="s">
        <v>865</v>
      </c>
      <c r="H66" s="12" t="n">
        <v>167</v>
      </c>
      <c r="I66" s="18" t="n">
        <v>610251.5</v>
      </c>
      <c r="J66" s="19" t="n">
        <f aca="false">H66*I66</f>
        <v>101912000.5</v>
      </c>
      <c r="K66" s="12" t="n">
        <v>45</v>
      </c>
      <c r="L66" s="12" t="s">
        <v>873</v>
      </c>
      <c r="M66" s="12" t="s">
        <v>856</v>
      </c>
    </row>
    <row r="67" customFormat="false" ht="15" hidden="false" customHeight="true" outlineLevel="0" collapsed="false">
      <c r="A67" s="12" t="s">
        <v>954</v>
      </c>
      <c r="B67" s="14" t="n">
        <v>45896</v>
      </c>
      <c r="C67" s="13" t="s">
        <v>250</v>
      </c>
      <c r="D67" s="15" t="str">
        <f aca="false">IFERROR(INDEX(Dim_Employee!$B$2:$B$76,MATCH(C67,Dim_Employee!$A$2:$A$76,0)),"")</f>
        <v>Ibrahim Abubakar</v>
      </c>
      <c r="E67" s="12" t="s">
        <v>863</v>
      </c>
      <c r="F67" s="12" t="s">
        <v>880</v>
      </c>
      <c r="G67" s="12" t="s">
        <v>894</v>
      </c>
      <c r="H67" s="12" t="n">
        <v>78</v>
      </c>
      <c r="I67" s="18" t="n">
        <v>769209.52</v>
      </c>
      <c r="J67" s="19" t="n">
        <f aca="false">H67*I67</f>
        <v>59998342.56</v>
      </c>
      <c r="K67" s="12" t="n">
        <v>26</v>
      </c>
      <c r="L67" s="12" t="s">
        <v>855</v>
      </c>
      <c r="M67" s="12" t="s">
        <v>878</v>
      </c>
    </row>
    <row r="68" customFormat="false" ht="15" hidden="false" customHeight="true" outlineLevel="0" collapsed="false">
      <c r="A68" s="12" t="s">
        <v>955</v>
      </c>
      <c r="B68" s="14" t="n">
        <v>45776</v>
      </c>
      <c r="C68" s="13" t="s">
        <v>235</v>
      </c>
      <c r="D68" s="15" t="str">
        <f aca="false">IFERROR(INDEX(Dim_Employee!$B$2:$B$76,MATCH(C68,Dim_Employee!$A$2:$A$76,0)),"")</f>
        <v>Uche Ibe</v>
      </c>
      <c r="E68" s="12" t="s">
        <v>883</v>
      </c>
      <c r="F68" s="12" t="s">
        <v>864</v>
      </c>
      <c r="G68" s="12" t="s">
        <v>909</v>
      </c>
      <c r="H68" s="12" t="n">
        <v>65</v>
      </c>
      <c r="I68" s="18" t="n">
        <v>638481.87</v>
      </c>
      <c r="J68" s="19" t="n">
        <f aca="false">H68*I68</f>
        <v>41501321.55</v>
      </c>
      <c r="K68" s="12" t="n">
        <v>39</v>
      </c>
      <c r="L68" s="12" t="s">
        <v>873</v>
      </c>
      <c r="M68" s="12" t="s">
        <v>878</v>
      </c>
    </row>
    <row r="69" customFormat="false" ht="15" hidden="false" customHeight="true" outlineLevel="0" collapsed="false">
      <c r="A69" s="12" t="s">
        <v>956</v>
      </c>
      <c r="B69" s="14" t="n">
        <v>46008</v>
      </c>
      <c r="C69" s="13" t="s">
        <v>245</v>
      </c>
      <c r="D69" s="15" t="str">
        <f aca="false">IFERROR(INDEX(Dim_Employee!$B$2:$B$76,MATCH(C69,Dim_Employee!$A$2:$A$76,0)),"")</f>
        <v>Emeka Bakare</v>
      </c>
      <c r="E69" s="12" t="s">
        <v>875</v>
      </c>
      <c r="F69" s="12" t="s">
        <v>853</v>
      </c>
      <c r="G69" s="12" t="s">
        <v>854</v>
      </c>
      <c r="H69" s="12" t="n">
        <v>148</v>
      </c>
      <c r="I69" s="18" t="n">
        <v>772038.89</v>
      </c>
      <c r="J69" s="19" t="n">
        <f aca="false">H69*I69</f>
        <v>114261755.72</v>
      </c>
      <c r="K69" s="12" t="n">
        <v>44</v>
      </c>
      <c r="L69" s="12" t="s">
        <v>873</v>
      </c>
      <c r="M69" s="12" t="s">
        <v>878</v>
      </c>
    </row>
    <row r="70" customFormat="false" ht="15" hidden="false" customHeight="true" outlineLevel="0" collapsed="false">
      <c r="A70" s="12" t="s">
        <v>957</v>
      </c>
      <c r="B70" s="14" t="n">
        <v>45774</v>
      </c>
      <c r="C70" s="13" t="s">
        <v>255</v>
      </c>
      <c r="D70" s="15" t="str">
        <f aca="false">IFERROR(INDEX(Dim_Employee!$B$2:$B$76,MATCH(C70,Dim_Employee!$A$2:$A$76,0)),"")</f>
        <v>Adaeze Onyeka</v>
      </c>
      <c r="E70" s="12" t="s">
        <v>871</v>
      </c>
      <c r="F70" s="12" t="s">
        <v>853</v>
      </c>
      <c r="G70" s="12" t="s">
        <v>872</v>
      </c>
      <c r="H70" s="12" t="n">
        <v>104</v>
      </c>
      <c r="I70" s="18" t="n">
        <v>805976.92</v>
      </c>
      <c r="J70" s="19" t="n">
        <f aca="false">H70*I70</f>
        <v>83821599.68</v>
      </c>
      <c r="K70" s="12" t="n">
        <v>40</v>
      </c>
      <c r="L70" s="12" t="s">
        <v>873</v>
      </c>
      <c r="M70" s="12" t="s">
        <v>867</v>
      </c>
    </row>
    <row r="71" customFormat="false" ht="15" hidden="false" customHeight="true" outlineLevel="0" collapsed="false">
      <c r="A71" s="12" t="s">
        <v>958</v>
      </c>
      <c r="B71" s="14" t="n">
        <v>45714</v>
      </c>
      <c r="C71" s="13" t="s">
        <v>99</v>
      </c>
      <c r="D71" s="15" t="str">
        <f aca="false">IFERROR(INDEX(Dim_Employee!$B$2:$B$76,MATCH(C71,Dim_Employee!$A$2:$A$76,0)),"")</f>
        <v>Zainab Igwe</v>
      </c>
      <c r="E71" s="12" t="s">
        <v>858</v>
      </c>
      <c r="F71" s="12" t="s">
        <v>888</v>
      </c>
      <c r="G71" s="12" t="s">
        <v>903</v>
      </c>
      <c r="H71" s="12" t="n">
        <v>126</v>
      </c>
      <c r="I71" s="18" t="n">
        <v>513849.57</v>
      </c>
      <c r="J71" s="19" t="n">
        <f aca="false">H71*I71</f>
        <v>64745045.82</v>
      </c>
      <c r="K71" s="12" t="n">
        <v>28</v>
      </c>
      <c r="L71" s="12" t="s">
        <v>855</v>
      </c>
      <c r="M71" s="12" t="s">
        <v>867</v>
      </c>
    </row>
    <row r="72" customFormat="false" ht="15" hidden="false" customHeight="true" outlineLevel="0" collapsed="false">
      <c r="A72" s="12" t="s">
        <v>959</v>
      </c>
      <c r="B72" s="14" t="n">
        <v>45839</v>
      </c>
      <c r="C72" s="13" t="s">
        <v>240</v>
      </c>
      <c r="D72" s="15" t="str">
        <f aca="false">IFERROR(INDEX(Dim_Employee!$B$2:$B$76,MATCH(C72,Dim_Employee!$A$2:$A$76,0)),"")</f>
        <v>Titilayo Okafor</v>
      </c>
      <c r="E72" s="12" t="s">
        <v>891</v>
      </c>
      <c r="F72" s="12" t="s">
        <v>888</v>
      </c>
      <c r="G72" s="12" t="s">
        <v>903</v>
      </c>
      <c r="H72" s="12" t="n">
        <v>140</v>
      </c>
      <c r="I72" s="18" t="n">
        <v>182787.94</v>
      </c>
      <c r="J72" s="19" t="n">
        <f aca="false">H72*I72</f>
        <v>25590311.6</v>
      </c>
      <c r="K72" s="12" t="n">
        <v>41</v>
      </c>
      <c r="L72" s="12" t="s">
        <v>861</v>
      </c>
      <c r="M72" s="12" t="s">
        <v>867</v>
      </c>
    </row>
    <row r="73" customFormat="false" ht="15" hidden="false" customHeight="true" outlineLevel="0" collapsed="false">
      <c r="A73" s="12" t="s">
        <v>960</v>
      </c>
      <c r="B73" s="14" t="n">
        <v>45884</v>
      </c>
      <c r="C73" s="13" t="s">
        <v>255</v>
      </c>
      <c r="D73" s="15" t="str">
        <f aca="false">IFERROR(INDEX(Dim_Employee!$B$2:$B$76,MATCH(C73,Dim_Employee!$A$2:$A$76,0)),"")</f>
        <v>Adaeze Onyeka</v>
      </c>
      <c r="E73" s="12" t="s">
        <v>891</v>
      </c>
      <c r="F73" s="12" t="s">
        <v>864</v>
      </c>
      <c r="G73" s="12" t="s">
        <v>909</v>
      </c>
      <c r="H73" s="12" t="n">
        <v>70</v>
      </c>
      <c r="I73" s="18" t="n">
        <v>160414.52</v>
      </c>
      <c r="J73" s="19" t="n">
        <f aca="false">H73*I73</f>
        <v>11229016.4</v>
      </c>
      <c r="K73" s="12" t="n">
        <v>9</v>
      </c>
      <c r="L73" s="12" t="s">
        <v>866</v>
      </c>
      <c r="M73" s="12" t="s">
        <v>878</v>
      </c>
    </row>
    <row r="74" customFormat="false" ht="15" hidden="false" customHeight="true" outlineLevel="0" collapsed="false">
      <c r="A74" s="12" t="s">
        <v>961</v>
      </c>
      <c r="B74" s="14" t="n">
        <v>45828</v>
      </c>
      <c r="C74" s="13" t="s">
        <v>99</v>
      </c>
      <c r="D74" s="15" t="str">
        <f aca="false">IFERROR(INDEX(Dim_Employee!$B$2:$B$76,MATCH(C74,Dim_Employee!$A$2:$A$76,0)),"")</f>
        <v>Zainab Igwe</v>
      </c>
      <c r="E74" s="12" t="s">
        <v>863</v>
      </c>
      <c r="F74" s="12" t="s">
        <v>853</v>
      </c>
      <c r="G74" s="12" t="s">
        <v>854</v>
      </c>
      <c r="H74" s="12" t="n">
        <v>48</v>
      </c>
      <c r="I74" s="18" t="n">
        <v>332134.85</v>
      </c>
      <c r="J74" s="19" t="n">
        <f aca="false">H74*I74</f>
        <v>15942472.8</v>
      </c>
      <c r="K74" s="12" t="n">
        <v>12</v>
      </c>
      <c r="L74" s="12" t="s">
        <v>866</v>
      </c>
      <c r="M74" s="12" t="s">
        <v>867</v>
      </c>
    </row>
    <row r="75" customFormat="false" ht="15" hidden="false" customHeight="true" outlineLevel="0" collapsed="false">
      <c r="A75" s="12" t="s">
        <v>962</v>
      </c>
      <c r="B75" s="14" t="n">
        <v>45917</v>
      </c>
      <c r="C75" s="13" t="s">
        <v>259</v>
      </c>
      <c r="D75" s="15" t="str">
        <f aca="false">IFERROR(INDEX(Dim_Employee!$B$2:$B$76,MATCH(C75,Dim_Employee!$A$2:$A$76,0)),"")</f>
        <v>Blessing Balogun</v>
      </c>
      <c r="E75" s="12" t="s">
        <v>883</v>
      </c>
      <c r="F75" s="12" t="s">
        <v>888</v>
      </c>
      <c r="G75" s="12" t="s">
        <v>935</v>
      </c>
      <c r="H75" s="12" t="n">
        <v>128</v>
      </c>
      <c r="I75" s="18" t="n">
        <v>271741.63</v>
      </c>
      <c r="J75" s="19" t="n">
        <f aca="false">H75*I75</f>
        <v>34782928.64</v>
      </c>
      <c r="K75" s="12" t="n">
        <v>27</v>
      </c>
      <c r="L75" s="12" t="s">
        <v>861</v>
      </c>
      <c r="M75" s="12" t="s">
        <v>856</v>
      </c>
    </row>
    <row r="76" customFormat="false" ht="15" hidden="false" customHeight="true" outlineLevel="0" collapsed="false">
      <c r="A76" s="12" t="s">
        <v>963</v>
      </c>
      <c r="B76" s="14" t="n">
        <v>45994</v>
      </c>
      <c r="C76" s="13" t="s">
        <v>240</v>
      </c>
      <c r="D76" s="15" t="str">
        <f aca="false">IFERROR(INDEX(Dim_Employee!$B$2:$B$76,MATCH(C76,Dim_Employee!$A$2:$A$76,0)),"")</f>
        <v>Titilayo Okafor</v>
      </c>
      <c r="E76" s="12" t="s">
        <v>852</v>
      </c>
      <c r="F76" s="12" t="s">
        <v>864</v>
      </c>
      <c r="G76" s="12" t="s">
        <v>869</v>
      </c>
      <c r="H76" s="12" t="n">
        <v>63</v>
      </c>
      <c r="I76" s="18" t="n">
        <v>387203.28</v>
      </c>
      <c r="J76" s="19" t="n">
        <f aca="false">H76*I76</f>
        <v>24393806.64</v>
      </c>
      <c r="K76" s="12" t="n">
        <v>45</v>
      </c>
      <c r="L76" s="12" t="s">
        <v>861</v>
      </c>
      <c r="M76" s="12" t="s">
        <v>878</v>
      </c>
    </row>
    <row r="77" customFormat="false" ht="15" hidden="false" customHeight="true" outlineLevel="0" collapsed="false">
      <c r="A77" s="12" t="s">
        <v>964</v>
      </c>
      <c r="B77" s="14" t="n">
        <v>45999</v>
      </c>
      <c r="C77" s="13" t="s">
        <v>259</v>
      </c>
      <c r="D77" s="15" t="str">
        <f aca="false">IFERROR(INDEX(Dim_Employee!$B$2:$B$76,MATCH(C77,Dim_Employee!$A$2:$A$76,0)),"")</f>
        <v>Blessing Balogun</v>
      </c>
      <c r="E77" s="12" t="s">
        <v>891</v>
      </c>
      <c r="F77" s="12" t="s">
        <v>859</v>
      </c>
      <c r="G77" s="12" t="s">
        <v>860</v>
      </c>
      <c r="H77" s="12" t="n">
        <v>193</v>
      </c>
      <c r="I77" s="18" t="n">
        <v>759890</v>
      </c>
      <c r="J77" s="19" t="n">
        <f aca="false">H77*I77</f>
        <v>146658770</v>
      </c>
      <c r="K77" s="12" t="n">
        <v>34</v>
      </c>
      <c r="L77" s="12" t="s">
        <v>855</v>
      </c>
      <c r="M77" s="12" t="s">
        <v>867</v>
      </c>
    </row>
    <row r="78" customFormat="false" ht="15" hidden="false" customHeight="true" outlineLevel="0" collapsed="false">
      <c r="A78" s="12" t="s">
        <v>965</v>
      </c>
      <c r="B78" s="14" t="n">
        <v>46021</v>
      </c>
      <c r="C78" s="13" t="s">
        <v>250</v>
      </c>
      <c r="D78" s="15" t="str">
        <f aca="false">IFERROR(INDEX(Dim_Employee!$B$2:$B$76,MATCH(C78,Dim_Employee!$A$2:$A$76,0)),"")</f>
        <v>Ibrahim Abubakar</v>
      </c>
      <c r="E78" s="12" t="s">
        <v>891</v>
      </c>
      <c r="F78" s="12" t="s">
        <v>888</v>
      </c>
      <c r="G78" s="12" t="s">
        <v>889</v>
      </c>
      <c r="H78" s="12" t="n">
        <v>93</v>
      </c>
      <c r="I78" s="18" t="n">
        <v>260575.58</v>
      </c>
      <c r="J78" s="19" t="n">
        <f aca="false">H78*I78</f>
        <v>24233528.94</v>
      </c>
      <c r="K78" s="12" t="n">
        <v>53</v>
      </c>
      <c r="L78" s="12" t="s">
        <v>861</v>
      </c>
      <c r="M78" s="12" t="s">
        <v>878</v>
      </c>
    </row>
    <row r="79" customFormat="false" ht="15" hidden="false" customHeight="true" outlineLevel="0" collapsed="false">
      <c r="A79" s="12" t="s">
        <v>966</v>
      </c>
      <c r="B79" s="14" t="n">
        <v>45667</v>
      </c>
      <c r="C79" s="13" t="s">
        <v>263</v>
      </c>
      <c r="D79" s="15" t="str">
        <f aca="false">IFERROR(INDEX(Dim_Employee!$B$2:$B$76,MATCH(C79,Dim_Employee!$A$2:$A$76,0)),"")</f>
        <v>Amaka Usman</v>
      </c>
      <c r="E79" s="12" t="s">
        <v>875</v>
      </c>
      <c r="F79" s="12" t="s">
        <v>853</v>
      </c>
      <c r="G79" s="12" t="s">
        <v>872</v>
      </c>
      <c r="H79" s="12" t="n">
        <v>94</v>
      </c>
      <c r="I79" s="18" t="n">
        <v>588307.66</v>
      </c>
      <c r="J79" s="19" t="n">
        <f aca="false">H79*I79</f>
        <v>55300920.04</v>
      </c>
      <c r="K79" s="12" t="n">
        <v>9</v>
      </c>
      <c r="L79" s="12" t="s">
        <v>873</v>
      </c>
      <c r="M79" s="12" t="s">
        <v>867</v>
      </c>
    </row>
    <row r="80" customFormat="false" ht="15" hidden="false" customHeight="true" outlineLevel="0" collapsed="false">
      <c r="A80" s="12" t="s">
        <v>967</v>
      </c>
      <c r="B80" s="14" t="n">
        <v>45892</v>
      </c>
      <c r="C80" s="13" t="s">
        <v>250</v>
      </c>
      <c r="D80" s="15" t="str">
        <f aca="false">IFERROR(INDEX(Dim_Employee!$B$2:$B$76,MATCH(C80,Dim_Employee!$A$2:$A$76,0)),"")</f>
        <v>Ibrahim Abubakar</v>
      </c>
      <c r="E80" s="12" t="s">
        <v>875</v>
      </c>
      <c r="F80" s="12" t="s">
        <v>876</v>
      </c>
      <c r="G80" s="12" t="s">
        <v>944</v>
      </c>
      <c r="H80" s="12" t="n">
        <v>39</v>
      </c>
      <c r="I80" s="18" t="n">
        <v>619938.96</v>
      </c>
      <c r="J80" s="19" t="n">
        <f aca="false">H80*I80</f>
        <v>24177619.44</v>
      </c>
      <c r="K80" s="12" t="n">
        <v>32</v>
      </c>
      <c r="L80" s="12" t="s">
        <v>866</v>
      </c>
      <c r="M80" s="12" t="s">
        <v>856</v>
      </c>
    </row>
    <row r="81" customFormat="false" ht="15" hidden="false" customHeight="true" outlineLevel="0" collapsed="false">
      <c r="A81" s="12" t="s">
        <v>968</v>
      </c>
      <c r="B81" s="14" t="n">
        <v>45953</v>
      </c>
      <c r="C81" s="13" t="s">
        <v>250</v>
      </c>
      <c r="D81" s="15" t="str">
        <f aca="false">IFERROR(INDEX(Dim_Employee!$B$2:$B$76,MATCH(C81,Dim_Employee!$A$2:$A$76,0)),"")</f>
        <v>Ibrahim Abubakar</v>
      </c>
      <c r="E81" s="12" t="s">
        <v>875</v>
      </c>
      <c r="F81" s="12" t="s">
        <v>859</v>
      </c>
      <c r="G81" s="12" t="s">
        <v>923</v>
      </c>
      <c r="H81" s="12" t="n">
        <v>49</v>
      </c>
      <c r="I81" s="18" t="n">
        <v>500034.53</v>
      </c>
      <c r="J81" s="19" t="n">
        <f aca="false">H81*I81</f>
        <v>24501691.97</v>
      </c>
      <c r="K81" s="12" t="n">
        <v>13</v>
      </c>
      <c r="L81" s="12" t="s">
        <v>855</v>
      </c>
      <c r="M81" s="12" t="s">
        <v>878</v>
      </c>
    </row>
    <row r="82" customFormat="false" ht="15" hidden="false" customHeight="true" outlineLevel="0" collapsed="false">
      <c r="A82" s="12" t="s">
        <v>969</v>
      </c>
      <c r="B82" s="14" t="n">
        <v>45873</v>
      </c>
      <c r="C82" s="13" t="s">
        <v>245</v>
      </c>
      <c r="D82" s="15" t="str">
        <f aca="false">IFERROR(INDEX(Dim_Employee!$B$2:$B$76,MATCH(C82,Dim_Employee!$A$2:$A$76,0)),"")</f>
        <v>Emeka Bakare</v>
      </c>
      <c r="E82" s="12" t="s">
        <v>891</v>
      </c>
      <c r="F82" s="12" t="s">
        <v>888</v>
      </c>
      <c r="G82" s="12" t="s">
        <v>889</v>
      </c>
      <c r="H82" s="12" t="n">
        <v>198</v>
      </c>
      <c r="I82" s="18" t="n">
        <v>463328.04</v>
      </c>
      <c r="J82" s="19" t="n">
        <f aca="false">H82*I82</f>
        <v>91738951.92</v>
      </c>
      <c r="K82" s="12" t="n">
        <v>7</v>
      </c>
      <c r="L82" s="12" t="s">
        <v>873</v>
      </c>
      <c r="M82" s="12" t="s">
        <v>867</v>
      </c>
    </row>
    <row r="83" customFormat="false" ht="15" hidden="false" customHeight="true" outlineLevel="0" collapsed="false">
      <c r="A83" s="12" t="s">
        <v>970</v>
      </c>
      <c r="B83" s="14" t="n">
        <v>45952</v>
      </c>
      <c r="C83" s="13" t="s">
        <v>255</v>
      </c>
      <c r="D83" s="15" t="str">
        <f aca="false">IFERROR(INDEX(Dim_Employee!$B$2:$B$76,MATCH(C83,Dim_Employee!$A$2:$A$76,0)),"")</f>
        <v>Adaeze Onyeka</v>
      </c>
      <c r="E83" s="12" t="s">
        <v>858</v>
      </c>
      <c r="F83" s="12" t="s">
        <v>880</v>
      </c>
      <c r="G83" s="12" t="s">
        <v>881</v>
      </c>
      <c r="H83" s="12" t="n">
        <v>72</v>
      </c>
      <c r="I83" s="18" t="n">
        <v>276585.49</v>
      </c>
      <c r="J83" s="19" t="n">
        <f aca="false">H83*I83</f>
        <v>19914155.28</v>
      </c>
      <c r="K83" s="12" t="n">
        <v>52</v>
      </c>
      <c r="L83" s="12" t="s">
        <v>855</v>
      </c>
      <c r="M83" s="12" t="s">
        <v>856</v>
      </c>
    </row>
    <row r="84" customFormat="false" ht="15" hidden="false" customHeight="true" outlineLevel="0" collapsed="false">
      <c r="A84" s="12" t="s">
        <v>971</v>
      </c>
      <c r="B84" s="14" t="n">
        <v>45924</v>
      </c>
      <c r="C84" s="13" t="s">
        <v>245</v>
      </c>
      <c r="D84" s="15" t="str">
        <f aca="false">IFERROR(INDEX(Dim_Employee!$B$2:$B$76,MATCH(C84,Dim_Employee!$A$2:$A$76,0)),"")</f>
        <v>Emeka Bakare</v>
      </c>
      <c r="E84" s="12" t="s">
        <v>863</v>
      </c>
      <c r="F84" s="12" t="s">
        <v>876</v>
      </c>
      <c r="G84" s="12" t="s">
        <v>899</v>
      </c>
      <c r="H84" s="12" t="n">
        <v>16</v>
      </c>
      <c r="I84" s="18" t="n">
        <v>139083.9</v>
      </c>
      <c r="J84" s="19" t="n">
        <f aca="false">H84*I84</f>
        <v>2225342.4</v>
      </c>
      <c r="K84" s="12" t="n">
        <v>21</v>
      </c>
      <c r="L84" s="12" t="s">
        <v>861</v>
      </c>
      <c r="M84" s="12" t="s">
        <v>878</v>
      </c>
    </row>
    <row r="85" customFormat="false" ht="15" hidden="false" customHeight="true" outlineLevel="0" collapsed="false">
      <c r="A85" s="12" t="s">
        <v>972</v>
      </c>
      <c r="B85" s="14" t="n">
        <v>46013</v>
      </c>
      <c r="C85" s="13" t="s">
        <v>250</v>
      </c>
      <c r="D85" s="15" t="str">
        <f aca="false">IFERROR(INDEX(Dim_Employee!$B$2:$B$76,MATCH(C85,Dim_Employee!$A$2:$A$76,0)),"")</f>
        <v>Ibrahim Abubakar</v>
      </c>
      <c r="E85" s="12" t="s">
        <v>863</v>
      </c>
      <c r="F85" s="12" t="s">
        <v>853</v>
      </c>
      <c r="G85" s="12" t="s">
        <v>854</v>
      </c>
      <c r="H85" s="12" t="n">
        <v>199</v>
      </c>
      <c r="I85" s="18" t="n">
        <v>821936.62</v>
      </c>
      <c r="J85" s="19" t="n">
        <f aca="false">H85*I85</f>
        <v>163565387.38</v>
      </c>
      <c r="K85" s="12" t="n">
        <v>21</v>
      </c>
      <c r="L85" s="12" t="s">
        <v>873</v>
      </c>
      <c r="M85" s="12" t="s">
        <v>856</v>
      </c>
    </row>
    <row r="86" customFormat="false" ht="15" hidden="false" customHeight="true" outlineLevel="0" collapsed="false">
      <c r="A86" s="12" t="s">
        <v>973</v>
      </c>
      <c r="B86" s="14" t="n">
        <v>45791</v>
      </c>
      <c r="C86" s="13" t="s">
        <v>255</v>
      </c>
      <c r="D86" s="15" t="str">
        <f aca="false">IFERROR(INDEX(Dim_Employee!$B$2:$B$76,MATCH(C86,Dim_Employee!$A$2:$A$76,0)),"")</f>
        <v>Adaeze Onyeka</v>
      </c>
      <c r="E86" s="12" t="s">
        <v>871</v>
      </c>
      <c r="F86" s="12" t="s">
        <v>853</v>
      </c>
      <c r="G86" s="12" t="s">
        <v>854</v>
      </c>
      <c r="H86" s="12" t="n">
        <v>104</v>
      </c>
      <c r="I86" s="18" t="n">
        <v>93501.13</v>
      </c>
      <c r="J86" s="19" t="n">
        <f aca="false">H86*I86</f>
        <v>9724117.52</v>
      </c>
      <c r="K86" s="12" t="n">
        <v>22</v>
      </c>
      <c r="L86" s="12" t="s">
        <v>873</v>
      </c>
      <c r="M86" s="12" t="s">
        <v>867</v>
      </c>
    </row>
    <row r="87" customFormat="false" ht="15" hidden="false" customHeight="true" outlineLevel="0" collapsed="false">
      <c r="A87" s="12" t="s">
        <v>974</v>
      </c>
      <c r="B87" s="14" t="n">
        <v>45976</v>
      </c>
      <c r="C87" s="13" t="s">
        <v>250</v>
      </c>
      <c r="D87" s="15" t="str">
        <f aca="false">IFERROR(INDEX(Dim_Employee!$B$2:$B$76,MATCH(C87,Dim_Employee!$A$2:$A$76,0)),"")</f>
        <v>Ibrahim Abubakar</v>
      </c>
      <c r="E87" s="12" t="s">
        <v>858</v>
      </c>
      <c r="F87" s="12" t="s">
        <v>864</v>
      </c>
      <c r="G87" s="12" t="s">
        <v>865</v>
      </c>
      <c r="H87" s="12" t="n">
        <v>53</v>
      </c>
      <c r="I87" s="18" t="n">
        <v>787042.17</v>
      </c>
      <c r="J87" s="19" t="n">
        <f aca="false">H87*I87</f>
        <v>41713235.01</v>
      </c>
      <c r="K87" s="12" t="n">
        <v>42</v>
      </c>
      <c r="L87" s="12" t="s">
        <v>866</v>
      </c>
      <c r="M87" s="12" t="s">
        <v>867</v>
      </c>
    </row>
    <row r="88" customFormat="false" ht="15" hidden="false" customHeight="true" outlineLevel="0" collapsed="false">
      <c r="A88" s="12" t="s">
        <v>975</v>
      </c>
      <c r="B88" s="14" t="n">
        <v>45898</v>
      </c>
      <c r="C88" s="13" t="s">
        <v>99</v>
      </c>
      <c r="D88" s="15" t="str">
        <f aca="false">IFERROR(INDEX(Dim_Employee!$B$2:$B$76,MATCH(C88,Dim_Employee!$A$2:$A$76,0)),"")</f>
        <v>Zainab Igwe</v>
      </c>
      <c r="E88" s="12" t="s">
        <v>891</v>
      </c>
      <c r="F88" s="12" t="s">
        <v>859</v>
      </c>
      <c r="G88" s="12" t="s">
        <v>860</v>
      </c>
      <c r="H88" s="12" t="n">
        <v>72</v>
      </c>
      <c r="I88" s="18" t="n">
        <v>643880.04</v>
      </c>
      <c r="J88" s="19" t="n">
        <f aca="false">H88*I88</f>
        <v>46359362.88</v>
      </c>
      <c r="K88" s="12" t="n">
        <v>19</v>
      </c>
      <c r="L88" s="12" t="s">
        <v>873</v>
      </c>
      <c r="M88" s="12" t="s">
        <v>867</v>
      </c>
    </row>
    <row r="89" customFormat="false" ht="15" hidden="false" customHeight="true" outlineLevel="0" collapsed="false">
      <c r="A89" s="12" t="s">
        <v>976</v>
      </c>
      <c r="B89" s="14" t="n">
        <v>45720</v>
      </c>
      <c r="C89" s="13" t="s">
        <v>259</v>
      </c>
      <c r="D89" s="15" t="str">
        <f aca="false">IFERROR(INDEX(Dim_Employee!$B$2:$B$76,MATCH(C89,Dim_Employee!$A$2:$A$76,0)),"")</f>
        <v>Blessing Balogun</v>
      </c>
      <c r="E89" s="12" t="s">
        <v>852</v>
      </c>
      <c r="F89" s="12" t="s">
        <v>876</v>
      </c>
      <c r="G89" s="12" t="s">
        <v>944</v>
      </c>
      <c r="H89" s="12" t="n">
        <v>74</v>
      </c>
      <c r="I89" s="18" t="n">
        <v>723923.8</v>
      </c>
      <c r="J89" s="19" t="n">
        <f aca="false">H89*I89</f>
        <v>53570361.2</v>
      </c>
      <c r="K89" s="12" t="n">
        <v>51</v>
      </c>
      <c r="L89" s="12" t="s">
        <v>861</v>
      </c>
      <c r="M89" s="12" t="s">
        <v>856</v>
      </c>
    </row>
    <row r="90" customFormat="false" ht="15" hidden="false" customHeight="true" outlineLevel="0" collapsed="false">
      <c r="A90" s="12" t="s">
        <v>977</v>
      </c>
      <c r="B90" s="14" t="n">
        <v>45793</v>
      </c>
      <c r="C90" s="13" t="s">
        <v>250</v>
      </c>
      <c r="D90" s="15" t="str">
        <f aca="false">IFERROR(INDEX(Dim_Employee!$B$2:$B$76,MATCH(C90,Dim_Employee!$A$2:$A$76,0)),"")</f>
        <v>Ibrahim Abubakar</v>
      </c>
      <c r="E90" s="12" t="s">
        <v>883</v>
      </c>
      <c r="F90" s="12" t="s">
        <v>888</v>
      </c>
      <c r="G90" s="12" t="s">
        <v>935</v>
      </c>
      <c r="H90" s="12" t="n">
        <v>155</v>
      </c>
      <c r="I90" s="18" t="n">
        <v>799024.27</v>
      </c>
      <c r="J90" s="19" t="n">
        <f aca="false">H90*I90</f>
        <v>123848761.85</v>
      </c>
      <c r="K90" s="12" t="n">
        <v>58</v>
      </c>
      <c r="L90" s="12" t="s">
        <v>861</v>
      </c>
      <c r="M90" s="12" t="s">
        <v>878</v>
      </c>
    </row>
    <row r="91" customFormat="false" ht="15" hidden="false" customHeight="true" outlineLevel="0" collapsed="false">
      <c r="A91" s="12" t="s">
        <v>978</v>
      </c>
      <c r="B91" s="14" t="n">
        <v>45742</v>
      </c>
      <c r="C91" s="13" t="s">
        <v>259</v>
      </c>
      <c r="D91" s="15" t="str">
        <f aca="false">IFERROR(INDEX(Dim_Employee!$B$2:$B$76,MATCH(C91,Dim_Employee!$A$2:$A$76,0)),"")</f>
        <v>Blessing Balogun</v>
      </c>
      <c r="E91" s="12" t="s">
        <v>863</v>
      </c>
      <c r="F91" s="12" t="s">
        <v>880</v>
      </c>
      <c r="G91" s="12" t="s">
        <v>881</v>
      </c>
      <c r="H91" s="12" t="n">
        <v>29</v>
      </c>
      <c r="I91" s="18" t="n">
        <v>790634.32</v>
      </c>
      <c r="J91" s="19" t="n">
        <f aca="false">H91*I91</f>
        <v>22928395.28</v>
      </c>
      <c r="K91" s="12" t="n">
        <v>51</v>
      </c>
      <c r="L91" s="12" t="s">
        <v>873</v>
      </c>
      <c r="M91" s="12" t="s">
        <v>867</v>
      </c>
    </row>
    <row r="92" customFormat="false" ht="15" hidden="false" customHeight="true" outlineLevel="0" collapsed="false">
      <c r="A92" s="12" t="s">
        <v>979</v>
      </c>
      <c r="B92" s="14" t="n">
        <v>45830</v>
      </c>
      <c r="C92" s="13" t="s">
        <v>255</v>
      </c>
      <c r="D92" s="15" t="str">
        <f aca="false">IFERROR(INDEX(Dim_Employee!$B$2:$B$76,MATCH(C92,Dim_Employee!$A$2:$A$76,0)),"")</f>
        <v>Adaeze Onyeka</v>
      </c>
      <c r="E92" s="12" t="s">
        <v>871</v>
      </c>
      <c r="F92" s="12" t="s">
        <v>853</v>
      </c>
      <c r="G92" s="12" t="s">
        <v>892</v>
      </c>
      <c r="H92" s="12" t="n">
        <v>101</v>
      </c>
      <c r="I92" s="18" t="n">
        <v>425589.9</v>
      </c>
      <c r="J92" s="19" t="n">
        <f aca="false">H92*I92</f>
        <v>42984579.9</v>
      </c>
      <c r="K92" s="12" t="n">
        <v>47</v>
      </c>
      <c r="L92" s="12" t="s">
        <v>866</v>
      </c>
      <c r="M92" s="12" t="s">
        <v>878</v>
      </c>
    </row>
    <row r="93" customFormat="false" ht="15" hidden="false" customHeight="true" outlineLevel="0" collapsed="false">
      <c r="A93" s="12" t="s">
        <v>980</v>
      </c>
      <c r="B93" s="14" t="n">
        <v>45831</v>
      </c>
      <c r="C93" s="13" t="s">
        <v>259</v>
      </c>
      <c r="D93" s="15" t="str">
        <f aca="false">IFERROR(INDEX(Dim_Employee!$B$2:$B$76,MATCH(C93,Dim_Employee!$A$2:$A$76,0)),"")</f>
        <v>Blessing Balogun</v>
      </c>
      <c r="E93" s="12" t="s">
        <v>928</v>
      </c>
      <c r="F93" s="12" t="s">
        <v>880</v>
      </c>
      <c r="G93" s="12" t="s">
        <v>894</v>
      </c>
      <c r="H93" s="12" t="n">
        <v>74</v>
      </c>
      <c r="I93" s="18" t="n">
        <v>114829.79</v>
      </c>
      <c r="J93" s="19" t="n">
        <f aca="false">H93*I93</f>
        <v>8497404.46</v>
      </c>
      <c r="K93" s="12" t="n">
        <v>6</v>
      </c>
      <c r="L93" s="12" t="s">
        <v>861</v>
      </c>
      <c r="M93" s="12" t="s">
        <v>878</v>
      </c>
    </row>
    <row r="94" customFormat="false" ht="15" hidden="false" customHeight="true" outlineLevel="0" collapsed="false">
      <c r="A94" s="12" t="s">
        <v>981</v>
      </c>
      <c r="B94" s="14" t="n">
        <v>45951</v>
      </c>
      <c r="C94" s="13" t="s">
        <v>245</v>
      </c>
      <c r="D94" s="15" t="str">
        <f aca="false">IFERROR(INDEX(Dim_Employee!$B$2:$B$76,MATCH(C94,Dim_Employee!$A$2:$A$76,0)),"")</f>
        <v>Emeka Bakare</v>
      </c>
      <c r="E94" s="12" t="s">
        <v>852</v>
      </c>
      <c r="F94" s="12" t="s">
        <v>876</v>
      </c>
      <c r="G94" s="12" t="s">
        <v>899</v>
      </c>
      <c r="H94" s="12" t="n">
        <v>111</v>
      </c>
      <c r="I94" s="18" t="n">
        <v>344023.02</v>
      </c>
      <c r="J94" s="19" t="n">
        <f aca="false">H94*I94</f>
        <v>38186555.22</v>
      </c>
      <c r="K94" s="12" t="n">
        <v>52</v>
      </c>
      <c r="L94" s="12" t="s">
        <v>866</v>
      </c>
      <c r="M94" s="12" t="s">
        <v>856</v>
      </c>
    </row>
    <row r="95" customFormat="false" ht="15" hidden="false" customHeight="true" outlineLevel="0" collapsed="false">
      <c r="A95" s="12" t="s">
        <v>982</v>
      </c>
      <c r="B95" s="14" t="n">
        <v>45721</v>
      </c>
      <c r="C95" s="13" t="s">
        <v>245</v>
      </c>
      <c r="D95" s="15" t="str">
        <f aca="false">IFERROR(INDEX(Dim_Employee!$B$2:$B$76,MATCH(C95,Dim_Employee!$A$2:$A$76,0)),"")</f>
        <v>Emeka Bakare</v>
      </c>
      <c r="E95" s="12" t="s">
        <v>852</v>
      </c>
      <c r="F95" s="12" t="s">
        <v>880</v>
      </c>
      <c r="G95" s="12" t="s">
        <v>881</v>
      </c>
      <c r="H95" s="12" t="n">
        <v>194</v>
      </c>
      <c r="I95" s="18" t="n">
        <v>204045.01</v>
      </c>
      <c r="J95" s="19" t="n">
        <f aca="false">H95*I95</f>
        <v>39584731.94</v>
      </c>
      <c r="K95" s="12" t="n">
        <v>49</v>
      </c>
      <c r="L95" s="12" t="s">
        <v>873</v>
      </c>
      <c r="M95" s="12" t="s">
        <v>867</v>
      </c>
    </row>
    <row r="96" customFormat="false" ht="15" hidden="false" customHeight="true" outlineLevel="0" collapsed="false">
      <c r="A96" s="12" t="s">
        <v>983</v>
      </c>
      <c r="B96" s="14" t="n">
        <v>45854</v>
      </c>
      <c r="C96" s="13" t="s">
        <v>240</v>
      </c>
      <c r="D96" s="15" t="str">
        <f aca="false">IFERROR(INDEX(Dim_Employee!$B$2:$B$76,MATCH(C96,Dim_Employee!$A$2:$A$76,0)),"")</f>
        <v>Titilayo Okafor</v>
      </c>
      <c r="E96" s="12" t="s">
        <v>852</v>
      </c>
      <c r="F96" s="12" t="s">
        <v>880</v>
      </c>
      <c r="G96" s="12" t="s">
        <v>881</v>
      </c>
      <c r="H96" s="12" t="n">
        <v>181</v>
      </c>
      <c r="I96" s="18" t="n">
        <v>744373.61</v>
      </c>
      <c r="J96" s="19" t="n">
        <f aca="false">H96*I96</f>
        <v>134731623.41</v>
      </c>
      <c r="K96" s="12" t="n">
        <v>51</v>
      </c>
      <c r="L96" s="12" t="s">
        <v>855</v>
      </c>
      <c r="M96" s="12" t="s">
        <v>878</v>
      </c>
    </row>
    <row r="97" customFormat="false" ht="15" hidden="false" customHeight="true" outlineLevel="0" collapsed="false">
      <c r="A97" s="12" t="s">
        <v>984</v>
      </c>
      <c r="B97" s="14" t="n">
        <v>46004</v>
      </c>
      <c r="C97" s="13" t="s">
        <v>245</v>
      </c>
      <c r="D97" s="15" t="str">
        <f aca="false">IFERROR(INDEX(Dim_Employee!$B$2:$B$76,MATCH(C97,Dim_Employee!$A$2:$A$76,0)),"")</f>
        <v>Emeka Bakare</v>
      </c>
      <c r="E97" s="12" t="s">
        <v>928</v>
      </c>
      <c r="F97" s="12" t="s">
        <v>859</v>
      </c>
      <c r="G97" s="12" t="s">
        <v>923</v>
      </c>
      <c r="H97" s="12" t="n">
        <v>80</v>
      </c>
      <c r="I97" s="18" t="n">
        <v>81123.27</v>
      </c>
      <c r="J97" s="19" t="n">
        <f aca="false">H97*I97</f>
        <v>6489861.6</v>
      </c>
      <c r="K97" s="12" t="n">
        <v>3</v>
      </c>
      <c r="L97" s="12" t="s">
        <v>861</v>
      </c>
      <c r="M97" s="12" t="s">
        <v>856</v>
      </c>
    </row>
    <row r="98" customFormat="false" ht="15" hidden="false" customHeight="true" outlineLevel="0" collapsed="false">
      <c r="A98" s="12" t="s">
        <v>985</v>
      </c>
      <c r="B98" s="14" t="n">
        <v>45729</v>
      </c>
      <c r="C98" s="13" t="s">
        <v>255</v>
      </c>
      <c r="D98" s="15" t="str">
        <f aca="false">IFERROR(INDEX(Dim_Employee!$B$2:$B$76,MATCH(C98,Dim_Employee!$A$2:$A$76,0)),"")</f>
        <v>Adaeze Onyeka</v>
      </c>
      <c r="E98" s="12" t="s">
        <v>858</v>
      </c>
      <c r="F98" s="12" t="s">
        <v>859</v>
      </c>
      <c r="G98" s="12" t="s">
        <v>923</v>
      </c>
      <c r="H98" s="12" t="n">
        <v>1</v>
      </c>
      <c r="I98" s="18" t="n">
        <v>389890.01</v>
      </c>
      <c r="J98" s="19" t="n">
        <f aca="false">H98*I98</f>
        <v>389890.01</v>
      </c>
      <c r="K98" s="12" t="n">
        <v>34</v>
      </c>
      <c r="L98" s="12" t="s">
        <v>861</v>
      </c>
      <c r="M98" s="12" t="s">
        <v>867</v>
      </c>
    </row>
    <row r="99" customFormat="false" ht="15" hidden="false" customHeight="true" outlineLevel="0" collapsed="false">
      <c r="A99" s="12" t="s">
        <v>986</v>
      </c>
      <c r="B99" s="14" t="n">
        <v>45714</v>
      </c>
      <c r="C99" s="13" t="s">
        <v>99</v>
      </c>
      <c r="D99" s="15" t="str">
        <f aca="false">IFERROR(INDEX(Dim_Employee!$B$2:$B$76,MATCH(C99,Dim_Employee!$A$2:$A$76,0)),"")</f>
        <v>Zainab Igwe</v>
      </c>
      <c r="E99" s="12" t="s">
        <v>858</v>
      </c>
      <c r="F99" s="12" t="s">
        <v>864</v>
      </c>
      <c r="G99" s="12" t="s">
        <v>909</v>
      </c>
      <c r="H99" s="12" t="n">
        <v>138</v>
      </c>
      <c r="I99" s="18" t="n">
        <v>703541.73</v>
      </c>
      <c r="J99" s="19" t="n">
        <f aca="false">H99*I99</f>
        <v>97088758.74</v>
      </c>
      <c r="K99" s="12" t="n">
        <v>20</v>
      </c>
      <c r="L99" s="12" t="s">
        <v>855</v>
      </c>
      <c r="M99" s="12" t="s">
        <v>867</v>
      </c>
    </row>
    <row r="100" customFormat="false" ht="15" hidden="false" customHeight="true" outlineLevel="0" collapsed="false">
      <c r="A100" s="12" t="s">
        <v>987</v>
      </c>
      <c r="B100" s="14" t="n">
        <v>45764</v>
      </c>
      <c r="C100" s="13" t="s">
        <v>245</v>
      </c>
      <c r="D100" s="15" t="str">
        <f aca="false">IFERROR(INDEX(Dim_Employee!$B$2:$B$76,MATCH(C100,Dim_Employee!$A$2:$A$76,0)),"")</f>
        <v>Emeka Bakare</v>
      </c>
      <c r="E100" s="12" t="s">
        <v>852</v>
      </c>
      <c r="F100" s="12" t="s">
        <v>859</v>
      </c>
      <c r="G100" s="12" t="s">
        <v>860</v>
      </c>
      <c r="H100" s="12" t="n">
        <v>143</v>
      </c>
      <c r="I100" s="18" t="n">
        <v>674757.8</v>
      </c>
      <c r="J100" s="19" t="n">
        <f aca="false">H100*I100</f>
        <v>96490365.4</v>
      </c>
      <c r="K100" s="12" t="n">
        <v>16</v>
      </c>
      <c r="L100" s="12" t="s">
        <v>866</v>
      </c>
      <c r="M100" s="12" t="s">
        <v>856</v>
      </c>
    </row>
    <row r="101" customFormat="false" ht="15" hidden="false" customHeight="true" outlineLevel="0" collapsed="false">
      <c r="A101" s="12" t="s">
        <v>988</v>
      </c>
      <c r="B101" s="14" t="n">
        <v>45980</v>
      </c>
      <c r="C101" s="13" t="s">
        <v>250</v>
      </c>
      <c r="D101" s="15" t="str">
        <f aca="false">IFERROR(INDEX(Dim_Employee!$B$2:$B$76,MATCH(C101,Dim_Employee!$A$2:$A$76,0)),"")</f>
        <v>Ibrahim Abubakar</v>
      </c>
      <c r="E101" s="12" t="s">
        <v>852</v>
      </c>
      <c r="F101" s="12" t="s">
        <v>853</v>
      </c>
      <c r="G101" s="12" t="s">
        <v>872</v>
      </c>
      <c r="H101" s="12" t="n">
        <v>96</v>
      </c>
      <c r="I101" s="18" t="n">
        <v>55003.24</v>
      </c>
      <c r="J101" s="19" t="n">
        <f aca="false">H101*I101</f>
        <v>5280311.04</v>
      </c>
      <c r="K101" s="12" t="n">
        <v>7</v>
      </c>
      <c r="L101" s="12" t="s">
        <v>861</v>
      </c>
      <c r="M101" s="12" t="s">
        <v>867</v>
      </c>
    </row>
    <row r="102" customFormat="false" ht="15" hidden="false" customHeight="true" outlineLevel="0" collapsed="false">
      <c r="A102" s="12" t="s">
        <v>989</v>
      </c>
      <c r="B102" s="14" t="n">
        <v>45999</v>
      </c>
      <c r="C102" s="13" t="s">
        <v>259</v>
      </c>
      <c r="D102" s="15" t="str">
        <f aca="false">IFERROR(INDEX(Dim_Employee!$B$2:$B$76,MATCH(C102,Dim_Employee!$A$2:$A$76,0)),"")</f>
        <v>Blessing Balogun</v>
      </c>
      <c r="E102" s="12" t="s">
        <v>875</v>
      </c>
      <c r="F102" s="12" t="s">
        <v>876</v>
      </c>
      <c r="G102" s="12" t="s">
        <v>944</v>
      </c>
      <c r="H102" s="12" t="n">
        <v>151</v>
      </c>
      <c r="I102" s="18" t="n">
        <v>348560.3</v>
      </c>
      <c r="J102" s="19" t="n">
        <f aca="false">H102*I102</f>
        <v>52632605.3</v>
      </c>
      <c r="K102" s="12" t="n">
        <v>36</v>
      </c>
      <c r="L102" s="12" t="s">
        <v>855</v>
      </c>
      <c r="M102" s="12" t="s">
        <v>878</v>
      </c>
    </row>
    <row r="103" customFormat="false" ht="15" hidden="false" customHeight="true" outlineLevel="0" collapsed="false">
      <c r="A103" s="12" t="s">
        <v>990</v>
      </c>
      <c r="B103" s="14" t="n">
        <v>45726</v>
      </c>
      <c r="C103" s="13" t="s">
        <v>250</v>
      </c>
      <c r="D103" s="15" t="str">
        <f aca="false">IFERROR(INDEX(Dim_Employee!$B$2:$B$76,MATCH(C103,Dim_Employee!$A$2:$A$76,0)),"")</f>
        <v>Ibrahim Abubakar</v>
      </c>
      <c r="E103" s="12" t="s">
        <v>891</v>
      </c>
      <c r="F103" s="12" t="s">
        <v>864</v>
      </c>
      <c r="G103" s="12" t="s">
        <v>865</v>
      </c>
      <c r="H103" s="12" t="n">
        <v>165</v>
      </c>
      <c r="I103" s="18" t="n">
        <v>406978.46</v>
      </c>
      <c r="J103" s="19" t="n">
        <f aca="false">H103*I103</f>
        <v>67151445.9</v>
      </c>
      <c r="K103" s="12" t="n">
        <v>45</v>
      </c>
      <c r="L103" s="12" t="s">
        <v>873</v>
      </c>
      <c r="M103" s="12" t="s">
        <v>856</v>
      </c>
    </row>
    <row r="104" customFormat="false" ht="15" hidden="false" customHeight="true" outlineLevel="0" collapsed="false">
      <c r="A104" s="12" t="s">
        <v>991</v>
      </c>
      <c r="B104" s="14" t="n">
        <v>45742</v>
      </c>
      <c r="C104" s="13" t="s">
        <v>255</v>
      </c>
      <c r="D104" s="15" t="str">
        <f aca="false">IFERROR(INDEX(Dim_Employee!$B$2:$B$76,MATCH(C104,Dim_Employee!$A$2:$A$76,0)),"")</f>
        <v>Adaeze Onyeka</v>
      </c>
      <c r="E104" s="12" t="s">
        <v>852</v>
      </c>
      <c r="F104" s="12" t="s">
        <v>876</v>
      </c>
      <c r="G104" s="12" t="s">
        <v>877</v>
      </c>
      <c r="H104" s="12" t="n">
        <v>49</v>
      </c>
      <c r="I104" s="18" t="n">
        <v>96431.8</v>
      </c>
      <c r="J104" s="19" t="n">
        <f aca="false">H104*I104</f>
        <v>4725158.2</v>
      </c>
      <c r="K104" s="12" t="n">
        <v>6</v>
      </c>
      <c r="L104" s="12" t="s">
        <v>861</v>
      </c>
      <c r="M104" s="12" t="s">
        <v>867</v>
      </c>
    </row>
    <row r="105" customFormat="false" ht="15" hidden="false" customHeight="true" outlineLevel="0" collapsed="false">
      <c r="A105" s="12" t="s">
        <v>992</v>
      </c>
      <c r="B105" s="14" t="n">
        <v>45793</v>
      </c>
      <c r="C105" s="13" t="s">
        <v>245</v>
      </c>
      <c r="D105" s="15" t="str">
        <f aca="false">IFERROR(INDEX(Dim_Employee!$B$2:$B$76,MATCH(C105,Dim_Employee!$A$2:$A$76,0)),"")</f>
        <v>Emeka Bakare</v>
      </c>
      <c r="E105" s="12" t="s">
        <v>883</v>
      </c>
      <c r="F105" s="12" t="s">
        <v>880</v>
      </c>
      <c r="G105" s="12" t="s">
        <v>894</v>
      </c>
      <c r="H105" s="12" t="n">
        <v>191</v>
      </c>
      <c r="I105" s="18" t="n">
        <v>168427.54</v>
      </c>
      <c r="J105" s="19" t="n">
        <f aca="false">H105*I105</f>
        <v>32169660.14</v>
      </c>
      <c r="K105" s="12" t="n">
        <v>49</v>
      </c>
      <c r="L105" s="12" t="s">
        <v>861</v>
      </c>
      <c r="M105" s="12" t="s">
        <v>878</v>
      </c>
    </row>
    <row r="106" customFormat="false" ht="15" hidden="false" customHeight="true" outlineLevel="0" collapsed="false">
      <c r="A106" s="12" t="s">
        <v>993</v>
      </c>
      <c r="B106" s="14" t="n">
        <v>45664</v>
      </c>
      <c r="C106" s="13" t="s">
        <v>99</v>
      </c>
      <c r="D106" s="15" t="str">
        <f aca="false">IFERROR(INDEX(Dim_Employee!$B$2:$B$76,MATCH(C106,Dim_Employee!$A$2:$A$76,0)),"")</f>
        <v>Zainab Igwe</v>
      </c>
      <c r="E106" s="12" t="s">
        <v>852</v>
      </c>
      <c r="F106" s="12" t="s">
        <v>864</v>
      </c>
      <c r="G106" s="12" t="s">
        <v>869</v>
      </c>
      <c r="H106" s="12" t="n">
        <v>91</v>
      </c>
      <c r="I106" s="18" t="n">
        <v>175986.53</v>
      </c>
      <c r="J106" s="19" t="n">
        <f aca="false">H106*I106</f>
        <v>16014774.23</v>
      </c>
      <c r="K106" s="12" t="n">
        <v>42</v>
      </c>
      <c r="L106" s="12" t="s">
        <v>866</v>
      </c>
      <c r="M106" s="12" t="s">
        <v>878</v>
      </c>
    </row>
    <row r="107" customFormat="false" ht="15" hidden="false" customHeight="true" outlineLevel="0" collapsed="false">
      <c r="A107" s="12" t="s">
        <v>994</v>
      </c>
      <c r="B107" s="14" t="n">
        <v>45747</v>
      </c>
      <c r="C107" s="13" t="s">
        <v>255</v>
      </c>
      <c r="D107" s="15" t="str">
        <f aca="false">IFERROR(INDEX(Dim_Employee!$B$2:$B$76,MATCH(C107,Dim_Employee!$A$2:$A$76,0)),"")</f>
        <v>Adaeze Onyeka</v>
      </c>
      <c r="E107" s="12" t="s">
        <v>871</v>
      </c>
      <c r="F107" s="12" t="s">
        <v>888</v>
      </c>
      <c r="G107" s="12" t="s">
        <v>903</v>
      </c>
      <c r="H107" s="12" t="n">
        <v>79</v>
      </c>
      <c r="I107" s="18" t="n">
        <v>90813.3</v>
      </c>
      <c r="J107" s="19" t="n">
        <f aca="false">H107*I107</f>
        <v>7174250.7</v>
      </c>
      <c r="K107" s="12" t="n">
        <v>59</v>
      </c>
      <c r="L107" s="12" t="s">
        <v>861</v>
      </c>
      <c r="M107" s="12" t="s">
        <v>878</v>
      </c>
    </row>
    <row r="108" customFormat="false" ht="15" hidden="false" customHeight="true" outlineLevel="0" collapsed="false">
      <c r="A108" s="12" t="s">
        <v>995</v>
      </c>
      <c r="B108" s="14" t="n">
        <v>45736</v>
      </c>
      <c r="C108" s="13" t="s">
        <v>263</v>
      </c>
      <c r="D108" s="15" t="str">
        <f aca="false">IFERROR(INDEX(Dim_Employee!$B$2:$B$76,MATCH(C108,Dim_Employee!$A$2:$A$76,0)),"")</f>
        <v>Amaka Usman</v>
      </c>
      <c r="E108" s="12" t="s">
        <v>871</v>
      </c>
      <c r="F108" s="12" t="s">
        <v>864</v>
      </c>
      <c r="G108" s="12" t="s">
        <v>865</v>
      </c>
      <c r="H108" s="12" t="n">
        <v>88</v>
      </c>
      <c r="I108" s="18" t="n">
        <v>92034.89</v>
      </c>
      <c r="J108" s="19" t="n">
        <f aca="false">H108*I108</f>
        <v>8099070.32</v>
      </c>
      <c r="K108" s="12" t="n">
        <v>33</v>
      </c>
      <c r="L108" s="12" t="s">
        <v>861</v>
      </c>
      <c r="M108" s="12" t="s">
        <v>867</v>
      </c>
    </row>
    <row r="109" customFormat="false" ht="15" hidden="false" customHeight="true" outlineLevel="0" collapsed="false">
      <c r="A109" s="12" t="s">
        <v>996</v>
      </c>
      <c r="B109" s="14" t="n">
        <v>45928</v>
      </c>
      <c r="C109" s="13" t="s">
        <v>255</v>
      </c>
      <c r="D109" s="15" t="str">
        <f aca="false">IFERROR(INDEX(Dim_Employee!$B$2:$B$76,MATCH(C109,Dim_Employee!$A$2:$A$76,0)),"")</f>
        <v>Adaeze Onyeka</v>
      </c>
      <c r="E109" s="12" t="s">
        <v>852</v>
      </c>
      <c r="F109" s="12" t="s">
        <v>853</v>
      </c>
      <c r="G109" s="12" t="s">
        <v>872</v>
      </c>
      <c r="H109" s="12" t="n">
        <v>33</v>
      </c>
      <c r="I109" s="18" t="n">
        <v>722698.49</v>
      </c>
      <c r="J109" s="19" t="n">
        <f aca="false">H109*I109</f>
        <v>23849050.17</v>
      </c>
      <c r="K109" s="12" t="n">
        <v>26</v>
      </c>
      <c r="L109" s="12" t="s">
        <v>866</v>
      </c>
      <c r="M109" s="12" t="s">
        <v>867</v>
      </c>
    </row>
    <row r="110" customFormat="false" ht="15" hidden="false" customHeight="true" outlineLevel="0" collapsed="false">
      <c r="A110" s="12" t="s">
        <v>997</v>
      </c>
      <c r="B110" s="14" t="n">
        <v>45756</v>
      </c>
      <c r="C110" s="13" t="s">
        <v>250</v>
      </c>
      <c r="D110" s="15" t="str">
        <f aca="false">IFERROR(INDEX(Dim_Employee!$B$2:$B$76,MATCH(C110,Dim_Employee!$A$2:$A$76,0)),"")</f>
        <v>Ibrahim Abubakar</v>
      </c>
      <c r="E110" s="12" t="s">
        <v>852</v>
      </c>
      <c r="F110" s="12" t="s">
        <v>880</v>
      </c>
      <c r="G110" s="12" t="s">
        <v>894</v>
      </c>
      <c r="H110" s="12" t="n">
        <v>6</v>
      </c>
      <c r="I110" s="18" t="n">
        <v>796982.28</v>
      </c>
      <c r="J110" s="19" t="n">
        <f aca="false">H110*I110</f>
        <v>4781893.68</v>
      </c>
      <c r="K110" s="12" t="n">
        <v>51</v>
      </c>
      <c r="L110" s="12" t="s">
        <v>873</v>
      </c>
      <c r="M110" s="12" t="s">
        <v>856</v>
      </c>
    </row>
    <row r="111" customFormat="false" ht="15" hidden="false" customHeight="true" outlineLevel="0" collapsed="false">
      <c r="A111" s="12" t="s">
        <v>998</v>
      </c>
      <c r="B111" s="14" t="n">
        <v>45767</v>
      </c>
      <c r="C111" s="13" t="s">
        <v>259</v>
      </c>
      <c r="D111" s="15" t="str">
        <f aca="false">IFERROR(INDEX(Dim_Employee!$B$2:$B$76,MATCH(C111,Dim_Employee!$A$2:$A$76,0)),"")</f>
        <v>Blessing Balogun</v>
      </c>
      <c r="E111" s="12" t="s">
        <v>891</v>
      </c>
      <c r="F111" s="12" t="s">
        <v>859</v>
      </c>
      <c r="G111" s="12" t="s">
        <v>860</v>
      </c>
      <c r="H111" s="12" t="n">
        <v>36</v>
      </c>
      <c r="I111" s="18" t="n">
        <v>12424.99</v>
      </c>
      <c r="J111" s="19" t="n">
        <f aca="false">H111*I111</f>
        <v>447299.64</v>
      </c>
      <c r="K111" s="12" t="n">
        <v>2</v>
      </c>
      <c r="L111" s="12" t="s">
        <v>861</v>
      </c>
      <c r="M111" s="12" t="s">
        <v>867</v>
      </c>
    </row>
    <row r="112" customFormat="false" ht="15" hidden="false" customHeight="true" outlineLevel="0" collapsed="false">
      <c r="A112" s="12" t="s">
        <v>999</v>
      </c>
      <c r="B112" s="14" t="n">
        <v>45694</v>
      </c>
      <c r="C112" s="13" t="s">
        <v>99</v>
      </c>
      <c r="D112" s="15" t="str">
        <f aca="false">IFERROR(INDEX(Dim_Employee!$B$2:$B$76,MATCH(C112,Dim_Employee!$A$2:$A$76,0)),"")</f>
        <v>Zainab Igwe</v>
      </c>
      <c r="E112" s="12" t="s">
        <v>871</v>
      </c>
      <c r="F112" s="12" t="s">
        <v>859</v>
      </c>
      <c r="G112" s="12" t="s">
        <v>923</v>
      </c>
      <c r="H112" s="12" t="n">
        <v>147</v>
      </c>
      <c r="I112" s="18" t="n">
        <v>454754.19</v>
      </c>
      <c r="J112" s="19" t="n">
        <f aca="false">H112*I112</f>
        <v>66848865.93</v>
      </c>
      <c r="K112" s="12" t="n">
        <v>41</v>
      </c>
      <c r="L112" s="12" t="s">
        <v>873</v>
      </c>
      <c r="M112" s="12" t="s">
        <v>867</v>
      </c>
    </row>
    <row r="113" customFormat="false" ht="15" hidden="false" customHeight="true" outlineLevel="0" collapsed="false">
      <c r="A113" s="12" t="s">
        <v>1000</v>
      </c>
      <c r="B113" s="14" t="n">
        <v>45839</v>
      </c>
      <c r="C113" s="13" t="s">
        <v>245</v>
      </c>
      <c r="D113" s="15" t="str">
        <f aca="false">IFERROR(INDEX(Dim_Employee!$B$2:$B$76,MATCH(C113,Dim_Employee!$A$2:$A$76,0)),"")</f>
        <v>Emeka Bakare</v>
      </c>
      <c r="E113" s="12" t="s">
        <v>891</v>
      </c>
      <c r="F113" s="12" t="s">
        <v>864</v>
      </c>
      <c r="G113" s="12" t="s">
        <v>886</v>
      </c>
      <c r="H113" s="12" t="n">
        <v>63</v>
      </c>
      <c r="I113" s="18" t="n">
        <v>174970.59</v>
      </c>
      <c r="J113" s="19" t="n">
        <f aca="false">H113*I113</f>
        <v>11023147.17</v>
      </c>
      <c r="K113" s="12" t="n">
        <v>8</v>
      </c>
      <c r="L113" s="12" t="s">
        <v>866</v>
      </c>
      <c r="M113" s="12" t="s">
        <v>856</v>
      </c>
    </row>
    <row r="114" customFormat="false" ht="15" hidden="false" customHeight="true" outlineLevel="0" collapsed="false">
      <c r="A114" s="12" t="s">
        <v>1001</v>
      </c>
      <c r="B114" s="14" t="n">
        <v>45983</v>
      </c>
      <c r="C114" s="13" t="s">
        <v>263</v>
      </c>
      <c r="D114" s="15" t="str">
        <f aca="false">IFERROR(INDEX(Dim_Employee!$B$2:$B$76,MATCH(C114,Dim_Employee!$A$2:$A$76,0)),"")</f>
        <v>Amaka Usman</v>
      </c>
      <c r="E114" s="12" t="s">
        <v>858</v>
      </c>
      <c r="F114" s="12" t="s">
        <v>853</v>
      </c>
      <c r="G114" s="12" t="s">
        <v>892</v>
      </c>
      <c r="H114" s="12" t="n">
        <v>147</v>
      </c>
      <c r="I114" s="18" t="n">
        <v>498328.19</v>
      </c>
      <c r="J114" s="19" t="n">
        <f aca="false">H114*I114</f>
        <v>73254243.93</v>
      </c>
      <c r="K114" s="12" t="n">
        <v>38</v>
      </c>
      <c r="L114" s="12" t="s">
        <v>861</v>
      </c>
      <c r="M114" s="12" t="s">
        <v>867</v>
      </c>
    </row>
    <row r="115" customFormat="false" ht="15" hidden="false" customHeight="true" outlineLevel="0" collapsed="false">
      <c r="A115" s="12" t="s">
        <v>1002</v>
      </c>
      <c r="B115" s="14" t="n">
        <v>45780</v>
      </c>
      <c r="C115" s="13" t="s">
        <v>240</v>
      </c>
      <c r="D115" s="15" t="str">
        <f aca="false">IFERROR(INDEX(Dim_Employee!$B$2:$B$76,MATCH(C115,Dim_Employee!$A$2:$A$76,0)),"")</f>
        <v>Titilayo Okafor</v>
      </c>
      <c r="E115" s="12" t="s">
        <v>858</v>
      </c>
      <c r="F115" s="12" t="s">
        <v>853</v>
      </c>
      <c r="G115" s="12" t="s">
        <v>872</v>
      </c>
      <c r="H115" s="12" t="n">
        <v>167</v>
      </c>
      <c r="I115" s="18" t="n">
        <v>572452.08</v>
      </c>
      <c r="J115" s="19" t="n">
        <f aca="false">H115*I115</f>
        <v>95599497.36</v>
      </c>
      <c r="K115" s="12" t="n">
        <v>58</v>
      </c>
      <c r="L115" s="12" t="s">
        <v>873</v>
      </c>
      <c r="M115" s="12" t="s">
        <v>878</v>
      </c>
    </row>
    <row r="116" customFormat="false" ht="15" hidden="false" customHeight="true" outlineLevel="0" collapsed="false">
      <c r="A116" s="12" t="s">
        <v>1003</v>
      </c>
      <c r="B116" s="14" t="n">
        <v>45690</v>
      </c>
      <c r="C116" s="13" t="s">
        <v>240</v>
      </c>
      <c r="D116" s="15" t="str">
        <f aca="false">IFERROR(INDEX(Dim_Employee!$B$2:$B$76,MATCH(C116,Dim_Employee!$A$2:$A$76,0)),"")</f>
        <v>Titilayo Okafor</v>
      </c>
      <c r="E116" s="12" t="s">
        <v>883</v>
      </c>
      <c r="F116" s="12" t="s">
        <v>864</v>
      </c>
      <c r="G116" s="12" t="s">
        <v>909</v>
      </c>
      <c r="H116" s="12" t="n">
        <v>128</v>
      </c>
      <c r="I116" s="18" t="n">
        <v>509812.41</v>
      </c>
      <c r="J116" s="19" t="n">
        <f aca="false">H116*I116</f>
        <v>65255988.48</v>
      </c>
      <c r="K116" s="12" t="n">
        <v>2</v>
      </c>
      <c r="L116" s="12" t="s">
        <v>873</v>
      </c>
      <c r="M116" s="12" t="s">
        <v>878</v>
      </c>
    </row>
    <row r="117" customFormat="false" ht="15" hidden="false" customHeight="true" outlineLevel="0" collapsed="false">
      <c r="A117" s="12" t="s">
        <v>1004</v>
      </c>
      <c r="B117" s="14" t="n">
        <v>45677</v>
      </c>
      <c r="C117" s="13" t="s">
        <v>245</v>
      </c>
      <c r="D117" s="15" t="str">
        <f aca="false">IFERROR(INDEX(Dim_Employee!$B$2:$B$76,MATCH(C117,Dim_Employee!$A$2:$A$76,0)),"")</f>
        <v>Emeka Bakare</v>
      </c>
      <c r="E117" s="12" t="s">
        <v>883</v>
      </c>
      <c r="F117" s="12" t="s">
        <v>880</v>
      </c>
      <c r="G117" s="12" t="s">
        <v>881</v>
      </c>
      <c r="H117" s="12" t="n">
        <v>190</v>
      </c>
      <c r="I117" s="18" t="n">
        <v>630752.62</v>
      </c>
      <c r="J117" s="19" t="n">
        <f aca="false">H117*I117</f>
        <v>119842997.8</v>
      </c>
      <c r="K117" s="12" t="n">
        <v>60</v>
      </c>
      <c r="L117" s="12" t="s">
        <v>866</v>
      </c>
      <c r="M117" s="12" t="s">
        <v>856</v>
      </c>
    </row>
    <row r="118" customFormat="false" ht="15" hidden="false" customHeight="true" outlineLevel="0" collapsed="false">
      <c r="A118" s="12" t="s">
        <v>1005</v>
      </c>
      <c r="B118" s="14" t="n">
        <v>45770</v>
      </c>
      <c r="C118" s="13" t="s">
        <v>99</v>
      </c>
      <c r="D118" s="15" t="str">
        <f aca="false">IFERROR(INDEX(Dim_Employee!$B$2:$B$76,MATCH(C118,Dim_Employee!$A$2:$A$76,0)),"")</f>
        <v>Zainab Igwe</v>
      </c>
      <c r="E118" s="12" t="s">
        <v>875</v>
      </c>
      <c r="F118" s="12" t="s">
        <v>853</v>
      </c>
      <c r="G118" s="12" t="s">
        <v>872</v>
      </c>
      <c r="H118" s="12" t="n">
        <v>13</v>
      </c>
      <c r="I118" s="18" t="n">
        <v>342582.36</v>
      </c>
      <c r="J118" s="19" t="n">
        <f aca="false">H118*I118</f>
        <v>4453570.68</v>
      </c>
      <c r="K118" s="12" t="n">
        <v>42</v>
      </c>
      <c r="L118" s="12" t="s">
        <v>873</v>
      </c>
      <c r="M118" s="12" t="s">
        <v>867</v>
      </c>
    </row>
    <row r="119" customFormat="false" ht="15" hidden="false" customHeight="true" outlineLevel="0" collapsed="false">
      <c r="A119" s="12" t="s">
        <v>1006</v>
      </c>
      <c r="B119" s="14" t="n">
        <v>45711</v>
      </c>
      <c r="C119" s="13" t="s">
        <v>99</v>
      </c>
      <c r="D119" s="15" t="str">
        <f aca="false">IFERROR(INDEX(Dim_Employee!$B$2:$B$76,MATCH(C119,Dim_Employee!$A$2:$A$76,0)),"")</f>
        <v>Zainab Igwe</v>
      </c>
      <c r="E119" s="12" t="s">
        <v>928</v>
      </c>
      <c r="F119" s="12" t="s">
        <v>859</v>
      </c>
      <c r="G119" s="12" t="s">
        <v>860</v>
      </c>
      <c r="H119" s="12" t="n">
        <v>120</v>
      </c>
      <c r="I119" s="18" t="n">
        <v>16961.48</v>
      </c>
      <c r="J119" s="19" t="n">
        <f aca="false">H119*I119</f>
        <v>2035377.6</v>
      </c>
      <c r="K119" s="12" t="n">
        <v>11</v>
      </c>
      <c r="L119" s="12" t="s">
        <v>866</v>
      </c>
      <c r="M119" s="12" t="s">
        <v>878</v>
      </c>
    </row>
    <row r="120" customFormat="false" ht="15" hidden="false" customHeight="true" outlineLevel="0" collapsed="false">
      <c r="A120" s="12" t="s">
        <v>1007</v>
      </c>
      <c r="B120" s="14" t="n">
        <v>45853</v>
      </c>
      <c r="C120" s="13" t="s">
        <v>255</v>
      </c>
      <c r="D120" s="15" t="str">
        <f aca="false">IFERROR(INDEX(Dim_Employee!$B$2:$B$76,MATCH(C120,Dim_Employee!$A$2:$A$76,0)),"")</f>
        <v>Adaeze Onyeka</v>
      </c>
      <c r="E120" s="12" t="s">
        <v>875</v>
      </c>
      <c r="F120" s="12" t="s">
        <v>864</v>
      </c>
      <c r="G120" s="12" t="s">
        <v>886</v>
      </c>
      <c r="H120" s="12" t="n">
        <v>131</v>
      </c>
      <c r="I120" s="18" t="n">
        <v>669229.41</v>
      </c>
      <c r="J120" s="19" t="n">
        <f aca="false">H120*I120</f>
        <v>87669052.71</v>
      </c>
      <c r="K120" s="12" t="n">
        <v>56</v>
      </c>
      <c r="L120" s="12" t="s">
        <v>861</v>
      </c>
      <c r="M120" s="12" t="s">
        <v>878</v>
      </c>
    </row>
    <row r="121" customFormat="false" ht="15" hidden="false" customHeight="true" outlineLevel="0" collapsed="false">
      <c r="A121" s="12" t="s">
        <v>1008</v>
      </c>
      <c r="B121" s="14" t="n">
        <v>45962</v>
      </c>
      <c r="C121" s="13" t="s">
        <v>235</v>
      </c>
      <c r="D121" s="15" t="str">
        <f aca="false">IFERROR(INDEX(Dim_Employee!$B$2:$B$76,MATCH(C121,Dim_Employee!$A$2:$A$76,0)),"")</f>
        <v>Uche Ibe</v>
      </c>
      <c r="E121" s="12" t="s">
        <v>928</v>
      </c>
      <c r="F121" s="12" t="s">
        <v>876</v>
      </c>
      <c r="G121" s="12" t="s">
        <v>899</v>
      </c>
      <c r="H121" s="12" t="n">
        <v>144</v>
      </c>
      <c r="I121" s="18" t="n">
        <v>527437.91</v>
      </c>
      <c r="J121" s="19" t="n">
        <f aca="false">H121*I121</f>
        <v>75951059.04</v>
      </c>
      <c r="K121" s="12" t="n">
        <v>5</v>
      </c>
      <c r="L121" s="12" t="s">
        <v>855</v>
      </c>
      <c r="M121" s="12" t="s">
        <v>867</v>
      </c>
    </row>
    <row r="122" customFormat="false" ht="15" hidden="false" customHeight="true" outlineLevel="0" collapsed="false">
      <c r="A122" s="12" t="s">
        <v>1009</v>
      </c>
      <c r="B122" s="14" t="n">
        <v>45764</v>
      </c>
      <c r="C122" s="13" t="s">
        <v>259</v>
      </c>
      <c r="D122" s="15" t="str">
        <f aca="false">IFERROR(INDEX(Dim_Employee!$B$2:$B$76,MATCH(C122,Dim_Employee!$A$2:$A$76,0)),"")</f>
        <v>Blessing Balogun</v>
      </c>
      <c r="E122" s="12" t="s">
        <v>875</v>
      </c>
      <c r="F122" s="12" t="s">
        <v>880</v>
      </c>
      <c r="G122" s="12" t="s">
        <v>881</v>
      </c>
      <c r="H122" s="12" t="n">
        <v>2</v>
      </c>
      <c r="I122" s="18" t="n">
        <v>476574.25</v>
      </c>
      <c r="J122" s="19" t="n">
        <f aca="false">H122*I122</f>
        <v>953148.5</v>
      </c>
      <c r="K122" s="12" t="n">
        <v>55</v>
      </c>
      <c r="L122" s="12" t="s">
        <v>873</v>
      </c>
      <c r="M122" s="12" t="s">
        <v>856</v>
      </c>
    </row>
    <row r="123" customFormat="false" ht="15" hidden="false" customHeight="true" outlineLevel="0" collapsed="false">
      <c r="A123" s="12" t="s">
        <v>1010</v>
      </c>
      <c r="B123" s="14" t="n">
        <v>46001</v>
      </c>
      <c r="C123" s="13" t="s">
        <v>235</v>
      </c>
      <c r="D123" s="15" t="str">
        <f aca="false">IFERROR(INDEX(Dim_Employee!$B$2:$B$76,MATCH(C123,Dim_Employee!$A$2:$A$76,0)),"")</f>
        <v>Uche Ibe</v>
      </c>
      <c r="E123" s="12" t="s">
        <v>891</v>
      </c>
      <c r="F123" s="12" t="s">
        <v>880</v>
      </c>
      <c r="G123" s="12" t="s">
        <v>881</v>
      </c>
      <c r="H123" s="12" t="n">
        <v>167</v>
      </c>
      <c r="I123" s="18" t="n">
        <v>625611.01</v>
      </c>
      <c r="J123" s="19" t="n">
        <f aca="false">H123*I123</f>
        <v>104477038.67</v>
      </c>
      <c r="K123" s="12" t="n">
        <v>41</v>
      </c>
      <c r="L123" s="12" t="s">
        <v>861</v>
      </c>
      <c r="M123" s="12" t="s">
        <v>878</v>
      </c>
    </row>
    <row r="124" customFormat="false" ht="15" hidden="false" customHeight="true" outlineLevel="0" collapsed="false">
      <c r="A124" s="12" t="s">
        <v>1011</v>
      </c>
      <c r="B124" s="14" t="n">
        <v>45780</v>
      </c>
      <c r="C124" s="13" t="s">
        <v>255</v>
      </c>
      <c r="D124" s="15" t="str">
        <f aca="false">IFERROR(INDEX(Dim_Employee!$B$2:$B$76,MATCH(C124,Dim_Employee!$A$2:$A$76,0)),"")</f>
        <v>Adaeze Onyeka</v>
      </c>
      <c r="E124" s="12" t="s">
        <v>928</v>
      </c>
      <c r="F124" s="12" t="s">
        <v>880</v>
      </c>
      <c r="G124" s="12" t="s">
        <v>881</v>
      </c>
      <c r="H124" s="12" t="n">
        <v>25</v>
      </c>
      <c r="I124" s="18" t="n">
        <v>76033.66</v>
      </c>
      <c r="J124" s="19" t="n">
        <f aca="false">H124*I124</f>
        <v>1900841.5</v>
      </c>
      <c r="K124" s="12" t="n">
        <v>25</v>
      </c>
      <c r="L124" s="12" t="s">
        <v>855</v>
      </c>
      <c r="M124" s="12" t="s">
        <v>867</v>
      </c>
    </row>
    <row r="125" customFormat="false" ht="15" hidden="false" customHeight="true" outlineLevel="0" collapsed="false">
      <c r="A125" s="12" t="s">
        <v>1012</v>
      </c>
      <c r="B125" s="14" t="n">
        <v>45953</v>
      </c>
      <c r="C125" s="13" t="s">
        <v>250</v>
      </c>
      <c r="D125" s="15" t="str">
        <f aca="false">IFERROR(INDEX(Dim_Employee!$B$2:$B$76,MATCH(C125,Dim_Employee!$A$2:$A$76,0)),"")</f>
        <v>Ibrahim Abubakar</v>
      </c>
      <c r="E125" s="12" t="s">
        <v>871</v>
      </c>
      <c r="F125" s="12" t="s">
        <v>888</v>
      </c>
      <c r="G125" s="12" t="s">
        <v>935</v>
      </c>
      <c r="H125" s="12" t="n">
        <v>38</v>
      </c>
      <c r="I125" s="18" t="n">
        <v>420774.32</v>
      </c>
      <c r="J125" s="19" t="n">
        <f aca="false">H125*I125</f>
        <v>15989424.16</v>
      </c>
      <c r="K125" s="12" t="n">
        <v>2</v>
      </c>
      <c r="L125" s="12" t="s">
        <v>861</v>
      </c>
      <c r="M125" s="12" t="s">
        <v>856</v>
      </c>
    </row>
    <row r="126" customFormat="false" ht="15" hidden="false" customHeight="true" outlineLevel="0" collapsed="false">
      <c r="A126" s="12" t="s">
        <v>1013</v>
      </c>
      <c r="B126" s="14" t="n">
        <v>45964</v>
      </c>
      <c r="C126" s="13" t="s">
        <v>99</v>
      </c>
      <c r="D126" s="15" t="str">
        <f aca="false">IFERROR(INDEX(Dim_Employee!$B$2:$B$76,MATCH(C126,Dim_Employee!$A$2:$A$76,0)),"")</f>
        <v>Zainab Igwe</v>
      </c>
      <c r="E126" s="12" t="s">
        <v>883</v>
      </c>
      <c r="F126" s="12" t="s">
        <v>864</v>
      </c>
      <c r="G126" s="12" t="s">
        <v>865</v>
      </c>
      <c r="H126" s="12" t="n">
        <v>175</v>
      </c>
      <c r="I126" s="18" t="n">
        <v>589054.46</v>
      </c>
      <c r="J126" s="19" t="n">
        <f aca="false">H126*I126</f>
        <v>103084530.5</v>
      </c>
      <c r="K126" s="12" t="n">
        <v>31</v>
      </c>
      <c r="L126" s="12" t="s">
        <v>873</v>
      </c>
      <c r="M126" s="12" t="s">
        <v>878</v>
      </c>
    </row>
    <row r="127" customFormat="false" ht="15" hidden="false" customHeight="true" outlineLevel="0" collapsed="false">
      <c r="A127" s="12" t="s">
        <v>1014</v>
      </c>
      <c r="B127" s="14" t="n">
        <v>45669</v>
      </c>
      <c r="C127" s="13" t="s">
        <v>245</v>
      </c>
      <c r="D127" s="15" t="str">
        <f aca="false">IFERROR(INDEX(Dim_Employee!$B$2:$B$76,MATCH(C127,Dim_Employee!$A$2:$A$76,0)),"")</f>
        <v>Emeka Bakare</v>
      </c>
      <c r="E127" s="12" t="s">
        <v>875</v>
      </c>
      <c r="F127" s="12" t="s">
        <v>880</v>
      </c>
      <c r="G127" s="12" t="s">
        <v>881</v>
      </c>
      <c r="H127" s="12" t="n">
        <v>193</v>
      </c>
      <c r="I127" s="18" t="n">
        <v>677374.65</v>
      </c>
      <c r="J127" s="19" t="n">
        <f aca="false">H127*I127</f>
        <v>130733307.45</v>
      </c>
      <c r="K127" s="12" t="n">
        <v>44</v>
      </c>
      <c r="L127" s="12" t="s">
        <v>866</v>
      </c>
      <c r="M127" s="12" t="s">
        <v>867</v>
      </c>
    </row>
    <row r="128" customFormat="false" ht="15" hidden="false" customHeight="true" outlineLevel="0" collapsed="false">
      <c r="A128" s="12" t="s">
        <v>1015</v>
      </c>
      <c r="B128" s="14" t="n">
        <v>45884</v>
      </c>
      <c r="C128" s="13" t="s">
        <v>99</v>
      </c>
      <c r="D128" s="15" t="str">
        <f aca="false">IFERROR(INDEX(Dim_Employee!$B$2:$B$76,MATCH(C128,Dim_Employee!$A$2:$A$76,0)),"")</f>
        <v>Zainab Igwe</v>
      </c>
      <c r="E128" s="12" t="s">
        <v>852</v>
      </c>
      <c r="F128" s="12" t="s">
        <v>859</v>
      </c>
      <c r="G128" s="12" t="s">
        <v>860</v>
      </c>
      <c r="H128" s="12" t="n">
        <v>159</v>
      </c>
      <c r="I128" s="18" t="n">
        <v>801420.27</v>
      </c>
      <c r="J128" s="19" t="n">
        <f aca="false">H128*I128</f>
        <v>127425822.93</v>
      </c>
      <c r="K128" s="12" t="n">
        <v>18</v>
      </c>
      <c r="L128" s="12" t="s">
        <v>855</v>
      </c>
      <c r="M128" s="12" t="s">
        <v>867</v>
      </c>
    </row>
    <row r="129" customFormat="false" ht="15" hidden="false" customHeight="true" outlineLevel="0" collapsed="false">
      <c r="A129" s="12" t="s">
        <v>1016</v>
      </c>
      <c r="B129" s="14" t="n">
        <v>45884</v>
      </c>
      <c r="C129" s="13" t="s">
        <v>99</v>
      </c>
      <c r="D129" s="15" t="str">
        <f aca="false">IFERROR(INDEX(Dim_Employee!$B$2:$B$76,MATCH(C129,Dim_Employee!$A$2:$A$76,0)),"")</f>
        <v>Zainab Igwe</v>
      </c>
      <c r="E129" s="12" t="s">
        <v>863</v>
      </c>
      <c r="F129" s="12" t="s">
        <v>888</v>
      </c>
      <c r="G129" s="12" t="s">
        <v>889</v>
      </c>
      <c r="H129" s="12" t="n">
        <v>98</v>
      </c>
      <c r="I129" s="18" t="n">
        <v>81867.53</v>
      </c>
      <c r="J129" s="19" t="n">
        <f aca="false">H129*I129</f>
        <v>8023017.94</v>
      </c>
      <c r="K129" s="12" t="n">
        <v>43</v>
      </c>
      <c r="L129" s="12" t="s">
        <v>873</v>
      </c>
      <c r="M129" s="12" t="s">
        <v>878</v>
      </c>
    </row>
    <row r="130" customFormat="false" ht="15" hidden="false" customHeight="true" outlineLevel="0" collapsed="false">
      <c r="A130" s="12" t="s">
        <v>1017</v>
      </c>
      <c r="B130" s="14" t="n">
        <v>45933</v>
      </c>
      <c r="C130" s="13" t="s">
        <v>255</v>
      </c>
      <c r="D130" s="15" t="str">
        <f aca="false">IFERROR(INDEX(Dim_Employee!$B$2:$B$76,MATCH(C130,Dim_Employee!$A$2:$A$76,0)),"")</f>
        <v>Adaeze Onyeka</v>
      </c>
      <c r="E130" s="12" t="s">
        <v>875</v>
      </c>
      <c r="F130" s="12" t="s">
        <v>888</v>
      </c>
      <c r="G130" s="12" t="s">
        <v>903</v>
      </c>
      <c r="H130" s="12" t="n">
        <v>64</v>
      </c>
      <c r="I130" s="18" t="n">
        <v>12666.48</v>
      </c>
      <c r="J130" s="19" t="n">
        <f aca="false">H130*I130</f>
        <v>810654.72</v>
      </c>
      <c r="K130" s="12" t="n">
        <v>16</v>
      </c>
      <c r="L130" s="12" t="s">
        <v>855</v>
      </c>
      <c r="M130" s="12" t="s">
        <v>867</v>
      </c>
    </row>
    <row r="131" customFormat="false" ht="15" hidden="false" customHeight="true" outlineLevel="0" collapsed="false">
      <c r="A131" s="12" t="s">
        <v>1018</v>
      </c>
      <c r="B131" s="14" t="n">
        <v>45930</v>
      </c>
      <c r="C131" s="13" t="s">
        <v>99</v>
      </c>
      <c r="D131" s="15" t="str">
        <f aca="false">IFERROR(INDEX(Dim_Employee!$B$2:$B$76,MATCH(C131,Dim_Employee!$A$2:$A$76,0)),"")</f>
        <v>Zainab Igwe</v>
      </c>
      <c r="E131" s="12" t="s">
        <v>863</v>
      </c>
      <c r="F131" s="12" t="s">
        <v>859</v>
      </c>
      <c r="G131" s="12" t="s">
        <v>860</v>
      </c>
      <c r="H131" s="12" t="n">
        <v>88</v>
      </c>
      <c r="I131" s="18" t="n">
        <v>675717.33</v>
      </c>
      <c r="J131" s="19" t="n">
        <f aca="false">H131*I131</f>
        <v>59463125.04</v>
      </c>
      <c r="K131" s="12" t="n">
        <v>4</v>
      </c>
      <c r="L131" s="12" t="s">
        <v>855</v>
      </c>
      <c r="M131" s="12" t="s">
        <v>867</v>
      </c>
    </row>
    <row r="132" customFormat="false" ht="15" hidden="false" customHeight="true" outlineLevel="0" collapsed="false">
      <c r="A132" s="12" t="s">
        <v>1019</v>
      </c>
      <c r="B132" s="14" t="n">
        <v>45892</v>
      </c>
      <c r="C132" s="13" t="s">
        <v>255</v>
      </c>
      <c r="D132" s="15" t="str">
        <f aca="false">IFERROR(INDEX(Dim_Employee!$B$2:$B$76,MATCH(C132,Dim_Employee!$A$2:$A$76,0)),"")</f>
        <v>Adaeze Onyeka</v>
      </c>
      <c r="E132" s="12" t="s">
        <v>863</v>
      </c>
      <c r="F132" s="12" t="s">
        <v>888</v>
      </c>
      <c r="G132" s="12" t="s">
        <v>935</v>
      </c>
      <c r="H132" s="12" t="n">
        <v>17</v>
      </c>
      <c r="I132" s="18" t="n">
        <v>457382.39</v>
      </c>
      <c r="J132" s="19" t="n">
        <f aca="false">H132*I132</f>
        <v>7775500.63</v>
      </c>
      <c r="K132" s="12" t="n">
        <v>35</v>
      </c>
      <c r="L132" s="12" t="s">
        <v>861</v>
      </c>
      <c r="M132" s="12" t="s">
        <v>878</v>
      </c>
    </row>
    <row r="133" customFormat="false" ht="15" hidden="false" customHeight="true" outlineLevel="0" collapsed="false">
      <c r="A133" s="12" t="s">
        <v>1020</v>
      </c>
      <c r="B133" s="14" t="n">
        <v>45981</v>
      </c>
      <c r="C133" s="13" t="s">
        <v>245</v>
      </c>
      <c r="D133" s="15" t="str">
        <f aca="false">IFERROR(INDEX(Dim_Employee!$B$2:$B$76,MATCH(C133,Dim_Employee!$A$2:$A$76,0)),"")</f>
        <v>Emeka Bakare</v>
      </c>
      <c r="E133" s="12" t="s">
        <v>928</v>
      </c>
      <c r="F133" s="12" t="s">
        <v>853</v>
      </c>
      <c r="G133" s="12" t="s">
        <v>872</v>
      </c>
      <c r="H133" s="12" t="n">
        <v>133</v>
      </c>
      <c r="I133" s="18" t="n">
        <v>586791.97</v>
      </c>
      <c r="J133" s="19" t="n">
        <f aca="false">H133*I133</f>
        <v>78043332.01</v>
      </c>
      <c r="K133" s="12" t="n">
        <v>15</v>
      </c>
      <c r="L133" s="12" t="s">
        <v>866</v>
      </c>
      <c r="M133" s="12" t="s">
        <v>867</v>
      </c>
    </row>
    <row r="134" customFormat="false" ht="15" hidden="false" customHeight="true" outlineLevel="0" collapsed="false">
      <c r="A134" s="12" t="s">
        <v>1021</v>
      </c>
      <c r="B134" s="14" t="n">
        <v>45718</v>
      </c>
      <c r="C134" s="13" t="s">
        <v>99</v>
      </c>
      <c r="D134" s="15" t="str">
        <f aca="false">IFERROR(INDEX(Dim_Employee!$B$2:$B$76,MATCH(C134,Dim_Employee!$A$2:$A$76,0)),"")</f>
        <v>Zainab Igwe</v>
      </c>
      <c r="E134" s="12" t="s">
        <v>863</v>
      </c>
      <c r="F134" s="12" t="s">
        <v>880</v>
      </c>
      <c r="G134" s="12" t="s">
        <v>894</v>
      </c>
      <c r="H134" s="12" t="n">
        <v>67</v>
      </c>
      <c r="I134" s="18" t="n">
        <v>367532.87</v>
      </c>
      <c r="J134" s="19" t="n">
        <f aca="false">H134*I134</f>
        <v>24624702.29</v>
      </c>
      <c r="K134" s="12" t="n">
        <v>41</v>
      </c>
      <c r="L134" s="12" t="s">
        <v>866</v>
      </c>
      <c r="M134" s="12" t="s">
        <v>878</v>
      </c>
    </row>
    <row r="135" customFormat="false" ht="15" hidden="false" customHeight="true" outlineLevel="0" collapsed="false">
      <c r="A135" s="12" t="s">
        <v>1022</v>
      </c>
      <c r="B135" s="14" t="n">
        <v>45672</v>
      </c>
      <c r="C135" s="13" t="s">
        <v>250</v>
      </c>
      <c r="D135" s="15" t="str">
        <f aca="false">IFERROR(INDEX(Dim_Employee!$B$2:$B$76,MATCH(C135,Dim_Employee!$A$2:$A$76,0)),"")</f>
        <v>Ibrahim Abubakar</v>
      </c>
      <c r="E135" s="12" t="s">
        <v>928</v>
      </c>
      <c r="F135" s="12" t="s">
        <v>853</v>
      </c>
      <c r="G135" s="12" t="s">
        <v>872</v>
      </c>
      <c r="H135" s="12" t="n">
        <v>64</v>
      </c>
      <c r="I135" s="18" t="n">
        <v>291463.2</v>
      </c>
      <c r="J135" s="19" t="n">
        <f aca="false">H135*I135</f>
        <v>18653644.8</v>
      </c>
      <c r="K135" s="12" t="n">
        <v>57</v>
      </c>
      <c r="L135" s="12" t="s">
        <v>866</v>
      </c>
      <c r="M135" s="12" t="s">
        <v>878</v>
      </c>
    </row>
    <row r="136" customFormat="false" ht="15" hidden="false" customHeight="true" outlineLevel="0" collapsed="false">
      <c r="A136" s="12" t="s">
        <v>1023</v>
      </c>
      <c r="B136" s="14" t="n">
        <v>45960</v>
      </c>
      <c r="C136" s="13" t="s">
        <v>250</v>
      </c>
      <c r="D136" s="15" t="str">
        <f aca="false">IFERROR(INDEX(Dim_Employee!$B$2:$B$76,MATCH(C136,Dim_Employee!$A$2:$A$76,0)),"")</f>
        <v>Ibrahim Abubakar</v>
      </c>
      <c r="E136" s="12" t="s">
        <v>863</v>
      </c>
      <c r="F136" s="12" t="s">
        <v>876</v>
      </c>
      <c r="G136" s="12" t="s">
        <v>899</v>
      </c>
      <c r="H136" s="12" t="n">
        <v>168</v>
      </c>
      <c r="I136" s="18" t="n">
        <v>547334.6</v>
      </c>
      <c r="J136" s="19" t="n">
        <f aca="false">H136*I136</f>
        <v>91952212.8</v>
      </c>
      <c r="K136" s="12" t="n">
        <v>6</v>
      </c>
      <c r="L136" s="12" t="s">
        <v>861</v>
      </c>
      <c r="M136" s="12" t="s">
        <v>878</v>
      </c>
    </row>
    <row r="137" customFormat="false" ht="15" hidden="false" customHeight="true" outlineLevel="0" collapsed="false">
      <c r="A137" s="12" t="s">
        <v>1024</v>
      </c>
      <c r="B137" s="14" t="n">
        <v>45692</v>
      </c>
      <c r="C137" s="13" t="s">
        <v>259</v>
      </c>
      <c r="D137" s="15" t="str">
        <f aca="false">IFERROR(INDEX(Dim_Employee!$B$2:$B$76,MATCH(C137,Dim_Employee!$A$2:$A$76,0)),"")</f>
        <v>Blessing Balogun</v>
      </c>
      <c r="E137" s="12" t="s">
        <v>875</v>
      </c>
      <c r="F137" s="12" t="s">
        <v>888</v>
      </c>
      <c r="G137" s="12" t="s">
        <v>935</v>
      </c>
      <c r="H137" s="12" t="n">
        <v>20</v>
      </c>
      <c r="I137" s="18" t="n">
        <v>55754.15</v>
      </c>
      <c r="J137" s="19" t="n">
        <f aca="false">H137*I137</f>
        <v>1115083</v>
      </c>
      <c r="K137" s="12" t="n">
        <v>25</v>
      </c>
      <c r="L137" s="12" t="s">
        <v>861</v>
      </c>
      <c r="M137" s="12" t="s">
        <v>856</v>
      </c>
    </row>
    <row r="138" customFormat="false" ht="15" hidden="false" customHeight="true" outlineLevel="0" collapsed="false">
      <c r="A138" s="12" t="s">
        <v>1025</v>
      </c>
      <c r="B138" s="14" t="n">
        <v>45919</v>
      </c>
      <c r="C138" s="13" t="s">
        <v>235</v>
      </c>
      <c r="D138" s="15" t="str">
        <f aca="false">IFERROR(INDEX(Dim_Employee!$B$2:$B$76,MATCH(C138,Dim_Employee!$A$2:$A$76,0)),"")</f>
        <v>Uche Ibe</v>
      </c>
      <c r="E138" s="12" t="s">
        <v>852</v>
      </c>
      <c r="F138" s="12" t="s">
        <v>880</v>
      </c>
      <c r="G138" s="12" t="s">
        <v>894</v>
      </c>
      <c r="H138" s="12" t="n">
        <v>127</v>
      </c>
      <c r="I138" s="18" t="n">
        <v>551667.41</v>
      </c>
      <c r="J138" s="19" t="n">
        <f aca="false">H138*I138</f>
        <v>70061761.07</v>
      </c>
      <c r="K138" s="12" t="n">
        <v>13</v>
      </c>
      <c r="L138" s="12" t="s">
        <v>861</v>
      </c>
      <c r="M138" s="12" t="s">
        <v>867</v>
      </c>
    </row>
    <row r="139" customFormat="false" ht="15" hidden="false" customHeight="true" outlineLevel="0" collapsed="false">
      <c r="A139" s="12" t="s">
        <v>1026</v>
      </c>
      <c r="B139" s="14" t="n">
        <v>45746</v>
      </c>
      <c r="C139" s="13" t="s">
        <v>250</v>
      </c>
      <c r="D139" s="15" t="str">
        <f aca="false">IFERROR(INDEX(Dim_Employee!$B$2:$B$76,MATCH(C139,Dim_Employee!$A$2:$A$76,0)),"")</f>
        <v>Ibrahim Abubakar</v>
      </c>
      <c r="E139" s="12" t="s">
        <v>858</v>
      </c>
      <c r="F139" s="12" t="s">
        <v>853</v>
      </c>
      <c r="G139" s="12" t="s">
        <v>872</v>
      </c>
      <c r="H139" s="12" t="n">
        <v>105</v>
      </c>
      <c r="I139" s="18" t="n">
        <v>592710.46</v>
      </c>
      <c r="J139" s="19" t="n">
        <f aca="false">H139*I139</f>
        <v>62234598.3</v>
      </c>
      <c r="K139" s="12" t="n">
        <v>58</v>
      </c>
      <c r="L139" s="12" t="s">
        <v>861</v>
      </c>
      <c r="M139" s="12" t="s">
        <v>867</v>
      </c>
    </row>
    <row r="140" customFormat="false" ht="15" hidden="false" customHeight="true" outlineLevel="0" collapsed="false">
      <c r="A140" s="12" t="s">
        <v>1027</v>
      </c>
      <c r="B140" s="14" t="n">
        <v>45773</v>
      </c>
      <c r="C140" s="13" t="s">
        <v>255</v>
      </c>
      <c r="D140" s="15" t="str">
        <f aca="false">IFERROR(INDEX(Dim_Employee!$B$2:$B$76,MATCH(C140,Dim_Employee!$A$2:$A$76,0)),"")</f>
        <v>Adaeze Onyeka</v>
      </c>
      <c r="E140" s="12" t="s">
        <v>928</v>
      </c>
      <c r="F140" s="12" t="s">
        <v>888</v>
      </c>
      <c r="G140" s="12" t="s">
        <v>935</v>
      </c>
      <c r="H140" s="12" t="n">
        <v>53</v>
      </c>
      <c r="I140" s="18" t="n">
        <v>27546.62</v>
      </c>
      <c r="J140" s="19" t="n">
        <f aca="false">H140*I140</f>
        <v>1459970.86</v>
      </c>
      <c r="K140" s="12" t="n">
        <v>53</v>
      </c>
      <c r="L140" s="12" t="s">
        <v>855</v>
      </c>
      <c r="M140" s="12" t="s">
        <v>878</v>
      </c>
    </row>
    <row r="141" customFormat="false" ht="15" hidden="false" customHeight="true" outlineLevel="0" collapsed="false">
      <c r="A141" s="12" t="s">
        <v>1028</v>
      </c>
      <c r="B141" s="14" t="n">
        <v>45755</v>
      </c>
      <c r="C141" s="13" t="s">
        <v>255</v>
      </c>
      <c r="D141" s="15" t="str">
        <f aca="false">IFERROR(INDEX(Dim_Employee!$B$2:$B$76,MATCH(C141,Dim_Employee!$A$2:$A$76,0)),"")</f>
        <v>Adaeze Onyeka</v>
      </c>
      <c r="E141" s="12" t="s">
        <v>928</v>
      </c>
      <c r="F141" s="12" t="s">
        <v>888</v>
      </c>
      <c r="G141" s="12" t="s">
        <v>935</v>
      </c>
      <c r="H141" s="12" t="n">
        <v>160</v>
      </c>
      <c r="I141" s="18" t="n">
        <v>9819.85</v>
      </c>
      <c r="J141" s="19" t="n">
        <f aca="false">H141*I141</f>
        <v>1571176</v>
      </c>
      <c r="K141" s="12" t="n">
        <v>12</v>
      </c>
      <c r="L141" s="12" t="s">
        <v>855</v>
      </c>
      <c r="M141" s="12" t="s">
        <v>878</v>
      </c>
    </row>
    <row r="142" customFormat="false" ht="15" hidden="false" customHeight="true" outlineLevel="0" collapsed="false">
      <c r="A142" s="12" t="s">
        <v>1029</v>
      </c>
      <c r="B142" s="14" t="n">
        <v>45707</v>
      </c>
      <c r="C142" s="13" t="s">
        <v>250</v>
      </c>
      <c r="D142" s="15" t="str">
        <f aca="false">IFERROR(INDEX(Dim_Employee!$B$2:$B$76,MATCH(C142,Dim_Employee!$A$2:$A$76,0)),"")</f>
        <v>Ibrahim Abubakar</v>
      </c>
      <c r="E142" s="12" t="s">
        <v>875</v>
      </c>
      <c r="F142" s="12" t="s">
        <v>859</v>
      </c>
      <c r="G142" s="12" t="s">
        <v>923</v>
      </c>
      <c r="H142" s="12" t="n">
        <v>12</v>
      </c>
      <c r="I142" s="18" t="n">
        <v>123395</v>
      </c>
      <c r="J142" s="19" t="n">
        <f aca="false">H142*I142</f>
        <v>1480740</v>
      </c>
      <c r="K142" s="12" t="n">
        <v>18</v>
      </c>
      <c r="L142" s="12" t="s">
        <v>861</v>
      </c>
      <c r="M142" s="12" t="s">
        <v>878</v>
      </c>
    </row>
    <row r="143" customFormat="false" ht="15" hidden="false" customHeight="true" outlineLevel="0" collapsed="false">
      <c r="A143" s="12" t="s">
        <v>1030</v>
      </c>
      <c r="B143" s="14" t="n">
        <v>45795</v>
      </c>
      <c r="C143" s="13" t="s">
        <v>245</v>
      </c>
      <c r="D143" s="15" t="str">
        <f aca="false">IFERROR(INDEX(Dim_Employee!$B$2:$B$76,MATCH(C143,Dim_Employee!$A$2:$A$76,0)),"")</f>
        <v>Emeka Bakare</v>
      </c>
      <c r="E143" s="12" t="s">
        <v>863</v>
      </c>
      <c r="F143" s="12" t="s">
        <v>864</v>
      </c>
      <c r="G143" s="12" t="s">
        <v>869</v>
      </c>
      <c r="H143" s="12" t="n">
        <v>17</v>
      </c>
      <c r="I143" s="18" t="n">
        <v>252558.39</v>
      </c>
      <c r="J143" s="19" t="n">
        <f aca="false">H143*I143</f>
        <v>4293492.63</v>
      </c>
      <c r="K143" s="12" t="n">
        <v>25</v>
      </c>
      <c r="L143" s="12" t="s">
        <v>866</v>
      </c>
      <c r="M143" s="12" t="s">
        <v>856</v>
      </c>
    </row>
    <row r="144" customFormat="false" ht="15" hidden="false" customHeight="true" outlineLevel="0" collapsed="false">
      <c r="A144" s="12" t="s">
        <v>1031</v>
      </c>
      <c r="B144" s="14" t="n">
        <v>45743</v>
      </c>
      <c r="C144" s="13" t="s">
        <v>255</v>
      </c>
      <c r="D144" s="15" t="str">
        <f aca="false">IFERROR(INDEX(Dim_Employee!$B$2:$B$76,MATCH(C144,Dim_Employee!$A$2:$A$76,0)),"")</f>
        <v>Adaeze Onyeka</v>
      </c>
      <c r="E144" s="12" t="s">
        <v>928</v>
      </c>
      <c r="F144" s="12" t="s">
        <v>880</v>
      </c>
      <c r="G144" s="12" t="s">
        <v>881</v>
      </c>
      <c r="H144" s="12" t="n">
        <v>65</v>
      </c>
      <c r="I144" s="18" t="n">
        <v>315854.3</v>
      </c>
      <c r="J144" s="19" t="n">
        <f aca="false">H144*I144</f>
        <v>20530529.5</v>
      </c>
      <c r="K144" s="12" t="n">
        <v>60</v>
      </c>
      <c r="L144" s="12" t="s">
        <v>866</v>
      </c>
      <c r="M144" s="12" t="s">
        <v>867</v>
      </c>
    </row>
    <row r="145" customFormat="false" ht="15" hidden="false" customHeight="true" outlineLevel="0" collapsed="false">
      <c r="A145" s="12" t="s">
        <v>1032</v>
      </c>
      <c r="B145" s="14" t="n">
        <v>45770</v>
      </c>
      <c r="C145" s="13" t="s">
        <v>259</v>
      </c>
      <c r="D145" s="15" t="str">
        <f aca="false">IFERROR(INDEX(Dim_Employee!$B$2:$B$76,MATCH(C145,Dim_Employee!$A$2:$A$76,0)),"")</f>
        <v>Blessing Balogun</v>
      </c>
      <c r="E145" s="12" t="s">
        <v>891</v>
      </c>
      <c r="F145" s="12" t="s">
        <v>864</v>
      </c>
      <c r="G145" s="12" t="s">
        <v>869</v>
      </c>
      <c r="H145" s="12" t="n">
        <v>58</v>
      </c>
      <c r="I145" s="18" t="n">
        <v>551847.89</v>
      </c>
      <c r="J145" s="19" t="n">
        <f aca="false">H145*I145</f>
        <v>32007177.62</v>
      </c>
      <c r="K145" s="12" t="n">
        <v>17</v>
      </c>
      <c r="L145" s="12" t="s">
        <v>873</v>
      </c>
      <c r="M145" s="12" t="s">
        <v>867</v>
      </c>
    </row>
    <row r="146" customFormat="false" ht="15" hidden="false" customHeight="true" outlineLevel="0" collapsed="false">
      <c r="A146" s="12" t="s">
        <v>1033</v>
      </c>
      <c r="B146" s="14" t="n">
        <v>45847</v>
      </c>
      <c r="C146" s="13" t="s">
        <v>99</v>
      </c>
      <c r="D146" s="15" t="str">
        <f aca="false">IFERROR(INDEX(Dim_Employee!$B$2:$B$76,MATCH(C146,Dim_Employee!$A$2:$A$76,0)),"")</f>
        <v>Zainab Igwe</v>
      </c>
      <c r="E146" s="12" t="s">
        <v>883</v>
      </c>
      <c r="F146" s="12" t="s">
        <v>864</v>
      </c>
      <c r="G146" s="12" t="s">
        <v>869</v>
      </c>
      <c r="H146" s="12" t="n">
        <v>26</v>
      </c>
      <c r="I146" s="18" t="n">
        <v>564594.95</v>
      </c>
      <c r="J146" s="19" t="n">
        <f aca="false">H146*I146</f>
        <v>14679468.7</v>
      </c>
      <c r="K146" s="12" t="n">
        <v>3</v>
      </c>
      <c r="L146" s="12" t="s">
        <v>873</v>
      </c>
      <c r="M146" s="12" t="s">
        <v>867</v>
      </c>
    </row>
    <row r="147" customFormat="false" ht="15" hidden="false" customHeight="true" outlineLevel="0" collapsed="false">
      <c r="A147" s="12" t="s">
        <v>1034</v>
      </c>
      <c r="B147" s="14" t="n">
        <v>46022</v>
      </c>
      <c r="C147" s="13" t="s">
        <v>263</v>
      </c>
      <c r="D147" s="15" t="str">
        <f aca="false">IFERROR(INDEX(Dim_Employee!$B$2:$B$76,MATCH(C147,Dim_Employee!$A$2:$A$76,0)),"")</f>
        <v>Amaka Usman</v>
      </c>
      <c r="E147" s="12" t="s">
        <v>858</v>
      </c>
      <c r="F147" s="12" t="s">
        <v>864</v>
      </c>
      <c r="G147" s="12" t="s">
        <v>886</v>
      </c>
      <c r="H147" s="12" t="n">
        <v>29</v>
      </c>
      <c r="I147" s="18" t="n">
        <v>391770.32</v>
      </c>
      <c r="J147" s="19" t="n">
        <f aca="false">H147*I147</f>
        <v>11361339.28</v>
      </c>
      <c r="K147" s="12" t="n">
        <v>27</v>
      </c>
      <c r="L147" s="12" t="s">
        <v>861</v>
      </c>
      <c r="M147" s="12" t="s">
        <v>867</v>
      </c>
    </row>
    <row r="148" customFormat="false" ht="15" hidden="false" customHeight="true" outlineLevel="0" collapsed="false">
      <c r="A148" s="12" t="s">
        <v>1035</v>
      </c>
      <c r="B148" s="14" t="n">
        <v>45689</v>
      </c>
      <c r="C148" s="13" t="s">
        <v>263</v>
      </c>
      <c r="D148" s="15" t="str">
        <f aca="false">IFERROR(INDEX(Dim_Employee!$B$2:$B$76,MATCH(C148,Dim_Employee!$A$2:$A$76,0)),"")</f>
        <v>Amaka Usman</v>
      </c>
      <c r="E148" s="12" t="s">
        <v>928</v>
      </c>
      <c r="F148" s="12" t="s">
        <v>859</v>
      </c>
      <c r="G148" s="12" t="s">
        <v>860</v>
      </c>
      <c r="H148" s="12" t="n">
        <v>60</v>
      </c>
      <c r="I148" s="18" t="n">
        <v>362815.43</v>
      </c>
      <c r="J148" s="19" t="n">
        <f aca="false">H148*I148</f>
        <v>21768925.8</v>
      </c>
      <c r="K148" s="12" t="n">
        <v>6</v>
      </c>
      <c r="L148" s="12" t="s">
        <v>855</v>
      </c>
      <c r="M148" s="12" t="s">
        <v>867</v>
      </c>
    </row>
    <row r="149" customFormat="false" ht="15" hidden="false" customHeight="true" outlineLevel="0" collapsed="false">
      <c r="A149" s="12" t="s">
        <v>1036</v>
      </c>
      <c r="B149" s="14" t="n">
        <v>45942</v>
      </c>
      <c r="C149" s="13" t="s">
        <v>263</v>
      </c>
      <c r="D149" s="15" t="str">
        <f aca="false">IFERROR(INDEX(Dim_Employee!$B$2:$B$76,MATCH(C149,Dim_Employee!$A$2:$A$76,0)),"")</f>
        <v>Amaka Usman</v>
      </c>
      <c r="E149" s="12" t="s">
        <v>875</v>
      </c>
      <c r="F149" s="12" t="s">
        <v>853</v>
      </c>
      <c r="G149" s="12" t="s">
        <v>892</v>
      </c>
      <c r="H149" s="12" t="n">
        <v>62</v>
      </c>
      <c r="I149" s="18" t="n">
        <v>796195.19</v>
      </c>
      <c r="J149" s="19" t="n">
        <f aca="false">H149*I149</f>
        <v>49364101.78</v>
      </c>
      <c r="K149" s="12" t="n">
        <v>34</v>
      </c>
      <c r="L149" s="12" t="s">
        <v>866</v>
      </c>
      <c r="M149" s="12" t="s">
        <v>867</v>
      </c>
    </row>
    <row r="150" customFormat="false" ht="15" hidden="false" customHeight="true" outlineLevel="0" collapsed="false">
      <c r="A150" s="12" t="s">
        <v>1037</v>
      </c>
      <c r="B150" s="14" t="n">
        <v>45850</v>
      </c>
      <c r="C150" s="13" t="s">
        <v>245</v>
      </c>
      <c r="D150" s="15" t="str">
        <f aca="false">IFERROR(INDEX(Dim_Employee!$B$2:$B$76,MATCH(C150,Dim_Employee!$A$2:$A$76,0)),"")</f>
        <v>Emeka Bakare</v>
      </c>
      <c r="E150" s="12" t="s">
        <v>928</v>
      </c>
      <c r="F150" s="12" t="s">
        <v>876</v>
      </c>
      <c r="G150" s="12" t="s">
        <v>877</v>
      </c>
      <c r="H150" s="12" t="n">
        <v>157</v>
      </c>
      <c r="I150" s="18" t="n">
        <v>739878.29</v>
      </c>
      <c r="J150" s="19" t="n">
        <f aca="false">H150*I150</f>
        <v>116160891.53</v>
      </c>
      <c r="K150" s="12" t="n">
        <v>29</v>
      </c>
      <c r="L150" s="12" t="s">
        <v>861</v>
      </c>
      <c r="M150" s="12" t="s">
        <v>856</v>
      </c>
    </row>
    <row r="151" customFormat="false" ht="15" hidden="false" customHeight="true" outlineLevel="0" collapsed="false">
      <c r="A151" s="12" t="s">
        <v>1038</v>
      </c>
      <c r="B151" s="14" t="n">
        <v>45700</v>
      </c>
      <c r="C151" s="13" t="s">
        <v>240</v>
      </c>
      <c r="D151" s="15" t="str">
        <f aca="false">IFERROR(INDEX(Dim_Employee!$B$2:$B$76,MATCH(C151,Dim_Employee!$A$2:$A$76,0)),"")</f>
        <v>Titilayo Okafor</v>
      </c>
      <c r="E151" s="12" t="s">
        <v>858</v>
      </c>
      <c r="F151" s="12" t="s">
        <v>876</v>
      </c>
      <c r="G151" s="12" t="s">
        <v>944</v>
      </c>
      <c r="H151" s="12" t="n">
        <v>81</v>
      </c>
      <c r="I151" s="18" t="n">
        <v>181708.24</v>
      </c>
      <c r="J151" s="19" t="n">
        <f aca="false">H151*I151</f>
        <v>14718367.44</v>
      </c>
      <c r="K151" s="12" t="n">
        <v>31</v>
      </c>
      <c r="L151" s="12" t="s">
        <v>873</v>
      </c>
      <c r="M151" s="12" t="s">
        <v>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5" min="4" style="1" width="20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5"/>
  </cols>
  <sheetData>
    <row r="1" customFormat="false" ht="26.25" hidden="false" customHeight="true" outlineLevel="0" collapsed="false">
      <c r="A1" s="10" t="s">
        <v>1039</v>
      </c>
      <c r="B1" s="10" t="s">
        <v>9</v>
      </c>
      <c r="C1" s="10" t="s">
        <v>126</v>
      </c>
      <c r="D1" s="10" t="s">
        <v>127</v>
      </c>
      <c r="E1" s="10" t="s">
        <v>1040</v>
      </c>
      <c r="F1" s="10" t="s">
        <v>1041</v>
      </c>
      <c r="G1" s="10" t="s">
        <v>85</v>
      </c>
      <c r="H1" s="10" t="s">
        <v>1042</v>
      </c>
      <c r="I1" s="10" t="s">
        <v>1043</v>
      </c>
      <c r="J1" s="10" t="s">
        <v>1044</v>
      </c>
      <c r="K1" s="10" t="s">
        <v>1045</v>
      </c>
    </row>
    <row r="2" customFormat="false" ht="15" hidden="false" customHeight="true" outlineLevel="0" collapsed="false">
      <c r="A2" s="12" t="s">
        <v>1046</v>
      </c>
      <c r="B2" s="14" t="n">
        <v>45944</v>
      </c>
      <c r="C2" s="13" t="s">
        <v>281</v>
      </c>
      <c r="D2" s="15" t="str">
        <f aca="false">IFERROR(INDEX(Dim_Employee!$B$2:$B$76,MATCH(C2,Dim_Employee!$A$2:$A$76,0)),"")</f>
        <v>Ngozi Balogun</v>
      </c>
      <c r="E2" s="12" t="s">
        <v>1047</v>
      </c>
      <c r="F2" s="12" t="s">
        <v>1048</v>
      </c>
      <c r="G2" s="12" t="s">
        <v>93</v>
      </c>
      <c r="H2" s="12" t="s">
        <v>738</v>
      </c>
      <c r="I2" s="12" t="s">
        <v>1049</v>
      </c>
      <c r="J2" s="18" t="n">
        <v>965660.87</v>
      </c>
      <c r="K2" s="14"/>
    </row>
    <row r="3" customFormat="false" ht="15" hidden="false" customHeight="true" outlineLevel="0" collapsed="false">
      <c r="A3" s="12" t="s">
        <v>1050</v>
      </c>
      <c r="B3" s="14" t="n">
        <v>45980</v>
      </c>
      <c r="C3" s="13" t="s">
        <v>281</v>
      </c>
      <c r="D3" s="15" t="str">
        <f aca="false">IFERROR(INDEX(Dim_Employee!$B$2:$B$76,MATCH(C3,Dim_Employee!$A$2:$A$76,0)),"")</f>
        <v>Ngozi Balogun</v>
      </c>
      <c r="E3" s="12" t="s">
        <v>1051</v>
      </c>
      <c r="F3" s="12" t="s">
        <v>1052</v>
      </c>
      <c r="G3" s="12" t="s">
        <v>1053</v>
      </c>
      <c r="H3" s="12" t="s">
        <v>738</v>
      </c>
      <c r="I3" s="12" t="s">
        <v>1054</v>
      </c>
      <c r="J3" s="18" t="n">
        <v>113351.29</v>
      </c>
      <c r="K3" s="14"/>
    </row>
    <row r="4" customFormat="false" ht="15" hidden="false" customHeight="true" outlineLevel="0" collapsed="false">
      <c r="A4" s="12" t="s">
        <v>1055</v>
      </c>
      <c r="B4" s="14" t="n">
        <v>45982</v>
      </c>
      <c r="C4" s="13" t="s">
        <v>288</v>
      </c>
      <c r="D4" s="15" t="str">
        <f aca="false">IFERROR(INDEX(Dim_Employee!$B$2:$B$76,MATCH(C4,Dim_Employee!$A$2:$A$76,0)),"")</f>
        <v>Ifeoma Balogun</v>
      </c>
      <c r="E4" s="12" t="s">
        <v>1047</v>
      </c>
      <c r="F4" s="12" t="s">
        <v>1056</v>
      </c>
      <c r="G4" s="12" t="s">
        <v>93</v>
      </c>
      <c r="H4" s="12" t="s">
        <v>733</v>
      </c>
      <c r="I4" s="12" t="s">
        <v>1057</v>
      </c>
      <c r="J4" s="18" t="n">
        <v>998883.44</v>
      </c>
      <c r="K4" s="14" t="n">
        <v>46002</v>
      </c>
    </row>
    <row r="5" customFormat="false" ht="15" hidden="false" customHeight="true" outlineLevel="0" collapsed="false">
      <c r="A5" s="12" t="s">
        <v>1058</v>
      </c>
      <c r="B5" s="14" t="n">
        <v>45688</v>
      </c>
      <c r="C5" s="13" t="s">
        <v>102</v>
      </c>
      <c r="D5" s="15" t="str">
        <f aca="false">IFERROR(INDEX(Dim_Employee!$B$2:$B$76,MATCH(C5,Dim_Employee!$A$2:$A$76,0)),"")</f>
        <v>Yusuf Abubakar</v>
      </c>
      <c r="E5" s="12" t="s">
        <v>1059</v>
      </c>
      <c r="F5" s="12" t="s">
        <v>1060</v>
      </c>
      <c r="G5" s="12" t="s">
        <v>1061</v>
      </c>
      <c r="H5" s="12" t="s">
        <v>753</v>
      </c>
      <c r="I5" s="12" t="s">
        <v>1057</v>
      </c>
      <c r="J5" s="18" t="n">
        <v>531434.68</v>
      </c>
      <c r="K5" s="14" t="n">
        <v>45695</v>
      </c>
    </row>
    <row r="6" customFormat="false" ht="15" hidden="false" customHeight="true" outlineLevel="0" collapsed="false">
      <c r="A6" s="12" t="s">
        <v>1062</v>
      </c>
      <c r="B6" s="14" t="n">
        <v>45923</v>
      </c>
      <c r="C6" s="13" t="s">
        <v>271</v>
      </c>
      <c r="D6" s="15" t="str">
        <f aca="false">IFERROR(INDEX(Dim_Employee!$B$2:$B$76,MATCH(C6,Dim_Employee!$A$2:$A$76,0)),"")</f>
        <v>Emmanuel Aliyu</v>
      </c>
      <c r="E6" s="12" t="s">
        <v>880</v>
      </c>
      <c r="F6" s="12" t="s">
        <v>1063</v>
      </c>
      <c r="G6" s="12" t="s">
        <v>1061</v>
      </c>
      <c r="H6" s="12" t="s">
        <v>733</v>
      </c>
      <c r="I6" s="12" t="s">
        <v>1054</v>
      </c>
      <c r="J6" s="18" t="n">
        <v>796627.19</v>
      </c>
      <c r="K6" s="14"/>
    </row>
    <row r="7" customFormat="false" ht="15" hidden="false" customHeight="true" outlineLevel="0" collapsed="false">
      <c r="A7" s="12" t="s">
        <v>1064</v>
      </c>
      <c r="B7" s="14" t="n">
        <v>45993</v>
      </c>
      <c r="C7" s="13" t="s">
        <v>281</v>
      </c>
      <c r="D7" s="15" t="str">
        <f aca="false">IFERROR(INDEX(Dim_Employee!$B$2:$B$76,MATCH(C7,Dim_Employee!$A$2:$A$76,0)),"")</f>
        <v>Ngozi Balogun</v>
      </c>
      <c r="E7" s="12" t="s">
        <v>1047</v>
      </c>
      <c r="F7" s="12" t="s">
        <v>1065</v>
      </c>
      <c r="G7" s="12" t="s">
        <v>1053</v>
      </c>
      <c r="H7" s="12" t="s">
        <v>753</v>
      </c>
      <c r="I7" s="12" t="s">
        <v>1066</v>
      </c>
      <c r="J7" s="18" t="n">
        <v>910798.11</v>
      </c>
      <c r="K7" s="14"/>
    </row>
    <row r="8" customFormat="false" ht="15" hidden="false" customHeight="true" outlineLevel="0" collapsed="false">
      <c r="A8" s="12" t="s">
        <v>1067</v>
      </c>
      <c r="B8" s="14" t="n">
        <v>45805</v>
      </c>
      <c r="C8" s="13" t="s">
        <v>286</v>
      </c>
      <c r="D8" s="15" t="str">
        <f aca="false">IFERROR(INDEX(Dim_Employee!$B$2:$B$76,MATCH(C8,Dim_Employee!$A$2:$A$76,0)),"")</f>
        <v>Peace Balogun</v>
      </c>
      <c r="E8" s="12" t="s">
        <v>1068</v>
      </c>
      <c r="F8" s="12" t="s">
        <v>1069</v>
      </c>
      <c r="G8" s="12" t="s">
        <v>1061</v>
      </c>
      <c r="H8" s="12" t="s">
        <v>733</v>
      </c>
      <c r="I8" s="12" t="s">
        <v>1057</v>
      </c>
      <c r="J8" s="18" t="n">
        <v>1016667.43</v>
      </c>
      <c r="K8" s="14" t="n">
        <v>45808</v>
      </c>
    </row>
    <row r="9" customFormat="false" ht="15" hidden="false" customHeight="true" outlineLevel="0" collapsed="false">
      <c r="A9" s="12" t="s">
        <v>1070</v>
      </c>
      <c r="B9" s="14" t="n">
        <v>45692</v>
      </c>
      <c r="C9" s="13" t="s">
        <v>281</v>
      </c>
      <c r="D9" s="15" t="str">
        <f aca="false">IFERROR(INDEX(Dim_Employee!$B$2:$B$76,MATCH(C9,Dim_Employee!$A$2:$A$76,0)),"")</f>
        <v>Ngozi Balogun</v>
      </c>
      <c r="E9" s="12" t="s">
        <v>880</v>
      </c>
      <c r="F9" s="12" t="s">
        <v>1071</v>
      </c>
      <c r="G9" s="12" t="s">
        <v>93</v>
      </c>
      <c r="H9" s="12" t="s">
        <v>738</v>
      </c>
      <c r="I9" s="12" t="s">
        <v>1057</v>
      </c>
      <c r="J9" s="18" t="n">
        <v>1112815.37</v>
      </c>
      <c r="K9" s="14" t="n">
        <v>45720</v>
      </c>
    </row>
    <row r="10" customFormat="false" ht="15" hidden="false" customHeight="true" outlineLevel="0" collapsed="false">
      <c r="A10" s="12" t="s">
        <v>1072</v>
      </c>
      <c r="B10" s="14" t="n">
        <v>45898</v>
      </c>
      <c r="C10" s="13" t="s">
        <v>102</v>
      </c>
      <c r="D10" s="15" t="str">
        <f aca="false">IFERROR(INDEX(Dim_Employee!$B$2:$B$76,MATCH(C10,Dim_Employee!$A$2:$A$76,0)),"")</f>
        <v>Yusuf Abubakar</v>
      </c>
      <c r="E10" s="12" t="s">
        <v>880</v>
      </c>
      <c r="F10" s="12" t="s">
        <v>1073</v>
      </c>
      <c r="G10" s="12" t="s">
        <v>1061</v>
      </c>
      <c r="H10" s="12" t="s">
        <v>733</v>
      </c>
      <c r="I10" s="12" t="s">
        <v>1049</v>
      </c>
      <c r="J10" s="18" t="n">
        <v>681658.89</v>
      </c>
      <c r="K10" s="14"/>
    </row>
    <row r="11" customFormat="false" ht="15" hidden="false" customHeight="true" outlineLevel="0" collapsed="false">
      <c r="A11" s="12" t="s">
        <v>1074</v>
      </c>
      <c r="B11" s="14" t="n">
        <v>46003</v>
      </c>
      <c r="C11" s="13" t="s">
        <v>271</v>
      </c>
      <c r="D11" s="15" t="str">
        <f aca="false">IFERROR(INDEX(Dim_Employee!$B$2:$B$76,MATCH(C11,Dim_Employee!$A$2:$A$76,0)),"")</f>
        <v>Emmanuel Aliyu</v>
      </c>
      <c r="E11" s="12" t="s">
        <v>1075</v>
      </c>
      <c r="F11" s="12" t="s">
        <v>1076</v>
      </c>
      <c r="G11" s="12" t="s">
        <v>1053</v>
      </c>
      <c r="H11" s="12" t="s">
        <v>753</v>
      </c>
      <c r="I11" s="12" t="s">
        <v>1066</v>
      </c>
      <c r="J11" s="18" t="n">
        <v>23103.67</v>
      </c>
      <c r="K11" s="14"/>
    </row>
    <row r="12" customFormat="false" ht="15" hidden="false" customHeight="true" outlineLevel="0" collapsed="false">
      <c r="A12" s="12" t="s">
        <v>1077</v>
      </c>
      <c r="B12" s="14" t="n">
        <v>45718</v>
      </c>
      <c r="C12" s="13" t="s">
        <v>281</v>
      </c>
      <c r="D12" s="15" t="str">
        <f aca="false">IFERROR(INDEX(Dim_Employee!$B$2:$B$76,MATCH(C12,Dim_Employee!$A$2:$A$76,0)),"")</f>
        <v>Ngozi Balogun</v>
      </c>
      <c r="E12" s="12" t="s">
        <v>1059</v>
      </c>
      <c r="F12" s="12" t="s">
        <v>1078</v>
      </c>
      <c r="G12" s="12" t="s">
        <v>89</v>
      </c>
      <c r="H12" s="12" t="s">
        <v>733</v>
      </c>
      <c r="I12" s="12" t="s">
        <v>1054</v>
      </c>
      <c r="J12" s="18" t="n">
        <v>560603.12</v>
      </c>
      <c r="K12" s="14"/>
    </row>
    <row r="13" customFormat="false" ht="15" hidden="false" customHeight="true" outlineLevel="0" collapsed="false">
      <c r="A13" s="12" t="s">
        <v>1079</v>
      </c>
      <c r="B13" s="14" t="n">
        <v>45748</v>
      </c>
      <c r="C13" s="13" t="s">
        <v>281</v>
      </c>
      <c r="D13" s="15" t="str">
        <f aca="false">IFERROR(INDEX(Dim_Employee!$B$2:$B$76,MATCH(C13,Dim_Employee!$A$2:$A$76,0)),"")</f>
        <v>Ngozi Balogun</v>
      </c>
      <c r="E13" s="12" t="s">
        <v>1047</v>
      </c>
      <c r="F13" s="12" t="s">
        <v>1080</v>
      </c>
      <c r="G13" s="12" t="s">
        <v>93</v>
      </c>
      <c r="H13" s="12" t="s">
        <v>738</v>
      </c>
      <c r="I13" s="12" t="s">
        <v>1054</v>
      </c>
      <c r="J13" s="18" t="n">
        <v>505980.44</v>
      </c>
      <c r="K13" s="14"/>
    </row>
    <row r="14" customFormat="false" ht="15" hidden="false" customHeight="true" outlineLevel="0" collapsed="false">
      <c r="A14" s="12" t="s">
        <v>1081</v>
      </c>
      <c r="B14" s="14" t="n">
        <v>45717</v>
      </c>
      <c r="C14" s="13" t="s">
        <v>281</v>
      </c>
      <c r="D14" s="15" t="str">
        <f aca="false">IFERROR(INDEX(Dim_Employee!$B$2:$B$76,MATCH(C14,Dim_Employee!$A$2:$A$76,0)),"")</f>
        <v>Ngozi Balogun</v>
      </c>
      <c r="E14" s="12" t="s">
        <v>1047</v>
      </c>
      <c r="F14" s="12" t="s">
        <v>1082</v>
      </c>
      <c r="G14" s="12" t="s">
        <v>89</v>
      </c>
      <c r="H14" s="12" t="s">
        <v>753</v>
      </c>
      <c r="I14" s="12" t="s">
        <v>1049</v>
      </c>
      <c r="J14" s="18" t="n">
        <v>1037879.06</v>
      </c>
      <c r="K14" s="14"/>
    </row>
    <row r="15" customFormat="false" ht="15" hidden="false" customHeight="true" outlineLevel="0" collapsed="false">
      <c r="A15" s="12" t="s">
        <v>1083</v>
      </c>
      <c r="B15" s="14" t="n">
        <v>45813</v>
      </c>
      <c r="C15" s="13" t="s">
        <v>286</v>
      </c>
      <c r="D15" s="15" t="str">
        <f aca="false">IFERROR(INDEX(Dim_Employee!$B$2:$B$76,MATCH(C15,Dim_Employee!$A$2:$A$76,0)),"")</f>
        <v>Peace Balogun</v>
      </c>
      <c r="E15" s="12" t="s">
        <v>1059</v>
      </c>
      <c r="F15" s="12" t="s">
        <v>1084</v>
      </c>
      <c r="G15" s="12" t="s">
        <v>89</v>
      </c>
      <c r="H15" s="12" t="s">
        <v>733</v>
      </c>
      <c r="I15" s="12" t="s">
        <v>1057</v>
      </c>
      <c r="J15" s="18" t="n">
        <v>1187215.53</v>
      </c>
      <c r="K15" s="14" t="n">
        <v>45820</v>
      </c>
    </row>
    <row r="16" customFormat="false" ht="15" hidden="false" customHeight="true" outlineLevel="0" collapsed="false">
      <c r="A16" s="12" t="s">
        <v>1085</v>
      </c>
      <c r="B16" s="14" t="n">
        <v>45884</v>
      </c>
      <c r="C16" s="13" t="s">
        <v>271</v>
      </c>
      <c r="D16" s="15" t="str">
        <f aca="false">IFERROR(INDEX(Dim_Employee!$B$2:$B$76,MATCH(C16,Dim_Employee!$A$2:$A$76,0)),"")</f>
        <v>Emmanuel Aliyu</v>
      </c>
      <c r="E16" s="12" t="s">
        <v>1051</v>
      </c>
      <c r="F16" s="12" t="s">
        <v>1086</v>
      </c>
      <c r="G16" s="12" t="s">
        <v>1053</v>
      </c>
      <c r="H16" s="12" t="s">
        <v>1087</v>
      </c>
      <c r="I16" s="12" t="s">
        <v>1066</v>
      </c>
      <c r="J16" s="18" t="n">
        <v>92711.27</v>
      </c>
      <c r="K16" s="14"/>
    </row>
    <row r="17" customFormat="false" ht="15" hidden="false" customHeight="true" outlineLevel="0" collapsed="false">
      <c r="A17" s="12" t="s">
        <v>1088</v>
      </c>
      <c r="B17" s="14" t="n">
        <v>45764</v>
      </c>
      <c r="C17" s="13" t="s">
        <v>102</v>
      </c>
      <c r="D17" s="15" t="str">
        <f aca="false">IFERROR(INDEX(Dim_Employee!$B$2:$B$76,MATCH(C17,Dim_Employee!$A$2:$A$76,0)),"")</f>
        <v>Yusuf Abubakar</v>
      </c>
      <c r="E17" s="12" t="s">
        <v>1051</v>
      </c>
      <c r="F17" s="12" t="s">
        <v>1089</v>
      </c>
      <c r="G17" s="12" t="s">
        <v>1053</v>
      </c>
      <c r="H17" s="12" t="s">
        <v>1087</v>
      </c>
      <c r="I17" s="12" t="s">
        <v>1054</v>
      </c>
      <c r="J17" s="18" t="n">
        <v>157029.21</v>
      </c>
      <c r="K17" s="14"/>
    </row>
    <row r="18" customFormat="false" ht="15" hidden="false" customHeight="true" outlineLevel="0" collapsed="false">
      <c r="A18" s="12" t="s">
        <v>1090</v>
      </c>
      <c r="B18" s="14" t="n">
        <v>45905</v>
      </c>
      <c r="C18" s="13" t="s">
        <v>286</v>
      </c>
      <c r="D18" s="15" t="str">
        <f aca="false">IFERROR(INDEX(Dim_Employee!$B$2:$B$76,MATCH(C18,Dim_Employee!$A$2:$A$76,0)),"")</f>
        <v>Peace Balogun</v>
      </c>
      <c r="E18" s="12" t="s">
        <v>1047</v>
      </c>
      <c r="F18" s="12" t="s">
        <v>1091</v>
      </c>
      <c r="G18" s="12" t="s">
        <v>93</v>
      </c>
      <c r="H18" s="12" t="s">
        <v>753</v>
      </c>
      <c r="I18" s="12" t="s">
        <v>1054</v>
      </c>
      <c r="J18" s="18" t="n">
        <v>1090566.36</v>
      </c>
      <c r="K18" s="14"/>
    </row>
    <row r="19" customFormat="false" ht="15" hidden="false" customHeight="true" outlineLevel="0" collapsed="false">
      <c r="A19" s="12" t="s">
        <v>1092</v>
      </c>
      <c r="B19" s="14" t="n">
        <v>45785</v>
      </c>
      <c r="C19" s="13" t="s">
        <v>286</v>
      </c>
      <c r="D19" s="15" t="str">
        <f aca="false">IFERROR(INDEX(Dim_Employee!$B$2:$B$76,MATCH(C19,Dim_Employee!$A$2:$A$76,0)),"")</f>
        <v>Peace Balogun</v>
      </c>
      <c r="E19" s="12" t="s">
        <v>1059</v>
      </c>
      <c r="F19" s="12" t="s">
        <v>1093</v>
      </c>
      <c r="G19" s="12" t="s">
        <v>1061</v>
      </c>
      <c r="H19" s="12" t="s">
        <v>1087</v>
      </c>
      <c r="I19" s="12" t="s">
        <v>1054</v>
      </c>
      <c r="J19" s="18" t="n">
        <v>726223.39</v>
      </c>
      <c r="K19" s="14"/>
    </row>
    <row r="20" customFormat="false" ht="15" hidden="false" customHeight="true" outlineLevel="0" collapsed="false">
      <c r="A20" s="12" t="s">
        <v>1094</v>
      </c>
      <c r="B20" s="14" t="n">
        <v>45682</v>
      </c>
      <c r="C20" s="13" t="s">
        <v>281</v>
      </c>
      <c r="D20" s="15" t="str">
        <f aca="false">IFERROR(INDEX(Dim_Employee!$B$2:$B$76,MATCH(C20,Dim_Employee!$A$2:$A$76,0)),"")</f>
        <v>Ngozi Balogun</v>
      </c>
      <c r="E20" s="12" t="s">
        <v>1051</v>
      </c>
      <c r="F20" s="12" t="s">
        <v>1095</v>
      </c>
      <c r="G20" s="12" t="s">
        <v>1053</v>
      </c>
      <c r="H20" s="12" t="s">
        <v>738</v>
      </c>
      <c r="I20" s="12" t="s">
        <v>1057</v>
      </c>
      <c r="J20" s="18" t="n">
        <v>889095.25</v>
      </c>
      <c r="K20" s="14" t="n">
        <v>45686</v>
      </c>
    </row>
    <row r="21" customFormat="false" ht="15" hidden="false" customHeight="true" outlineLevel="0" collapsed="false">
      <c r="A21" s="12" t="s">
        <v>1096</v>
      </c>
      <c r="B21" s="14" t="n">
        <v>45789</v>
      </c>
      <c r="C21" s="13" t="s">
        <v>281</v>
      </c>
      <c r="D21" s="15" t="str">
        <f aca="false">IFERROR(INDEX(Dim_Employee!$B$2:$B$76,MATCH(C21,Dim_Employee!$A$2:$A$76,0)),"")</f>
        <v>Ngozi Balogun</v>
      </c>
      <c r="E21" s="12" t="s">
        <v>1068</v>
      </c>
      <c r="F21" s="12" t="s">
        <v>1097</v>
      </c>
      <c r="G21" s="12" t="s">
        <v>1053</v>
      </c>
      <c r="H21" s="12" t="s">
        <v>738</v>
      </c>
      <c r="I21" s="12" t="s">
        <v>1049</v>
      </c>
      <c r="J21" s="18" t="n">
        <v>1115437.24</v>
      </c>
      <c r="K21" s="14"/>
    </row>
    <row r="22" customFormat="false" ht="15" hidden="false" customHeight="true" outlineLevel="0" collapsed="false">
      <c r="A22" s="12" t="s">
        <v>1098</v>
      </c>
      <c r="B22" s="14" t="n">
        <v>45722</v>
      </c>
      <c r="C22" s="13" t="s">
        <v>102</v>
      </c>
      <c r="D22" s="15" t="str">
        <f aca="false">IFERROR(INDEX(Dim_Employee!$B$2:$B$76,MATCH(C22,Dim_Employee!$A$2:$A$76,0)),"")</f>
        <v>Yusuf Abubakar</v>
      </c>
      <c r="E22" s="12" t="s">
        <v>1047</v>
      </c>
      <c r="F22" s="12" t="s">
        <v>1099</v>
      </c>
      <c r="G22" s="12" t="s">
        <v>1053</v>
      </c>
      <c r="H22" s="12" t="s">
        <v>738</v>
      </c>
      <c r="I22" s="12" t="s">
        <v>1054</v>
      </c>
      <c r="J22" s="18" t="n">
        <v>1101245.41</v>
      </c>
      <c r="K22" s="14"/>
    </row>
    <row r="23" customFormat="false" ht="15" hidden="false" customHeight="true" outlineLevel="0" collapsed="false">
      <c r="A23" s="12" t="s">
        <v>1100</v>
      </c>
      <c r="B23" s="14" t="n">
        <v>45666</v>
      </c>
      <c r="C23" s="13" t="s">
        <v>271</v>
      </c>
      <c r="D23" s="15" t="str">
        <f aca="false">IFERROR(INDEX(Dim_Employee!$B$2:$B$76,MATCH(C23,Dim_Employee!$A$2:$A$76,0)),"")</f>
        <v>Emmanuel Aliyu</v>
      </c>
      <c r="E23" s="12" t="s">
        <v>1047</v>
      </c>
      <c r="F23" s="12" t="s">
        <v>1101</v>
      </c>
      <c r="G23" s="12" t="s">
        <v>93</v>
      </c>
      <c r="H23" s="12" t="s">
        <v>733</v>
      </c>
      <c r="I23" s="12" t="s">
        <v>1057</v>
      </c>
      <c r="J23" s="18" t="n">
        <v>60684.77</v>
      </c>
      <c r="K23" s="14" t="n">
        <v>45675</v>
      </c>
    </row>
    <row r="24" customFormat="false" ht="15" hidden="false" customHeight="true" outlineLevel="0" collapsed="false">
      <c r="A24" s="12" t="s">
        <v>1102</v>
      </c>
      <c r="B24" s="14" t="n">
        <v>45846</v>
      </c>
      <c r="C24" s="13" t="s">
        <v>276</v>
      </c>
      <c r="D24" s="15" t="str">
        <f aca="false">IFERROR(INDEX(Dim_Employee!$B$2:$B$76,MATCH(C24,Dim_Employee!$A$2:$A$76,0)),"")</f>
        <v>Blessing Nnamdi</v>
      </c>
      <c r="E24" s="12" t="s">
        <v>1051</v>
      </c>
      <c r="F24" s="12" t="s">
        <v>1103</v>
      </c>
      <c r="G24" s="12" t="s">
        <v>93</v>
      </c>
      <c r="H24" s="12" t="s">
        <v>1087</v>
      </c>
      <c r="I24" s="12" t="s">
        <v>1054</v>
      </c>
      <c r="J24" s="18" t="n">
        <v>1176689.64</v>
      </c>
      <c r="K24" s="14"/>
    </row>
    <row r="25" customFormat="false" ht="15" hidden="false" customHeight="true" outlineLevel="0" collapsed="false">
      <c r="A25" s="12" t="s">
        <v>1104</v>
      </c>
      <c r="B25" s="14" t="n">
        <v>46011</v>
      </c>
      <c r="C25" s="13" t="s">
        <v>288</v>
      </c>
      <c r="D25" s="15" t="str">
        <f aca="false">IFERROR(INDEX(Dim_Employee!$B$2:$B$76,MATCH(C25,Dim_Employee!$A$2:$A$76,0)),"")</f>
        <v>Ifeoma Balogun</v>
      </c>
      <c r="E25" s="12" t="s">
        <v>1068</v>
      </c>
      <c r="F25" s="12" t="s">
        <v>1105</v>
      </c>
      <c r="G25" s="12" t="s">
        <v>89</v>
      </c>
      <c r="H25" s="12" t="s">
        <v>1087</v>
      </c>
      <c r="I25" s="12" t="s">
        <v>1054</v>
      </c>
      <c r="J25" s="18" t="n">
        <v>1092703.88</v>
      </c>
      <c r="K25" s="14"/>
    </row>
    <row r="26" customFormat="false" ht="15" hidden="false" customHeight="true" outlineLevel="0" collapsed="false">
      <c r="A26" s="12" t="s">
        <v>1106</v>
      </c>
      <c r="B26" s="14" t="n">
        <v>45817</v>
      </c>
      <c r="C26" s="13" t="s">
        <v>288</v>
      </c>
      <c r="D26" s="15" t="str">
        <f aca="false">IFERROR(INDEX(Dim_Employee!$B$2:$B$76,MATCH(C26,Dim_Employee!$A$2:$A$76,0)),"")</f>
        <v>Ifeoma Balogun</v>
      </c>
      <c r="E26" s="12" t="s">
        <v>1068</v>
      </c>
      <c r="F26" s="12" t="s">
        <v>1107</v>
      </c>
      <c r="G26" s="12" t="s">
        <v>1061</v>
      </c>
      <c r="H26" s="12" t="s">
        <v>733</v>
      </c>
      <c r="I26" s="12" t="s">
        <v>1057</v>
      </c>
      <c r="J26" s="18" t="n">
        <v>877945.09</v>
      </c>
      <c r="K26" s="14" t="n">
        <v>45818</v>
      </c>
    </row>
    <row r="27" customFormat="false" ht="15" hidden="false" customHeight="true" outlineLevel="0" collapsed="false">
      <c r="A27" s="12" t="s">
        <v>1108</v>
      </c>
      <c r="B27" s="14" t="n">
        <v>45727</v>
      </c>
      <c r="C27" s="13" t="s">
        <v>276</v>
      </c>
      <c r="D27" s="15" t="str">
        <f aca="false">IFERROR(INDEX(Dim_Employee!$B$2:$B$76,MATCH(C27,Dim_Employee!$A$2:$A$76,0)),"")</f>
        <v>Blessing Nnamdi</v>
      </c>
      <c r="E27" s="12" t="s">
        <v>1047</v>
      </c>
      <c r="F27" s="12" t="s">
        <v>1109</v>
      </c>
      <c r="G27" s="12" t="s">
        <v>1053</v>
      </c>
      <c r="H27" s="12" t="s">
        <v>733</v>
      </c>
      <c r="I27" s="12" t="s">
        <v>1057</v>
      </c>
      <c r="J27" s="18" t="n">
        <v>1080734.08</v>
      </c>
      <c r="K27" s="14" t="n">
        <v>45730</v>
      </c>
    </row>
    <row r="28" customFormat="false" ht="15" hidden="false" customHeight="true" outlineLevel="0" collapsed="false">
      <c r="A28" s="12" t="s">
        <v>1110</v>
      </c>
      <c r="B28" s="14" t="n">
        <v>46018</v>
      </c>
      <c r="C28" s="13" t="s">
        <v>288</v>
      </c>
      <c r="D28" s="15" t="str">
        <f aca="false">IFERROR(INDEX(Dim_Employee!$B$2:$B$76,MATCH(C28,Dim_Employee!$A$2:$A$76,0)),"")</f>
        <v>Ifeoma Balogun</v>
      </c>
      <c r="E28" s="12" t="s">
        <v>1075</v>
      </c>
      <c r="F28" s="12" t="s">
        <v>1111</v>
      </c>
      <c r="G28" s="12" t="s">
        <v>89</v>
      </c>
      <c r="H28" s="12" t="s">
        <v>1087</v>
      </c>
      <c r="I28" s="12" t="s">
        <v>1054</v>
      </c>
      <c r="J28" s="18" t="n">
        <v>1081498.95</v>
      </c>
      <c r="K28" s="14"/>
    </row>
    <row r="29" customFormat="false" ht="15" hidden="false" customHeight="true" outlineLevel="0" collapsed="false">
      <c r="A29" s="12" t="s">
        <v>1112</v>
      </c>
      <c r="B29" s="14" t="n">
        <v>45673</v>
      </c>
      <c r="C29" s="13" t="s">
        <v>281</v>
      </c>
      <c r="D29" s="15" t="str">
        <f aca="false">IFERROR(INDEX(Dim_Employee!$B$2:$B$76,MATCH(C29,Dim_Employee!$A$2:$A$76,0)),"")</f>
        <v>Ngozi Balogun</v>
      </c>
      <c r="E29" s="12" t="s">
        <v>1068</v>
      </c>
      <c r="F29" s="12" t="s">
        <v>1113</v>
      </c>
      <c r="G29" s="12" t="s">
        <v>1061</v>
      </c>
      <c r="H29" s="12" t="s">
        <v>1087</v>
      </c>
      <c r="I29" s="12" t="s">
        <v>1049</v>
      </c>
      <c r="J29" s="18" t="n">
        <v>701301.28</v>
      </c>
      <c r="K29" s="14"/>
    </row>
    <row r="30" customFormat="false" ht="15" hidden="false" customHeight="true" outlineLevel="0" collapsed="false">
      <c r="A30" s="12" t="s">
        <v>1114</v>
      </c>
      <c r="B30" s="14" t="n">
        <v>45694</v>
      </c>
      <c r="C30" s="13" t="s">
        <v>286</v>
      </c>
      <c r="D30" s="15" t="str">
        <f aca="false">IFERROR(INDEX(Dim_Employee!$B$2:$B$76,MATCH(C30,Dim_Employee!$A$2:$A$76,0)),"")</f>
        <v>Peace Balogun</v>
      </c>
      <c r="E30" s="12" t="s">
        <v>880</v>
      </c>
      <c r="F30" s="12" t="s">
        <v>1115</v>
      </c>
      <c r="G30" s="12" t="s">
        <v>1053</v>
      </c>
      <c r="H30" s="12" t="s">
        <v>1087</v>
      </c>
      <c r="I30" s="12" t="s">
        <v>1057</v>
      </c>
      <c r="J30" s="18" t="n">
        <v>875207.46</v>
      </c>
      <c r="K30" s="14" t="n">
        <v>45697</v>
      </c>
    </row>
    <row r="31" customFormat="false" ht="15" hidden="false" customHeight="true" outlineLevel="0" collapsed="false">
      <c r="A31" s="12" t="s">
        <v>1116</v>
      </c>
      <c r="B31" s="14" t="n">
        <v>46013</v>
      </c>
      <c r="C31" s="13" t="s">
        <v>281</v>
      </c>
      <c r="D31" s="15" t="str">
        <f aca="false">IFERROR(INDEX(Dim_Employee!$B$2:$B$76,MATCH(C31,Dim_Employee!$A$2:$A$76,0)),"")</f>
        <v>Ngozi Balogun</v>
      </c>
      <c r="E31" s="12" t="s">
        <v>1047</v>
      </c>
      <c r="F31" s="12" t="s">
        <v>1117</v>
      </c>
      <c r="G31" s="12" t="s">
        <v>89</v>
      </c>
      <c r="H31" s="12" t="s">
        <v>733</v>
      </c>
      <c r="I31" s="12" t="s">
        <v>1049</v>
      </c>
      <c r="J31" s="18" t="n">
        <v>375730.81</v>
      </c>
      <c r="K31" s="14"/>
    </row>
    <row r="32" customFormat="false" ht="15" hidden="false" customHeight="true" outlineLevel="0" collapsed="false">
      <c r="A32" s="12" t="s">
        <v>1118</v>
      </c>
      <c r="B32" s="14" t="n">
        <v>45904</v>
      </c>
      <c r="C32" s="13" t="s">
        <v>102</v>
      </c>
      <c r="D32" s="15" t="str">
        <f aca="false">IFERROR(INDEX(Dim_Employee!$B$2:$B$76,MATCH(C32,Dim_Employee!$A$2:$A$76,0)),"")</f>
        <v>Yusuf Abubakar</v>
      </c>
      <c r="E32" s="12" t="s">
        <v>880</v>
      </c>
      <c r="F32" s="12" t="s">
        <v>1119</v>
      </c>
      <c r="G32" s="12" t="s">
        <v>1061</v>
      </c>
      <c r="H32" s="12" t="s">
        <v>1087</v>
      </c>
      <c r="I32" s="12" t="s">
        <v>1057</v>
      </c>
      <c r="J32" s="18" t="n">
        <v>310717.11</v>
      </c>
      <c r="K32" s="14" t="n">
        <v>45912</v>
      </c>
    </row>
    <row r="33" customFormat="false" ht="15" hidden="false" customHeight="true" outlineLevel="0" collapsed="false">
      <c r="A33" s="12" t="s">
        <v>1120</v>
      </c>
      <c r="B33" s="14" t="n">
        <v>45846</v>
      </c>
      <c r="C33" s="13" t="s">
        <v>102</v>
      </c>
      <c r="D33" s="15" t="str">
        <f aca="false">IFERROR(INDEX(Dim_Employee!$B$2:$B$76,MATCH(C33,Dim_Employee!$A$2:$A$76,0)),"")</f>
        <v>Yusuf Abubakar</v>
      </c>
      <c r="E33" s="12" t="s">
        <v>1059</v>
      </c>
      <c r="F33" s="12" t="s">
        <v>1121</v>
      </c>
      <c r="G33" s="12" t="s">
        <v>93</v>
      </c>
      <c r="H33" s="12" t="s">
        <v>753</v>
      </c>
      <c r="I33" s="12" t="s">
        <v>1066</v>
      </c>
      <c r="J33" s="18" t="n">
        <v>793688.06</v>
      </c>
      <c r="K33" s="14"/>
    </row>
    <row r="34" customFormat="false" ht="15" hidden="false" customHeight="true" outlineLevel="0" collapsed="false">
      <c r="A34" s="12" t="s">
        <v>1122</v>
      </c>
      <c r="B34" s="14" t="n">
        <v>45913</v>
      </c>
      <c r="C34" s="13" t="s">
        <v>281</v>
      </c>
      <c r="D34" s="15" t="str">
        <f aca="false">IFERROR(INDEX(Dim_Employee!$B$2:$B$76,MATCH(C34,Dim_Employee!$A$2:$A$76,0)),"")</f>
        <v>Ngozi Balogun</v>
      </c>
      <c r="E34" s="12" t="s">
        <v>1075</v>
      </c>
      <c r="F34" s="12" t="s">
        <v>1123</v>
      </c>
      <c r="G34" s="12" t="s">
        <v>1053</v>
      </c>
      <c r="H34" s="12" t="s">
        <v>738</v>
      </c>
      <c r="I34" s="12" t="s">
        <v>1054</v>
      </c>
      <c r="J34" s="18" t="n">
        <v>762836.89</v>
      </c>
      <c r="K34" s="14"/>
    </row>
    <row r="35" customFormat="false" ht="15" hidden="false" customHeight="true" outlineLevel="0" collapsed="false">
      <c r="A35" s="12" t="s">
        <v>1124</v>
      </c>
      <c r="B35" s="14" t="n">
        <v>45767</v>
      </c>
      <c r="C35" s="13" t="s">
        <v>271</v>
      </c>
      <c r="D35" s="15" t="str">
        <f aca="false">IFERROR(INDEX(Dim_Employee!$B$2:$B$76,MATCH(C35,Dim_Employee!$A$2:$A$76,0)),"")</f>
        <v>Emmanuel Aliyu</v>
      </c>
      <c r="E35" s="12" t="s">
        <v>1059</v>
      </c>
      <c r="F35" s="12" t="s">
        <v>1125</v>
      </c>
      <c r="G35" s="12" t="s">
        <v>93</v>
      </c>
      <c r="H35" s="12" t="s">
        <v>738</v>
      </c>
      <c r="I35" s="12" t="s">
        <v>1049</v>
      </c>
      <c r="J35" s="18" t="n">
        <v>165790.52</v>
      </c>
      <c r="K35" s="14"/>
    </row>
    <row r="36" customFormat="false" ht="15" hidden="false" customHeight="true" outlineLevel="0" collapsed="false">
      <c r="A36" s="12" t="s">
        <v>1126</v>
      </c>
      <c r="B36" s="14" t="n">
        <v>45678</v>
      </c>
      <c r="C36" s="13" t="s">
        <v>276</v>
      </c>
      <c r="D36" s="15" t="str">
        <f aca="false">IFERROR(INDEX(Dim_Employee!$B$2:$B$76,MATCH(C36,Dim_Employee!$A$2:$A$76,0)),"")</f>
        <v>Blessing Nnamdi</v>
      </c>
      <c r="E36" s="12" t="s">
        <v>1059</v>
      </c>
      <c r="F36" s="12" t="s">
        <v>1127</v>
      </c>
      <c r="G36" s="12" t="s">
        <v>1061</v>
      </c>
      <c r="H36" s="12" t="s">
        <v>1087</v>
      </c>
      <c r="I36" s="12" t="s">
        <v>1057</v>
      </c>
      <c r="J36" s="18" t="n">
        <v>333819.57</v>
      </c>
      <c r="K36" s="14" t="n">
        <v>45687</v>
      </c>
    </row>
    <row r="37" customFormat="false" ht="15" hidden="false" customHeight="true" outlineLevel="0" collapsed="false">
      <c r="A37" s="12" t="s">
        <v>1128</v>
      </c>
      <c r="B37" s="14" t="n">
        <v>45869</v>
      </c>
      <c r="C37" s="13" t="s">
        <v>271</v>
      </c>
      <c r="D37" s="15" t="str">
        <f aca="false">IFERROR(INDEX(Dim_Employee!$B$2:$B$76,MATCH(C37,Dim_Employee!$A$2:$A$76,0)),"")</f>
        <v>Emmanuel Aliyu</v>
      </c>
      <c r="E37" s="12" t="s">
        <v>880</v>
      </c>
      <c r="F37" s="12" t="s">
        <v>1129</v>
      </c>
      <c r="G37" s="12" t="s">
        <v>1061</v>
      </c>
      <c r="H37" s="12" t="s">
        <v>753</v>
      </c>
      <c r="I37" s="12" t="s">
        <v>1049</v>
      </c>
      <c r="J37" s="18" t="n">
        <v>860950.52</v>
      </c>
      <c r="K37" s="14"/>
    </row>
    <row r="38" customFormat="false" ht="15" hidden="false" customHeight="true" outlineLevel="0" collapsed="false">
      <c r="A38" s="12" t="s">
        <v>1130</v>
      </c>
      <c r="B38" s="14" t="n">
        <v>45889</v>
      </c>
      <c r="C38" s="13" t="s">
        <v>286</v>
      </c>
      <c r="D38" s="15" t="str">
        <f aca="false">IFERROR(INDEX(Dim_Employee!$B$2:$B$76,MATCH(C38,Dim_Employee!$A$2:$A$76,0)),"")</f>
        <v>Peace Balogun</v>
      </c>
      <c r="E38" s="12" t="s">
        <v>1051</v>
      </c>
      <c r="F38" s="12" t="s">
        <v>1131</v>
      </c>
      <c r="G38" s="12" t="s">
        <v>1053</v>
      </c>
      <c r="H38" s="12" t="s">
        <v>733</v>
      </c>
      <c r="I38" s="12" t="s">
        <v>1066</v>
      </c>
      <c r="J38" s="18" t="n">
        <v>815514.38</v>
      </c>
      <c r="K38" s="14"/>
    </row>
    <row r="39" customFormat="false" ht="15" hidden="false" customHeight="true" outlineLevel="0" collapsed="false">
      <c r="A39" s="12" t="s">
        <v>1132</v>
      </c>
      <c r="B39" s="14" t="n">
        <v>45950</v>
      </c>
      <c r="C39" s="13" t="s">
        <v>276</v>
      </c>
      <c r="D39" s="15" t="str">
        <f aca="false">IFERROR(INDEX(Dim_Employee!$B$2:$B$76,MATCH(C39,Dim_Employee!$A$2:$A$76,0)),"")</f>
        <v>Blessing Nnamdi</v>
      </c>
      <c r="E39" s="12" t="s">
        <v>1075</v>
      </c>
      <c r="F39" s="12" t="s">
        <v>1133</v>
      </c>
      <c r="G39" s="12" t="s">
        <v>93</v>
      </c>
      <c r="H39" s="12" t="s">
        <v>1087</v>
      </c>
      <c r="I39" s="12" t="s">
        <v>1066</v>
      </c>
      <c r="J39" s="18" t="n">
        <v>548524.73</v>
      </c>
      <c r="K39" s="14"/>
    </row>
    <row r="40" customFormat="false" ht="15" hidden="false" customHeight="true" outlineLevel="0" collapsed="false">
      <c r="A40" s="12" t="s">
        <v>1134</v>
      </c>
      <c r="B40" s="14" t="n">
        <v>45794</v>
      </c>
      <c r="C40" s="13" t="s">
        <v>102</v>
      </c>
      <c r="D40" s="15" t="str">
        <f aca="false">IFERROR(INDEX(Dim_Employee!$B$2:$B$76,MATCH(C40,Dim_Employee!$A$2:$A$76,0)),"")</f>
        <v>Yusuf Abubakar</v>
      </c>
      <c r="E40" s="12" t="s">
        <v>1059</v>
      </c>
      <c r="F40" s="12" t="s">
        <v>1135</v>
      </c>
      <c r="G40" s="12" t="s">
        <v>89</v>
      </c>
      <c r="H40" s="12" t="s">
        <v>1087</v>
      </c>
      <c r="I40" s="12" t="s">
        <v>1054</v>
      </c>
      <c r="J40" s="18" t="n">
        <v>135279.14</v>
      </c>
      <c r="K40" s="14"/>
    </row>
    <row r="41" customFormat="false" ht="15" hidden="false" customHeight="true" outlineLevel="0" collapsed="false">
      <c r="A41" s="12" t="s">
        <v>1136</v>
      </c>
      <c r="B41" s="14" t="n">
        <v>45993</v>
      </c>
      <c r="C41" s="13" t="s">
        <v>286</v>
      </c>
      <c r="D41" s="15" t="str">
        <f aca="false">IFERROR(INDEX(Dim_Employee!$B$2:$B$76,MATCH(C41,Dim_Employee!$A$2:$A$76,0)),"")</f>
        <v>Peace Balogun</v>
      </c>
      <c r="E41" s="12" t="s">
        <v>1051</v>
      </c>
      <c r="F41" s="12" t="s">
        <v>1137</v>
      </c>
      <c r="G41" s="12" t="s">
        <v>93</v>
      </c>
      <c r="H41" s="12" t="s">
        <v>1087</v>
      </c>
      <c r="I41" s="12" t="s">
        <v>1066</v>
      </c>
      <c r="J41" s="18" t="n">
        <v>310970.45</v>
      </c>
      <c r="K41" s="14"/>
    </row>
    <row r="42" customFormat="false" ht="15" hidden="false" customHeight="true" outlineLevel="0" collapsed="false">
      <c r="A42" s="12" t="s">
        <v>1138</v>
      </c>
      <c r="B42" s="14" t="n">
        <v>45663</v>
      </c>
      <c r="C42" s="13" t="s">
        <v>288</v>
      </c>
      <c r="D42" s="15" t="str">
        <f aca="false">IFERROR(INDEX(Dim_Employee!$B$2:$B$76,MATCH(C42,Dim_Employee!$A$2:$A$76,0)),"")</f>
        <v>Ifeoma Balogun</v>
      </c>
      <c r="E42" s="12" t="s">
        <v>1068</v>
      </c>
      <c r="F42" s="12" t="s">
        <v>1139</v>
      </c>
      <c r="G42" s="12" t="s">
        <v>93</v>
      </c>
      <c r="H42" s="12" t="s">
        <v>738</v>
      </c>
      <c r="I42" s="12" t="s">
        <v>1049</v>
      </c>
      <c r="J42" s="18" t="n">
        <v>330464.15</v>
      </c>
      <c r="K42" s="14"/>
    </row>
    <row r="43" customFormat="false" ht="15" hidden="false" customHeight="true" outlineLevel="0" collapsed="false">
      <c r="A43" s="12" t="s">
        <v>1140</v>
      </c>
      <c r="B43" s="14" t="n">
        <v>45934</v>
      </c>
      <c r="C43" s="13" t="s">
        <v>276</v>
      </c>
      <c r="D43" s="15" t="str">
        <f aca="false">IFERROR(INDEX(Dim_Employee!$B$2:$B$76,MATCH(C43,Dim_Employee!$A$2:$A$76,0)),"")</f>
        <v>Blessing Nnamdi</v>
      </c>
      <c r="E43" s="12" t="s">
        <v>1047</v>
      </c>
      <c r="F43" s="12" t="s">
        <v>1141</v>
      </c>
      <c r="G43" s="12" t="s">
        <v>89</v>
      </c>
      <c r="H43" s="12" t="s">
        <v>1087</v>
      </c>
      <c r="I43" s="12" t="s">
        <v>1054</v>
      </c>
      <c r="J43" s="18" t="n">
        <v>1119461.57</v>
      </c>
      <c r="K43" s="14"/>
    </row>
    <row r="44" customFormat="false" ht="15" hidden="false" customHeight="true" outlineLevel="0" collapsed="false">
      <c r="A44" s="12" t="s">
        <v>1142</v>
      </c>
      <c r="B44" s="14" t="n">
        <v>45856</v>
      </c>
      <c r="C44" s="13" t="s">
        <v>288</v>
      </c>
      <c r="D44" s="15" t="str">
        <f aca="false">IFERROR(INDEX(Dim_Employee!$B$2:$B$76,MATCH(C44,Dim_Employee!$A$2:$A$76,0)),"")</f>
        <v>Ifeoma Balogun</v>
      </c>
      <c r="E44" s="12" t="s">
        <v>1047</v>
      </c>
      <c r="F44" s="12" t="s">
        <v>1143</v>
      </c>
      <c r="G44" s="12" t="s">
        <v>93</v>
      </c>
      <c r="H44" s="12" t="s">
        <v>733</v>
      </c>
      <c r="I44" s="12" t="s">
        <v>1054</v>
      </c>
      <c r="J44" s="18" t="n">
        <v>455279.31</v>
      </c>
      <c r="K44" s="14"/>
    </row>
    <row r="45" customFormat="false" ht="15" hidden="false" customHeight="true" outlineLevel="0" collapsed="false">
      <c r="A45" s="12" t="s">
        <v>1144</v>
      </c>
      <c r="B45" s="14" t="n">
        <v>45992</v>
      </c>
      <c r="C45" s="13" t="s">
        <v>286</v>
      </c>
      <c r="D45" s="15" t="str">
        <f aca="false">IFERROR(INDEX(Dim_Employee!$B$2:$B$76,MATCH(C45,Dim_Employee!$A$2:$A$76,0)),"")</f>
        <v>Peace Balogun</v>
      </c>
      <c r="E45" s="12" t="s">
        <v>1047</v>
      </c>
      <c r="F45" s="12" t="s">
        <v>1145</v>
      </c>
      <c r="G45" s="12" t="s">
        <v>93</v>
      </c>
      <c r="H45" s="12" t="s">
        <v>733</v>
      </c>
      <c r="I45" s="12" t="s">
        <v>1066</v>
      </c>
      <c r="J45" s="18" t="n">
        <v>867713.1</v>
      </c>
      <c r="K45" s="14"/>
    </row>
    <row r="46" customFormat="false" ht="15" hidden="false" customHeight="true" outlineLevel="0" collapsed="false">
      <c r="A46" s="12" t="s">
        <v>1146</v>
      </c>
      <c r="B46" s="14" t="n">
        <v>45721</v>
      </c>
      <c r="C46" s="13" t="s">
        <v>288</v>
      </c>
      <c r="D46" s="15" t="str">
        <f aca="false">IFERROR(INDEX(Dim_Employee!$B$2:$B$76,MATCH(C46,Dim_Employee!$A$2:$A$76,0)),"")</f>
        <v>Ifeoma Balogun</v>
      </c>
      <c r="E46" s="12" t="s">
        <v>1059</v>
      </c>
      <c r="F46" s="12" t="s">
        <v>1147</v>
      </c>
      <c r="G46" s="12" t="s">
        <v>89</v>
      </c>
      <c r="H46" s="12" t="s">
        <v>753</v>
      </c>
      <c r="I46" s="12" t="s">
        <v>1054</v>
      </c>
      <c r="J46" s="18" t="n">
        <v>646663.14</v>
      </c>
      <c r="K46" s="14"/>
    </row>
    <row r="47" customFormat="false" ht="15" hidden="false" customHeight="true" outlineLevel="0" collapsed="false">
      <c r="A47" s="12" t="s">
        <v>1148</v>
      </c>
      <c r="B47" s="14" t="n">
        <v>45792</v>
      </c>
      <c r="C47" s="13" t="s">
        <v>276</v>
      </c>
      <c r="D47" s="15" t="str">
        <f aca="false">IFERROR(INDEX(Dim_Employee!$B$2:$B$76,MATCH(C47,Dim_Employee!$A$2:$A$76,0)),"")</f>
        <v>Blessing Nnamdi</v>
      </c>
      <c r="E47" s="12" t="s">
        <v>1068</v>
      </c>
      <c r="F47" s="12" t="s">
        <v>1149</v>
      </c>
      <c r="G47" s="12" t="s">
        <v>89</v>
      </c>
      <c r="H47" s="12" t="s">
        <v>1087</v>
      </c>
      <c r="I47" s="12" t="s">
        <v>1057</v>
      </c>
      <c r="J47" s="18" t="n">
        <v>413754.64</v>
      </c>
      <c r="K47" s="14" t="n">
        <v>45804</v>
      </c>
    </row>
    <row r="48" customFormat="false" ht="15" hidden="false" customHeight="true" outlineLevel="0" collapsed="false">
      <c r="A48" s="12" t="s">
        <v>1150</v>
      </c>
      <c r="B48" s="14" t="n">
        <v>45798</v>
      </c>
      <c r="C48" s="13" t="s">
        <v>281</v>
      </c>
      <c r="D48" s="15" t="str">
        <f aca="false">IFERROR(INDEX(Dim_Employee!$B$2:$B$76,MATCH(C48,Dim_Employee!$A$2:$A$76,0)),"")</f>
        <v>Ngozi Balogun</v>
      </c>
      <c r="E48" s="12" t="s">
        <v>1051</v>
      </c>
      <c r="F48" s="12" t="s">
        <v>1151</v>
      </c>
      <c r="G48" s="12" t="s">
        <v>89</v>
      </c>
      <c r="H48" s="12" t="s">
        <v>1087</v>
      </c>
      <c r="I48" s="12" t="s">
        <v>1049</v>
      </c>
      <c r="J48" s="18" t="n">
        <v>960832.54</v>
      </c>
      <c r="K48" s="14"/>
    </row>
    <row r="49" customFormat="false" ht="15" hidden="false" customHeight="true" outlineLevel="0" collapsed="false">
      <c r="A49" s="12" t="s">
        <v>1152</v>
      </c>
      <c r="B49" s="14" t="n">
        <v>45930</v>
      </c>
      <c r="C49" s="13" t="s">
        <v>271</v>
      </c>
      <c r="D49" s="15" t="str">
        <f aca="false">IFERROR(INDEX(Dim_Employee!$B$2:$B$76,MATCH(C49,Dim_Employee!$A$2:$A$76,0)),"")</f>
        <v>Emmanuel Aliyu</v>
      </c>
      <c r="E49" s="12" t="s">
        <v>880</v>
      </c>
      <c r="F49" s="12" t="s">
        <v>1153</v>
      </c>
      <c r="G49" s="12" t="s">
        <v>1061</v>
      </c>
      <c r="H49" s="12" t="s">
        <v>738</v>
      </c>
      <c r="I49" s="12" t="s">
        <v>1066</v>
      </c>
      <c r="J49" s="18" t="n">
        <v>1199789.56</v>
      </c>
      <c r="K49" s="14"/>
    </row>
    <row r="50" customFormat="false" ht="15" hidden="false" customHeight="true" outlineLevel="0" collapsed="false">
      <c r="A50" s="12" t="s">
        <v>1154</v>
      </c>
      <c r="B50" s="14" t="n">
        <v>45923</v>
      </c>
      <c r="C50" s="13" t="s">
        <v>288</v>
      </c>
      <c r="D50" s="15" t="str">
        <f aca="false">IFERROR(INDEX(Dim_Employee!$B$2:$B$76,MATCH(C50,Dim_Employee!$A$2:$A$76,0)),"")</f>
        <v>Ifeoma Balogun</v>
      </c>
      <c r="E50" s="12" t="s">
        <v>1047</v>
      </c>
      <c r="F50" s="12" t="s">
        <v>1155</v>
      </c>
      <c r="G50" s="12" t="s">
        <v>93</v>
      </c>
      <c r="H50" s="12" t="s">
        <v>1087</v>
      </c>
      <c r="I50" s="12" t="s">
        <v>1049</v>
      </c>
      <c r="J50" s="18" t="n">
        <v>634362.77</v>
      </c>
      <c r="K50" s="14"/>
    </row>
    <row r="51" customFormat="false" ht="15" hidden="false" customHeight="true" outlineLevel="0" collapsed="false">
      <c r="A51" s="12" t="s">
        <v>1156</v>
      </c>
      <c r="B51" s="14" t="n">
        <v>45945</v>
      </c>
      <c r="C51" s="13" t="s">
        <v>276</v>
      </c>
      <c r="D51" s="15" t="str">
        <f aca="false">IFERROR(INDEX(Dim_Employee!$B$2:$B$76,MATCH(C51,Dim_Employee!$A$2:$A$76,0)),"")</f>
        <v>Blessing Nnamdi</v>
      </c>
      <c r="E51" s="12" t="s">
        <v>1068</v>
      </c>
      <c r="F51" s="12" t="s">
        <v>1157</v>
      </c>
      <c r="G51" s="12" t="s">
        <v>1053</v>
      </c>
      <c r="H51" s="12" t="s">
        <v>753</v>
      </c>
      <c r="I51" s="12" t="s">
        <v>1054</v>
      </c>
      <c r="J51" s="18" t="n">
        <v>807201.89</v>
      </c>
      <c r="K51" s="14"/>
    </row>
    <row r="52" customFormat="false" ht="15" hidden="false" customHeight="true" outlineLevel="0" collapsed="false">
      <c r="A52" s="12" t="s">
        <v>1158</v>
      </c>
      <c r="B52" s="14" t="n">
        <v>45764</v>
      </c>
      <c r="C52" s="13" t="s">
        <v>286</v>
      </c>
      <c r="D52" s="15" t="str">
        <f aca="false">IFERROR(INDEX(Dim_Employee!$B$2:$B$76,MATCH(C52,Dim_Employee!$A$2:$A$76,0)),"")</f>
        <v>Peace Balogun</v>
      </c>
      <c r="E52" s="12" t="s">
        <v>1059</v>
      </c>
      <c r="F52" s="12" t="s">
        <v>1159</v>
      </c>
      <c r="G52" s="12" t="s">
        <v>1053</v>
      </c>
      <c r="H52" s="12" t="s">
        <v>1087</v>
      </c>
      <c r="I52" s="12" t="s">
        <v>1066</v>
      </c>
      <c r="J52" s="18" t="n">
        <v>245155.83</v>
      </c>
      <c r="K52" s="14"/>
    </row>
    <row r="53" customFormat="false" ht="15" hidden="false" customHeight="true" outlineLevel="0" collapsed="false">
      <c r="A53" s="12" t="s">
        <v>1160</v>
      </c>
      <c r="B53" s="14" t="n">
        <v>45716</v>
      </c>
      <c r="C53" s="13" t="s">
        <v>286</v>
      </c>
      <c r="D53" s="15" t="str">
        <f aca="false">IFERROR(INDEX(Dim_Employee!$B$2:$B$76,MATCH(C53,Dim_Employee!$A$2:$A$76,0)),"")</f>
        <v>Peace Balogun</v>
      </c>
      <c r="E53" s="12" t="s">
        <v>1047</v>
      </c>
      <c r="F53" s="12" t="s">
        <v>1161</v>
      </c>
      <c r="G53" s="12" t="s">
        <v>89</v>
      </c>
      <c r="H53" s="12" t="s">
        <v>1087</v>
      </c>
      <c r="I53" s="12" t="s">
        <v>1057</v>
      </c>
      <c r="J53" s="18" t="n">
        <v>655076.12</v>
      </c>
      <c r="K53" s="14" t="n">
        <v>45736</v>
      </c>
    </row>
    <row r="54" customFormat="false" ht="15" hidden="false" customHeight="true" outlineLevel="0" collapsed="false">
      <c r="A54" s="12" t="s">
        <v>1162</v>
      </c>
      <c r="B54" s="14" t="n">
        <v>45720</v>
      </c>
      <c r="C54" s="13" t="s">
        <v>286</v>
      </c>
      <c r="D54" s="15" t="str">
        <f aca="false">IFERROR(INDEX(Dim_Employee!$B$2:$B$76,MATCH(C54,Dim_Employee!$A$2:$A$76,0)),"")</f>
        <v>Peace Balogun</v>
      </c>
      <c r="E54" s="12" t="s">
        <v>1051</v>
      </c>
      <c r="F54" s="12" t="s">
        <v>1163</v>
      </c>
      <c r="G54" s="12" t="s">
        <v>89</v>
      </c>
      <c r="H54" s="12" t="s">
        <v>1087</v>
      </c>
      <c r="I54" s="12" t="s">
        <v>1049</v>
      </c>
      <c r="J54" s="18" t="n">
        <v>499460.03</v>
      </c>
      <c r="K54" s="14"/>
    </row>
    <row r="55" customFormat="false" ht="15" hidden="false" customHeight="true" outlineLevel="0" collapsed="false">
      <c r="A55" s="12" t="s">
        <v>1164</v>
      </c>
      <c r="B55" s="14" t="n">
        <v>45795</v>
      </c>
      <c r="C55" s="13" t="s">
        <v>281</v>
      </c>
      <c r="D55" s="15" t="str">
        <f aca="false">IFERROR(INDEX(Dim_Employee!$B$2:$B$76,MATCH(C55,Dim_Employee!$A$2:$A$76,0)),"")</f>
        <v>Ngozi Balogun</v>
      </c>
      <c r="E55" s="12" t="s">
        <v>1047</v>
      </c>
      <c r="F55" s="12" t="s">
        <v>1165</v>
      </c>
      <c r="G55" s="12" t="s">
        <v>93</v>
      </c>
      <c r="H55" s="12" t="s">
        <v>753</v>
      </c>
      <c r="I55" s="12" t="s">
        <v>1054</v>
      </c>
      <c r="J55" s="18" t="n">
        <v>523244.72</v>
      </c>
      <c r="K55" s="14"/>
    </row>
    <row r="56" customFormat="false" ht="15" hidden="false" customHeight="true" outlineLevel="0" collapsed="false">
      <c r="A56" s="12" t="s">
        <v>1166</v>
      </c>
      <c r="B56" s="14" t="n">
        <v>45926</v>
      </c>
      <c r="C56" s="13" t="s">
        <v>281</v>
      </c>
      <c r="D56" s="15" t="str">
        <f aca="false">IFERROR(INDEX(Dim_Employee!$B$2:$B$76,MATCH(C56,Dim_Employee!$A$2:$A$76,0)),"")</f>
        <v>Ngozi Balogun</v>
      </c>
      <c r="E56" s="12" t="s">
        <v>1051</v>
      </c>
      <c r="F56" s="12" t="s">
        <v>1167</v>
      </c>
      <c r="G56" s="12" t="s">
        <v>1061</v>
      </c>
      <c r="H56" s="12" t="s">
        <v>733</v>
      </c>
      <c r="I56" s="12" t="s">
        <v>1066</v>
      </c>
      <c r="J56" s="18" t="n">
        <v>1110698.46</v>
      </c>
      <c r="K56" s="14"/>
    </row>
    <row r="57" customFormat="false" ht="15" hidden="false" customHeight="true" outlineLevel="0" collapsed="false">
      <c r="A57" s="12" t="s">
        <v>1168</v>
      </c>
      <c r="B57" s="14" t="n">
        <v>46017</v>
      </c>
      <c r="C57" s="13" t="s">
        <v>271</v>
      </c>
      <c r="D57" s="15" t="str">
        <f aca="false">IFERROR(INDEX(Dim_Employee!$B$2:$B$76,MATCH(C57,Dim_Employee!$A$2:$A$76,0)),"")</f>
        <v>Emmanuel Aliyu</v>
      </c>
      <c r="E57" s="12" t="s">
        <v>1059</v>
      </c>
      <c r="F57" s="12" t="s">
        <v>1169</v>
      </c>
      <c r="G57" s="12" t="s">
        <v>93</v>
      </c>
      <c r="H57" s="12" t="s">
        <v>733</v>
      </c>
      <c r="I57" s="12" t="s">
        <v>1057</v>
      </c>
      <c r="J57" s="18" t="n">
        <v>826005.67</v>
      </c>
      <c r="K57" s="14" t="n">
        <v>46019</v>
      </c>
    </row>
    <row r="58" customFormat="false" ht="15" hidden="false" customHeight="true" outlineLevel="0" collapsed="false">
      <c r="A58" s="12" t="s">
        <v>1170</v>
      </c>
      <c r="B58" s="14" t="n">
        <v>45839</v>
      </c>
      <c r="C58" s="13" t="s">
        <v>276</v>
      </c>
      <c r="D58" s="15" t="str">
        <f aca="false">IFERROR(INDEX(Dim_Employee!$B$2:$B$76,MATCH(C58,Dim_Employee!$A$2:$A$76,0)),"")</f>
        <v>Blessing Nnamdi</v>
      </c>
      <c r="E58" s="12" t="s">
        <v>1068</v>
      </c>
      <c r="F58" s="12" t="s">
        <v>1171</v>
      </c>
      <c r="G58" s="12" t="s">
        <v>89</v>
      </c>
      <c r="H58" s="12" t="s">
        <v>1087</v>
      </c>
      <c r="I58" s="12" t="s">
        <v>1054</v>
      </c>
      <c r="J58" s="18" t="n">
        <v>878418.03</v>
      </c>
      <c r="K58" s="14"/>
    </row>
    <row r="59" customFormat="false" ht="15" hidden="false" customHeight="true" outlineLevel="0" collapsed="false">
      <c r="A59" s="12" t="s">
        <v>1172</v>
      </c>
      <c r="B59" s="14" t="n">
        <v>45919</v>
      </c>
      <c r="C59" s="13" t="s">
        <v>102</v>
      </c>
      <c r="D59" s="15" t="str">
        <f aca="false">IFERROR(INDEX(Dim_Employee!$B$2:$B$76,MATCH(C59,Dim_Employee!$A$2:$A$76,0)),"")</f>
        <v>Yusuf Abubakar</v>
      </c>
      <c r="E59" s="12" t="s">
        <v>880</v>
      </c>
      <c r="F59" s="12" t="s">
        <v>1173</v>
      </c>
      <c r="G59" s="12" t="s">
        <v>1061</v>
      </c>
      <c r="H59" s="12" t="s">
        <v>733</v>
      </c>
      <c r="I59" s="12" t="s">
        <v>1066</v>
      </c>
      <c r="J59" s="18" t="n">
        <v>454004.75</v>
      </c>
      <c r="K59" s="14"/>
    </row>
    <row r="60" customFormat="false" ht="15" hidden="false" customHeight="true" outlineLevel="0" collapsed="false">
      <c r="A60" s="12" t="s">
        <v>1174</v>
      </c>
      <c r="B60" s="14" t="n">
        <v>45929</v>
      </c>
      <c r="C60" s="13" t="s">
        <v>281</v>
      </c>
      <c r="D60" s="15" t="str">
        <f aca="false">IFERROR(INDEX(Dim_Employee!$B$2:$B$76,MATCH(C60,Dim_Employee!$A$2:$A$76,0)),"")</f>
        <v>Ngozi Balogun</v>
      </c>
      <c r="E60" s="12" t="s">
        <v>1068</v>
      </c>
      <c r="F60" s="12" t="s">
        <v>1175</v>
      </c>
      <c r="G60" s="12" t="s">
        <v>93</v>
      </c>
      <c r="H60" s="12" t="s">
        <v>738</v>
      </c>
      <c r="I60" s="12" t="s">
        <v>1054</v>
      </c>
      <c r="J60" s="18" t="n">
        <v>1022253.51</v>
      </c>
      <c r="K60" s="14"/>
    </row>
    <row r="61" customFormat="false" ht="15" hidden="false" customHeight="true" outlineLevel="0" collapsed="false">
      <c r="A61" s="12" t="s">
        <v>1176</v>
      </c>
      <c r="B61" s="14" t="n">
        <v>45958</v>
      </c>
      <c r="C61" s="13" t="s">
        <v>286</v>
      </c>
      <c r="D61" s="15" t="str">
        <f aca="false">IFERROR(INDEX(Dim_Employee!$B$2:$B$76,MATCH(C61,Dim_Employee!$A$2:$A$76,0)),"")</f>
        <v>Peace Balogun</v>
      </c>
      <c r="E61" s="12" t="s">
        <v>1059</v>
      </c>
      <c r="F61" s="12" t="s">
        <v>1177</v>
      </c>
      <c r="G61" s="12" t="s">
        <v>93</v>
      </c>
      <c r="H61" s="12" t="s">
        <v>753</v>
      </c>
      <c r="I61" s="12" t="s">
        <v>1054</v>
      </c>
      <c r="J61" s="18" t="n">
        <v>725737.36</v>
      </c>
      <c r="K61" s="14"/>
    </row>
    <row r="62" customFormat="false" ht="15" hidden="false" customHeight="true" outlineLevel="0" collapsed="false">
      <c r="A62" s="12" t="s">
        <v>1178</v>
      </c>
      <c r="B62" s="14" t="n">
        <v>45769</v>
      </c>
      <c r="C62" s="13" t="s">
        <v>271</v>
      </c>
      <c r="D62" s="15" t="str">
        <f aca="false">IFERROR(INDEX(Dim_Employee!$B$2:$B$76,MATCH(C62,Dim_Employee!$A$2:$A$76,0)),"")</f>
        <v>Emmanuel Aliyu</v>
      </c>
      <c r="E62" s="12" t="s">
        <v>1051</v>
      </c>
      <c r="F62" s="12" t="s">
        <v>1179</v>
      </c>
      <c r="G62" s="12" t="s">
        <v>93</v>
      </c>
      <c r="H62" s="12" t="s">
        <v>738</v>
      </c>
      <c r="I62" s="12" t="s">
        <v>1054</v>
      </c>
      <c r="J62" s="18" t="n">
        <v>873258.93</v>
      </c>
      <c r="K62" s="14"/>
    </row>
    <row r="63" customFormat="false" ht="15" hidden="false" customHeight="true" outlineLevel="0" collapsed="false">
      <c r="A63" s="12" t="s">
        <v>1180</v>
      </c>
      <c r="B63" s="14" t="n">
        <v>45856</v>
      </c>
      <c r="C63" s="13" t="s">
        <v>276</v>
      </c>
      <c r="D63" s="15" t="str">
        <f aca="false">IFERROR(INDEX(Dim_Employee!$B$2:$B$76,MATCH(C63,Dim_Employee!$A$2:$A$76,0)),"")</f>
        <v>Blessing Nnamdi</v>
      </c>
      <c r="E63" s="12" t="s">
        <v>1047</v>
      </c>
      <c r="F63" s="12" t="s">
        <v>1181</v>
      </c>
      <c r="G63" s="12" t="s">
        <v>93</v>
      </c>
      <c r="H63" s="12" t="s">
        <v>738</v>
      </c>
      <c r="I63" s="12" t="s">
        <v>1057</v>
      </c>
      <c r="J63" s="18" t="n">
        <v>486320.67</v>
      </c>
      <c r="K63" s="14" t="n">
        <v>45870</v>
      </c>
    </row>
    <row r="64" customFormat="false" ht="15" hidden="false" customHeight="true" outlineLevel="0" collapsed="false">
      <c r="A64" s="12" t="s">
        <v>1182</v>
      </c>
      <c r="B64" s="14" t="n">
        <v>45667</v>
      </c>
      <c r="C64" s="13" t="s">
        <v>288</v>
      </c>
      <c r="D64" s="15" t="str">
        <f aca="false">IFERROR(INDEX(Dim_Employee!$B$2:$B$76,MATCH(C64,Dim_Employee!$A$2:$A$76,0)),"")</f>
        <v>Ifeoma Balogun</v>
      </c>
      <c r="E64" s="12" t="s">
        <v>1068</v>
      </c>
      <c r="F64" s="12" t="s">
        <v>1183</v>
      </c>
      <c r="G64" s="12" t="s">
        <v>1053</v>
      </c>
      <c r="H64" s="12" t="s">
        <v>733</v>
      </c>
      <c r="I64" s="12" t="s">
        <v>1057</v>
      </c>
      <c r="J64" s="18" t="n">
        <v>847130.42</v>
      </c>
      <c r="K64" s="14" t="n">
        <v>45674</v>
      </c>
    </row>
    <row r="65" customFormat="false" ht="15" hidden="false" customHeight="true" outlineLevel="0" collapsed="false">
      <c r="A65" s="12" t="s">
        <v>1184</v>
      </c>
      <c r="B65" s="14" t="n">
        <v>45833</v>
      </c>
      <c r="C65" s="13" t="s">
        <v>288</v>
      </c>
      <c r="D65" s="15" t="str">
        <f aca="false">IFERROR(INDEX(Dim_Employee!$B$2:$B$76,MATCH(C65,Dim_Employee!$A$2:$A$76,0)),"")</f>
        <v>Ifeoma Balogun</v>
      </c>
      <c r="E65" s="12" t="s">
        <v>1051</v>
      </c>
      <c r="F65" s="12" t="s">
        <v>1185</v>
      </c>
      <c r="G65" s="12" t="s">
        <v>89</v>
      </c>
      <c r="H65" s="12" t="s">
        <v>733</v>
      </c>
      <c r="I65" s="12" t="s">
        <v>1054</v>
      </c>
      <c r="J65" s="18" t="n">
        <v>49735.87</v>
      </c>
      <c r="K65" s="14"/>
    </row>
    <row r="66" customFormat="false" ht="15" hidden="false" customHeight="true" outlineLevel="0" collapsed="false">
      <c r="A66" s="12" t="s">
        <v>1186</v>
      </c>
      <c r="B66" s="14" t="n">
        <v>45972</v>
      </c>
      <c r="C66" s="13" t="s">
        <v>286</v>
      </c>
      <c r="D66" s="15" t="str">
        <f aca="false">IFERROR(INDEX(Dim_Employee!$B$2:$B$76,MATCH(C66,Dim_Employee!$A$2:$A$76,0)),"")</f>
        <v>Peace Balogun</v>
      </c>
      <c r="E66" s="12" t="s">
        <v>1059</v>
      </c>
      <c r="F66" s="12" t="s">
        <v>1187</v>
      </c>
      <c r="G66" s="12" t="s">
        <v>93</v>
      </c>
      <c r="H66" s="12" t="s">
        <v>733</v>
      </c>
      <c r="I66" s="12" t="s">
        <v>1049</v>
      </c>
      <c r="J66" s="18" t="n">
        <v>248677.25</v>
      </c>
      <c r="K66" s="14"/>
    </row>
    <row r="67" customFormat="false" ht="15" hidden="false" customHeight="true" outlineLevel="0" collapsed="false">
      <c r="A67" s="12" t="s">
        <v>1188</v>
      </c>
      <c r="B67" s="14" t="n">
        <v>45802</v>
      </c>
      <c r="C67" s="13" t="s">
        <v>271</v>
      </c>
      <c r="D67" s="15" t="str">
        <f aca="false">IFERROR(INDEX(Dim_Employee!$B$2:$B$76,MATCH(C67,Dim_Employee!$A$2:$A$76,0)),"")</f>
        <v>Emmanuel Aliyu</v>
      </c>
      <c r="E67" s="12" t="s">
        <v>1051</v>
      </c>
      <c r="F67" s="12" t="s">
        <v>1189</v>
      </c>
      <c r="G67" s="12" t="s">
        <v>1061</v>
      </c>
      <c r="H67" s="12" t="s">
        <v>733</v>
      </c>
      <c r="I67" s="12" t="s">
        <v>1057</v>
      </c>
      <c r="J67" s="18" t="n">
        <v>918840.97</v>
      </c>
      <c r="K67" s="14" t="n">
        <v>45821</v>
      </c>
    </row>
    <row r="68" customFormat="false" ht="15" hidden="false" customHeight="true" outlineLevel="0" collapsed="false">
      <c r="A68" s="12" t="s">
        <v>1190</v>
      </c>
      <c r="B68" s="14" t="n">
        <v>45858</v>
      </c>
      <c r="C68" s="13" t="s">
        <v>276</v>
      </c>
      <c r="D68" s="15" t="str">
        <f aca="false">IFERROR(INDEX(Dim_Employee!$B$2:$B$76,MATCH(C68,Dim_Employee!$A$2:$A$76,0)),"")</f>
        <v>Blessing Nnamdi</v>
      </c>
      <c r="E68" s="12" t="s">
        <v>1047</v>
      </c>
      <c r="F68" s="12" t="s">
        <v>1191</v>
      </c>
      <c r="G68" s="12" t="s">
        <v>1053</v>
      </c>
      <c r="H68" s="12" t="s">
        <v>1087</v>
      </c>
      <c r="I68" s="12" t="s">
        <v>1049</v>
      </c>
      <c r="J68" s="18" t="n">
        <v>256051.74</v>
      </c>
      <c r="K68" s="14"/>
    </row>
    <row r="69" customFormat="false" ht="15" hidden="false" customHeight="true" outlineLevel="0" collapsed="false">
      <c r="A69" s="12" t="s">
        <v>1192</v>
      </c>
      <c r="B69" s="14" t="n">
        <v>45664</v>
      </c>
      <c r="C69" s="13" t="s">
        <v>276</v>
      </c>
      <c r="D69" s="15" t="str">
        <f aca="false">IFERROR(INDEX(Dim_Employee!$B$2:$B$76,MATCH(C69,Dim_Employee!$A$2:$A$76,0)),"")</f>
        <v>Blessing Nnamdi</v>
      </c>
      <c r="E69" s="12" t="s">
        <v>1059</v>
      </c>
      <c r="F69" s="12" t="s">
        <v>1193</v>
      </c>
      <c r="G69" s="12" t="s">
        <v>1061</v>
      </c>
      <c r="H69" s="12" t="s">
        <v>1087</v>
      </c>
      <c r="I69" s="12" t="s">
        <v>1057</v>
      </c>
      <c r="J69" s="18" t="n">
        <v>434683.9</v>
      </c>
      <c r="K69" s="14" t="n">
        <v>45692</v>
      </c>
    </row>
    <row r="70" customFormat="false" ht="15" hidden="false" customHeight="true" outlineLevel="0" collapsed="false">
      <c r="A70" s="12" t="s">
        <v>1194</v>
      </c>
      <c r="B70" s="14" t="n">
        <v>45865</v>
      </c>
      <c r="C70" s="13" t="s">
        <v>276</v>
      </c>
      <c r="D70" s="15" t="str">
        <f aca="false">IFERROR(INDEX(Dim_Employee!$B$2:$B$76,MATCH(C70,Dim_Employee!$A$2:$A$76,0)),"")</f>
        <v>Blessing Nnamdi</v>
      </c>
      <c r="E70" s="12" t="s">
        <v>1068</v>
      </c>
      <c r="F70" s="12" t="s">
        <v>1195</v>
      </c>
      <c r="G70" s="12" t="s">
        <v>89</v>
      </c>
      <c r="H70" s="12" t="s">
        <v>733</v>
      </c>
      <c r="I70" s="12" t="s">
        <v>1054</v>
      </c>
      <c r="J70" s="18" t="n">
        <v>391817.58</v>
      </c>
      <c r="K70" s="14"/>
    </row>
    <row r="71" customFormat="false" ht="15" hidden="false" customHeight="true" outlineLevel="0" collapsed="false">
      <c r="A71" s="12" t="s">
        <v>1196</v>
      </c>
      <c r="B71" s="14" t="n">
        <v>46018</v>
      </c>
      <c r="C71" s="13" t="s">
        <v>102</v>
      </c>
      <c r="D71" s="15" t="str">
        <f aca="false">IFERROR(INDEX(Dim_Employee!$B$2:$B$76,MATCH(C71,Dim_Employee!$A$2:$A$76,0)),"")</f>
        <v>Yusuf Abubakar</v>
      </c>
      <c r="E71" s="12" t="s">
        <v>1068</v>
      </c>
      <c r="F71" s="12" t="s">
        <v>1197</v>
      </c>
      <c r="G71" s="12" t="s">
        <v>1053</v>
      </c>
      <c r="H71" s="12" t="s">
        <v>753</v>
      </c>
      <c r="I71" s="12" t="s">
        <v>1049</v>
      </c>
      <c r="J71" s="18" t="n">
        <v>339021.34</v>
      </c>
      <c r="K71" s="14"/>
    </row>
    <row r="72" customFormat="false" ht="15" hidden="false" customHeight="true" outlineLevel="0" collapsed="false">
      <c r="A72" s="12" t="s">
        <v>1198</v>
      </c>
      <c r="B72" s="14" t="n">
        <v>45739</v>
      </c>
      <c r="C72" s="13" t="s">
        <v>102</v>
      </c>
      <c r="D72" s="15" t="str">
        <f aca="false">IFERROR(INDEX(Dim_Employee!$B$2:$B$76,MATCH(C72,Dim_Employee!$A$2:$A$76,0)),"")</f>
        <v>Yusuf Abubakar</v>
      </c>
      <c r="E72" s="12" t="s">
        <v>1059</v>
      </c>
      <c r="F72" s="12" t="s">
        <v>1199</v>
      </c>
      <c r="G72" s="12" t="s">
        <v>1053</v>
      </c>
      <c r="H72" s="12" t="s">
        <v>1087</v>
      </c>
      <c r="I72" s="12" t="s">
        <v>1049</v>
      </c>
      <c r="J72" s="18" t="n">
        <v>919448.82</v>
      </c>
      <c r="K72" s="14"/>
    </row>
    <row r="73" customFormat="false" ht="15" hidden="false" customHeight="true" outlineLevel="0" collapsed="false">
      <c r="A73" s="12" t="s">
        <v>1200</v>
      </c>
      <c r="B73" s="14" t="n">
        <v>45763</v>
      </c>
      <c r="C73" s="13" t="s">
        <v>281</v>
      </c>
      <c r="D73" s="15" t="str">
        <f aca="false">IFERROR(INDEX(Dim_Employee!$B$2:$B$76,MATCH(C73,Dim_Employee!$A$2:$A$76,0)),"")</f>
        <v>Ngozi Balogun</v>
      </c>
      <c r="E73" s="12" t="s">
        <v>1051</v>
      </c>
      <c r="F73" s="12" t="s">
        <v>1201</v>
      </c>
      <c r="G73" s="12" t="s">
        <v>1053</v>
      </c>
      <c r="H73" s="12" t="s">
        <v>1087</v>
      </c>
      <c r="I73" s="12" t="s">
        <v>1054</v>
      </c>
      <c r="J73" s="18" t="n">
        <v>125531.51</v>
      </c>
      <c r="K73" s="14"/>
    </row>
    <row r="74" customFormat="false" ht="15" hidden="false" customHeight="true" outlineLevel="0" collapsed="false">
      <c r="A74" s="12" t="s">
        <v>1202</v>
      </c>
      <c r="B74" s="14" t="n">
        <v>45985</v>
      </c>
      <c r="C74" s="13" t="s">
        <v>276</v>
      </c>
      <c r="D74" s="15" t="str">
        <f aca="false">IFERROR(INDEX(Dim_Employee!$B$2:$B$76,MATCH(C74,Dim_Employee!$A$2:$A$76,0)),"")</f>
        <v>Blessing Nnamdi</v>
      </c>
      <c r="E74" s="12" t="s">
        <v>1075</v>
      </c>
      <c r="F74" s="12" t="s">
        <v>1203</v>
      </c>
      <c r="G74" s="12" t="s">
        <v>1053</v>
      </c>
      <c r="H74" s="12" t="s">
        <v>738</v>
      </c>
      <c r="I74" s="12" t="s">
        <v>1057</v>
      </c>
      <c r="J74" s="18" t="n">
        <v>793414.67</v>
      </c>
      <c r="K74" s="14" t="n">
        <v>45993</v>
      </c>
    </row>
    <row r="75" customFormat="false" ht="15" hidden="false" customHeight="true" outlineLevel="0" collapsed="false">
      <c r="A75" s="12" t="s">
        <v>1204</v>
      </c>
      <c r="B75" s="14" t="n">
        <v>45751</v>
      </c>
      <c r="C75" s="13" t="s">
        <v>286</v>
      </c>
      <c r="D75" s="15" t="str">
        <f aca="false">IFERROR(INDEX(Dim_Employee!$B$2:$B$76,MATCH(C75,Dim_Employee!$A$2:$A$76,0)),"")</f>
        <v>Peace Balogun</v>
      </c>
      <c r="E75" s="12" t="s">
        <v>1068</v>
      </c>
      <c r="F75" s="12" t="s">
        <v>1205</v>
      </c>
      <c r="G75" s="12" t="s">
        <v>93</v>
      </c>
      <c r="H75" s="12" t="s">
        <v>733</v>
      </c>
      <c r="I75" s="12" t="s">
        <v>1057</v>
      </c>
      <c r="J75" s="18" t="n">
        <v>915278.95</v>
      </c>
      <c r="K75" s="14" t="n">
        <v>45764</v>
      </c>
    </row>
    <row r="76" customFormat="false" ht="15" hidden="false" customHeight="true" outlineLevel="0" collapsed="false">
      <c r="A76" s="12" t="s">
        <v>1206</v>
      </c>
      <c r="B76" s="14" t="n">
        <v>45669</v>
      </c>
      <c r="C76" s="13" t="s">
        <v>286</v>
      </c>
      <c r="D76" s="15" t="str">
        <f aca="false">IFERROR(INDEX(Dim_Employee!$B$2:$B$76,MATCH(C76,Dim_Employee!$A$2:$A$76,0)),"")</f>
        <v>Peace Balogun</v>
      </c>
      <c r="E76" s="12" t="s">
        <v>1051</v>
      </c>
      <c r="F76" s="12" t="s">
        <v>1207</v>
      </c>
      <c r="G76" s="12" t="s">
        <v>1053</v>
      </c>
      <c r="H76" s="12" t="s">
        <v>1087</v>
      </c>
      <c r="I76" s="12" t="s">
        <v>1057</v>
      </c>
      <c r="J76" s="18" t="n">
        <v>484859.01</v>
      </c>
      <c r="K76" s="14" t="n">
        <v>45689</v>
      </c>
    </row>
    <row r="77" customFormat="false" ht="15" hidden="false" customHeight="true" outlineLevel="0" collapsed="false">
      <c r="A77" s="12" t="s">
        <v>1208</v>
      </c>
      <c r="B77" s="14" t="n">
        <v>45758</v>
      </c>
      <c r="C77" s="13" t="s">
        <v>102</v>
      </c>
      <c r="D77" s="15" t="str">
        <f aca="false">IFERROR(INDEX(Dim_Employee!$B$2:$B$76,MATCH(C77,Dim_Employee!$A$2:$A$76,0)),"")</f>
        <v>Yusuf Abubakar</v>
      </c>
      <c r="E77" s="12" t="s">
        <v>1051</v>
      </c>
      <c r="F77" s="12" t="s">
        <v>1209</v>
      </c>
      <c r="G77" s="12" t="s">
        <v>1053</v>
      </c>
      <c r="H77" s="12" t="s">
        <v>753</v>
      </c>
      <c r="I77" s="12" t="s">
        <v>1049</v>
      </c>
      <c r="J77" s="18" t="n">
        <v>334451.58</v>
      </c>
      <c r="K77" s="14"/>
    </row>
    <row r="78" customFormat="false" ht="15" hidden="false" customHeight="true" outlineLevel="0" collapsed="false">
      <c r="A78" s="12" t="s">
        <v>1210</v>
      </c>
      <c r="B78" s="14" t="n">
        <v>45939</v>
      </c>
      <c r="C78" s="13" t="s">
        <v>276</v>
      </c>
      <c r="D78" s="15" t="str">
        <f aca="false">IFERROR(INDEX(Dim_Employee!$B$2:$B$76,MATCH(C78,Dim_Employee!$A$2:$A$76,0)),"")</f>
        <v>Blessing Nnamdi</v>
      </c>
      <c r="E78" s="12" t="s">
        <v>1068</v>
      </c>
      <c r="F78" s="12" t="s">
        <v>1211</v>
      </c>
      <c r="G78" s="12" t="s">
        <v>1061</v>
      </c>
      <c r="H78" s="12" t="s">
        <v>733</v>
      </c>
      <c r="I78" s="12" t="s">
        <v>1049</v>
      </c>
      <c r="J78" s="18" t="n">
        <v>661551.64</v>
      </c>
      <c r="K78" s="14"/>
    </row>
    <row r="79" customFormat="false" ht="15" hidden="false" customHeight="true" outlineLevel="0" collapsed="false">
      <c r="A79" s="12" t="s">
        <v>1212</v>
      </c>
      <c r="B79" s="14" t="n">
        <v>45681</v>
      </c>
      <c r="C79" s="13" t="s">
        <v>288</v>
      </c>
      <c r="D79" s="15" t="str">
        <f aca="false">IFERROR(INDEX(Dim_Employee!$B$2:$B$76,MATCH(C79,Dim_Employee!$A$2:$A$76,0)),"")</f>
        <v>Ifeoma Balogun</v>
      </c>
      <c r="E79" s="12" t="s">
        <v>1059</v>
      </c>
      <c r="F79" s="12" t="s">
        <v>1213</v>
      </c>
      <c r="G79" s="12" t="s">
        <v>1061</v>
      </c>
      <c r="H79" s="12" t="s">
        <v>738</v>
      </c>
      <c r="I79" s="12" t="s">
        <v>1049</v>
      </c>
      <c r="J79" s="18" t="n">
        <v>1027528.5</v>
      </c>
      <c r="K79" s="14"/>
    </row>
    <row r="80" customFormat="false" ht="15" hidden="false" customHeight="true" outlineLevel="0" collapsed="false">
      <c r="A80" s="12" t="s">
        <v>1214</v>
      </c>
      <c r="B80" s="14" t="n">
        <v>45970</v>
      </c>
      <c r="C80" s="13" t="s">
        <v>286</v>
      </c>
      <c r="D80" s="15" t="str">
        <f aca="false">IFERROR(INDEX(Dim_Employee!$B$2:$B$76,MATCH(C80,Dim_Employee!$A$2:$A$76,0)),"")</f>
        <v>Peace Balogun</v>
      </c>
      <c r="E80" s="12" t="s">
        <v>1047</v>
      </c>
      <c r="F80" s="12" t="s">
        <v>1215</v>
      </c>
      <c r="G80" s="12" t="s">
        <v>1053</v>
      </c>
      <c r="H80" s="12" t="s">
        <v>1087</v>
      </c>
      <c r="I80" s="12" t="s">
        <v>1057</v>
      </c>
      <c r="J80" s="18" t="n">
        <v>719409.25</v>
      </c>
      <c r="K80" s="14" t="n">
        <v>45984</v>
      </c>
    </row>
    <row r="81" customFormat="false" ht="15" hidden="false" customHeight="true" outlineLevel="0" collapsed="false">
      <c r="A81" s="12" t="s">
        <v>1216</v>
      </c>
      <c r="B81" s="14" t="n">
        <v>45929</v>
      </c>
      <c r="C81" s="13" t="s">
        <v>276</v>
      </c>
      <c r="D81" s="15" t="str">
        <f aca="false">IFERROR(INDEX(Dim_Employee!$B$2:$B$76,MATCH(C81,Dim_Employee!$A$2:$A$76,0)),"")</f>
        <v>Blessing Nnamdi</v>
      </c>
      <c r="E81" s="12" t="s">
        <v>1047</v>
      </c>
      <c r="F81" s="12" t="s">
        <v>1217</v>
      </c>
      <c r="G81" s="12" t="s">
        <v>1053</v>
      </c>
      <c r="H81" s="12" t="s">
        <v>753</v>
      </c>
      <c r="I81" s="12" t="s">
        <v>1066</v>
      </c>
      <c r="J81" s="18" t="n">
        <v>37099.27</v>
      </c>
      <c r="K81" s="14"/>
    </row>
    <row r="82" customFormat="false" ht="15" hidden="false" customHeight="true" outlineLevel="0" collapsed="false">
      <c r="A82" s="12" t="s">
        <v>1218</v>
      </c>
      <c r="B82" s="14" t="n">
        <v>45957</v>
      </c>
      <c r="C82" s="13" t="s">
        <v>271</v>
      </c>
      <c r="D82" s="15" t="str">
        <f aca="false">IFERROR(INDEX(Dim_Employee!$B$2:$B$76,MATCH(C82,Dim_Employee!$A$2:$A$76,0)),"")</f>
        <v>Emmanuel Aliyu</v>
      </c>
      <c r="E82" s="12" t="s">
        <v>1059</v>
      </c>
      <c r="F82" s="12" t="s">
        <v>1219</v>
      </c>
      <c r="G82" s="12" t="s">
        <v>1061</v>
      </c>
      <c r="H82" s="12" t="s">
        <v>733</v>
      </c>
      <c r="I82" s="12" t="s">
        <v>1057</v>
      </c>
      <c r="J82" s="18" t="n">
        <v>1077562.83</v>
      </c>
      <c r="K82" s="14" t="n">
        <v>45978</v>
      </c>
    </row>
    <row r="83" customFormat="false" ht="15" hidden="false" customHeight="true" outlineLevel="0" collapsed="false">
      <c r="A83" s="12" t="s">
        <v>1220</v>
      </c>
      <c r="B83" s="14" t="n">
        <v>45861</v>
      </c>
      <c r="C83" s="13" t="s">
        <v>288</v>
      </c>
      <c r="D83" s="15" t="str">
        <f aca="false">IFERROR(INDEX(Dim_Employee!$B$2:$B$76,MATCH(C83,Dim_Employee!$A$2:$A$76,0)),"")</f>
        <v>Ifeoma Balogun</v>
      </c>
      <c r="E83" s="12" t="s">
        <v>880</v>
      </c>
      <c r="F83" s="12" t="s">
        <v>1221</v>
      </c>
      <c r="G83" s="12" t="s">
        <v>89</v>
      </c>
      <c r="H83" s="12" t="s">
        <v>738</v>
      </c>
      <c r="I83" s="12" t="s">
        <v>1057</v>
      </c>
      <c r="J83" s="18" t="n">
        <v>518271.31</v>
      </c>
      <c r="K83" s="14" t="n">
        <v>45880</v>
      </c>
    </row>
    <row r="84" customFormat="false" ht="15" hidden="false" customHeight="true" outlineLevel="0" collapsed="false">
      <c r="A84" s="12" t="s">
        <v>1222</v>
      </c>
      <c r="B84" s="14" t="n">
        <v>45786</v>
      </c>
      <c r="C84" s="13" t="s">
        <v>281</v>
      </c>
      <c r="D84" s="15" t="str">
        <f aca="false">IFERROR(INDEX(Dim_Employee!$B$2:$B$76,MATCH(C84,Dim_Employee!$A$2:$A$76,0)),"")</f>
        <v>Ngozi Balogun</v>
      </c>
      <c r="E84" s="12" t="s">
        <v>1051</v>
      </c>
      <c r="F84" s="12" t="s">
        <v>1223</v>
      </c>
      <c r="G84" s="12" t="s">
        <v>89</v>
      </c>
      <c r="H84" s="12" t="s">
        <v>1087</v>
      </c>
      <c r="I84" s="12" t="s">
        <v>1054</v>
      </c>
      <c r="J84" s="18" t="n">
        <v>177515.64</v>
      </c>
      <c r="K84" s="14"/>
    </row>
    <row r="85" customFormat="false" ht="15" hidden="false" customHeight="true" outlineLevel="0" collapsed="false">
      <c r="A85" s="12" t="s">
        <v>1224</v>
      </c>
      <c r="B85" s="14" t="n">
        <v>45967</v>
      </c>
      <c r="C85" s="13" t="s">
        <v>271</v>
      </c>
      <c r="D85" s="15" t="str">
        <f aca="false">IFERROR(INDEX(Dim_Employee!$B$2:$B$76,MATCH(C85,Dim_Employee!$A$2:$A$76,0)),"")</f>
        <v>Emmanuel Aliyu</v>
      </c>
      <c r="E85" s="12" t="s">
        <v>1068</v>
      </c>
      <c r="F85" s="12" t="s">
        <v>1225</v>
      </c>
      <c r="G85" s="12" t="s">
        <v>1061</v>
      </c>
      <c r="H85" s="12" t="s">
        <v>733</v>
      </c>
      <c r="I85" s="12" t="s">
        <v>1057</v>
      </c>
      <c r="J85" s="18" t="n">
        <v>248370.04</v>
      </c>
      <c r="K85" s="14" t="n">
        <v>45969</v>
      </c>
    </row>
    <row r="86" customFormat="false" ht="15" hidden="false" customHeight="true" outlineLevel="0" collapsed="false">
      <c r="A86" s="12" t="s">
        <v>1226</v>
      </c>
      <c r="B86" s="14" t="n">
        <v>45840</v>
      </c>
      <c r="C86" s="13" t="s">
        <v>102</v>
      </c>
      <c r="D86" s="15" t="str">
        <f aca="false">IFERROR(INDEX(Dim_Employee!$B$2:$B$76,MATCH(C86,Dim_Employee!$A$2:$A$76,0)),"")</f>
        <v>Yusuf Abubakar</v>
      </c>
      <c r="E86" s="12" t="s">
        <v>1051</v>
      </c>
      <c r="F86" s="12" t="s">
        <v>1227</v>
      </c>
      <c r="G86" s="12" t="s">
        <v>1061</v>
      </c>
      <c r="H86" s="12" t="s">
        <v>738</v>
      </c>
      <c r="I86" s="12" t="s">
        <v>1054</v>
      </c>
      <c r="J86" s="18" t="n">
        <v>803130.06</v>
      </c>
      <c r="K86" s="14"/>
    </row>
    <row r="87" customFormat="false" ht="15" hidden="false" customHeight="true" outlineLevel="0" collapsed="false">
      <c r="A87" s="12" t="s">
        <v>1228</v>
      </c>
      <c r="B87" s="14" t="n">
        <v>45965</v>
      </c>
      <c r="C87" s="13" t="s">
        <v>281</v>
      </c>
      <c r="D87" s="15" t="str">
        <f aca="false">IFERROR(INDEX(Dim_Employee!$B$2:$B$76,MATCH(C87,Dim_Employee!$A$2:$A$76,0)),"")</f>
        <v>Ngozi Balogun</v>
      </c>
      <c r="E87" s="12" t="s">
        <v>880</v>
      </c>
      <c r="F87" s="12" t="s">
        <v>1229</v>
      </c>
      <c r="G87" s="12" t="s">
        <v>1053</v>
      </c>
      <c r="H87" s="12" t="s">
        <v>738</v>
      </c>
      <c r="I87" s="12" t="s">
        <v>1066</v>
      </c>
      <c r="J87" s="18" t="n">
        <v>1143398.82</v>
      </c>
      <c r="K87" s="14"/>
    </row>
    <row r="88" customFormat="false" ht="15" hidden="false" customHeight="true" outlineLevel="0" collapsed="false">
      <c r="A88" s="12" t="s">
        <v>1230</v>
      </c>
      <c r="B88" s="14" t="n">
        <v>45723</v>
      </c>
      <c r="C88" s="13" t="s">
        <v>288</v>
      </c>
      <c r="D88" s="15" t="str">
        <f aca="false">IFERROR(INDEX(Dim_Employee!$B$2:$B$76,MATCH(C88,Dim_Employee!$A$2:$A$76,0)),"")</f>
        <v>Ifeoma Balogun</v>
      </c>
      <c r="E88" s="12" t="s">
        <v>1047</v>
      </c>
      <c r="F88" s="12" t="s">
        <v>1231</v>
      </c>
      <c r="G88" s="12" t="s">
        <v>1053</v>
      </c>
      <c r="H88" s="12" t="s">
        <v>753</v>
      </c>
      <c r="I88" s="12" t="s">
        <v>1054</v>
      </c>
      <c r="J88" s="18" t="n">
        <v>333332.49</v>
      </c>
      <c r="K88" s="14"/>
    </row>
    <row r="89" customFormat="false" ht="15" hidden="false" customHeight="true" outlineLevel="0" collapsed="false">
      <c r="A89" s="12" t="s">
        <v>1232</v>
      </c>
      <c r="B89" s="14" t="n">
        <v>46008</v>
      </c>
      <c r="C89" s="13" t="s">
        <v>286</v>
      </c>
      <c r="D89" s="15" t="str">
        <f aca="false">IFERROR(INDEX(Dim_Employee!$B$2:$B$76,MATCH(C89,Dim_Employee!$A$2:$A$76,0)),"")</f>
        <v>Peace Balogun</v>
      </c>
      <c r="E89" s="12" t="s">
        <v>880</v>
      </c>
      <c r="F89" s="12" t="s">
        <v>1233</v>
      </c>
      <c r="G89" s="12" t="s">
        <v>93</v>
      </c>
      <c r="H89" s="12" t="s">
        <v>738</v>
      </c>
      <c r="I89" s="12" t="s">
        <v>1054</v>
      </c>
      <c r="J89" s="18" t="n">
        <v>1142515.36</v>
      </c>
      <c r="K89" s="14"/>
    </row>
    <row r="90" customFormat="false" ht="15" hidden="false" customHeight="true" outlineLevel="0" collapsed="false">
      <c r="A90" s="12" t="s">
        <v>1234</v>
      </c>
      <c r="B90" s="14" t="n">
        <v>45992</v>
      </c>
      <c r="C90" s="13" t="s">
        <v>286</v>
      </c>
      <c r="D90" s="15" t="str">
        <f aca="false">IFERROR(INDEX(Dim_Employee!$B$2:$B$76,MATCH(C90,Dim_Employee!$A$2:$A$76,0)),"")</f>
        <v>Peace Balogun</v>
      </c>
      <c r="E90" s="12" t="s">
        <v>880</v>
      </c>
      <c r="F90" s="12" t="s">
        <v>1235</v>
      </c>
      <c r="G90" s="12" t="s">
        <v>89</v>
      </c>
      <c r="H90" s="12" t="s">
        <v>733</v>
      </c>
      <c r="I90" s="12" t="s">
        <v>1054</v>
      </c>
      <c r="J90" s="18" t="n">
        <v>328772.64</v>
      </c>
      <c r="K90" s="14"/>
    </row>
    <row r="91" customFormat="false" ht="15" hidden="false" customHeight="true" outlineLevel="0" collapsed="false">
      <c r="A91" s="12" t="s">
        <v>1236</v>
      </c>
      <c r="B91" s="14" t="n">
        <v>45671</v>
      </c>
      <c r="C91" s="13" t="s">
        <v>281</v>
      </c>
      <c r="D91" s="15" t="str">
        <f aca="false">IFERROR(INDEX(Dim_Employee!$B$2:$B$76,MATCH(C91,Dim_Employee!$A$2:$A$76,0)),"")</f>
        <v>Ngozi Balogun</v>
      </c>
      <c r="E91" s="12" t="s">
        <v>1059</v>
      </c>
      <c r="F91" s="12" t="s">
        <v>1237</v>
      </c>
      <c r="G91" s="12" t="s">
        <v>1053</v>
      </c>
      <c r="H91" s="12" t="s">
        <v>733</v>
      </c>
      <c r="I91" s="12" t="s">
        <v>1057</v>
      </c>
      <c r="J91" s="18" t="n">
        <v>908166.87</v>
      </c>
      <c r="K91" s="14" t="n">
        <v>45675</v>
      </c>
    </row>
    <row r="92" customFormat="false" ht="15" hidden="false" customHeight="true" outlineLevel="0" collapsed="false">
      <c r="A92" s="12" t="s">
        <v>1238</v>
      </c>
      <c r="B92" s="14" t="n">
        <v>45740</v>
      </c>
      <c r="C92" s="13" t="s">
        <v>288</v>
      </c>
      <c r="D92" s="15" t="str">
        <f aca="false">IFERROR(INDEX(Dim_Employee!$B$2:$B$76,MATCH(C92,Dim_Employee!$A$2:$A$76,0)),"")</f>
        <v>Ifeoma Balogun</v>
      </c>
      <c r="E92" s="12" t="s">
        <v>880</v>
      </c>
      <c r="F92" s="12" t="s">
        <v>1239</v>
      </c>
      <c r="G92" s="12" t="s">
        <v>1061</v>
      </c>
      <c r="H92" s="12" t="s">
        <v>1087</v>
      </c>
      <c r="I92" s="12" t="s">
        <v>1054</v>
      </c>
      <c r="J92" s="18" t="n">
        <v>428148.63</v>
      </c>
      <c r="K92" s="14"/>
    </row>
    <row r="93" customFormat="false" ht="15" hidden="false" customHeight="true" outlineLevel="0" collapsed="false">
      <c r="A93" s="12" t="s">
        <v>1240</v>
      </c>
      <c r="B93" s="14" t="n">
        <v>45833</v>
      </c>
      <c r="C93" s="13" t="s">
        <v>276</v>
      </c>
      <c r="D93" s="15" t="str">
        <f aca="false">IFERROR(INDEX(Dim_Employee!$B$2:$B$76,MATCH(C93,Dim_Employee!$A$2:$A$76,0)),"")</f>
        <v>Blessing Nnamdi</v>
      </c>
      <c r="E93" s="12" t="s">
        <v>880</v>
      </c>
      <c r="F93" s="12" t="s">
        <v>1241</v>
      </c>
      <c r="G93" s="12" t="s">
        <v>89</v>
      </c>
      <c r="H93" s="12" t="s">
        <v>733</v>
      </c>
      <c r="I93" s="12" t="s">
        <v>1049</v>
      </c>
      <c r="J93" s="18" t="n">
        <v>539534.92</v>
      </c>
      <c r="K93" s="14"/>
    </row>
    <row r="94" customFormat="false" ht="15" hidden="false" customHeight="true" outlineLevel="0" collapsed="false">
      <c r="A94" s="12" t="s">
        <v>1242</v>
      </c>
      <c r="B94" s="14" t="n">
        <v>45767</v>
      </c>
      <c r="C94" s="13" t="s">
        <v>286</v>
      </c>
      <c r="D94" s="15" t="str">
        <f aca="false">IFERROR(INDEX(Dim_Employee!$B$2:$B$76,MATCH(C94,Dim_Employee!$A$2:$A$76,0)),"")</f>
        <v>Peace Balogun</v>
      </c>
      <c r="E94" s="12" t="s">
        <v>1047</v>
      </c>
      <c r="F94" s="12" t="s">
        <v>1243</v>
      </c>
      <c r="G94" s="12" t="s">
        <v>1061</v>
      </c>
      <c r="H94" s="12" t="s">
        <v>738</v>
      </c>
      <c r="I94" s="12" t="s">
        <v>1049</v>
      </c>
      <c r="J94" s="18" t="n">
        <v>445895.24</v>
      </c>
      <c r="K94" s="14"/>
    </row>
    <row r="95" customFormat="false" ht="15" hidden="false" customHeight="true" outlineLevel="0" collapsed="false">
      <c r="A95" s="12" t="s">
        <v>1244</v>
      </c>
      <c r="B95" s="14" t="n">
        <v>45963</v>
      </c>
      <c r="C95" s="13" t="s">
        <v>288</v>
      </c>
      <c r="D95" s="15" t="str">
        <f aca="false">IFERROR(INDEX(Dim_Employee!$B$2:$B$76,MATCH(C95,Dim_Employee!$A$2:$A$76,0)),"")</f>
        <v>Ifeoma Balogun</v>
      </c>
      <c r="E95" s="12" t="s">
        <v>1075</v>
      </c>
      <c r="F95" s="12" t="s">
        <v>1245</v>
      </c>
      <c r="G95" s="12" t="s">
        <v>93</v>
      </c>
      <c r="H95" s="12" t="s">
        <v>1087</v>
      </c>
      <c r="I95" s="12" t="s">
        <v>1066</v>
      </c>
      <c r="J95" s="18" t="n">
        <v>786298.66</v>
      </c>
      <c r="K95" s="14"/>
    </row>
    <row r="96" customFormat="false" ht="15" hidden="false" customHeight="true" outlineLevel="0" collapsed="false">
      <c r="A96" s="12" t="s">
        <v>1246</v>
      </c>
      <c r="B96" s="14" t="n">
        <v>45707</v>
      </c>
      <c r="C96" s="13" t="s">
        <v>286</v>
      </c>
      <c r="D96" s="15" t="str">
        <f aca="false">IFERROR(INDEX(Dim_Employee!$B$2:$B$76,MATCH(C96,Dim_Employee!$A$2:$A$76,0)),"")</f>
        <v>Peace Balogun</v>
      </c>
      <c r="E96" s="12" t="s">
        <v>1075</v>
      </c>
      <c r="F96" s="12" t="s">
        <v>1247</v>
      </c>
      <c r="G96" s="12" t="s">
        <v>89</v>
      </c>
      <c r="H96" s="12" t="s">
        <v>1087</v>
      </c>
      <c r="I96" s="12" t="s">
        <v>1049</v>
      </c>
      <c r="J96" s="18" t="n">
        <v>679238.48</v>
      </c>
      <c r="K96" s="14"/>
    </row>
    <row r="97" customFormat="false" ht="15" hidden="false" customHeight="true" outlineLevel="0" collapsed="false">
      <c r="A97" s="12" t="s">
        <v>1248</v>
      </c>
      <c r="B97" s="14" t="n">
        <v>46008</v>
      </c>
      <c r="C97" s="13" t="s">
        <v>281</v>
      </c>
      <c r="D97" s="15" t="str">
        <f aca="false">IFERROR(INDEX(Dim_Employee!$B$2:$B$76,MATCH(C97,Dim_Employee!$A$2:$A$76,0)),"")</f>
        <v>Ngozi Balogun</v>
      </c>
      <c r="E97" s="12" t="s">
        <v>1075</v>
      </c>
      <c r="F97" s="12" t="s">
        <v>1249</v>
      </c>
      <c r="G97" s="12" t="s">
        <v>89</v>
      </c>
      <c r="H97" s="12" t="s">
        <v>753</v>
      </c>
      <c r="I97" s="12" t="s">
        <v>1049</v>
      </c>
      <c r="J97" s="18" t="n">
        <v>259846.14</v>
      </c>
      <c r="K97" s="14"/>
    </row>
    <row r="98" customFormat="false" ht="15" hidden="false" customHeight="true" outlineLevel="0" collapsed="false">
      <c r="A98" s="12" t="s">
        <v>1250</v>
      </c>
      <c r="B98" s="14" t="n">
        <v>45967</v>
      </c>
      <c r="C98" s="13" t="s">
        <v>288</v>
      </c>
      <c r="D98" s="15" t="str">
        <f aca="false">IFERROR(INDEX(Dim_Employee!$B$2:$B$76,MATCH(C98,Dim_Employee!$A$2:$A$76,0)),"")</f>
        <v>Ifeoma Balogun</v>
      </c>
      <c r="E98" s="12" t="s">
        <v>1075</v>
      </c>
      <c r="F98" s="12" t="s">
        <v>1251</v>
      </c>
      <c r="G98" s="12" t="s">
        <v>1053</v>
      </c>
      <c r="H98" s="12" t="s">
        <v>753</v>
      </c>
      <c r="I98" s="12" t="s">
        <v>1057</v>
      </c>
      <c r="J98" s="18" t="n">
        <v>1058644.38</v>
      </c>
      <c r="K98" s="14" t="n">
        <v>45990</v>
      </c>
    </row>
    <row r="99" customFormat="false" ht="15" hidden="false" customHeight="true" outlineLevel="0" collapsed="false">
      <c r="A99" s="12" t="s">
        <v>1252</v>
      </c>
      <c r="B99" s="14" t="n">
        <v>45841</v>
      </c>
      <c r="C99" s="13" t="s">
        <v>271</v>
      </c>
      <c r="D99" s="15" t="str">
        <f aca="false">IFERROR(INDEX(Dim_Employee!$B$2:$B$76,MATCH(C99,Dim_Employee!$A$2:$A$76,0)),"")</f>
        <v>Emmanuel Aliyu</v>
      </c>
      <c r="E99" s="12" t="s">
        <v>1075</v>
      </c>
      <c r="F99" s="12" t="s">
        <v>1253</v>
      </c>
      <c r="G99" s="12" t="s">
        <v>1053</v>
      </c>
      <c r="H99" s="12" t="s">
        <v>1087</v>
      </c>
      <c r="I99" s="12" t="s">
        <v>1066</v>
      </c>
      <c r="J99" s="18" t="n">
        <v>685283.1</v>
      </c>
      <c r="K99" s="14"/>
    </row>
    <row r="100" customFormat="false" ht="15" hidden="false" customHeight="true" outlineLevel="0" collapsed="false">
      <c r="A100" s="12" t="s">
        <v>1254</v>
      </c>
      <c r="B100" s="14" t="n">
        <v>45800</v>
      </c>
      <c r="C100" s="13" t="s">
        <v>288</v>
      </c>
      <c r="D100" s="15" t="str">
        <f aca="false">IFERROR(INDEX(Dim_Employee!$B$2:$B$76,MATCH(C100,Dim_Employee!$A$2:$A$76,0)),"")</f>
        <v>Ifeoma Balogun</v>
      </c>
      <c r="E100" s="12" t="s">
        <v>1068</v>
      </c>
      <c r="F100" s="12" t="s">
        <v>1255</v>
      </c>
      <c r="G100" s="12" t="s">
        <v>1061</v>
      </c>
      <c r="H100" s="12" t="s">
        <v>753</v>
      </c>
      <c r="I100" s="12" t="s">
        <v>1049</v>
      </c>
      <c r="J100" s="18" t="n">
        <v>269350.02</v>
      </c>
      <c r="K100" s="14"/>
    </row>
    <row r="101" customFormat="false" ht="15" hidden="false" customHeight="true" outlineLevel="0" collapsed="false">
      <c r="A101" s="12" t="s">
        <v>1256</v>
      </c>
      <c r="B101" s="14" t="n">
        <v>45922</v>
      </c>
      <c r="C101" s="13" t="s">
        <v>288</v>
      </c>
      <c r="D101" s="15" t="str">
        <f aca="false">IFERROR(INDEX(Dim_Employee!$B$2:$B$76,MATCH(C101,Dim_Employee!$A$2:$A$76,0)),"")</f>
        <v>Ifeoma Balogun</v>
      </c>
      <c r="E101" s="12" t="s">
        <v>1051</v>
      </c>
      <c r="F101" s="12" t="s">
        <v>1257</v>
      </c>
      <c r="G101" s="12" t="s">
        <v>1053</v>
      </c>
      <c r="H101" s="12" t="s">
        <v>733</v>
      </c>
      <c r="I101" s="12" t="s">
        <v>1054</v>
      </c>
      <c r="J101" s="18" t="n">
        <v>439157.58</v>
      </c>
      <c r="K101" s="14"/>
    </row>
    <row r="102" customFormat="false" ht="15" hidden="false" customHeight="true" outlineLevel="0" collapsed="false">
      <c r="A102" s="12" t="s">
        <v>1258</v>
      </c>
      <c r="B102" s="14" t="n">
        <v>45957</v>
      </c>
      <c r="C102" s="13" t="s">
        <v>281</v>
      </c>
      <c r="D102" s="15" t="str">
        <f aca="false">IFERROR(INDEX(Dim_Employee!$B$2:$B$76,MATCH(C102,Dim_Employee!$A$2:$A$76,0)),"")</f>
        <v>Ngozi Balogun</v>
      </c>
      <c r="E102" s="12" t="s">
        <v>1059</v>
      </c>
      <c r="F102" s="12" t="s">
        <v>1259</v>
      </c>
      <c r="G102" s="12" t="s">
        <v>1061</v>
      </c>
      <c r="H102" s="12" t="s">
        <v>738</v>
      </c>
      <c r="I102" s="12" t="s">
        <v>1049</v>
      </c>
      <c r="J102" s="18" t="n">
        <v>1004469.75</v>
      </c>
      <c r="K102" s="14"/>
    </row>
    <row r="103" customFormat="false" ht="15" hidden="false" customHeight="true" outlineLevel="0" collapsed="false">
      <c r="A103" s="12" t="s">
        <v>1260</v>
      </c>
      <c r="B103" s="14" t="n">
        <v>45748</v>
      </c>
      <c r="C103" s="13" t="s">
        <v>286</v>
      </c>
      <c r="D103" s="15" t="str">
        <f aca="false">IFERROR(INDEX(Dim_Employee!$B$2:$B$76,MATCH(C103,Dim_Employee!$A$2:$A$76,0)),"")</f>
        <v>Peace Balogun</v>
      </c>
      <c r="E103" s="12" t="s">
        <v>1051</v>
      </c>
      <c r="F103" s="12" t="s">
        <v>1261</v>
      </c>
      <c r="G103" s="12" t="s">
        <v>1053</v>
      </c>
      <c r="H103" s="12" t="s">
        <v>733</v>
      </c>
      <c r="I103" s="12" t="s">
        <v>1054</v>
      </c>
      <c r="J103" s="18" t="n">
        <v>269381.99</v>
      </c>
      <c r="K103" s="14"/>
    </row>
    <row r="104" customFormat="false" ht="15" hidden="false" customHeight="true" outlineLevel="0" collapsed="false">
      <c r="A104" s="12" t="s">
        <v>1262</v>
      </c>
      <c r="B104" s="14" t="n">
        <v>45936</v>
      </c>
      <c r="C104" s="13" t="s">
        <v>102</v>
      </c>
      <c r="D104" s="15" t="str">
        <f aca="false">IFERROR(INDEX(Dim_Employee!$B$2:$B$76,MATCH(C104,Dim_Employee!$A$2:$A$76,0)),"")</f>
        <v>Yusuf Abubakar</v>
      </c>
      <c r="E104" s="12" t="s">
        <v>1068</v>
      </c>
      <c r="F104" s="12" t="s">
        <v>1263</v>
      </c>
      <c r="G104" s="12" t="s">
        <v>89</v>
      </c>
      <c r="H104" s="12" t="s">
        <v>1087</v>
      </c>
      <c r="I104" s="12" t="s">
        <v>1054</v>
      </c>
      <c r="J104" s="18" t="n">
        <v>81547.49</v>
      </c>
      <c r="K104" s="14"/>
    </row>
    <row r="105" customFormat="false" ht="15" hidden="false" customHeight="true" outlineLevel="0" collapsed="false">
      <c r="A105" s="12" t="s">
        <v>1264</v>
      </c>
      <c r="B105" s="14" t="n">
        <v>45814</v>
      </c>
      <c r="C105" s="13" t="s">
        <v>286</v>
      </c>
      <c r="D105" s="15" t="str">
        <f aca="false">IFERROR(INDEX(Dim_Employee!$B$2:$B$76,MATCH(C105,Dim_Employee!$A$2:$A$76,0)),"")</f>
        <v>Peace Balogun</v>
      </c>
      <c r="E105" s="12" t="s">
        <v>1051</v>
      </c>
      <c r="F105" s="12" t="s">
        <v>1265</v>
      </c>
      <c r="G105" s="12" t="s">
        <v>89</v>
      </c>
      <c r="H105" s="12" t="s">
        <v>753</v>
      </c>
      <c r="I105" s="12" t="s">
        <v>1057</v>
      </c>
      <c r="J105" s="18" t="n">
        <v>106216.39</v>
      </c>
      <c r="K105" s="14" t="n">
        <v>45825</v>
      </c>
    </row>
    <row r="106" customFormat="false" ht="15" hidden="false" customHeight="true" outlineLevel="0" collapsed="false">
      <c r="A106" s="12" t="s">
        <v>1266</v>
      </c>
      <c r="B106" s="14" t="n">
        <v>45992</v>
      </c>
      <c r="C106" s="13" t="s">
        <v>288</v>
      </c>
      <c r="D106" s="15" t="str">
        <f aca="false">IFERROR(INDEX(Dim_Employee!$B$2:$B$76,MATCH(C106,Dim_Employee!$A$2:$A$76,0)),"")</f>
        <v>Ifeoma Balogun</v>
      </c>
      <c r="E106" s="12" t="s">
        <v>1051</v>
      </c>
      <c r="F106" s="12" t="s">
        <v>1267</v>
      </c>
      <c r="G106" s="12" t="s">
        <v>93</v>
      </c>
      <c r="H106" s="12" t="s">
        <v>738</v>
      </c>
      <c r="I106" s="12" t="s">
        <v>1054</v>
      </c>
      <c r="J106" s="18" t="n">
        <v>589365.54</v>
      </c>
      <c r="K106" s="14"/>
    </row>
    <row r="107" customFormat="false" ht="15" hidden="false" customHeight="true" outlineLevel="0" collapsed="false">
      <c r="A107" s="12" t="s">
        <v>1268</v>
      </c>
      <c r="B107" s="14" t="n">
        <v>45831</v>
      </c>
      <c r="C107" s="13" t="s">
        <v>286</v>
      </c>
      <c r="D107" s="15" t="str">
        <f aca="false">IFERROR(INDEX(Dim_Employee!$B$2:$B$76,MATCH(C107,Dim_Employee!$A$2:$A$76,0)),"")</f>
        <v>Peace Balogun</v>
      </c>
      <c r="E107" s="12" t="s">
        <v>1047</v>
      </c>
      <c r="F107" s="12" t="s">
        <v>1269</v>
      </c>
      <c r="G107" s="12" t="s">
        <v>1053</v>
      </c>
      <c r="H107" s="12" t="s">
        <v>753</v>
      </c>
      <c r="I107" s="12" t="s">
        <v>1049</v>
      </c>
      <c r="J107" s="18" t="n">
        <v>808502.9</v>
      </c>
      <c r="K107" s="14"/>
    </row>
    <row r="108" customFormat="false" ht="15" hidden="false" customHeight="true" outlineLevel="0" collapsed="false">
      <c r="A108" s="12" t="s">
        <v>1270</v>
      </c>
      <c r="B108" s="14" t="n">
        <v>45907</v>
      </c>
      <c r="C108" s="13" t="s">
        <v>281</v>
      </c>
      <c r="D108" s="15" t="str">
        <f aca="false">IFERROR(INDEX(Dim_Employee!$B$2:$B$76,MATCH(C108,Dim_Employee!$A$2:$A$76,0)),"")</f>
        <v>Ngozi Balogun</v>
      </c>
      <c r="E108" s="12" t="s">
        <v>1068</v>
      </c>
      <c r="F108" s="12" t="s">
        <v>1271</v>
      </c>
      <c r="G108" s="12" t="s">
        <v>1061</v>
      </c>
      <c r="H108" s="12" t="s">
        <v>753</v>
      </c>
      <c r="I108" s="12" t="s">
        <v>1057</v>
      </c>
      <c r="J108" s="18" t="n">
        <v>1024937.33</v>
      </c>
      <c r="K108" s="14" t="n">
        <v>45930</v>
      </c>
    </row>
    <row r="109" customFormat="false" ht="15" hidden="false" customHeight="true" outlineLevel="0" collapsed="false">
      <c r="A109" s="12" t="s">
        <v>1272</v>
      </c>
      <c r="B109" s="14" t="n">
        <v>45703</v>
      </c>
      <c r="C109" s="13" t="s">
        <v>281</v>
      </c>
      <c r="D109" s="15" t="str">
        <f aca="false">IFERROR(INDEX(Dim_Employee!$B$2:$B$76,MATCH(C109,Dim_Employee!$A$2:$A$76,0)),"")</f>
        <v>Ngozi Balogun</v>
      </c>
      <c r="E109" s="12" t="s">
        <v>1068</v>
      </c>
      <c r="F109" s="12" t="s">
        <v>1273</v>
      </c>
      <c r="G109" s="12" t="s">
        <v>1053</v>
      </c>
      <c r="H109" s="12" t="s">
        <v>733</v>
      </c>
      <c r="I109" s="12" t="s">
        <v>1049</v>
      </c>
      <c r="J109" s="18" t="n">
        <v>963692.84</v>
      </c>
      <c r="K109" s="14"/>
    </row>
    <row r="110" customFormat="false" ht="15" hidden="false" customHeight="true" outlineLevel="0" collapsed="false">
      <c r="A110" s="12" t="s">
        <v>1274</v>
      </c>
      <c r="B110" s="14" t="n">
        <v>45873</v>
      </c>
      <c r="C110" s="13" t="s">
        <v>281</v>
      </c>
      <c r="D110" s="15" t="str">
        <f aca="false">IFERROR(INDEX(Dim_Employee!$B$2:$B$76,MATCH(C110,Dim_Employee!$A$2:$A$76,0)),"")</f>
        <v>Ngozi Balogun</v>
      </c>
      <c r="E110" s="12" t="s">
        <v>1059</v>
      </c>
      <c r="F110" s="12" t="s">
        <v>1275</v>
      </c>
      <c r="G110" s="12" t="s">
        <v>1061</v>
      </c>
      <c r="H110" s="12" t="s">
        <v>738</v>
      </c>
      <c r="I110" s="12" t="s">
        <v>1054</v>
      </c>
      <c r="J110" s="18" t="n">
        <v>388451.1</v>
      </c>
      <c r="K110" s="14"/>
    </row>
    <row r="111" customFormat="false" ht="15" hidden="false" customHeight="true" outlineLevel="0" collapsed="false">
      <c r="A111" s="12" t="s">
        <v>1276</v>
      </c>
      <c r="B111" s="14" t="n">
        <v>45875</v>
      </c>
      <c r="C111" s="13" t="s">
        <v>281</v>
      </c>
      <c r="D111" s="15" t="str">
        <f aca="false">IFERROR(INDEX(Dim_Employee!$B$2:$B$76,MATCH(C111,Dim_Employee!$A$2:$A$76,0)),"")</f>
        <v>Ngozi Balogun</v>
      </c>
      <c r="E111" s="12" t="s">
        <v>1075</v>
      </c>
      <c r="F111" s="12" t="s">
        <v>1277</v>
      </c>
      <c r="G111" s="12" t="s">
        <v>1061</v>
      </c>
      <c r="H111" s="12" t="s">
        <v>753</v>
      </c>
      <c r="I111" s="12" t="s">
        <v>1066</v>
      </c>
      <c r="J111" s="18" t="n">
        <v>878270.3</v>
      </c>
      <c r="K11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7" min="6" style="1" width="20"/>
    <col collapsed="false" customWidth="true" hidden="false" outlineLevel="0" max="8" min="8" style="1" width="10"/>
    <col collapsed="false" customWidth="true" hidden="false" outlineLevel="0" max="9" min="9" style="1" width="20"/>
    <col collapsed="false" customWidth="true" hidden="false" outlineLevel="0" max="10" min="10" style="1" width="18"/>
    <col collapsed="false" customWidth="true" hidden="false" outlineLevel="0" max="11" min="11" style="1" width="16"/>
  </cols>
  <sheetData>
    <row r="1" customFormat="false" ht="26.25" hidden="false" customHeight="true" outlineLevel="0" collapsed="false">
      <c r="A1" s="10" t="s">
        <v>1278</v>
      </c>
      <c r="B1" s="10" t="s">
        <v>9</v>
      </c>
      <c r="C1" s="10" t="s">
        <v>126</v>
      </c>
      <c r="D1" s="10" t="s">
        <v>127</v>
      </c>
      <c r="E1" s="10" t="s">
        <v>1279</v>
      </c>
      <c r="F1" s="10" t="s">
        <v>1280</v>
      </c>
      <c r="G1" s="10" t="s">
        <v>1281</v>
      </c>
      <c r="H1" s="10" t="s">
        <v>1042</v>
      </c>
      <c r="I1" s="10" t="s">
        <v>1043</v>
      </c>
      <c r="J1" s="10" t="s">
        <v>1282</v>
      </c>
      <c r="K1" s="10" t="s">
        <v>1283</v>
      </c>
    </row>
    <row r="2" customFormat="false" ht="15" hidden="false" customHeight="true" outlineLevel="0" collapsed="false">
      <c r="A2" s="12" t="s">
        <v>1284</v>
      </c>
      <c r="B2" s="14" t="n">
        <v>45749</v>
      </c>
      <c r="C2" s="13" t="s">
        <v>301</v>
      </c>
      <c r="D2" s="15" t="str">
        <f aca="false">IFERROR(INDEX(Dim_Employee!$B$2:$B$76,MATCH(C2,Dim_Employee!$A$2:$A$76,0)),"")</f>
        <v>Ibrahim Nwosu</v>
      </c>
      <c r="E2" s="12" t="s">
        <v>1285</v>
      </c>
      <c r="F2" s="12" t="s">
        <v>1286</v>
      </c>
      <c r="G2" s="12" t="s">
        <v>1287</v>
      </c>
      <c r="H2" s="12" t="s">
        <v>1087</v>
      </c>
      <c r="I2" s="12" t="s">
        <v>1054</v>
      </c>
      <c r="J2" s="16"/>
      <c r="K2" s="12"/>
    </row>
    <row r="3" customFormat="false" ht="15" hidden="false" customHeight="true" outlineLevel="0" collapsed="false">
      <c r="A3" s="12" t="s">
        <v>1288</v>
      </c>
      <c r="B3" s="14" t="n">
        <v>45752</v>
      </c>
      <c r="C3" s="13" t="s">
        <v>319</v>
      </c>
      <c r="D3" s="15" t="str">
        <f aca="false">IFERROR(INDEX(Dim_Employee!$B$2:$B$76,MATCH(C3,Dim_Employee!$A$2:$A$76,0)),"")</f>
        <v>Funmilayo Yakubu</v>
      </c>
      <c r="E3" s="12" t="s">
        <v>1289</v>
      </c>
      <c r="F3" s="12" t="s">
        <v>1290</v>
      </c>
      <c r="G3" s="12" t="s">
        <v>1291</v>
      </c>
      <c r="H3" s="12" t="s">
        <v>738</v>
      </c>
      <c r="I3" s="12" t="s">
        <v>1292</v>
      </c>
      <c r="J3" s="16" t="n">
        <v>30.7</v>
      </c>
      <c r="K3" s="12" t="n">
        <v>2</v>
      </c>
    </row>
    <row r="4" customFormat="false" ht="15" hidden="false" customHeight="true" outlineLevel="0" collapsed="false">
      <c r="A4" s="12" t="s">
        <v>1293</v>
      </c>
      <c r="B4" s="14" t="n">
        <v>45962</v>
      </c>
      <c r="C4" s="13" t="s">
        <v>311</v>
      </c>
      <c r="D4" s="15" t="str">
        <f aca="false">IFERROR(INDEX(Dim_Employee!$B$2:$B$76,MATCH(C4,Dim_Employee!$A$2:$A$76,0)),"")</f>
        <v>Emeka Bello</v>
      </c>
      <c r="E4" s="12" t="s">
        <v>1294</v>
      </c>
      <c r="F4" s="12" t="s">
        <v>1290</v>
      </c>
      <c r="G4" s="12" t="s">
        <v>1295</v>
      </c>
      <c r="H4" s="12" t="s">
        <v>738</v>
      </c>
      <c r="I4" s="12" t="s">
        <v>1296</v>
      </c>
      <c r="J4" s="16"/>
      <c r="K4" s="12"/>
    </row>
    <row r="5" customFormat="false" ht="15" hidden="false" customHeight="true" outlineLevel="0" collapsed="false">
      <c r="A5" s="12" t="s">
        <v>1297</v>
      </c>
      <c r="B5" s="14" t="n">
        <v>45746</v>
      </c>
      <c r="C5" s="13" t="s">
        <v>301</v>
      </c>
      <c r="D5" s="15" t="str">
        <f aca="false">IFERROR(INDEX(Dim_Employee!$B$2:$B$76,MATCH(C5,Dim_Employee!$A$2:$A$76,0)),"")</f>
        <v>Ibrahim Nwosu</v>
      </c>
      <c r="E5" s="12" t="s">
        <v>1298</v>
      </c>
      <c r="F5" s="12" t="s">
        <v>1299</v>
      </c>
      <c r="G5" s="12" t="s">
        <v>1291</v>
      </c>
      <c r="H5" s="12" t="s">
        <v>1087</v>
      </c>
      <c r="I5" s="12" t="s">
        <v>1296</v>
      </c>
      <c r="J5" s="16"/>
      <c r="K5" s="12"/>
    </row>
    <row r="6" customFormat="false" ht="15" hidden="false" customHeight="true" outlineLevel="0" collapsed="false">
      <c r="A6" s="12" t="s">
        <v>1300</v>
      </c>
      <c r="B6" s="14" t="n">
        <v>45906</v>
      </c>
      <c r="C6" s="13" t="s">
        <v>319</v>
      </c>
      <c r="D6" s="15" t="str">
        <f aca="false">IFERROR(INDEX(Dim_Employee!$B$2:$B$76,MATCH(C6,Dim_Employee!$A$2:$A$76,0)),"")</f>
        <v>Funmilayo Yakubu</v>
      </c>
      <c r="E6" s="12" t="s">
        <v>1301</v>
      </c>
      <c r="F6" s="12" t="s">
        <v>1286</v>
      </c>
      <c r="G6" s="12" t="s">
        <v>1291</v>
      </c>
      <c r="H6" s="12" t="s">
        <v>733</v>
      </c>
      <c r="I6" s="12" t="s">
        <v>1302</v>
      </c>
      <c r="J6" s="16"/>
      <c r="K6" s="12"/>
    </row>
    <row r="7" customFormat="false" ht="15" hidden="false" customHeight="true" outlineLevel="0" collapsed="false">
      <c r="A7" s="12" t="s">
        <v>1303</v>
      </c>
      <c r="B7" s="14" t="n">
        <v>45862</v>
      </c>
      <c r="C7" s="13" t="s">
        <v>306</v>
      </c>
      <c r="D7" s="15" t="str">
        <f aca="false">IFERROR(INDEX(Dim_Employee!$B$2:$B$76,MATCH(C7,Dim_Employee!$A$2:$A$76,0)),"")</f>
        <v>Segun Ogunleye</v>
      </c>
      <c r="E7" s="12" t="s">
        <v>1285</v>
      </c>
      <c r="F7" s="12" t="s">
        <v>1290</v>
      </c>
      <c r="G7" s="12" t="s">
        <v>1304</v>
      </c>
      <c r="H7" s="12" t="s">
        <v>1087</v>
      </c>
      <c r="I7" s="12" t="s">
        <v>1054</v>
      </c>
      <c r="J7" s="16"/>
      <c r="K7" s="12"/>
    </row>
    <row r="8" customFormat="false" ht="15" hidden="false" customHeight="true" outlineLevel="0" collapsed="false">
      <c r="A8" s="12" t="s">
        <v>1305</v>
      </c>
      <c r="B8" s="14" t="n">
        <v>45687</v>
      </c>
      <c r="C8" s="13" t="s">
        <v>311</v>
      </c>
      <c r="D8" s="15" t="str">
        <f aca="false">IFERROR(INDEX(Dim_Employee!$B$2:$B$76,MATCH(C8,Dim_Employee!$A$2:$A$76,0)),"")</f>
        <v>Emeka Bello</v>
      </c>
      <c r="E8" s="12" t="s">
        <v>1306</v>
      </c>
      <c r="F8" s="12" t="s">
        <v>1290</v>
      </c>
      <c r="G8" s="12" t="s">
        <v>1295</v>
      </c>
      <c r="H8" s="12" t="s">
        <v>753</v>
      </c>
      <c r="I8" s="12" t="s">
        <v>1302</v>
      </c>
      <c r="J8" s="16"/>
      <c r="K8" s="12"/>
    </row>
    <row r="9" customFormat="false" ht="15" hidden="false" customHeight="true" outlineLevel="0" collapsed="false">
      <c r="A9" s="12" t="s">
        <v>1307</v>
      </c>
      <c r="B9" s="14" t="n">
        <v>45873</v>
      </c>
      <c r="C9" s="13" t="s">
        <v>306</v>
      </c>
      <c r="D9" s="15" t="str">
        <f aca="false">IFERROR(INDEX(Dim_Employee!$B$2:$B$76,MATCH(C9,Dim_Employee!$A$2:$A$76,0)),"")</f>
        <v>Segun Ogunleye</v>
      </c>
      <c r="E9" s="12" t="s">
        <v>1308</v>
      </c>
      <c r="F9" s="12" t="s">
        <v>1286</v>
      </c>
      <c r="G9" s="12" t="s">
        <v>1304</v>
      </c>
      <c r="H9" s="12" t="s">
        <v>753</v>
      </c>
      <c r="I9" s="12" t="s">
        <v>1054</v>
      </c>
      <c r="J9" s="16"/>
      <c r="K9" s="12"/>
    </row>
    <row r="10" customFormat="false" ht="15" hidden="false" customHeight="true" outlineLevel="0" collapsed="false">
      <c r="A10" s="12" t="s">
        <v>1309</v>
      </c>
      <c r="B10" s="14" t="n">
        <v>45922</v>
      </c>
      <c r="C10" s="13" t="s">
        <v>296</v>
      </c>
      <c r="D10" s="15" t="str">
        <f aca="false">IFERROR(INDEX(Dim_Employee!$B$2:$B$76,MATCH(C10,Dim_Employee!$A$2:$A$76,0)),"")</f>
        <v>Yusuf Usman</v>
      </c>
      <c r="E10" s="12" t="s">
        <v>1308</v>
      </c>
      <c r="F10" s="12" t="s">
        <v>1299</v>
      </c>
      <c r="G10" s="12" t="s">
        <v>1291</v>
      </c>
      <c r="H10" s="12" t="s">
        <v>753</v>
      </c>
      <c r="I10" s="12" t="s">
        <v>1302</v>
      </c>
      <c r="J10" s="16"/>
      <c r="K10" s="12"/>
    </row>
    <row r="11" customFormat="false" ht="15" hidden="false" customHeight="true" outlineLevel="0" collapsed="false">
      <c r="A11" s="12" t="s">
        <v>1310</v>
      </c>
      <c r="B11" s="14" t="n">
        <v>45658</v>
      </c>
      <c r="C11" s="13" t="s">
        <v>311</v>
      </c>
      <c r="D11" s="15" t="str">
        <f aca="false">IFERROR(INDEX(Dim_Employee!$B$2:$B$76,MATCH(C11,Dim_Employee!$A$2:$A$76,0)),"")</f>
        <v>Emeka Bello</v>
      </c>
      <c r="E11" s="12" t="s">
        <v>1306</v>
      </c>
      <c r="F11" s="12" t="s">
        <v>1290</v>
      </c>
      <c r="G11" s="12" t="s">
        <v>1304</v>
      </c>
      <c r="H11" s="12" t="s">
        <v>733</v>
      </c>
      <c r="I11" s="12" t="s">
        <v>1292</v>
      </c>
      <c r="J11" s="16" t="n">
        <v>15.3</v>
      </c>
      <c r="K11" s="12" t="n">
        <v>2</v>
      </c>
    </row>
    <row r="12" customFormat="false" ht="15" hidden="false" customHeight="true" outlineLevel="0" collapsed="false">
      <c r="A12" s="12" t="s">
        <v>1311</v>
      </c>
      <c r="B12" s="14" t="n">
        <v>45972</v>
      </c>
      <c r="C12" s="13" t="s">
        <v>301</v>
      </c>
      <c r="D12" s="15" t="str">
        <f aca="false">IFERROR(INDEX(Dim_Employee!$B$2:$B$76,MATCH(C12,Dim_Employee!$A$2:$A$76,0)),"")</f>
        <v>Ibrahim Nwosu</v>
      </c>
      <c r="E12" s="12" t="s">
        <v>1294</v>
      </c>
      <c r="F12" s="12" t="s">
        <v>1290</v>
      </c>
      <c r="G12" s="12" t="s">
        <v>1295</v>
      </c>
      <c r="H12" s="12" t="s">
        <v>1087</v>
      </c>
      <c r="I12" s="12" t="s">
        <v>1302</v>
      </c>
      <c r="J12" s="16"/>
      <c r="K12" s="12"/>
    </row>
    <row r="13" customFormat="false" ht="15" hidden="false" customHeight="true" outlineLevel="0" collapsed="false">
      <c r="A13" s="12" t="s">
        <v>1312</v>
      </c>
      <c r="B13" s="14" t="n">
        <v>45667</v>
      </c>
      <c r="C13" s="13" t="s">
        <v>106</v>
      </c>
      <c r="D13" s="15" t="str">
        <f aca="false">IFERROR(INDEX(Dim_Employee!$B$2:$B$76,MATCH(C13,Dim_Employee!$A$2:$A$76,0)),"")</f>
        <v>Damilola Balogun</v>
      </c>
      <c r="E13" s="12" t="s">
        <v>1306</v>
      </c>
      <c r="F13" s="12" t="s">
        <v>1286</v>
      </c>
      <c r="G13" s="12" t="s">
        <v>1304</v>
      </c>
      <c r="H13" s="12" t="s">
        <v>733</v>
      </c>
      <c r="I13" s="12" t="s">
        <v>1302</v>
      </c>
      <c r="J13" s="16"/>
      <c r="K13" s="12"/>
    </row>
    <row r="14" customFormat="false" ht="15" hidden="false" customHeight="true" outlineLevel="0" collapsed="false">
      <c r="A14" s="12" t="s">
        <v>1313</v>
      </c>
      <c r="B14" s="14" t="n">
        <v>45764</v>
      </c>
      <c r="C14" s="13" t="s">
        <v>319</v>
      </c>
      <c r="D14" s="15" t="str">
        <f aca="false">IFERROR(INDEX(Dim_Employee!$B$2:$B$76,MATCH(C14,Dim_Employee!$A$2:$A$76,0)),"")</f>
        <v>Funmilayo Yakubu</v>
      </c>
      <c r="E14" s="12" t="s">
        <v>1285</v>
      </c>
      <c r="F14" s="12" t="s">
        <v>1299</v>
      </c>
      <c r="G14" s="12" t="s">
        <v>1295</v>
      </c>
      <c r="H14" s="12" t="s">
        <v>1087</v>
      </c>
      <c r="I14" s="12" t="s">
        <v>1296</v>
      </c>
      <c r="J14" s="16"/>
      <c r="K14" s="12"/>
    </row>
    <row r="15" customFormat="false" ht="15" hidden="false" customHeight="true" outlineLevel="0" collapsed="false">
      <c r="A15" s="12" t="s">
        <v>1314</v>
      </c>
      <c r="B15" s="14" t="n">
        <v>45819</v>
      </c>
      <c r="C15" s="13" t="s">
        <v>296</v>
      </c>
      <c r="D15" s="15" t="str">
        <f aca="false">IFERROR(INDEX(Dim_Employee!$B$2:$B$76,MATCH(C15,Dim_Employee!$A$2:$A$76,0)),"")</f>
        <v>Yusuf Usman</v>
      </c>
      <c r="E15" s="12" t="s">
        <v>1298</v>
      </c>
      <c r="F15" s="12" t="s">
        <v>1286</v>
      </c>
      <c r="G15" s="12" t="s">
        <v>1287</v>
      </c>
      <c r="H15" s="12" t="s">
        <v>753</v>
      </c>
      <c r="I15" s="12" t="s">
        <v>1302</v>
      </c>
      <c r="J15" s="16"/>
      <c r="K15" s="12"/>
    </row>
    <row r="16" customFormat="false" ht="15" hidden="false" customHeight="true" outlineLevel="0" collapsed="false">
      <c r="A16" s="12" t="s">
        <v>1315</v>
      </c>
      <c r="B16" s="14" t="n">
        <v>45712</v>
      </c>
      <c r="C16" s="13" t="s">
        <v>306</v>
      </c>
      <c r="D16" s="15" t="str">
        <f aca="false">IFERROR(INDEX(Dim_Employee!$B$2:$B$76,MATCH(C16,Dim_Employee!$A$2:$A$76,0)),"")</f>
        <v>Segun Ogunleye</v>
      </c>
      <c r="E16" s="12" t="s">
        <v>1301</v>
      </c>
      <c r="F16" s="12" t="s">
        <v>1299</v>
      </c>
      <c r="G16" s="12" t="s">
        <v>1295</v>
      </c>
      <c r="H16" s="12" t="s">
        <v>733</v>
      </c>
      <c r="I16" s="12" t="s">
        <v>1292</v>
      </c>
      <c r="J16" s="16" t="n">
        <v>35.2</v>
      </c>
      <c r="K16" s="12" t="n">
        <v>2</v>
      </c>
    </row>
    <row r="17" customFormat="false" ht="15" hidden="false" customHeight="true" outlineLevel="0" collapsed="false">
      <c r="A17" s="12" t="s">
        <v>1316</v>
      </c>
      <c r="B17" s="14" t="n">
        <v>45664</v>
      </c>
      <c r="C17" s="13" t="s">
        <v>315</v>
      </c>
      <c r="D17" s="15" t="str">
        <f aca="false">IFERROR(INDEX(Dim_Employee!$B$2:$B$76,MATCH(C17,Dim_Employee!$A$2:$A$76,0)),"")</f>
        <v>Chukwudi Okonkwo</v>
      </c>
      <c r="E17" s="12" t="s">
        <v>1301</v>
      </c>
      <c r="F17" s="12" t="s">
        <v>1299</v>
      </c>
      <c r="G17" s="12" t="s">
        <v>1295</v>
      </c>
      <c r="H17" s="12" t="s">
        <v>738</v>
      </c>
      <c r="I17" s="12" t="s">
        <v>1296</v>
      </c>
      <c r="J17" s="16"/>
      <c r="K17" s="12"/>
    </row>
    <row r="18" customFormat="false" ht="15" hidden="false" customHeight="true" outlineLevel="0" collapsed="false">
      <c r="A18" s="12" t="s">
        <v>1317</v>
      </c>
      <c r="B18" s="14" t="n">
        <v>45763</v>
      </c>
      <c r="C18" s="13" t="s">
        <v>301</v>
      </c>
      <c r="D18" s="15" t="str">
        <f aca="false">IFERROR(INDEX(Dim_Employee!$B$2:$B$76,MATCH(C18,Dim_Employee!$A$2:$A$76,0)),"")</f>
        <v>Ibrahim Nwosu</v>
      </c>
      <c r="E18" s="12" t="s">
        <v>1308</v>
      </c>
      <c r="F18" s="12" t="s">
        <v>1286</v>
      </c>
      <c r="G18" s="12" t="s">
        <v>1295</v>
      </c>
      <c r="H18" s="12" t="s">
        <v>753</v>
      </c>
      <c r="I18" s="12" t="s">
        <v>1292</v>
      </c>
      <c r="J18" s="16" t="n">
        <v>44.5</v>
      </c>
      <c r="K18" s="12" t="n">
        <v>1</v>
      </c>
    </row>
    <row r="19" customFormat="false" ht="15" hidden="false" customHeight="true" outlineLevel="0" collapsed="false">
      <c r="A19" s="12" t="s">
        <v>1318</v>
      </c>
      <c r="B19" s="14" t="n">
        <v>45942</v>
      </c>
      <c r="C19" s="13" t="s">
        <v>301</v>
      </c>
      <c r="D19" s="15" t="str">
        <f aca="false">IFERROR(INDEX(Dim_Employee!$B$2:$B$76,MATCH(C19,Dim_Employee!$A$2:$A$76,0)),"")</f>
        <v>Ibrahim Nwosu</v>
      </c>
      <c r="E19" s="12" t="s">
        <v>1319</v>
      </c>
      <c r="F19" s="12" t="s">
        <v>1286</v>
      </c>
      <c r="G19" s="12" t="s">
        <v>1304</v>
      </c>
      <c r="H19" s="12" t="s">
        <v>738</v>
      </c>
      <c r="I19" s="12" t="s">
        <v>1296</v>
      </c>
      <c r="J19" s="16"/>
      <c r="K19" s="12"/>
    </row>
    <row r="20" customFormat="false" ht="15" hidden="false" customHeight="true" outlineLevel="0" collapsed="false">
      <c r="A20" s="12" t="s">
        <v>1320</v>
      </c>
      <c r="B20" s="14" t="n">
        <v>45946</v>
      </c>
      <c r="C20" s="13" t="s">
        <v>306</v>
      </c>
      <c r="D20" s="15" t="str">
        <f aca="false">IFERROR(INDEX(Dim_Employee!$B$2:$B$76,MATCH(C20,Dim_Employee!$A$2:$A$76,0)),"")</f>
        <v>Segun Ogunleye</v>
      </c>
      <c r="E20" s="12" t="s">
        <v>1321</v>
      </c>
      <c r="F20" s="12" t="s">
        <v>1299</v>
      </c>
      <c r="G20" s="12" t="s">
        <v>1322</v>
      </c>
      <c r="H20" s="12" t="s">
        <v>1087</v>
      </c>
      <c r="I20" s="12" t="s">
        <v>1292</v>
      </c>
      <c r="J20" s="16" t="n">
        <v>32.3</v>
      </c>
      <c r="K20" s="12" t="n">
        <v>3</v>
      </c>
    </row>
    <row r="21" customFormat="false" ht="15" hidden="false" customHeight="true" outlineLevel="0" collapsed="false">
      <c r="A21" s="12" t="s">
        <v>1323</v>
      </c>
      <c r="B21" s="14" t="n">
        <v>45705</v>
      </c>
      <c r="C21" s="13" t="s">
        <v>319</v>
      </c>
      <c r="D21" s="15" t="str">
        <f aca="false">IFERROR(INDEX(Dim_Employee!$B$2:$B$76,MATCH(C21,Dim_Employee!$A$2:$A$76,0)),"")</f>
        <v>Funmilayo Yakubu</v>
      </c>
      <c r="E21" s="12" t="s">
        <v>1319</v>
      </c>
      <c r="F21" s="12" t="s">
        <v>1290</v>
      </c>
      <c r="G21" s="12" t="s">
        <v>1291</v>
      </c>
      <c r="H21" s="12" t="s">
        <v>733</v>
      </c>
      <c r="I21" s="12" t="s">
        <v>1296</v>
      </c>
      <c r="J21" s="16"/>
      <c r="K21" s="12"/>
    </row>
    <row r="22" customFormat="false" ht="15" hidden="false" customHeight="true" outlineLevel="0" collapsed="false">
      <c r="A22" s="12" t="s">
        <v>1324</v>
      </c>
      <c r="B22" s="14" t="n">
        <v>45750</v>
      </c>
      <c r="C22" s="13" t="s">
        <v>296</v>
      </c>
      <c r="D22" s="15" t="str">
        <f aca="false">IFERROR(INDEX(Dim_Employee!$B$2:$B$76,MATCH(C22,Dim_Employee!$A$2:$A$76,0)),"")</f>
        <v>Yusuf Usman</v>
      </c>
      <c r="E22" s="12" t="s">
        <v>1306</v>
      </c>
      <c r="F22" s="12" t="s">
        <v>1286</v>
      </c>
      <c r="G22" s="12" t="s">
        <v>1287</v>
      </c>
      <c r="H22" s="12" t="s">
        <v>1087</v>
      </c>
      <c r="I22" s="12" t="s">
        <v>1054</v>
      </c>
      <c r="J22" s="16"/>
      <c r="K22" s="12"/>
    </row>
    <row r="23" customFormat="false" ht="15" hidden="false" customHeight="true" outlineLevel="0" collapsed="false">
      <c r="A23" s="12" t="s">
        <v>1325</v>
      </c>
      <c r="B23" s="14" t="n">
        <v>45738</v>
      </c>
      <c r="C23" s="13" t="s">
        <v>311</v>
      </c>
      <c r="D23" s="15" t="str">
        <f aca="false">IFERROR(INDEX(Dim_Employee!$B$2:$B$76,MATCH(C23,Dim_Employee!$A$2:$A$76,0)),"")</f>
        <v>Emeka Bello</v>
      </c>
      <c r="E23" s="12" t="s">
        <v>1319</v>
      </c>
      <c r="F23" s="12" t="s">
        <v>1286</v>
      </c>
      <c r="G23" s="12" t="s">
        <v>1295</v>
      </c>
      <c r="H23" s="12" t="s">
        <v>733</v>
      </c>
      <c r="I23" s="12" t="s">
        <v>1292</v>
      </c>
      <c r="J23" s="16" t="n">
        <v>10.5</v>
      </c>
      <c r="K23" s="12" t="n">
        <v>1</v>
      </c>
    </row>
    <row r="24" customFormat="false" ht="15" hidden="false" customHeight="true" outlineLevel="0" collapsed="false">
      <c r="A24" s="12" t="s">
        <v>1326</v>
      </c>
      <c r="B24" s="14" t="n">
        <v>45919</v>
      </c>
      <c r="C24" s="13" t="s">
        <v>301</v>
      </c>
      <c r="D24" s="15" t="str">
        <f aca="false">IFERROR(INDEX(Dim_Employee!$B$2:$B$76,MATCH(C24,Dim_Employee!$A$2:$A$76,0)),"")</f>
        <v>Ibrahim Nwosu</v>
      </c>
      <c r="E24" s="12" t="s">
        <v>1308</v>
      </c>
      <c r="F24" s="12" t="s">
        <v>1299</v>
      </c>
      <c r="G24" s="12" t="s">
        <v>1304</v>
      </c>
      <c r="H24" s="12" t="s">
        <v>738</v>
      </c>
      <c r="I24" s="12" t="s">
        <v>1296</v>
      </c>
      <c r="J24" s="16"/>
      <c r="K24" s="12"/>
    </row>
    <row r="25" customFormat="false" ht="15" hidden="false" customHeight="true" outlineLevel="0" collapsed="false">
      <c r="A25" s="12" t="s">
        <v>1327</v>
      </c>
      <c r="B25" s="14" t="n">
        <v>45905</v>
      </c>
      <c r="C25" s="13" t="s">
        <v>319</v>
      </c>
      <c r="D25" s="15" t="str">
        <f aca="false">IFERROR(INDEX(Dim_Employee!$B$2:$B$76,MATCH(C25,Dim_Employee!$A$2:$A$76,0)),"")</f>
        <v>Funmilayo Yakubu</v>
      </c>
      <c r="E25" s="12" t="s">
        <v>1289</v>
      </c>
      <c r="F25" s="12" t="s">
        <v>1286</v>
      </c>
      <c r="G25" s="12" t="s">
        <v>1291</v>
      </c>
      <c r="H25" s="12" t="s">
        <v>733</v>
      </c>
      <c r="I25" s="12" t="s">
        <v>1296</v>
      </c>
      <c r="J25" s="16"/>
      <c r="K25" s="12"/>
    </row>
    <row r="26" customFormat="false" ht="15" hidden="false" customHeight="true" outlineLevel="0" collapsed="false">
      <c r="A26" s="12" t="s">
        <v>1328</v>
      </c>
      <c r="B26" s="14" t="n">
        <v>45971</v>
      </c>
      <c r="C26" s="13" t="s">
        <v>315</v>
      </c>
      <c r="D26" s="15" t="str">
        <f aca="false">IFERROR(INDEX(Dim_Employee!$B$2:$B$76,MATCH(C26,Dim_Employee!$A$2:$A$76,0)),"")</f>
        <v>Chukwudi Okonkwo</v>
      </c>
      <c r="E26" s="12" t="s">
        <v>1289</v>
      </c>
      <c r="F26" s="12" t="s">
        <v>1290</v>
      </c>
      <c r="G26" s="12" t="s">
        <v>1291</v>
      </c>
      <c r="H26" s="12" t="s">
        <v>733</v>
      </c>
      <c r="I26" s="12" t="s">
        <v>1296</v>
      </c>
      <c r="J26" s="16"/>
      <c r="K26" s="12"/>
    </row>
    <row r="27" customFormat="false" ht="15" hidden="false" customHeight="true" outlineLevel="0" collapsed="false">
      <c r="A27" s="12" t="s">
        <v>1329</v>
      </c>
      <c r="B27" s="14" t="n">
        <v>45754</v>
      </c>
      <c r="C27" s="13" t="s">
        <v>301</v>
      </c>
      <c r="D27" s="15" t="str">
        <f aca="false">IFERROR(INDEX(Dim_Employee!$B$2:$B$76,MATCH(C27,Dim_Employee!$A$2:$A$76,0)),"")</f>
        <v>Ibrahim Nwosu</v>
      </c>
      <c r="E27" s="12" t="s">
        <v>1289</v>
      </c>
      <c r="F27" s="12" t="s">
        <v>1286</v>
      </c>
      <c r="G27" s="12" t="s">
        <v>1295</v>
      </c>
      <c r="H27" s="12" t="s">
        <v>733</v>
      </c>
      <c r="I27" s="12" t="s">
        <v>1302</v>
      </c>
      <c r="J27" s="16"/>
      <c r="K27" s="12"/>
    </row>
    <row r="28" customFormat="false" ht="15" hidden="false" customHeight="true" outlineLevel="0" collapsed="false">
      <c r="A28" s="12" t="s">
        <v>1330</v>
      </c>
      <c r="B28" s="14" t="n">
        <v>45762</v>
      </c>
      <c r="C28" s="13" t="s">
        <v>311</v>
      </c>
      <c r="D28" s="15" t="str">
        <f aca="false">IFERROR(INDEX(Dim_Employee!$B$2:$B$76,MATCH(C28,Dim_Employee!$A$2:$A$76,0)),"")</f>
        <v>Emeka Bello</v>
      </c>
      <c r="E28" s="12" t="s">
        <v>1294</v>
      </c>
      <c r="F28" s="12" t="s">
        <v>1286</v>
      </c>
      <c r="G28" s="12" t="s">
        <v>1322</v>
      </c>
      <c r="H28" s="12" t="s">
        <v>733</v>
      </c>
      <c r="I28" s="12" t="s">
        <v>1296</v>
      </c>
      <c r="J28" s="16"/>
      <c r="K28" s="12"/>
    </row>
    <row r="29" customFormat="false" ht="15" hidden="false" customHeight="true" outlineLevel="0" collapsed="false">
      <c r="A29" s="12" t="s">
        <v>1331</v>
      </c>
      <c r="B29" s="14" t="n">
        <v>45787</v>
      </c>
      <c r="C29" s="13" t="s">
        <v>311</v>
      </c>
      <c r="D29" s="15" t="str">
        <f aca="false">IFERROR(INDEX(Dim_Employee!$B$2:$B$76,MATCH(C29,Dim_Employee!$A$2:$A$76,0)),"")</f>
        <v>Emeka Bello</v>
      </c>
      <c r="E29" s="12" t="s">
        <v>1294</v>
      </c>
      <c r="F29" s="12" t="s">
        <v>1286</v>
      </c>
      <c r="G29" s="12" t="s">
        <v>1291</v>
      </c>
      <c r="H29" s="12" t="s">
        <v>738</v>
      </c>
      <c r="I29" s="12" t="s">
        <v>1054</v>
      </c>
      <c r="J29" s="16"/>
      <c r="K29" s="12"/>
    </row>
    <row r="30" customFormat="false" ht="15" hidden="false" customHeight="true" outlineLevel="0" collapsed="false">
      <c r="A30" s="12" t="s">
        <v>1332</v>
      </c>
      <c r="B30" s="14" t="n">
        <v>45951</v>
      </c>
      <c r="C30" s="13" t="s">
        <v>301</v>
      </c>
      <c r="D30" s="15" t="str">
        <f aca="false">IFERROR(INDEX(Dim_Employee!$B$2:$B$76,MATCH(C30,Dim_Employee!$A$2:$A$76,0)),"")</f>
        <v>Ibrahim Nwosu</v>
      </c>
      <c r="E30" s="12" t="s">
        <v>1306</v>
      </c>
      <c r="F30" s="12" t="s">
        <v>1299</v>
      </c>
      <c r="G30" s="12" t="s">
        <v>1304</v>
      </c>
      <c r="H30" s="12" t="s">
        <v>733</v>
      </c>
      <c r="I30" s="12" t="s">
        <v>1054</v>
      </c>
      <c r="J30" s="16"/>
      <c r="K30" s="12"/>
    </row>
    <row r="31" customFormat="false" ht="15" hidden="false" customHeight="true" outlineLevel="0" collapsed="false">
      <c r="A31" s="12" t="s">
        <v>1333</v>
      </c>
      <c r="B31" s="14" t="n">
        <v>45700</v>
      </c>
      <c r="C31" s="13" t="s">
        <v>315</v>
      </c>
      <c r="D31" s="15" t="str">
        <f aca="false">IFERROR(INDEX(Dim_Employee!$B$2:$B$76,MATCH(C31,Dim_Employee!$A$2:$A$76,0)),"")</f>
        <v>Chukwudi Okonkwo</v>
      </c>
      <c r="E31" s="12" t="s">
        <v>1308</v>
      </c>
      <c r="F31" s="12" t="s">
        <v>1290</v>
      </c>
      <c r="G31" s="12" t="s">
        <v>1295</v>
      </c>
      <c r="H31" s="12" t="s">
        <v>1087</v>
      </c>
      <c r="I31" s="12" t="s">
        <v>1054</v>
      </c>
      <c r="J31" s="16"/>
      <c r="K31" s="12"/>
    </row>
    <row r="32" customFormat="false" ht="15" hidden="false" customHeight="true" outlineLevel="0" collapsed="false">
      <c r="A32" s="12" t="s">
        <v>1334</v>
      </c>
      <c r="B32" s="14" t="n">
        <v>45826</v>
      </c>
      <c r="C32" s="13" t="s">
        <v>315</v>
      </c>
      <c r="D32" s="15" t="str">
        <f aca="false">IFERROR(INDEX(Dim_Employee!$B$2:$B$76,MATCH(C32,Dim_Employee!$A$2:$A$76,0)),"")</f>
        <v>Chukwudi Okonkwo</v>
      </c>
      <c r="E32" s="12" t="s">
        <v>1319</v>
      </c>
      <c r="F32" s="12" t="s">
        <v>1286</v>
      </c>
      <c r="G32" s="12" t="s">
        <v>1322</v>
      </c>
      <c r="H32" s="12" t="s">
        <v>1087</v>
      </c>
      <c r="I32" s="12" t="s">
        <v>1302</v>
      </c>
      <c r="J32" s="16"/>
      <c r="K32" s="12"/>
    </row>
    <row r="33" customFormat="false" ht="15" hidden="false" customHeight="true" outlineLevel="0" collapsed="false">
      <c r="A33" s="12" t="s">
        <v>1335</v>
      </c>
      <c r="B33" s="14" t="n">
        <v>45727</v>
      </c>
      <c r="C33" s="13" t="s">
        <v>106</v>
      </c>
      <c r="D33" s="15" t="str">
        <f aca="false">IFERROR(INDEX(Dim_Employee!$B$2:$B$76,MATCH(C33,Dim_Employee!$A$2:$A$76,0)),"")</f>
        <v>Damilola Balogun</v>
      </c>
      <c r="E33" s="12" t="s">
        <v>1306</v>
      </c>
      <c r="F33" s="12" t="s">
        <v>1299</v>
      </c>
      <c r="G33" s="12" t="s">
        <v>1291</v>
      </c>
      <c r="H33" s="12" t="s">
        <v>733</v>
      </c>
      <c r="I33" s="12" t="s">
        <v>1296</v>
      </c>
      <c r="J33" s="16"/>
      <c r="K33" s="12"/>
    </row>
    <row r="34" customFormat="false" ht="15" hidden="false" customHeight="true" outlineLevel="0" collapsed="false">
      <c r="A34" s="12" t="s">
        <v>1336</v>
      </c>
      <c r="B34" s="14" t="n">
        <v>45744</v>
      </c>
      <c r="C34" s="13" t="s">
        <v>311</v>
      </c>
      <c r="D34" s="15" t="str">
        <f aca="false">IFERROR(INDEX(Dim_Employee!$B$2:$B$76,MATCH(C34,Dim_Employee!$A$2:$A$76,0)),"")</f>
        <v>Emeka Bello</v>
      </c>
      <c r="E34" s="12" t="s">
        <v>1289</v>
      </c>
      <c r="F34" s="12" t="s">
        <v>1299</v>
      </c>
      <c r="G34" s="12" t="s">
        <v>1304</v>
      </c>
      <c r="H34" s="12" t="s">
        <v>733</v>
      </c>
      <c r="I34" s="12" t="s">
        <v>1302</v>
      </c>
      <c r="J34" s="16"/>
      <c r="K34" s="12"/>
    </row>
    <row r="35" customFormat="false" ht="15" hidden="false" customHeight="true" outlineLevel="0" collapsed="false">
      <c r="A35" s="12" t="s">
        <v>1337</v>
      </c>
      <c r="B35" s="14" t="n">
        <v>45781</v>
      </c>
      <c r="C35" s="13" t="s">
        <v>319</v>
      </c>
      <c r="D35" s="15" t="str">
        <f aca="false">IFERROR(INDEX(Dim_Employee!$B$2:$B$76,MATCH(C35,Dim_Employee!$A$2:$A$76,0)),"")</f>
        <v>Funmilayo Yakubu</v>
      </c>
      <c r="E35" s="12" t="s">
        <v>1289</v>
      </c>
      <c r="F35" s="12" t="s">
        <v>1290</v>
      </c>
      <c r="G35" s="12" t="s">
        <v>1304</v>
      </c>
      <c r="H35" s="12" t="s">
        <v>733</v>
      </c>
      <c r="I35" s="12" t="s">
        <v>1292</v>
      </c>
      <c r="J35" s="16" t="n">
        <v>28.4</v>
      </c>
      <c r="K35" s="12" t="n">
        <v>3</v>
      </c>
    </row>
    <row r="36" customFormat="false" ht="15" hidden="false" customHeight="true" outlineLevel="0" collapsed="false">
      <c r="A36" s="12" t="s">
        <v>1338</v>
      </c>
      <c r="B36" s="14" t="n">
        <v>45815</v>
      </c>
      <c r="C36" s="13" t="s">
        <v>306</v>
      </c>
      <c r="D36" s="15" t="str">
        <f aca="false">IFERROR(INDEX(Dim_Employee!$B$2:$B$76,MATCH(C36,Dim_Employee!$A$2:$A$76,0)),"")</f>
        <v>Segun Ogunleye</v>
      </c>
      <c r="E36" s="12" t="s">
        <v>1301</v>
      </c>
      <c r="F36" s="12" t="s">
        <v>1299</v>
      </c>
      <c r="G36" s="12" t="s">
        <v>1291</v>
      </c>
      <c r="H36" s="12" t="s">
        <v>733</v>
      </c>
      <c r="I36" s="12" t="s">
        <v>1292</v>
      </c>
      <c r="J36" s="16" t="n">
        <v>39.3</v>
      </c>
      <c r="K36" s="12" t="n">
        <v>2</v>
      </c>
    </row>
    <row r="37" customFormat="false" ht="15" hidden="false" customHeight="true" outlineLevel="0" collapsed="false">
      <c r="A37" s="12" t="s">
        <v>1339</v>
      </c>
      <c r="B37" s="14" t="n">
        <v>45868</v>
      </c>
      <c r="C37" s="13" t="s">
        <v>296</v>
      </c>
      <c r="D37" s="15" t="str">
        <f aca="false">IFERROR(INDEX(Dim_Employee!$B$2:$B$76,MATCH(C37,Dim_Employee!$A$2:$A$76,0)),"")</f>
        <v>Yusuf Usman</v>
      </c>
      <c r="E37" s="12" t="s">
        <v>1321</v>
      </c>
      <c r="F37" s="12" t="s">
        <v>1290</v>
      </c>
      <c r="G37" s="12" t="s">
        <v>1304</v>
      </c>
      <c r="H37" s="12" t="s">
        <v>1087</v>
      </c>
      <c r="I37" s="12" t="s">
        <v>1054</v>
      </c>
      <c r="J37" s="16"/>
      <c r="K37" s="12"/>
    </row>
    <row r="38" customFormat="false" ht="15" hidden="false" customHeight="true" outlineLevel="0" collapsed="false">
      <c r="A38" s="12" t="s">
        <v>1340</v>
      </c>
      <c r="B38" s="14" t="n">
        <v>45746</v>
      </c>
      <c r="C38" s="13" t="s">
        <v>106</v>
      </c>
      <c r="D38" s="15" t="str">
        <f aca="false">IFERROR(INDEX(Dim_Employee!$B$2:$B$76,MATCH(C38,Dim_Employee!$A$2:$A$76,0)),"")</f>
        <v>Damilola Balogun</v>
      </c>
      <c r="E38" s="12" t="s">
        <v>1289</v>
      </c>
      <c r="F38" s="12" t="s">
        <v>1299</v>
      </c>
      <c r="G38" s="12" t="s">
        <v>1304</v>
      </c>
      <c r="H38" s="12" t="s">
        <v>753</v>
      </c>
      <c r="I38" s="12" t="s">
        <v>1296</v>
      </c>
      <c r="J38" s="16"/>
      <c r="K38" s="12"/>
    </row>
    <row r="39" customFormat="false" ht="15" hidden="false" customHeight="true" outlineLevel="0" collapsed="false">
      <c r="A39" s="12" t="s">
        <v>1341</v>
      </c>
      <c r="B39" s="14" t="n">
        <v>45685</v>
      </c>
      <c r="C39" s="13" t="s">
        <v>296</v>
      </c>
      <c r="D39" s="15" t="str">
        <f aca="false">IFERROR(INDEX(Dim_Employee!$B$2:$B$76,MATCH(C39,Dim_Employee!$A$2:$A$76,0)),"")</f>
        <v>Yusuf Usman</v>
      </c>
      <c r="E39" s="12" t="s">
        <v>1285</v>
      </c>
      <c r="F39" s="12" t="s">
        <v>1299</v>
      </c>
      <c r="G39" s="12" t="s">
        <v>1304</v>
      </c>
      <c r="H39" s="12" t="s">
        <v>1087</v>
      </c>
      <c r="I39" s="12" t="s">
        <v>1302</v>
      </c>
      <c r="J39" s="16"/>
      <c r="K39" s="12"/>
    </row>
    <row r="40" customFormat="false" ht="15" hidden="false" customHeight="true" outlineLevel="0" collapsed="false">
      <c r="A40" s="12" t="s">
        <v>1342</v>
      </c>
      <c r="B40" s="14" t="n">
        <v>45977</v>
      </c>
      <c r="C40" s="13" t="s">
        <v>306</v>
      </c>
      <c r="D40" s="15" t="str">
        <f aca="false">IFERROR(INDEX(Dim_Employee!$B$2:$B$76,MATCH(C40,Dim_Employee!$A$2:$A$76,0)),"")</f>
        <v>Segun Ogunleye</v>
      </c>
      <c r="E40" s="12" t="s">
        <v>1301</v>
      </c>
      <c r="F40" s="12" t="s">
        <v>1286</v>
      </c>
      <c r="G40" s="12" t="s">
        <v>1295</v>
      </c>
      <c r="H40" s="12" t="s">
        <v>1087</v>
      </c>
      <c r="I40" s="12" t="s">
        <v>1292</v>
      </c>
      <c r="J40" s="16" t="n">
        <v>45.6</v>
      </c>
      <c r="K40" s="12" t="n">
        <v>4</v>
      </c>
    </row>
    <row r="41" customFormat="false" ht="15" hidden="false" customHeight="true" outlineLevel="0" collapsed="false">
      <c r="A41" s="12" t="s">
        <v>1343</v>
      </c>
      <c r="B41" s="14" t="n">
        <v>45880</v>
      </c>
      <c r="C41" s="13" t="s">
        <v>319</v>
      </c>
      <c r="D41" s="15" t="str">
        <f aca="false">IFERROR(INDEX(Dim_Employee!$B$2:$B$76,MATCH(C41,Dim_Employee!$A$2:$A$76,0)),"")</f>
        <v>Funmilayo Yakubu</v>
      </c>
      <c r="E41" s="12" t="s">
        <v>1319</v>
      </c>
      <c r="F41" s="12" t="s">
        <v>1299</v>
      </c>
      <c r="G41" s="12" t="s">
        <v>1287</v>
      </c>
      <c r="H41" s="12" t="s">
        <v>753</v>
      </c>
      <c r="I41" s="12" t="s">
        <v>1296</v>
      </c>
      <c r="J41" s="16"/>
      <c r="K41" s="12"/>
    </row>
    <row r="42" customFormat="false" ht="15" hidden="false" customHeight="true" outlineLevel="0" collapsed="false">
      <c r="A42" s="12" t="s">
        <v>1344</v>
      </c>
      <c r="B42" s="14" t="n">
        <v>45873</v>
      </c>
      <c r="C42" s="13" t="s">
        <v>311</v>
      </c>
      <c r="D42" s="15" t="str">
        <f aca="false">IFERROR(INDEX(Dim_Employee!$B$2:$B$76,MATCH(C42,Dim_Employee!$A$2:$A$76,0)),"")</f>
        <v>Emeka Bello</v>
      </c>
      <c r="E42" s="12" t="s">
        <v>1285</v>
      </c>
      <c r="F42" s="12" t="s">
        <v>1286</v>
      </c>
      <c r="G42" s="12" t="s">
        <v>1287</v>
      </c>
      <c r="H42" s="12" t="s">
        <v>753</v>
      </c>
      <c r="I42" s="12" t="s">
        <v>1296</v>
      </c>
      <c r="J42" s="16"/>
      <c r="K42" s="12"/>
    </row>
    <row r="43" customFormat="false" ht="15" hidden="false" customHeight="true" outlineLevel="0" collapsed="false">
      <c r="A43" s="12" t="s">
        <v>1345</v>
      </c>
      <c r="B43" s="14" t="n">
        <v>45850</v>
      </c>
      <c r="C43" s="13" t="s">
        <v>315</v>
      </c>
      <c r="D43" s="15" t="str">
        <f aca="false">IFERROR(INDEX(Dim_Employee!$B$2:$B$76,MATCH(C43,Dim_Employee!$A$2:$A$76,0)),"")</f>
        <v>Chukwudi Okonkwo</v>
      </c>
      <c r="E43" s="12" t="s">
        <v>1289</v>
      </c>
      <c r="F43" s="12" t="s">
        <v>1286</v>
      </c>
      <c r="G43" s="12" t="s">
        <v>1291</v>
      </c>
      <c r="H43" s="12" t="s">
        <v>733</v>
      </c>
      <c r="I43" s="12" t="s">
        <v>1296</v>
      </c>
      <c r="J43" s="16"/>
      <c r="K43" s="12"/>
    </row>
    <row r="44" customFormat="false" ht="15" hidden="false" customHeight="true" outlineLevel="0" collapsed="false">
      <c r="A44" s="12" t="s">
        <v>1346</v>
      </c>
      <c r="B44" s="14" t="n">
        <v>45915</v>
      </c>
      <c r="C44" s="13" t="s">
        <v>296</v>
      </c>
      <c r="D44" s="15" t="str">
        <f aca="false">IFERROR(INDEX(Dim_Employee!$B$2:$B$76,MATCH(C44,Dim_Employee!$A$2:$A$76,0)),"")</f>
        <v>Yusuf Usman</v>
      </c>
      <c r="E44" s="12" t="s">
        <v>1301</v>
      </c>
      <c r="F44" s="12" t="s">
        <v>1290</v>
      </c>
      <c r="G44" s="12" t="s">
        <v>1295</v>
      </c>
      <c r="H44" s="12" t="s">
        <v>733</v>
      </c>
      <c r="I44" s="12" t="s">
        <v>1292</v>
      </c>
      <c r="J44" s="16" t="n">
        <v>81.2</v>
      </c>
      <c r="K44" s="12" t="n">
        <v>2</v>
      </c>
    </row>
    <row r="45" customFormat="false" ht="15" hidden="false" customHeight="true" outlineLevel="0" collapsed="false">
      <c r="A45" s="12" t="s">
        <v>1347</v>
      </c>
      <c r="B45" s="14" t="n">
        <v>45937</v>
      </c>
      <c r="C45" s="13" t="s">
        <v>311</v>
      </c>
      <c r="D45" s="15" t="str">
        <f aca="false">IFERROR(INDEX(Dim_Employee!$B$2:$B$76,MATCH(C45,Dim_Employee!$A$2:$A$76,0)),"")</f>
        <v>Emeka Bello</v>
      </c>
      <c r="E45" s="12" t="s">
        <v>1298</v>
      </c>
      <c r="F45" s="12" t="s">
        <v>1299</v>
      </c>
      <c r="G45" s="12" t="s">
        <v>1295</v>
      </c>
      <c r="H45" s="12" t="s">
        <v>738</v>
      </c>
      <c r="I45" s="12" t="s">
        <v>1054</v>
      </c>
      <c r="J45" s="16"/>
      <c r="K45" s="12"/>
    </row>
    <row r="46" customFormat="false" ht="15" hidden="false" customHeight="true" outlineLevel="0" collapsed="false">
      <c r="A46" s="12" t="s">
        <v>1348</v>
      </c>
      <c r="B46" s="14" t="n">
        <v>45937</v>
      </c>
      <c r="C46" s="13" t="s">
        <v>106</v>
      </c>
      <c r="D46" s="15" t="str">
        <f aca="false">IFERROR(INDEX(Dim_Employee!$B$2:$B$76,MATCH(C46,Dim_Employee!$A$2:$A$76,0)),"")</f>
        <v>Damilola Balogun</v>
      </c>
      <c r="E46" s="12" t="s">
        <v>1301</v>
      </c>
      <c r="F46" s="12" t="s">
        <v>1299</v>
      </c>
      <c r="G46" s="12" t="s">
        <v>1304</v>
      </c>
      <c r="H46" s="12" t="s">
        <v>738</v>
      </c>
      <c r="I46" s="12" t="s">
        <v>1302</v>
      </c>
      <c r="J46" s="16"/>
      <c r="K46" s="12"/>
    </row>
    <row r="47" customFormat="false" ht="15" hidden="false" customHeight="true" outlineLevel="0" collapsed="false">
      <c r="A47" s="12" t="s">
        <v>1349</v>
      </c>
      <c r="B47" s="14" t="n">
        <v>45948</v>
      </c>
      <c r="C47" s="13" t="s">
        <v>315</v>
      </c>
      <c r="D47" s="15" t="str">
        <f aca="false">IFERROR(INDEX(Dim_Employee!$B$2:$B$76,MATCH(C47,Dim_Employee!$A$2:$A$76,0)),"")</f>
        <v>Chukwudi Okonkwo</v>
      </c>
      <c r="E47" s="12" t="s">
        <v>1319</v>
      </c>
      <c r="F47" s="12" t="s">
        <v>1290</v>
      </c>
      <c r="G47" s="12" t="s">
        <v>1287</v>
      </c>
      <c r="H47" s="12" t="s">
        <v>738</v>
      </c>
      <c r="I47" s="12" t="s">
        <v>1296</v>
      </c>
      <c r="J47" s="16"/>
      <c r="K47" s="12"/>
    </row>
    <row r="48" customFormat="false" ht="15" hidden="false" customHeight="true" outlineLevel="0" collapsed="false">
      <c r="A48" s="12" t="s">
        <v>1350</v>
      </c>
      <c r="B48" s="14" t="n">
        <v>45658</v>
      </c>
      <c r="C48" s="13" t="s">
        <v>106</v>
      </c>
      <c r="D48" s="15" t="str">
        <f aca="false">IFERROR(INDEX(Dim_Employee!$B$2:$B$76,MATCH(C48,Dim_Employee!$A$2:$A$76,0)),"")</f>
        <v>Damilola Balogun</v>
      </c>
      <c r="E48" s="12" t="s">
        <v>1298</v>
      </c>
      <c r="F48" s="12" t="s">
        <v>1290</v>
      </c>
      <c r="G48" s="12" t="s">
        <v>1322</v>
      </c>
      <c r="H48" s="12" t="s">
        <v>733</v>
      </c>
      <c r="I48" s="12" t="s">
        <v>1296</v>
      </c>
      <c r="J48" s="16"/>
      <c r="K48" s="12"/>
    </row>
    <row r="49" customFormat="false" ht="15" hidden="false" customHeight="true" outlineLevel="0" collapsed="false">
      <c r="A49" s="12" t="s">
        <v>1351</v>
      </c>
      <c r="B49" s="14" t="n">
        <v>45690</v>
      </c>
      <c r="C49" s="13" t="s">
        <v>301</v>
      </c>
      <c r="D49" s="15" t="str">
        <f aca="false">IFERROR(INDEX(Dim_Employee!$B$2:$B$76,MATCH(C49,Dim_Employee!$A$2:$A$76,0)),"")</f>
        <v>Ibrahim Nwosu</v>
      </c>
      <c r="E49" s="12" t="s">
        <v>1321</v>
      </c>
      <c r="F49" s="12" t="s">
        <v>1286</v>
      </c>
      <c r="G49" s="12" t="s">
        <v>1291</v>
      </c>
      <c r="H49" s="12" t="s">
        <v>1087</v>
      </c>
      <c r="I49" s="12" t="s">
        <v>1054</v>
      </c>
      <c r="J49" s="16"/>
      <c r="K49" s="12"/>
    </row>
    <row r="50" customFormat="false" ht="15" hidden="false" customHeight="true" outlineLevel="0" collapsed="false">
      <c r="A50" s="12" t="s">
        <v>1352</v>
      </c>
      <c r="B50" s="14" t="n">
        <v>46012</v>
      </c>
      <c r="C50" s="13" t="s">
        <v>296</v>
      </c>
      <c r="D50" s="15" t="str">
        <f aca="false">IFERROR(INDEX(Dim_Employee!$B$2:$B$76,MATCH(C50,Dim_Employee!$A$2:$A$76,0)),"")</f>
        <v>Yusuf Usman</v>
      </c>
      <c r="E50" s="12" t="s">
        <v>1306</v>
      </c>
      <c r="F50" s="12" t="s">
        <v>1290</v>
      </c>
      <c r="G50" s="12" t="s">
        <v>1322</v>
      </c>
      <c r="H50" s="12" t="s">
        <v>733</v>
      </c>
      <c r="I50" s="12" t="s">
        <v>1302</v>
      </c>
      <c r="J50" s="16"/>
      <c r="K50" s="12"/>
    </row>
    <row r="51" customFormat="false" ht="15" hidden="false" customHeight="true" outlineLevel="0" collapsed="false">
      <c r="A51" s="12" t="s">
        <v>1353</v>
      </c>
      <c r="B51" s="14" t="n">
        <v>45815</v>
      </c>
      <c r="C51" s="13" t="s">
        <v>306</v>
      </c>
      <c r="D51" s="15" t="str">
        <f aca="false">IFERROR(INDEX(Dim_Employee!$B$2:$B$76,MATCH(C51,Dim_Employee!$A$2:$A$76,0)),"")</f>
        <v>Segun Ogunleye</v>
      </c>
      <c r="E51" s="12" t="s">
        <v>1289</v>
      </c>
      <c r="F51" s="12" t="s">
        <v>1286</v>
      </c>
      <c r="G51" s="12" t="s">
        <v>1304</v>
      </c>
      <c r="H51" s="12" t="s">
        <v>1087</v>
      </c>
      <c r="I51" s="12" t="s">
        <v>1302</v>
      </c>
      <c r="J51" s="16"/>
      <c r="K51" s="12"/>
    </row>
    <row r="52" customFormat="false" ht="15" hidden="false" customHeight="true" outlineLevel="0" collapsed="false">
      <c r="A52" s="12" t="s">
        <v>1354</v>
      </c>
      <c r="B52" s="14" t="n">
        <v>45809</v>
      </c>
      <c r="C52" s="13" t="s">
        <v>296</v>
      </c>
      <c r="D52" s="15" t="str">
        <f aca="false">IFERROR(INDEX(Dim_Employee!$B$2:$B$76,MATCH(C52,Dim_Employee!$A$2:$A$76,0)),"")</f>
        <v>Yusuf Usman</v>
      </c>
      <c r="E52" s="12" t="s">
        <v>1285</v>
      </c>
      <c r="F52" s="12" t="s">
        <v>1290</v>
      </c>
      <c r="G52" s="12" t="s">
        <v>1322</v>
      </c>
      <c r="H52" s="12" t="s">
        <v>753</v>
      </c>
      <c r="I52" s="12" t="s">
        <v>1054</v>
      </c>
      <c r="J52" s="16"/>
      <c r="K52" s="12"/>
    </row>
    <row r="53" customFormat="false" ht="15" hidden="false" customHeight="true" outlineLevel="0" collapsed="false">
      <c r="A53" s="12" t="s">
        <v>1355</v>
      </c>
      <c r="B53" s="14" t="n">
        <v>45761</v>
      </c>
      <c r="C53" s="13" t="s">
        <v>306</v>
      </c>
      <c r="D53" s="15" t="str">
        <f aca="false">IFERROR(INDEX(Dim_Employee!$B$2:$B$76,MATCH(C53,Dim_Employee!$A$2:$A$76,0)),"")</f>
        <v>Segun Ogunleye</v>
      </c>
      <c r="E53" s="12" t="s">
        <v>1294</v>
      </c>
      <c r="F53" s="12" t="s">
        <v>1299</v>
      </c>
      <c r="G53" s="12" t="s">
        <v>1304</v>
      </c>
      <c r="H53" s="12" t="s">
        <v>738</v>
      </c>
      <c r="I53" s="12" t="s">
        <v>1292</v>
      </c>
      <c r="J53" s="16" t="n">
        <v>17.3</v>
      </c>
      <c r="K53" s="12" t="n">
        <v>5</v>
      </c>
    </row>
    <row r="54" customFormat="false" ht="15" hidden="false" customHeight="true" outlineLevel="0" collapsed="false">
      <c r="A54" s="12" t="s">
        <v>1356</v>
      </c>
      <c r="B54" s="14" t="n">
        <v>45798</v>
      </c>
      <c r="C54" s="13" t="s">
        <v>106</v>
      </c>
      <c r="D54" s="15" t="str">
        <f aca="false">IFERROR(INDEX(Dim_Employee!$B$2:$B$76,MATCH(C54,Dim_Employee!$A$2:$A$76,0)),"")</f>
        <v>Damilola Balogun</v>
      </c>
      <c r="E54" s="12" t="s">
        <v>1301</v>
      </c>
      <c r="F54" s="12" t="s">
        <v>1299</v>
      </c>
      <c r="G54" s="12" t="s">
        <v>1304</v>
      </c>
      <c r="H54" s="12" t="s">
        <v>753</v>
      </c>
      <c r="I54" s="12" t="s">
        <v>1292</v>
      </c>
      <c r="J54" s="16" t="n">
        <v>30.1</v>
      </c>
      <c r="K54" s="12" t="n">
        <v>3</v>
      </c>
    </row>
    <row r="55" customFormat="false" ht="15" hidden="false" customHeight="true" outlineLevel="0" collapsed="false">
      <c r="A55" s="12" t="s">
        <v>1357</v>
      </c>
      <c r="B55" s="14" t="n">
        <v>45870</v>
      </c>
      <c r="C55" s="13" t="s">
        <v>315</v>
      </c>
      <c r="D55" s="15" t="str">
        <f aca="false">IFERROR(INDEX(Dim_Employee!$B$2:$B$76,MATCH(C55,Dim_Employee!$A$2:$A$76,0)),"")</f>
        <v>Chukwudi Okonkwo</v>
      </c>
      <c r="E55" s="12" t="s">
        <v>1319</v>
      </c>
      <c r="F55" s="12" t="s">
        <v>1290</v>
      </c>
      <c r="G55" s="12" t="s">
        <v>1304</v>
      </c>
      <c r="H55" s="12" t="s">
        <v>753</v>
      </c>
      <c r="I55" s="12" t="s">
        <v>1296</v>
      </c>
      <c r="J55" s="16"/>
      <c r="K55" s="12"/>
    </row>
    <row r="56" customFormat="false" ht="15" hidden="false" customHeight="true" outlineLevel="0" collapsed="false">
      <c r="A56" s="12" t="s">
        <v>1358</v>
      </c>
      <c r="B56" s="14" t="n">
        <v>45795</v>
      </c>
      <c r="C56" s="13" t="s">
        <v>106</v>
      </c>
      <c r="D56" s="15" t="str">
        <f aca="false">IFERROR(INDEX(Dim_Employee!$B$2:$B$76,MATCH(C56,Dim_Employee!$A$2:$A$76,0)),"")</f>
        <v>Damilola Balogun</v>
      </c>
      <c r="E56" s="12" t="s">
        <v>1308</v>
      </c>
      <c r="F56" s="12" t="s">
        <v>1299</v>
      </c>
      <c r="G56" s="12" t="s">
        <v>1304</v>
      </c>
      <c r="H56" s="12" t="s">
        <v>753</v>
      </c>
      <c r="I56" s="12" t="s">
        <v>1054</v>
      </c>
      <c r="J56" s="16"/>
      <c r="K56" s="12"/>
    </row>
    <row r="57" customFormat="false" ht="15" hidden="false" customHeight="true" outlineLevel="0" collapsed="false">
      <c r="A57" s="12" t="s">
        <v>1359</v>
      </c>
      <c r="B57" s="14" t="n">
        <v>45848</v>
      </c>
      <c r="C57" s="13" t="s">
        <v>319</v>
      </c>
      <c r="D57" s="15" t="str">
        <f aca="false">IFERROR(INDEX(Dim_Employee!$B$2:$B$76,MATCH(C57,Dim_Employee!$A$2:$A$76,0)),"")</f>
        <v>Funmilayo Yakubu</v>
      </c>
      <c r="E57" s="12" t="s">
        <v>1294</v>
      </c>
      <c r="F57" s="12" t="s">
        <v>1290</v>
      </c>
      <c r="G57" s="12" t="s">
        <v>1291</v>
      </c>
      <c r="H57" s="12" t="s">
        <v>738</v>
      </c>
      <c r="I57" s="12" t="s">
        <v>1302</v>
      </c>
      <c r="J57" s="16"/>
      <c r="K57" s="12"/>
    </row>
    <row r="58" customFormat="false" ht="15" hidden="false" customHeight="true" outlineLevel="0" collapsed="false">
      <c r="A58" s="12" t="s">
        <v>1360</v>
      </c>
      <c r="B58" s="14" t="n">
        <v>45999</v>
      </c>
      <c r="C58" s="13" t="s">
        <v>301</v>
      </c>
      <c r="D58" s="15" t="str">
        <f aca="false">IFERROR(INDEX(Dim_Employee!$B$2:$B$76,MATCH(C58,Dim_Employee!$A$2:$A$76,0)),"")</f>
        <v>Ibrahim Nwosu</v>
      </c>
      <c r="E58" s="12" t="s">
        <v>1306</v>
      </c>
      <c r="F58" s="12" t="s">
        <v>1286</v>
      </c>
      <c r="G58" s="12" t="s">
        <v>1304</v>
      </c>
      <c r="H58" s="12" t="s">
        <v>733</v>
      </c>
      <c r="I58" s="12" t="s">
        <v>1054</v>
      </c>
      <c r="J58" s="16"/>
      <c r="K58" s="12"/>
    </row>
    <row r="59" customFormat="false" ht="15" hidden="false" customHeight="true" outlineLevel="0" collapsed="false">
      <c r="A59" s="12" t="s">
        <v>1361</v>
      </c>
      <c r="B59" s="14" t="n">
        <v>45695</v>
      </c>
      <c r="C59" s="13" t="s">
        <v>306</v>
      </c>
      <c r="D59" s="15" t="str">
        <f aca="false">IFERROR(INDEX(Dim_Employee!$B$2:$B$76,MATCH(C59,Dim_Employee!$A$2:$A$76,0)),"")</f>
        <v>Segun Ogunleye</v>
      </c>
      <c r="E59" s="12" t="s">
        <v>1294</v>
      </c>
      <c r="F59" s="12" t="s">
        <v>1290</v>
      </c>
      <c r="G59" s="12" t="s">
        <v>1287</v>
      </c>
      <c r="H59" s="12" t="s">
        <v>753</v>
      </c>
      <c r="I59" s="12" t="s">
        <v>1292</v>
      </c>
      <c r="J59" s="16" t="n">
        <v>42.8</v>
      </c>
      <c r="K59" s="12" t="n">
        <v>5</v>
      </c>
    </row>
    <row r="60" customFormat="false" ht="15" hidden="false" customHeight="true" outlineLevel="0" collapsed="false">
      <c r="A60" s="12" t="s">
        <v>1362</v>
      </c>
      <c r="B60" s="14" t="n">
        <v>45874</v>
      </c>
      <c r="C60" s="13" t="s">
        <v>311</v>
      </c>
      <c r="D60" s="15" t="str">
        <f aca="false">IFERROR(INDEX(Dim_Employee!$B$2:$B$76,MATCH(C60,Dim_Employee!$A$2:$A$76,0)),"")</f>
        <v>Emeka Bello</v>
      </c>
      <c r="E60" s="12" t="s">
        <v>1319</v>
      </c>
      <c r="F60" s="12" t="s">
        <v>1290</v>
      </c>
      <c r="G60" s="12" t="s">
        <v>1322</v>
      </c>
      <c r="H60" s="12" t="s">
        <v>738</v>
      </c>
      <c r="I60" s="12" t="s">
        <v>1302</v>
      </c>
      <c r="J60" s="16"/>
      <c r="K60" s="12"/>
    </row>
    <row r="61" customFormat="false" ht="15" hidden="false" customHeight="true" outlineLevel="0" collapsed="false">
      <c r="A61" s="12" t="s">
        <v>1363</v>
      </c>
      <c r="B61" s="14" t="n">
        <v>45800</v>
      </c>
      <c r="C61" s="13" t="s">
        <v>296</v>
      </c>
      <c r="D61" s="15" t="str">
        <f aca="false">IFERROR(INDEX(Dim_Employee!$B$2:$B$76,MATCH(C61,Dim_Employee!$A$2:$A$76,0)),"")</f>
        <v>Yusuf Usman</v>
      </c>
      <c r="E61" s="12" t="s">
        <v>1294</v>
      </c>
      <c r="F61" s="12" t="s">
        <v>1290</v>
      </c>
      <c r="G61" s="12" t="s">
        <v>1304</v>
      </c>
      <c r="H61" s="12" t="s">
        <v>738</v>
      </c>
      <c r="I61" s="12" t="s">
        <v>1054</v>
      </c>
      <c r="J61" s="16"/>
      <c r="K61" s="12"/>
    </row>
    <row r="62" customFormat="false" ht="15" hidden="false" customHeight="true" outlineLevel="0" collapsed="false">
      <c r="A62" s="12" t="s">
        <v>1364</v>
      </c>
      <c r="B62" s="14" t="n">
        <v>45957</v>
      </c>
      <c r="C62" s="13" t="s">
        <v>106</v>
      </c>
      <c r="D62" s="15" t="str">
        <f aca="false">IFERROR(INDEX(Dim_Employee!$B$2:$B$76,MATCH(C62,Dim_Employee!$A$2:$A$76,0)),"")</f>
        <v>Damilola Balogun</v>
      </c>
      <c r="E62" s="12" t="s">
        <v>1301</v>
      </c>
      <c r="F62" s="12" t="s">
        <v>1290</v>
      </c>
      <c r="G62" s="12" t="s">
        <v>1295</v>
      </c>
      <c r="H62" s="12" t="s">
        <v>733</v>
      </c>
      <c r="I62" s="12" t="s">
        <v>1296</v>
      </c>
      <c r="J62" s="16"/>
      <c r="K62" s="12"/>
    </row>
    <row r="63" customFormat="false" ht="15" hidden="false" customHeight="true" outlineLevel="0" collapsed="false">
      <c r="A63" s="12" t="s">
        <v>1365</v>
      </c>
      <c r="B63" s="14" t="n">
        <v>45822</v>
      </c>
      <c r="C63" s="13" t="s">
        <v>296</v>
      </c>
      <c r="D63" s="15" t="str">
        <f aca="false">IFERROR(INDEX(Dim_Employee!$B$2:$B$76,MATCH(C63,Dim_Employee!$A$2:$A$76,0)),"")</f>
        <v>Yusuf Usman</v>
      </c>
      <c r="E63" s="12" t="s">
        <v>1321</v>
      </c>
      <c r="F63" s="12" t="s">
        <v>1290</v>
      </c>
      <c r="G63" s="12" t="s">
        <v>1291</v>
      </c>
      <c r="H63" s="12" t="s">
        <v>753</v>
      </c>
      <c r="I63" s="12" t="s">
        <v>1292</v>
      </c>
      <c r="J63" s="16" t="n">
        <v>53.8</v>
      </c>
      <c r="K63" s="12" t="n">
        <v>3</v>
      </c>
    </row>
    <row r="64" customFormat="false" ht="15" hidden="false" customHeight="true" outlineLevel="0" collapsed="false">
      <c r="A64" s="12" t="s">
        <v>1366</v>
      </c>
      <c r="B64" s="14" t="n">
        <v>45962</v>
      </c>
      <c r="C64" s="13" t="s">
        <v>311</v>
      </c>
      <c r="D64" s="15" t="str">
        <f aca="false">IFERROR(INDEX(Dim_Employee!$B$2:$B$76,MATCH(C64,Dim_Employee!$A$2:$A$76,0)),"")</f>
        <v>Emeka Bello</v>
      </c>
      <c r="E64" s="12" t="s">
        <v>1308</v>
      </c>
      <c r="F64" s="12" t="s">
        <v>1290</v>
      </c>
      <c r="G64" s="12" t="s">
        <v>1291</v>
      </c>
      <c r="H64" s="12" t="s">
        <v>1087</v>
      </c>
      <c r="I64" s="12" t="s">
        <v>1054</v>
      </c>
      <c r="J64" s="16"/>
      <c r="K64" s="12"/>
    </row>
    <row r="65" customFormat="false" ht="15" hidden="false" customHeight="true" outlineLevel="0" collapsed="false">
      <c r="A65" s="12" t="s">
        <v>1367</v>
      </c>
      <c r="B65" s="14" t="n">
        <v>45938</v>
      </c>
      <c r="C65" s="13" t="s">
        <v>296</v>
      </c>
      <c r="D65" s="15" t="str">
        <f aca="false">IFERROR(INDEX(Dim_Employee!$B$2:$B$76,MATCH(C65,Dim_Employee!$A$2:$A$76,0)),"")</f>
        <v>Yusuf Usman</v>
      </c>
      <c r="E65" s="12" t="s">
        <v>1298</v>
      </c>
      <c r="F65" s="12" t="s">
        <v>1299</v>
      </c>
      <c r="G65" s="12" t="s">
        <v>1304</v>
      </c>
      <c r="H65" s="12" t="s">
        <v>753</v>
      </c>
      <c r="I65" s="12" t="s">
        <v>1296</v>
      </c>
      <c r="J65" s="16"/>
      <c r="K65" s="12"/>
    </row>
    <row r="66" customFormat="false" ht="15" hidden="false" customHeight="true" outlineLevel="0" collapsed="false">
      <c r="A66" s="12" t="s">
        <v>1368</v>
      </c>
      <c r="B66" s="14" t="n">
        <v>45955</v>
      </c>
      <c r="C66" s="13" t="s">
        <v>306</v>
      </c>
      <c r="D66" s="15" t="str">
        <f aca="false">IFERROR(INDEX(Dim_Employee!$B$2:$B$76,MATCH(C66,Dim_Employee!$A$2:$A$76,0)),"")</f>
        <v>Segun Ogunleye</v>
      </c>
      <c r="E66" s="12" t="s">
        <v>1321</v>
      </c>
      <c r="F66" s="12" t="s">
        <v>1286</v>
      </c>
      <c r="G66" s="12" t="s">
        <v>1287</v>
      </c>
      <c r="H66" s="12" t="s">
        <v>738</v>
      </c>
      <c r="I66" s="12" t="s">
        <v>1054</v>
      </c>
      <c r="J66" s="16"/>
      <c r="K66" s="12"/>
    </row>
    <row r="67" customFormat="false" ht="15" hidden="false" customHeight="true" outlineLevel="0" collapsed="false">
      <c r="A67" s="12" t="s">
        <v>1369</v>
      </c>
      <c r="B67" s="14" t="n">
        <v>45824</v>
      </c>
      <c r="C67" s="13" t="s">
        <v>311</v>
      </c>
      <c r="D67" s="15" t="str">
        <f aca="false">IFERROR(INDEX(Dim_Employee!$B$2:$B$76,MATCH(C67,Dim_Employee!$A$2:$A$76,0)),"")</f>
        <v>Emeka Bello</v>
      </c>
      <c r="E67" s="12" t="s">
        <v>1308</v>
      </c>
      <c r="F67" s="12" t="s">
        <v>1299</v>
      </c>
      <c r="G67" s="12" t="s">
        <v>1287</v>
      </c>
      <c r="H67" s="12" t="s">
        <v>1087</v>
      </c>
      <c r="I67" s="12" t="s">
        <v>1292</v>
      </c>
      <c r="J67" s="16" t="n">
        <v>55.4</v>
      </c>
      <c r="K67" s="12" t="n">
        <v>2</v>
      </c>
    </row>
    <row r="68" customFormat="false" ht="15" hidden="false" customHeight="true" outlineLevel="0" collapsed="false">
      <c r="A68" s="12" t="s">
        <v>1370</v>
      </c>
      <c r="B68" s="14" t="n">
        <v>45915</v>
      </c>
      <c r="C68" s="13" t="s">
        <v>319</v>
      </c>
      <c r="D68" s="15" t="str">
        <f aca="false">IFERROR(INDEX(Dim_Employee!$B$2:$B$76,MATCH(C68,Dim_Employee!$A$2:$A$76,0)),"")</f>
        <v>Funmilayo Yakubu</v>
      </c>
      <c r="E68" s="12" t="s">
        <v>1321</v>
      </c>
      <c r="F68" s="12" t="s">
        <v>1299</v>
      </c>
      <c r="G68" s="12" t="s">
        <v>1322</v>
      </c>
      <c r="H68" s="12" t="s">
        <v>733</v>
      </c>
      <c r="I68" s="12" t="s">
        <v>1296</v>
      </c>
      <c r="J68" s="16"/>
      <c r="K68" s="12"/>
    </row>
    <row r="69" customFormat="false" ht="15" hidden="false" customHeight="true" outlineLevel="0" collapsed="false">
      <c r="A69" s="12" t="s">
        <v>1371</v>
      </c>
      <c r="B69" s="14" t="n">
        <v>45985</v>
      </c>
      <c r="C69" s="13" t="s">
        <v>106</v>
      </c>
      <c r="D69" s="15" t="str">
        <f aca="false">IFERROR(INDEX(Dim_Employee!$B$2:$B$76,MATCH(C69,Dim_Employee!$A$2:$A$76,0)),"")</f>
        <v>Damilola Balogun</v>
      </c>
      <c r="E69" s="12" t="s">
        <v>1294</v>
      </c>
      <c r="F69" s="12" t="s">
        <v>1299</v>
      </c>
      <c r="G69" s="12" t="s">
        <v>1304</v>
      </c>
      <c r="H69" s="12" t="s">
        <v>738</v>
      </c>
      <c r="I69" s="12" t="s">
        <v>1292</v>
      </c>
      <c r="J69" s="16" t="n">
        <v>87.2</v>
      </c>
      <c r="K69" s="12" t="n">
        <v>5</v>
      </c>
    </row>
    <row r="70" customFormat="false" ht="15" hidden="false" customHeight="true" outlineLevel="0" collapsed="false">
      <c r="A70" s="12" t="s">
        <v>1372</v>
      </c>
      <c r="B70" s="14" t="n">
        <v>45875</v>
      </c>
      <c r="C70" s="13" t="s">
        <v>106</v>
      </c>
      <c r="D70" s="15" t="str">
        <f aca="false">IFERROR(INDEX(Dim_Employee!$B$2:$B$76,MATCH(C70,Dim_Employee!$A$2:$A$76,0)),"")</f>
        <v>Damilola Balogun</v>
      </c>
      <c r="E70" s="12" t="s">
        <v>1285</v>
      </c>
      <c r="F70" s="12" t="s">
        <v>1299</v>
      </c>
      <c r="G70" s="12" t="s">
        <v>1322</v>
      </c>
      <c r="H70" s="12" t="s">
        <v>753</v>
      </c>
      <c r="I70" s="12" t="s">
        <v>1302</v>
      </c>
      <c r="J70" s="16"/>
      <c r="K70" s="12"/>
    </row>
    <row r="71" customFormat="false" ht="15" hidden="false" customHeight="true" outlineLevel="0" collapsed="false">
      <c r="A71" s="12" t="s">
        <v>1373</v>
      </c>
      <c r="B71" s="14" t="n">
        <v>45703</v>
      </c>
      <c r="C71" s="13" t="s">
        <v>319</v>
      </c>
      <c r="D71" s="15" t="str">
        <f aca="false">IFERROR(INDEX(Dim_Employee!$B$2:$B$76,MATCH(C71,Dim_Employee!$A$2:$A$76,0)),"")</f>
        <v>Funmilayo Yakubu</v>
      </c>
      <c r="E71" s="12" t="s">
        <v>1294</v>
      </c>
      <c r="F71" s="12" t="s">
        <v>1290</v>
      </c>
      <c r="G71" s="12" t="s">
        <v>1295</v>
      </c>
      <c r="H71" s="12" t="s">
        <v>753</v>
      </c>
      <c r="I71" s="12" t="s">
        <v>1296</v>
      </c>
      <c r="J71" s="16"/>
      <c r="K71" s="12"/>
    </row>
    <row r="72" customFormat="false" ht="15" hidden="false" customHeight="true" outlineLevel="0" collapsed="false">
      <c r="A72" s="12" t="s">
        <v>1374</v>
      </c>
      <c r="B72" s="14" t="n">
        <v>45912</v>
      </c>
      <c r="C72" s="13" t="s">
        <v>296</v>
      </c>
      <c r="D72" s="15" t="str">
        <f aca="false">IFERROR(INDEX(Dim_Employee!$B$2:$B$76,MATCH(C72,Dim_Employee!$A$2:$A$76,0)),"")</f>
        <v>Yusuf Usman</v>
      </c>
      <c r="E72" s="12" t="s">
        <v>1321</v>
      </c>
      <c r="F72" s="12" t="s">
        <v>1290</v>
      </c>
      <c r="G72" s="12" t="s">
        <v>1322</v>
      </c>
      <c r="H72" s="12" t="s">
        <v>1087</v>
      </c>
      <c r="I72" s="12" t="s">
        <v>1054</v>
      </c>
      <c r="J72" s="16"/>
      <c r="K72" s="12"/>
    </row>
    <row r="73" customFormat="false" ht="15" hidden="false" customHeight="true" outlineLevel="0" collapsed="false">
      <c r="A73" s="12" t="s">
        <v>1375</v>
      </c>
      <c r="B73" s="14" t="n">
        <v>46015</v>
      </c>
      <c r="C73" s="13" t="s">
        <v>306</v>
      </c>
      <c r="D73" s="15" t="str">
        <f aca="false">IFERROR(INDEX(Dim_Employee!$B$2:$B$76,MATCH(C73,Dim_Employee!$A$2:$A$76,0)),"")</f>
        <v>Segun Ogunleye</v>
      </c>
      <c r="E73" s="12" t="s">
        <v>1306</v>
      </c>
      <c r="F73" s="12" t="s">
        <v>1299</v>
      </c>
      <c r="G73" s="12" t="s">
        <v>1287</v>
      </c>
      <c r="H73" s="12" t="s">
        <v>738</v>
      </c>
      <c r="I73" s="12" t="s">
        <v>1302</v>
      </c>
      <c r="J73" s="16"/>
      <c r="K73" s="12"/>
    </row>
    <row r="74" customFormat="false" ht="15" hidden="false" customHeight="true" outlineLevel="0" collapsed="false">
      <c r="A74" s="12" t="s">
        <v>1376</v>
      </c>
      <c r="B74" s="14" t="n">
        <v>45732</v>
      </c>
      <c r="C74" s="13" t="s">
        <v>306</v>
      </c>
      <c r="D74" s="15" t="str">
        <f aca="false">IFERROR(INDEX(Dim_Employee!$B$2:$B$76,MATCH(C74,Dim_Employee!$A$2:$A$76,0)),"")</f>
        <v>Segun Ogunleye</v>
      </c>
      <c r="E74" s="12" t="s">
        <v>1321</v>
      </c>
      <c r="F74" s="12" t="s">
        <v>1299</v>
      </c>
      <c r="G74" s="12" t="s">
        <v>1287</v>
      </c>
      <c r="H74" s="12" t="s">
        <v>733</v>
      </c>
      <c r="I74" s="12" t="s">
        <v>1054</v>
      </c>
      <c r="J74" s="16"/>
      <c r="K74" s="12"/>
    </row>
    <row r="75" customFormat="false" ht="15" hidden="false" customHeight="true" outlineLevel="0" collapsed="false">
      <c r="A75" s="12" t="s">
        <v>1377</v>
      </c>
      <c r="B75" s="14" t="n">
        <v>45927</v>
      </c>
      <c r="C75" s="13" t="s">
        <v>296</v>
      </c>
      <c r="D75" s="15" t="str">
        <f aca="false">IFERROR(INDEX(Dim_Employee!$B$2:$B$76,MATCH(C75,Dim_Employee!$A$2:$A$76,0)),"")</f>
        <v>Yusuf Usman</v>
      </c>
      <c r="E75" s="12" t="s">
        <v>1308</v>
      </c>
      <c r="F75" s="12" t="s">
        <v>1290</v>
      </c>
      <c r="G75" s="12" t="s">
        <v>1295</v>
      </c>
      <c r="H75" s="12" t="s">
        <v>753</v>
      </c>
      <c r="I75" s="12" t="s">
        <v>1296</v>
      </c>
      <c r="J75" s="16"/>
      <c r="K75" s="12"/>
    </row>
    <row r="76" customFormat="false" ht="15" hidden="false" customHeight="true" outlineLevel="0" collapsed="false">
      <c r="A76" s="12" t="s">
        <v>1378</v>
      </c>
      <c r="B76" s="14" t="n">
        <v>45697</v>
      </c>
      <c r="C76" s="13" t="s">
        <v>306</v>
      </c>
      <c r="D76" s="15" t="str">
        <f aca="false">IFERROR(INDEX(Dim_Employee!$B$2:$B$76,MATCH(C76,Dim_Employee!$A$2:$A$76,0)),"")</f>
        <v>Segun Ogunleye</v>
      </c>
      <c r="E76" s="12" t="s">
        <v>1285</v>
      </c>
      <c r="F76" s="12" t="s">
        <v>1299</v>
      </c>
      <c r="G76" s="12" t="s">
        <v>1291</v>
      </c>
      <c r="H76" s="12" t="s">
        <v>738</v>
      </c>
      <c r="I76" s="12" t="s">
        <v>1296</v>
      </c>
      <c r="J76" s="16"/>
      <c r="K76" s="12"/>
    </row>
    <row r="77" customFormat="false" ht="15" hidden="false" customHeight="true" outlineLevel="0" collapsed="false">
      <c r="A77" s="12" t="s">
        <v>1379</v>
      </c>
      <c r="B77" s="14" t="n">
        <v>45718</v>
      </c>
      <c r="C77" s="13" t="s">
        <v>301</v>
      </c>
      <c r="D77" s="15" t="str">
        <f aca="false">IFERROR(INDEX(Dim_Employee!$B$2:$B$76,MATCH(C77,Dim_Employee!$A$2:$A$76,0)),"")</f>
        <v>Ibrahim Nwosu</v>
      </c>
      <c r="E77" s="12" t="s">
        <v>1294</v>
      </c>
      <c r="F77" s="12" t="s">
        <v>1290</v>
      </c>
      <c r="G77" s="12" t="s">
        <v>1295</v>
      </c>
      <c r="H77" s="12" t="s">
        <v>1087</v>
      </c>
      <c r="I77" s="12" t="s">
        <v>1302</v>
      </c>
      <c r="J77" s="16"/>
      <c r="K77" s="12"/>
    </row>
    <row r="78" customFormat="false" ht="15" hidden="false" customHeight="true" outlineLevel="0" collapsed="false">
      <c r="A78" s="12" t="s">
        <v>1380</v>
      </c>
      <c r="B78" s="14" t="n">
        <v>45844</v>
      </c>
      <c r="C78" s="13" t="s">
        <v>106</v>
      </c>
      <c r="D78" s="15" t="str">
        <f aca="false">IFERROR(INDEX(Dim_Employee!$B$2:$B$76,MATCH(C78,Dim_Employee!$A$2:$A$76,0)),"")</f>
        <v>Damilola Balogun</v>
      </c>
      <c r="E78" s="12" t="s">
        <v>1298</v>
      </c>
      <c r="F78" s="12" t="s">
        <v>1286</v>
      </c>
      <c r="G78" s="12" t="s">
        <v>1291</v>
      </c>
      <c r="H78" s="12" t="s">
        <v>738</v>
      </c>
      <c r="I78" s="12" t="s">
        <v>1054</v>
      </c>
      <c r="J78" s="16"/>
      <c r="K78" s="12"/>
    </row>
    <row r="79" customFormat="false" ht="15" hidden="false" customHeight="true" outlineLevel="0" collapsed="false">
      <c r="A79" s="12" t="s">
        <v>1381</v>
      </c>
      <c r="B79" s="14" t="n">
        <v>45864</v>
      </c>
      <c r="C79" s="13" t="s">
        <v>106</v>
      </c>
      <c r="D79" s="15" t="str">
        <f aca="false">IFERROR(INDEX(Dim_Employee!$B$2:$B$76,MATCH(C79,Dim_Employee!$A$2:$A$76,0)),"")</f>
        <v>Damilola Balogun</v>
      </c>
      <c r="E79" s="12" t="s">
        <v>1285</v>
      </c>
      <c r="F79" s="12" t="s">
        <v>1299</v>
      </c>
      <c r="G79" s="12" t="s">
        <v>1322</v>
      </c>
      <c r="H79" s="12" t="s">
        <v>738</v>
      </c>
      <c r="I79" s="12" t="s">
        <v>1054</v>
      </c>
      <c r="J79" s="16"/>
      <c r="K79" s="12"/>
    </row>
    <row r="80" customFormat="false" ht="15" hidden="false" customHeight="true" outlineLevel="0" collapsed="false">
      <c r="A80" s="12" t="s">
        <v>1382</v>
      </c>
      <c r="B80" s="14" t="n">
        <v>45767</v>
      </c>
      <c r="C80" s="13" t="s">
        <v>306</v>
      </c>
      <c r="D80" s="15" t="str">
        <f aca="false">IFERROR(INDEX(Dim_Employee!$B$2:$B$76,MATCH(C80,Dim_Employee!$A$2:$A$76,0)),"")</f>
        <v>Segun Ogunleye</v>
      </c>
      <c r="E80" s="12" t="s">
        <v>1301</v>
      </c>
      <c r="F80" s="12" t="s">
        <v>1286</v>
      </c>
      <c r="G80" s="12" t="s">
        <v>1287</v>
      </c>
      <c r="H80" s="12" t="s">
        <v>738</v>
      </c>
      <c r="I80" s="12" t="s">
        <v>1296</v>
      </c>
      <c r="J80" s="16"/>
      <c r="K80" s="12"/>
    </row>
    <row r="81" customFormat="false" ht="15" hidden="false" customHeight="true" outlineLevel="0" collapsed="false">
      <c r="A81" s="12" t="s">
        <v>1383</v>
      </c>
      <c r="B81" s="14" t="n">
        <v>45784</v>
      </c>
      <c r="C81" s="13" t="s">
        <v>306</v>
      </c>
      <c r="D81" s="15" t="str">
        <f aca="false">IFERROR(INDEX(Dim_Employee!$B$2:$B$76,MATCH(C81,Dim_Employee!$A$2:$A$76,0)),"")</f>
        <v>Segun Ogunleye</v>
      </c>
      <c r="E81" s="12" t="s">
        <v>1308</v>
      </c>
      <c r="F81" s="12" t="s">
        <v>1299</v>
      </c>
      <c r="G81" s="12" t="s">
        <v>1304</v>
      </c>
      <c r="H81" s="12" t="s">
        <v>1087</v>
      </c>
      <c r="I81" s="12" t="s">
        <v>1302</v>
      </c>
      <c r="J81" s="16"/>
      <c r="K81" s="12"/>
    </row>
    <row r="82" customFormat="false" ht="15" hidden="false" customHeight="true" outlineLevel="0" collapsed="false">
      <c r="A82" s="12" t="s">
        <v>1384</v>
      </c>
      <c r="B82" s="14" t="n">
        <v>45767</v>
      </c>
      <c r="C82" s="13" t="s">
        <v>296</v>
      </c>
      <c r="D82" s="15" t="str">
        <f aca="false">IFERROR(INDEX(Dim_Employee!$B$2:$B$76,MATCH(C82,Dim_Employee!$A$2:$A$76,0)),"")</f>
        <v>Yusuf Usman</v>
      </c>
      <c r="E82" s="12" t="s">
        <v>1321</v>
      </c>
      <c r="F82" s="12" t="s">
        <v>1286</v>
      </c>
      <c r="G82" s="12" t="s">
        <v>1295</v>
      </c>
      <c r="H82" s="12" t="s">
        <v>1087</v>
      </c>
      <c r="I82" s="12" t="s">
        <v>1296</v>
      </c>
      <c r="J82" s="16"/>
      <c r="K82" s="12"/>
    </row>
    <row r="83" customFormat="false" ht="15" hidden="false" customHeight="true" outlineLevel="0" collapsed="false">
      <c r="A83" s="12" t="s">
        <v>1385</v>
      </c>
      <c r="B83" s="14" t="n">
        <v>45907</v>
      </c>
      <c r="C83" s="13" t="s">
        <v>306</v>
      </c>
      <c r="D83" s="15" t="str">
        <f aca="false">IFERROR(INDEX(Dim_Employee!$B$2:$B$76,MATCH(C83,Dim_Employee!$A$2:$A$76,0)),"")</f>
        <v>Segun Ogunleye</v>
      </c>
      <c r="E83" s="12" t="s">
        <v>1306</v>
      </c>
      <c r="F83" s="12" t="s">
        <v>1299</v>
      </c>
      <c r="G83" s="12" t="s">
        <v>1295</v>
      </c>
      <c r="H83" s="12" t="s">
        <v>1087</v>
      </c>
      <c r="I83" s="12" t="s">
        <v>1054</v>
      </c>
      <c r="J83" s="16"/>
      <c r="K83" s="12"/>
    </row>
    <row r="84" customFormat="false" ht="15" hidden="false" customHeight="true" outlineLevel="0" collapsed="false">
      <c r="A84" s="12" t="s">
        <v>1386</v>
      </c>
      <c r="B84" s="14" t="n">
        <v>45798</v>
      </c>
      <c r="C84" s="13" t="s">
        <v>106</v>
      </c>
      <c r="D84" s="15" t="str">
        <f aca="false">IFERROR(INDEX(Dim_Employee!$B$2:$B$76,MATCH(C84,Dim_Employee!$A$2:$A$76,0)),"")</f>
        <v>Damilola Balogun</v>
      </c>
      <c r="E84" s="12" t="s">
        <v>1285</v>
      </c>
      <c r="F84" s="12" t="s">
        <v>1299</v>
      </c>
      <c r="G84" s="12" t="s">
        <v>1304</v>
      </c>
      <c r="H84" s="12" t="s">
        <v>753</v>
      </c>
      <c r="I84" s="12" t="s">
        <v>1292</v>
      </c>
      <c r="J84" s="16" t="n">
        <v>66.7</v>
      </c>
      <c r="K84" s="12" t="n">
        <v>3</v>
      </c>
    </row>
    <row r="85" customFormat="false" ht="15" hidden="false" customHeight="true" outlineLevel="0" collapsed="false">
      <c r="A85" s="12" t="s">
        <v>1387</v>
      </c>
      <c r="B85" s="14" t="n">
        <v>45948</v>
      </c>
      <c r="C85" s="13" t="s">
        <v>311</v>
      </c>
      <c r="D85" s="15" t="str">
        <f aca="false">IFERROR(INDEX(Dim_Employee!$B$2:$B$76,MATCH(C85,Dim_Employee!$A$2:$A$76,0)),"")</f>
        <v>Emeka Bello</v>
      </c>
      <c r="E85" s="12" t="s">
        <v>1306</v>
      </c>
      <c r="F85" s="12" t="s">
        <v>1286</v>
      </c>
      <c r="G85" s="12" t="s">
        <v>1287</v>
      </c>
      <c r="H85" s="12" t="s">
        <v>753</v>
      </c>
      <c r="I85" s="12" t="s">
        <v>1296</v>
      </c>
      <c r="J85" s="16"/>
      <c r="K85" s="12"/>
    </row>
    <row r="86" customFormat="false" ht="15" hidden="false" customHeight="true" outlineLevel="0" collapsed="false">
      <c r="A86" s="12" t="s">
        <v>1388</v>
      </c>
      <c r="B86" s="14" t="n">
        <v>45842</v>
      </c>
      <c r="C86" s="13" t="s">
        <v>106</v>
      </c>
      <c r="D86" s="15" t="str">
        <f aca="false">IFERROR(INDEX(Dim_Employee!$B$2:$B$76,MATCH(C86,Dim_Employee!$A$2:$A$76,0)),"")</f>
        <v>Damilola Balogun</v>
      </c>
      <c r="E86" s="12" t="s">
        <v>1308</v>
      </c>
      <c r="F86" s="12" t="s">
        <v>1290</v>
      </c>
      <c r="G86" s="12" t="s">
        <v>1287</v>
      </c>
      <c r="H86" s="12" t="s">
        <v>733</v>
      </c>
      <c r="I86" s="12" t="s">
        <v>1054</v>
      </c>
      <c r="J86" s="16"/>
      <c r="K86" s="12"/>
    </row>
    <row r="87" customFormat="false" ht="15" hidden="false" customHeight="true" outlineLevel="0" collapsed="false">
      <c r="A87" s="12" t="s">
        <v>1389</v>
      </c>
      <c r="B87" s="14" t="n">
        <v>45888</v>
      </c>
      <c r="C87" s="13" t="s">
        <v>301</v>
      </c>
      <c r="D87" s="15" t="str">
        <f aca="false">IFERROR(INDEX(Dim_Employee!$B$2:$B$76,MATCH(C87,Dim_Employee!$A$2:$A$76,0)),"")</f>
        <v>Ibrahim Nwosu</v>
      </c>
      <c r="E87" s="12" t="s">
        <v>1319</v>
      </c>
      <c r="F87" s="12" t="s">
        <v>1286</v>
      </c>
      <c r="G87" s="12" t="s">
        <v>1322</v>
      </c>
      <c r="H87" s="12" t="s">
        <v>753</v>
      </c>
      <c r="I87" s="12" t="s">
        <v>1296</v>
      </c>
      <c r="J87" s="16"/>
      <c r="K87" s="12"/>
    </row>
    <row r="88" customFormat="false" ht="15" hidden="false" customHeight="true" outlineLevel="0" collapsed="false">
      <c r="A88" s="12" t="s">
        <v>1390</v>
      </c>
      <c r="B88" s="14" t="n">
        <v>45780</v>
      </c>
      <c r="C88" s="13" t="s">
        <v>319</v>
      </c>
      <c r="D88" s="15" t="str">
        <f aca="false">IFERROR(INDEX(Dim_Employee!$B$2:$B$76,MATCH(C88,Dim_Employee!$A$2:$A$76,0)),"")</f>
        <v>Funmilayo Yakubu</v>
      </c>
      <c r="E88" s="12" t="s">
        <v>1321</v>
      </c>
      <c r="F88" s="12" t="s">
        <v>1290</v>
      </c>
      <c r="G88" s="12" t="s">
        <v>1304</v>
      </c>
      <c r="H88" s="12" t="s">
        <v>738</v>
      </c>
      <c r="I88" s="12" t="s">
        <v>1292</v>
      </c>
      <c r="J88" s="16" t="n">
        <v>29.7</v>
      </c>
      <c r="K88" s="12" t="n">
        <v>5</v>
      </c>
    </row>
    <row r="89" customFormat="false" ht="15" hidden="false" customHeight="true" outlineLevel="0" collapsed="false">
      <c r="A89" s="12" t="s">
        <v>1391</v>
      </c>
      <c r="B89" s="14" t="n">
        <v>45674</v>
      </c>
      <c r="C89" s="13" t="s">
        <v>311</v>
      </c>
      <c r="D89" s="15" t="str">
        <f aca="false">IFERROR(INDEX(Dim_Employee!$B$2:$B$76,MATCH(C89,Dim_Employee!$A$2:$A$76,0)),"")</f>
        <v>Emeka Bello</v>
      </c>
      <c r="E89" s="12" t="s">
        <v>1306</v>
      </c>
      <c r="F89" s="12" t="s">
        <v>1286</v>
      </c>
      <c r="G89" s="12" t="s">
        <v>1295</v>
      </c>
      <c r="H89" s="12" t="s">
        <v>1087</v>
      </c>
      <c r="I89" s="12" t="s">
        <v>1054</v>
      </c>
      <c r="J89" s="16"/>
      <c r="K89" s="12"/>
    </row>
    <row r="90" customFormat="false" ht="15" hidden="false" customHeight="true" outlineLevel="0" collapsed="false">
      <c r="A90" s="12" t="s">
        <v>1392</v>
      </c>
      <c r="B90" s="14" t="n">
        <v>45922</v>
      </c>
      <c r="C90" s="13" t="s">
        <v>306</v>
      </c>
      <c r="D90" s="15" t="str">
        <f aca="false">IFERROR(INDEX(Dim_Employee!$B$2:$B$76,MATCH(C90,Dim_Employee!$A$2:$A$76,0)),"")</f>
        <v>Segun Ogunleye</v>
      </c>
      <c r="E90" s="12" t="s">
        <v>1294</v>
      </c>
      <c r="F90" s="12" t="s">
        <v>1286</v>
      </c>
      <c r="G90" s="12" t="s">
        <v>1322</v>
      </c>
      <c r="H90" s="12" t="s">
        <v>1087</v>
      </c>
      <c r="I90" s="12" t="s">
        <v>1054</v>
      </c>
      <c r="J90" s="16"/>
      <c r="K90" s="12"/>
    </row>
    <row r="91" customFormat="false" ht="15" hidden="false" customHeight="true" outlineLevel="0" collapsed="false">
      <c r="A91" s="12" t="s">
        <v>1393</v>
      </c>
      <c r="B91" s="14" t="n">
        <v>45733</v>
      </c>
      <c r="C91" s="13" t="s">
        <v>315</v>
      </c>
      <c r="D91" s="15" t="str">
        <f aca="false">IFERROR(INDEX(Dim_Employee!$B$2:$B$76,MATCH(C91,Dim_Employee!$A$2:$A$76,0)),"")</f>
        <v>Chukwudi Okonkwo</v>
      </c>
      <c r="E91" s="12" t="s">
        <v>1306</v>
      </c>
      <c r="F91" s="12" t="s">
        <v>1286</v>
      </c>
      <c r="G91" s="12" t="s">
        <v>1291</v>
      </c>
      <c r="H91" s="12" t="s">
        <v>1087</v>
      </c>
      <c r="I91" s="12" t="s">
        <v>1296</v>
      </c>
      <c r="J91" s="16"/>
      <c r="K91" s="12"/>
    </row>
    <row r="92" customFormat="false" ht="15" hidden="false" customHeight="true" outlineLevel="0" collapsed="false">
      <c r="A92" s="12" t="s">
        <v>1394</v>
      </c>
      <c r="B92" s="14" t="n">
        <v>45855</v>
      </c>
      <c r="C92" s="13" t="s">
        <v>306</v>
      </c>
      <c r="D92" s="15" t="str">
        <f aca="false">IFERROR(INDEX(Dim_Employee!$B$2:$B$76,MATCH(C92,Dim_Employee!$A$2:$A$76,0)),"")</f>
        <v>Segun Ogunleye</v>
      </c>
      <c r="E92" s="12" t="s">
        <v>1294</v>
      </c>
      <c r="F92" s="12" t="s">
        <v>1286</v>
      </c>
      <c r="G92" s="12" t="s">
        <v>1304</v>
      </c>
      <c r="H92" s="12" t="s">
        <v>733</v>
      </c>
      <c r="I92" s="12" t="s">
        <v>1054</v>
      </c>
      <c r="J92" s="16"/>
      <c r="K92" s="12"/>
    </row>
    <row r="93" customFormat="false" ht="15" hidden="false" customHeight="true" outlineLevel="0" collapsed="false">
      <c r="A93" s="12" t="s">
        <v>1395</v>
      </c>
      <c r="B93" s="14" t="n">
        <v>45834</v>
      </c>
      <c r="C93" s="13" t="s">
        <v>301</v>
      </c>
      <c r="D93" s="15" t="str">
        <f aca="false">IFERROR(INDEX(Dim_Employee!$B$2:$B$76,MATCH(C93,Dim_Employee!$A$2:$A$76,0)),"")</f>
        <v>Ibrahim Nwosu</v>
      </c>
      <c r="E93" s="12" t="s">
        <v>1306</v>
      </c>
      <c r="F93" s="12" t="s">
        <v>1290</v>
      </c>
      <c r="G93" s="12" t="s">
        <v>1287</v>
      </c>
      <c r="H93" s="12" t="s">
        <v>733</v>
      </c>
      <c r="I93" s="12" t="s">
        <v>1302</v>
      </c>
      <c r="J93" s="16"/>
      <c r="K93" s="12"/>
    </row>
    <row r="94" customFormat="false" ht="15" hidden="false" customHeight="true" outlineLevel="0" collapsed="false">
      <c r="A94" s="12" t="s">
        <v>1396</v>
      </c>
      <c r="B94" s="14" t="n">
        <v>45947</v>
      </c>
      <c r="C94" s="13" t="s">
        <v>315</v>
      </c>
      <c r="D94" s="15" t="str">
        <f aca="false">IFERROR(INDEX(Dim_Employee!$B$2:$B$76,MATCH(C94,Dim_Employee!$A$2:$A$76,0)),"")</f>
        <v>Chukwudi Okonkwo</v>
      </c>
      <c r="E94" s="12" t="s">
        <v>1285</v>
      </c>
      <c r="F94" s="12" t="s">
        <v>1299</v>
      </c>
      <c r="G94" s="12" t="s">
        <v>1322</v>
      </c>
      <c r="H94" s="12" t="s">
        <v>733</v>
      </c>
      <c r="I94" s="12" t="s">
        <v>1296</v>
      </c>
      <c r="J94" s="16"/>
      <c r="K94" s="12"/>
    </row>
    <row r="95" customFormat="false" ht="15" hidden="false" customHeight="true" outlineLevel="0" collapsed="false">
      <c r="A95" s="12" t="s">
        <v>1397</v>
      </c>
      <c r="B95" s="14" t="n">
        <v>45943</v>
      </c>
      <c r="C95" s="13" t="s">
        <v>319</v>
      </c>
      <c r="D95" s="15" t="str">
        <f aca="false">IFERROR(INDEX(Dim_Employee!$B$2:$B$76,MATCH(C95,Dim_Employee!$A$2:$A$76,0)),"")</f>
        <v>Funmilayo Yakubu</v>
      </c>
      <c r="E95" s="12" t="s">
        <v>1289</v>
      </c>
      <c r="F95" s="12" t="s">
        <v>1299</v>
      </c>
      <c r="G95" s="12" t="s">
        <v>1287</v>
      </c>
      <c r="H95" s="12" t="s">
        <v>753</v>
      </c>
      <c r="I95" s="12" t="s">
        <v>1054</v>
      </c>
      <c r="J95" s="16"/>
      <c r="K95" s="12"/>
    </row>
    <row r="96" customFormat="false" ht="15" hidden="false" customHeight="true" outlineLevel="0" collapsed="false">
      <c r="A96" s="12" t="s">
        <v>1398</v>
      </c>
      <c r="B96" s="14" t="n">
        <v>45704</v>
      </c>
      <c r="C96" s="13" t="s">
        <v>296</v>
      </c>
      <c r="D96" s="15" t="str">
        <f aca="false">IFERROR(INDEX(Dim_Employee!$B$2:$B$76,MATCH(C96,Dim_Employee!$A$2:$A$76,0)),"")</f>
        <v>Yusuf Usman</v>
      </c>
      <c r="E96" s="12" t="s">
        <v>1301</v>
      </c>
      <c r="F96" s="12" t="s">
        <v>1290</v>
      </c>
      <c r="G96" s="12" t="s">
        <v>1295</v>
      </c>
      <c r="H96" s="12" t="s">
        <v>1087</v>
      </c>
      <c r="I96" s="12" t="s">
        <v>1302</v>
      </c>
      <c r="J96" s="16"/>
      <c r="K96" s="12"/>
    </row>
    <row r="97" customFormat="false" ht="15" hidden="false" customHeight="true" outlineLevel="0" collapsed="false">
      <c r="A97" s="12" t="s">
        <v>1399</v>
      </c>
      <c r="B97" s="14" t="n">
        <v>45854</v>
      </c>
      <c r="C97" s="13" t="s">
        <v>106</v>
      </c>
      <c r="D97" s="15" t="str">
        <f aca="false">IFERROR(INDEX(Dim_Employee!$B$2:$B$76,MATCH(C97,Dim_Employee!$A$2:$A$76,0)),"")</f>
        <v>Damilola Balogun</v>
      </c>
      <c r="E97" s="12" t="s">
        <v>1289</v>
      </c>
      <c r="F97" s="12" t="s">
        <v>1286</v>
      </c>
      <c r="G97" s="12" t="s">
        <v>1295</v>
      </c>
      <c r="H97" s="12" t="s">
        <v>753</v>
      </c>
      <c r="I97" s="12" t="s">
        <v>1296</v>
      </c>
      <c r="J97" s="16"/>
      <c r="K97" s="12"/>
    </row>
    <row r="98" customFormat="false" ht="15" hidden="false" customHeight="true" outlineLevel="0" collapsed="false">
      <c r="A98" s="12" t="s">
        <v>1400</v>
      </c>
      <c r="B98" s="14" t="n">
        <v>45864</v>
      </c>
      <c r="C98" s="13" t="s">
        <v>296</v>
      </c>
      <c r="D98" s="15" t="str">
        <f aca="false">IFERROR(INDEX(Dim_Employee!$B$2:$B$76,MATCH(C98,Dim_Employee!$A$2:$A$76,0)),"")</f>
        <v>Yusuf Usman</v>
      </c>
      <c r="E98" s="12" t="s">
        <v>1306</v>
      </c>
      <c r="F98" s="12" t="s">
        <v>1286</v>
      </c>
      <c r="G98" s="12" t="s">
        <v>1304</v>
      </c>
      <c r="H98" s="12" t="s">
        <v>753</v>
      </c>
      <c r="I98" s="12" t="s">
        <v>1054</v>
      </c>
      <c r="J98" s="16"/>
      <c r="K98" s="12"/>
    </row>
    <row r="99" customFormat="false" ht="15" hidden="false" customHeight="true" outlineLevel="0" collapsed="false">
      <c r="A99" s="12" t="s">
        <v>1401</v>
      </c>
      <c r="B99" s="14" t="n">
        <v>45924</v>
      </c>
      <c r="C99" s="13" t="s">
        <v>315</v>
      </c>
      <c r="D99" s="15" t="str">
        <f aca="false">IFERROR(INDEX(Dim_Employee!$B$2:$B$76,MATCH(C99,Dim_Employee!$A$2:$A$76,0)),"")</f>
        <v>Chukwudi Okonkwo</v>
      </c>
      <c r="E99" s="12" t="s">
        <v>1319</v>
      </c>
      <c r="F99" s="12" t="s">
        <v>1299</v>
      </c>
      <c r="G99" s="12" t="s">
        <v>1322</v>
      </c>
      <c r="H99" s="12" t="s">
        <v>1087</v>
      </c>
      <c r="I99" s="12" t="s">
        <v>1054</v>
      </c>
      <c r="J99" s="16"/>
      <c r="K99" s="12"/>
    </row>
    <row r="100" customFormat="false" ht="15" hidden="false" customHeight="true" outlineLevel="0" collapsed="false">
      <c r="A100" s="12" t="s">
        <v>1402</v>
      </c>
      <c r="B100" s="14" t="n">
        <v>45902</v>
      </c>
      <c r="C100" s="13" t="s">
        <v>319</v>
      </c>
      <c r="D100" s="15" t="str">
        <f aca="false">IFERROR(INDEX(Dim_Employee!$B$2:$B$76,MATCH(C100,Dim_Employee!$A$2:$A$76,0)),"")</f>
        <v>Funmilayo Yakubu</v>
      </c>
      <c r="E100" s="12" t="s">
        <v>1298</v>
      </c>
      <c r="F100" s="12" t="s">
        <v>1299</v>
      </c>
      <c r="G100" s="12" t="s">
        <v>1291</v>
      </c>
      <c r="H100" s="12" t="s">
        <v>753</v>
      </c>
      <c r="I100" s="12" t="s">
        <v>1054</v>
      </c>
      <c r="J100" s="16"/>
      <c r="K100" s="12"/>
    </row>
    <row r="101" customFormat="false" ht="15" hidden="false" customHeight="true" outlineLevel="0" collapsed="false">
      <c r="A101" s="12" t="s">
        <v>1403</v>
      </c>
      <c r="B101" s="14" t="n">
        <v>45844</v>
      </c>
      <c r="C101" s="13" t="s">
        <v>315</v>
      </c>
      <c r="D101" s="15" t="str">
        <f aca="false">IFERROR(INDEX(Dim_Employee!$B$2:$B$76,MATCH(C101,Dim_Employee!$A$2:$A$76,0)),"")</f>
        <v>Chukwudi Okonkwo</v>
      </c>
      <c r="E101" s="12" t="s">
        <v>1319</v>
      </c>
      <c r="F101" s="12" t="s">
        <v>1286</v>
      </c>
      <c r="G101" s="12" t="s">
        <v>1322</v>
      </c>
      <c r="H101" s="12" t="s">
        <v>733</v>
      </c>
      <c r="I101" s="12" t="s">
        <v>1292</v>
      </c>
      <c r="J101" s="16" t="n">
        <v>86.7</v>
      </c>
      <c r="K101" s="12" t="n">
        <v>1</v>
      </c>
    </row>
    <row r="102" customFormat="false" ht="15" hidden="false" customHeight="true" outlineLevel="0" collapsed="false">
      <c r="A102" s="12" t="s">
        <v>1404</v>
      </c>
      <c r="B102" s="14" t="n">
        <v>45957</v>
      </c>
      <c r="C102" s="13" t="s">
        <v>306</v>
      </c>
      <c r="D102" s="15" t="str">
        <f aca="false">IFERROR(INDEX(Dim_Employee!$B$2:$B$76,MATCH(C102,Dim_Employee!$A$2:$A$76,0)),"")</f>
        <v>Segun Ogunleye</v>
      </c>
      <c r="E102" s="12" t="s">
        <v>1298</v>
      </c>
      <c r="F102" s="12" t="s">
        <v>1286</v>
      </c>
      <c r="G102" s="12" t="s">
        <v>1322</v>
      </c>
      <c r="H102" s="12" t="s">
        <v>753</v>
      </c>
      <c r="I102" s="12" t="s">
        <v>1296</v>
      </c>
      <c r="J102" s="16"/>
      <c r="K102" s="12"/>
    </row>
    <row r="103" customFormat="false" ht="15" hidden="false" customHeight="true" outlineLevel="0" collapsed="false">
      <c r="A103" s="12" t="s">
        <v>1405</v>
      </c>
      <c r="B103" s="14" t="n">
        <v>45849</v>
      </c>
      <c r="C103" s="13" t="s">
        <v>106</v>
      </c>
      <c r="D103" s="15" t="str">
        <f aca="false">IFERROR(INDEX(Dim_Employee!$B$2:$B$76,MATCH(C103,Dim_Employee!$A$2:$A$76,0)),"")</f>
        <v>Damilola Balogun</v>
      </c>
      <c r="E103" s="12" t="s">
        <v>1298</v>
      </c>
      <c r="F103" s="12" t="s">
        <v>1286</v>
      </c>
      <c r="G103" s="12" t="s">
        <v>1304</v>
      </c>
      <c r="H103" s="12" t="s">
        <v>1087</v>
      </c>
      <c r="I103" s="12" t="s">
        <v>1292</v>
      </c>
      <c r="J103" s="16" t="n">
        <v>4.4</v>
      </c>
      <c r="K103" s="12" t="n">
        <v>3</v>
      </c>
    </row>
    <row r="104" customFormat="false" ht="15" hidden="false" customHeight="true" outlineLevel="0" collapsed="false">
      <c r="A104" s="12" t="s">
        <v>1406</v>
      </c>
      <c r="B104" s="14" t="n">
        <v>45843</v>
      </c>
      <c r="C104" s="13" t="s">
        <v>306</v>
      </c>
      <c r="D104" s="15" t="str">
        <f aca="false">IFERROR(INDEX(Dim_Employee!$B$2:$B$76,MATCH(C104,Dim_Employee!$A$2:$A$76,0)),"")</f>
        <v>Segun Ogunleye</v>
      </c>
      <c r="E104" s="12" t="s">
        <v>1285</v>
      </c>
      <c r="F104" s="12" t="s">
        <v>1299</v>
      </c>
      <c r="G104" s="12" t="s">
        <v>1304</v>
      </c>
      <c r="H104" s="12" t="s">
        <v>733</v>
      </c>
      <c r="I104" s="12" t="s">
        <v>1302</v>
      </c>
      <c r="J104" s="16"/>
      <c r="K104" s="12"/>
    </row>
    <row r="105" customFormat="false" ht="15" hidden="false" customHeight="true" outlineLevel="0" collapsed="false">
      <c r="A105" s="12" t="s">
        <v>1407</v>
      </c>
      <c r="B105" s="14" t="n">
        <v>45971</v>
      </c>
      <c r="C105" s="13" t="s">
        <v>315</v>
      </c>
      <c r="D105" s="15" t="str">
        <f aca="false">IFERROR(INDEX(Dim_Employee!$B$2:$B$76,MATCH(C105,Dim_Employee!$A$2:$A$76,0)),"")</f>
        <v>Chukwudi Okonkwo</v>
      </c>
      <c r="E105" s="12" t="s">
        <v>1301</v>
      </c>
      <c r="F105" s="12" t="s">
        <v>1290</v>
      </c>
      <c r="G105" s="12" t="s">
        <v>1322</v>
      </c>
      <c r="H105" s="12" t="s">
        <v>733</v>
      </c>
      <c r="I105" s="12" t="s">
        <v>1292</v>
      </c>
      <c r="J105" s="16" t="n">
        <v>60</v>
      </c>
      <c r="K105" s="12" t="n">
        <v>4</v>
      </c>
    </row>
    <row r="106" customFormat="false" ht="15" hidden="false" customHeight="true" outlineLevel="0" collapsed="false">
      <c r="A106" s="12" t="s">
        <v>1408</v>
      </c>
      <c r="B106" s="14" t="n">
        <v>45888</v>
      </c>
      <c r="C106" s="13" t="s">
        <v>319</v>
      </c>
      <c r="D106" s="15" t="str">
        <f aca="false">IFERROR(INDEX(Dim_Employee!$B$2:$B$76,MATCH(C106,Dim_Employee!$A$2:$A$76,0)),"")</f>
        <v>Funmilayo Yakubu</v>
      </c>
      <c r="E106" s="12" t="s">
        <v>1301</v>
      </c>
      <c r="F106" s="12" t="s">
        <v>1286</v>
      </c>
      <c r="G106" s="12" t="s">
        <v>1287</v>
      </c>
      <c r="H106" s="12" t="s">
        <v>738</v>
      </c>
      <c r="I106" s="12" t="s">
        <v>1296</v>
      </c>
      <c r="J106" s="16"/>
      <c r="K106" s="12"/>
    </row>
    <row r="107" customFormat="false" ht="15" hidden="false" customHeight="true" outlineLevel="0" collapsed="false">
      <c r="A107" s="12" t="s">
        <v>1409</v>
      </c>
      <c r="B107" s="14" t="n">
        <v>45816</v>
      </c>
      <c r="C107" s="13" t="s">
        <v>315</v>
      </c>
      <c r="D107" s="15" t="str">
        <f aca="false">IFERROR(INDEX(Dim_Employee!$B$2:$B$76,MATCH(C107,Dim_Employee!$A$2:$A$76,0)),"")</f>
        <v>Chukwudi Okonkwo</v>
      </c>
      <c r="E107" s="12" t="s">
        <v>1321</v>
      </c>
      <c r="F107" s="12" t="s">
        <v>1286</v>
      </c>
      <c r="G107" s="12" t="s">
        <v>1295</v>
      </c>
      <c r="H107" s="12" t="s">
        <v>733</v>
      </c>
      <c r="I107" s="12" t="s">
        <v>1302</v>
      </c>
      <c r="J107" s="16"/>
      <c r="K107" s="12"/>
    </row>
    <row r="108" customFormat="false" ht="15" hidden="false" customHeight="true" outlineLevel="0" collapsed="false">
      <c r="A108" s="12" t="s">
        <v>1410</v>
      </c>
      <c r="B108" s="14" t="n">
        <v>45796</v>
      </c>
      <c r="C108" s="13" t="s">
        <v>296</v>
      </c>
      <c r="D108" s="15" t="str">
        <f aca="false">IFERROR(INDEX(Dim_Employee!$B$2:$B$76,MATCH(C108,Dim_Employee!$A$2:$A$76,0)),"")</f>
        <v>Yusuf Usman</v>
      </c>
      <c r="E108" s="12" t="s">
        <v>1306</v>
      </c>
      <c r="F108" s="12" t="s">
        <v>1286</v>
      </c>
      <c r="G108" s="12" t="s">
        <v>1304</v>
      </c>
      <c r="H108" s="12" t="s">
        <v>738</v>
      </c>
      <c r="I108" s="12" t="s">
        <v>1054</v>
      </c>
      <c r="J108" s="16"/>
      <c r="K108" s="12"/>
    </row>
    <row r="109" customFormat="false" ht="15" hidden="false" customHeight="true" outlineLevel="0" collapsed="false">
      <c r="A109" s="12" t="s">
        <v>1411</v>
      </c>
      <c r="B109" s="14" t="n">
        <v>45659</v>
      </c>
      <c r="C109" s="13" t="s">
        <v>311</v>
      </c>
      <c r="D109" s="15" t="str">
        <f aca="false">IFERROR(INDEX(Dim_Employee!$B$2:$B$76,MATCH(C109,Dim_Employee!$A$2:$A$76,0)),"")</f>
        <v>Emeka Bello</v>
      </c>
      <c r="E109" s="12" t="s">
        <v>1306</v>
      </c>
      <c r="F109" s="12" t="s">
        <v>1299</v>
      </c>
      <c r="G109" s="12" t="s">
        <v>1295</v>
      </c>
      <c r="H109" s="12" t="s">
        <v>733</v>
      </c>
      <c r="I109" s="12" t="s">
        <v>1292</v>
      </c>
      <c r="J109" s="16" t="n">
        <v>89</v>
      </c>
      <c r="K109" s="12" t="n">
        <v>4</v>
      </c>
    </row>
    <row r="110" customFormat="false" ht="15" hidden="false" customHeight="true" outlineLevel="0" collapsed="false">
      <c r="A110" s="12" t="s">
        <v>1412</v>
      </c>
      <c r="B110" s="14" t="n">
        <v>45793</v>
      </c>
      <c r="C110" s="13" t="s">
        <v>311</v>
      </c>
      <c r="D110" s="15" t="str">
        <f aca="false">IFERROR(INDEX(Dim_Employee!$B$2:$B$76,MATCH(C110,Dim_Employee!$A$2:$A$76,0)),"")</f>
        <v>Emeka Bello</v>
      </c>
      <c r="E110" s="12" t="s">
        <v>1289</v>
      </c>
      <c r="F110" s="12" t="s">
        <v>1290</v>
      </c>
      <c r="G110" s="12" t="s">
        <v>1287</v>
      </c>
      <c r="H110" s="12" t="s">
        <v>753</v>
      </c>
      <c r="I110" s="12" t="s">
        <v>1302</v>
      </c>
      <c r="J110" s="16"/>
      <c r="K110" s="12"/>
    </row>
    <row r="111" customFormat="false" ht="15" hidden="false" customHeight="true" outlineLevel="0" collapsed="false">
      <c r="A111" s="12" t="s">
        <v>1413</v>
      </c>
      <c r="B111" s="14" t="n">
        <v>46014</v>
      </c>
      <c r="C111" s="13" t="s">
        <v>319</v>
      </c>
      <c r="D111" s="15" t="str">
        <f aca="false">IFERROR(INDEX(Dim_Employee!$B$2:$B$76,MATCH(C111,Dim_Employee!$A$2:$A$76,0)),"")</f>
        <v>Funmilayo Yakubu</v>
      </c>
      <c r="E111" s="12" t="s">
        <v>1301</v>
      </c>
      <c r="F111" s="12" t="s">
        <v>1299</v>
      </c>
      <c r="G111" s="12" t="s">
        <v>1304</v>
      </c>
      <c r="H111" s="12" t="s">
        <v>738</v>
      </c>
      <c r="I111" s="12" t="s">
        <v>1054</v>
      </c>
      <c r="J111" s="16"/>
      <c r="K111" s="12"/>
    </row>
    <row r="112" customFormat="false" ht="15" hidden="false" customHeight="true" outlineLevel="0" collapsed="false">
      <c r="A112" s="12" t="s">
        <v>1414</v>
      </c>
      <c r="B112" s="14" t="n">
        <v>45739</v>
      </c>
      <c r="C112" s="13" t="s">
        <v>319</v>
      </c>
      <c r="D112" s="15" t="str">
        <f aca="false">IFERROR(INDEX(Dim_Employee!$B$2:$B$76,MATCH(C112,Dim_Employee!$A$2:$A$76,0)),"")</f>
        <v>Funmilayo Yakubu</v>
      </c>
      <c r="E112" s="12" t="s">
        <v>1289</v>
      </c>
      <c r="F112" s="12" t="s">
        <v>1299</v>
      </c>
      <c r="G112" s="12" t="s">
        <v>1295</v>
      </c>
      <c r="H112" s="12" t="s">
        <v>753</v>
      </c>
      <c r="I112" s="12" t="s">
        <v>1054</v>
      </c>
      <c r="J112" s="16"/>
      <c r="K112" s="12"/>
    </row>
    <row r="113" customFormat="false" ht="15" hidden="false" customHeight="true" outlineLevel="0" collapsed="false">
      <c r="A113" s="12" t="s">
        <v>1415</v>
      </c>
      <c r="B113" s="14" t="n">
        <v>45804</v>
      </c>
      <c r="C113" s="13" t="s">
        <v>301</v>
      </c>
      <c r="D113" s="15" t="str">
        <f aca="false">IFERROR(INDEX(Dim_Employee!$B$2:$B$76,MATCH(C113,Dim_Employee!$A$2:$A$76,0)),"")</f>
        <v>Ibrahim Nwosu</v>
      </c>
      <c r="E113" s="12" t="s">
        <v>1289</v>
      </c>
      <c r="F113" s="12" t="s">
        <v>1299</v>
      </c>
      <c r="G113" s="12" t="s">
        <v>1291</v>
      </c>
      <c r="H113" s="12" t="s">
        <v>1087</v>
      </c>
      <c r="I113" s="12" t="s">
        <v>1296</v>
      </c>
      <c r="J113" s="16"/>
      <c r="K113" s="12"/>
    </row>
    <row r="114" customFormat="false" ht="15" hidden="false" customHeight="true" outlineLevel="0" collapsed="false">
      <c r="A114" s="12" t="s">
        <v>1416</v>
      </c>
      <c r="B114" s="14" t="n">
        <v>45843</v>
      </c>
      <c r="C114" s="13" t="s">
        <v>296</v>
      </c>
      <c r="D114" s="15" t="str">
        <f aca="false">IFERROR(INDEX(Dim_Employee!$B$2:$B$76,MATCH(C114,Dim_Employee!$A$2:$A$76,0)),"")</f>
        <v>Yusuf Usman</v>
      </c>
      <c r="E114" s="12" t="s">
        <v>1289</v>
      </c>
      <c r="F114" s="12" t="s">
        <v>1299</v>
      </c>
      <c r="G114" s="12" t="s">
        <v>1304</v>
      </c>
      <c r="H114" s="12" t="s">
        <v>738</v>
      </c>
      <c r="I114" s="12" t="s">
        <v>1054</v>
      </c>
      <c r="J114" s="16"/>
      <c r="K114" s="12"/>
    </row>
    <row r="115" customFormat="false" ht="15" hidden="false" customHeight="true" outlineLevel="0" collapsed="false">
      <c r="A115" s="12" t="s">
        <v>1417</v>
      </c>
      <c r="B115" s="14" t="n">
        <v>45715</v>
      </c>
      <c r="C115" s="13" t="s">
        <v>106</v>
      </c>
      <c r="D115" s="15" t="str">
        <f aca="false">IFERROR(INDEX(Dim_Employee!$B$2:$B$76,MATCH(C115,Dim_Employee!$A$2:$A$76,0)),"")</f>
        <v>Damilola Balogun</v>
      </c>
      <c r="E115" s="12" t="s">
        <v>1321</v>
      </c>
      <c r="F115" s="12" t="s">
        <v>1299</v>
      </c>
      <c r="G115" s="12" t="s">
        <v>1295</v>
      </c>
      <c r="H115" s="12" t="s">
        <v>733</v>
      </c>
      <c r="I115" s="12" t="s">
        <v>1292</v>
      </c>
      <c r="J115" s="16" t="n">
        <v>78.7</v>
      </c>
      <c r="K115" s="12" t="n">
        <v>3</v>
      </c>
    </row>
    <row r="116" customFormat="false" ht="15" hidden="false" customHeight="true" outlineLevel="0" collapsed="false">
      <c r="A116" s="12" t="s">
        <v>1418</v>
      </c>
      <c r="B116" s="14" t="n">
        <v>45904</v>
      </c>
      <c r="C116" s="13" t="s">
        <v>296</v>
      </c>
      <c r="D116" s="15" t="str">
        <f aca="false">IFERROR(INDEX(Dim_Employee!$B$2:$B$76,MATCH(C116,Dim_Employee!$A$2:$A$76,0)),"")</f>
        <v>Yusuf Usman</v>
      </c>
      <c r="E116" s="12" t="s">
        <v>1285</v>
      </c>
      <c r="F116" s="12" t="s">
        <v>1286</v>
      </c>
      <c r="G116" s="12" t="s">
        <v>1322</v>
      </c>
      <c r="H116" s="12" t="s">
        <v>1087</v>
      </c>
      <c r="I116" s="12" t="s">
        <v>1296</v>
      </c>
      <c r="J116" s="16"/>
      <c r="K116" s="12"/>
    </row>
    <row r="117" customFormat="false" ht="15" hidden="false" customHeight="true" outlineLevel="0" collapsed="false">
      <c r="A117" s="12" t="s">
        <v>1419</v>
      </c>
      <c r="B117" s="14" t="n">
        <v>45787</v>
      </c>
      <c r="C117" s="13" t="s">
        <v>311</v>
      </c>
      <c r="D117" s="15" t="str">
        <f aca="false">IFERROR(INDEX(Dim_Employee!$B$2:$B$76,MATCH(C117,Dim_Employee!$A$2:$A$76,0)),"")</f>
        <v>Emeka Bello</v>
      </c>
      <c r="E117" s="12" t="s">
        <v>1298</v>
      </c>
      <c r="F117" s="12" t="s">
        <v>1286</v>
      </c>
      <c r="G117" s="12" t="s">
        <v>1322</v>
      </c>
      <c r="H117" s="12" t="s">
        <v>738</v>
      </c>
      <c r="I117" s="12" t="s">
        <v>1296</v>
      </c>
      <c r="J117" s="16"/>
      <c r="K117" s="12"/>
    </row>
    <row r="118" customFormat="false" ht="15" hidden="false" customHeight="true" outlineLevel="0" collapsed="false">
      <c r="A118" s="12" t="s">
        <v>1420</v>
      </c>
      <c r="B118" s="14" t="n">
        <v>45946</v>
      </c>
      <c r="C118" s="13" t="s">
        <v>301</v>
      </c>
      <c r="D118" s="15" t="str">
        <f aca="false">IFERROR(INDEX(Dim_Employee!$B$2:$B$76,MATCH(C118,Dim_Employee!$A$2:$A$76,0)),"")</f>
        <v>Ibrahim Nwosu</v>
      </c>
      <c r="E118" s="12" t="s">
        <v>1308</v>
      </c>
      <c r="F118" s="12" t="s">
        <v>1299</v>
      </c>
      <c r="G118" s="12" t="s">
        <v>1295</v>
      </c>
      <c r="H118" s="12" t="s">
        <v>738</v>
      </c>
      <c r="I118" s="12" t="s">
        <v>1054</v>
      </c>
      <c r="J118" s="16"/>
      <c r="K118" s="12"/>
    </row>
    <row r="119" customFormat="false" ht="15" hidden="false" customHeight="true" outlineLevel="0" collapsed="false">
      <c r="A119" s="12" t="s">
        <v>1421</v>
      </c>
      <c r="B119" s="14" t="n">
        <v>45740</v>
      </c>
      <c r="C119" s="13" t="s">
        <v>311</v>
      </c>
      <c r="D119" s="15" t="str">
        <f aca="false">IFERROR(INDEX(Dim_Employee!$B$2:$B$76,MATCH(C119,Dim_Employee!$A$2:$A$76,0)),"")</f>
        <v>Emeka Bello</v>
      </c>
      <c r="E119" s="12" t="s">
        <v>1308</v>
      </c>
      <c r="F119" s="12" t="s">
        <v>1290</v>
      </c>
      <c r="G119" s="12" t="s">
        <v>1295</v>
      </c>
      <c r="H119" s="12" t="s">
        <v>753</v>
      </c>
      <c r="I119" s="12" t="s">
        <v>1302</v>
      </c>
      <c r="J119" s="16"/>
      <c r="K119" s="12"/>
    </row>
    <row r="120" customFormat="false" ht="15" hidden="false" customHeight="true" outlineLevel="0" collapsed="false">
      <c r="A120" s="12" t="s">
        <v>1422</v>
      </c>
      <c r="B120" s="14" t="n">
        <v>45665</v>
      </c>
      <c r="C120" s="13" t="s">
        <v>296</v>
      </c>
      <c r="D120" s="15" t="str">
        <f aca="false">IFERROR(INDEX(Dim_Employee!$B$2:$B$76,MATCH(C120,Dim_Employee!$A$2:$A$76,0)),"")</f>
        <v>Yusuf Usman</v>
      </c>
      <c r="E120" s="12" t="s">
        <v>1321</v>
      </c>
      <c r="F120" s="12" t="s">
        <v>1299</v>
      </c>
      <c r="G120" s="12" t="s">
        <v>1304</v>
      </c>
      <c r="H120" s="12" t="s">
        <v>753</v>
      </c>
      <c r="I120" s="12" t="s">
        <v>1054</v>
      </c>
      <c r="J120" s="16"/>
      <c r="K120" s="12"/>
    </row>
    <row r="121" customFormat="false" ht="15" hidden="false" customHeight="true" outlineLevel="0" collapsed="false">
      <c r="A121" s="12" t="s">
        <v>1423</v>
      </c>
      <c r="B121" s="14" t="n">
        <v>45872</v>
      </c>
      <c r="C121" s="13" t="s">
        <v>315</v>
      </c>
      <c r="D121" s="15" t="str">
        <f aca="false">IFERROR(INDEX(Dim_Employee!$B$2:$B$76,MATCH(C121,Dim_Employee!$A$2:$A$76,0)),"")</f>
        <v>Chukwudi Okonkwo</v>
      </c>
      <c r="E121" s="12" t="s">
        <v>1298</v>
      </c>
      <c r="F121" s="12" t="s">
        <v>1299</v>
      </c>
      <c r="G121" s="12" t="s">
        <v>1295</v>
      </c>
      <c r="H121" s="12" t="s">
        <v>1087</v>
      </c>
      <c r="I121" s="12" t="s">
        <v>1302</v>
      </c>
      <c r="J121" s="16"/>
      <c r="K121" s="12"/>
    </row>
    <row r="122" customFormat="false" ht="15" hidden="false" customHeight="true" outlineLevel="0" collapsed="false">
      <c r="A122" s="12" t="s">
        <v>1424</v>
      </c>
      <c r="B122" s="14" t="n">
        <v>45682</v>
      </c>
      <c r="C122" s="13" t="s">
        <v>315</v>
      </c>
      <c r="D122" s="15" t="str">
        <f aca="false">IFERROR(INDEX(Dim_Employee!$B$2:$B$76,MATCH(C122,Dim_Employee!$A$2:$A$76,0)),"")</f>
        <v>Chukwudi Okonkwo</v>
      </c>
      <c r="E122" s="12" t="s">
        <v>1308</v>
      </c>
      <c r="F122" s="12" t="s">
        <v>1299</v>
      </c>
      <c r="G122" s="12" t="s">
        <v>1287</v>
      </c>
      <c r="H122" s="12" t="s">
        <v>733</v>
      </c>
      <c r="I122" s="12" t="s">
        <v>1054</v>
      </c>
      <c r="J122" s="16"/>
      <c r="K122" s="12"/>
    </row>
    <row r="123" customFormat="false" ht="15" hidden="false" customHeight="true" outlineLevel="0" collapsed="false">
      <c r="A123" s="12" t="s">
        <v>1425</v>
      </c>
      <c r="B123" s="14" t="n">
        <v>45840</v>
      </c>
      <c r="C123" s="13" t="s">
        <v>296</v>
      </c>
      <c r="D123" s="15" t="str">
        <f aca="false">IFERROR(INDEX(Dim_Employee!$B$2:$B$76,MATCH(C123,Dim_Employee!$A$2:$A$76,0)),"")</f>
        <v>Yusuf Usman</v>
      </c>
      <c r="E123" s="12" t="s">
        <v>1294</v>
      </c>
      <c r="F123" s="12" t="s">
        <v>1290</v>
      </c>
      <c r="G123" s="12" t="s">
        <v>1295</v>
      </c>
      <c r="H123" s="12" t="s">
        <v>753</v>
      </c>
      <c r="I123" s="12" t="s">
        <v>1302</v>
      </c>
      <c r="J123" s="16"/>
      <c r="K123" s="12"/>
    </row>
    <row r="124" customFormat="false" ht="15" hidden="false" customHeight="true" outlineLevel="0" collapsed="false">
      <c r="A124" s="12" t="s">
        <v>1426</v>
      </c>
      <c r="B124" s="14" t="n">
        <v>45745</v>
      </c>
      <c r="C124" s="13" t="s">
        <v>106</v>
      </c>
      <c r="D124" s="15" t="str">
        <f aca="false">IFERROR(INDEX(Dim_Employee!$B$2:$B$76,MATCH(C124,Dim_Employee!$A$2:$A$76,0)),"")</f>
        <v>Damilola Balogun</v>
      </c>
      <c r="E124" s="12" t="s">
        <v>1289</v>
      </c>
      <c r="F124" s="12" t="s">
        <v>1290</v>
      </c>
      <c r="G124" s="12" t="s">
        <v>1322</v>
      </c>
      <c r="H124" s="12" t="s">
        <v>1087</v>
      </c>
      <c r="I124" s="12" t="s">
        <v>1296</v>
      </c>
      <c r="J124" s="16"/>
      <c r="K124" s="12"/>
    </row>
    <row r="125" customFormat="false" ht="15" hidden="false" customHeight="true" outlineLevel="0" collapsed="false">
      <c r="A125" s="12" t="s">
        <v>1427</v>
      </c>
      <c r="B125" s="14" t="n">
        <v>45772</v>
      </c>
      <c r="C125" s="13" t="s">
        <v>319</v>
      </c>
      <c r="D125" s="15" t="str">
        <f aca="false">IFERROR(INDEX(Dim_Employee!$B$2:$B$76,MATCH(C125,Dim_Employee!$A$2:$A$76,0)),"")</f>
        <v>Funmilayo Yakubu</v>
      </c>
      <c r="E125" s="12" t="s">
        <v>1301</v>
      </c>
      <c r="F125" s="12" t="s">
        <v>1299</v>
      </c>
      <c r="G125" s="12" t="s">
        <v>1291</v>
      </c>
      <c r="H125" s="12" t="s">
        <v>1087</v>
      </c>
      <c r="I125" s="12" t="s">
        <v>1302</v>
      </c>
      <c r="J125" s="16"/>
      <c r="K125" s="12"/>
    </row>
    <row r="126" customFormat="false" ht="15" hidden="false" customHeight="true" outlineLevel="0" collapsed="false">
      <c r="A126" s="12" t="s">
        <v>1428</v>
      </c>
      <c r="B126" s="14" t="n">
        <v>45953</v>
      </c>
      <c r="C126" s="13" t="s">
        <v>319</v>
      </c>
      <c r="D126" s="15" t="str">
        <f aca="false">IFERROR(INDEX(Dim_Employee!$B$2:$B$76,MATCH(C126,Dim_Employee!$A$2:$A$76,0)),"")</f>
        <v>Funmilayo Yakubu</v>
      </c>
      <c r="E126" s="12" t="s">
        <v>1301</v>
      </c>
      <c r="F126" s="12" t="s">
        <v>1299</v>
      </c>
      <c r="G126" s="12" t="s">
        <v>1304</v>
      </c>
      <c r="H126" s="12" t="s">
        <v>753</v>
      </c>
      <c r="I126" s="12" t="s">
        <v>1054</v>
      </c>
      <c r="J126" s="16"/>
      <c r="K126" s="12"/>
    </row>
    <row r="127" customFormat="false" ht="15" hidden="false" customHeight="true" outlineLevel="0" collapsed="false">
      <c r="A127" s="12" t="s">
        <v>1429</v>
      </c>
      <c r="B127" s="14" t="n">
        <v>45884</v>
      </c>
      <c r="C127" s="13" t="s">
        <v>319</v>
      </c>
      <c r="D127" s="15" t="str">
        <f aca="false">IFERROR(INDEX(Dim_Employee!$B$2:$B$76,MATCH(C127,Dim_Employee!$A$2:$A$76,0)),"")</f>
        <v>Funmilayo Yakubu</v>
      </c>
      <c r="E127" s="12" t="s">
        <v>1308</v>
      </c>
      <c r="F127" s="12" t="s">
        <v>1290</v>
      </c>
      <c r="G127" s="12" t="s">
        <v>1291</v>
      </c>
      <c r="H127" s="12" t="s">
        <v>753</v>
      </c>
      <c r="I127" s="12" t="s">
        <v>1054</v>
      </c>
      <c r="J127" s="16"/>
      <c r="K127" s="12"/>
    </row>
    <row r="128" customFormat="false" ht="15" hidden="false" customHeight="true" outlineLevel="0" collapsed="false">
      <c r="A128" s="12" t="s">
        <v>1430</v>
      </c>
      <c r="B128" s="14" t="n">
        <v>45719</v>
      </c>
      <c r="C128" s="13" t="s">
        <v>306</v>
      </c>
      <c r="D128" s="15" t="str">
        <f aca="false">IFERROR(INDEX(Dim_Employee!$B$2:$B$76,MATCH(C128,Dim_Employee!$A$2:$A$76,0)),"")</f>
        <v>Segun Ogunleye</v>
      </c>
      <c r="E128" s="12" t="s">
        <v>1308</v>
      </c>
      <c r="F128" s="12" t="s">
        <v>1286</v>
      </c>
      <c r="G128" s="12" t="s">
        <v>1287</v>
      </c>
      <c r="H128" s="12" t="s">
        <v>753</v>
      </c>
      <c r="I128" s="12" t="s">
        <v>1296</v>
      </c>
      <c r="J128" s="16"/>
      <c r="K128" s="12"/>
    </row>
    <row r="129" customFormat="false" ht="15" hidden="false" customHeight="true" outlineLevel="0" collapsed="false">
      <c r="A129" s="12" t="s">
        <v>1431</v>
      </c>
      <c r="B129" s="14" t="n">
        <v>45798</v>
      </c>
      <c r="C129" s="13" t="s">
        <v>311</v>
      </c>
      <c r="D129" s="15" t="str">
        <f aca="false">IFERROR(INDEX(Dim_Employee!$B$2:$B$76,MATCH(C129,Dim_Employee!$A$2:$A$76,0)),"")</f>
        <v>Emeka Bello</v>
      </c>
      <c r="E129" s="12" t="s">
        <v>1301</v>
      </c>
      <c r="F129" s="12" t="s">
        <v>1286</v>
      </c>
      <c r="G129" s="12" t="s">
        <v>1322</v>
      </c>
      <c r="H129" s="12" t="s">
        <v>738</v>
      </c>
      <c r="I129" s="12" t="s">
        <v>1054</v>
      </c>
      <c r="J129" s="16"/>
      <c r="K129" s="12"/>
    </row>
    <row r="130" customFormat="false" ht="15" hidden="false" customHeight="true" outlineLevel="0" collapsed="false">
      <c r="A130" s="12" t="s">
        <v>1432</v>
      </c>
      <c r="B130" s="14" t="n">
        <v>45760</v>
      </c>
      <c r="C130" s="13" t="s">
        <v>106</v>
      </c>
      <c r="D130" s="15" t="str">
        <f aca="false">IFERROR(INDEX(Dim_Employee!$B$2:$B$76,MATCH(C130,Dim_Employee!$A$2:$A$76,0)),"")</f>
        <v>Damilola Balogun</v>
      </c>
      <c r="E130" s="12" t="s">
        <v>1289</v>
      </c>
      <c r="F130" s="12" t="s">
        <v>1299</v>
      </c>
      <c r="G130" s="12" t="s">
        <v>1322</v>
      </c>
      <c r="H130" s="12" t="s">
        <v>733</v>
      </c>
      <c r="I130" s="12" t="s">
        <v>1296</v>
      </c>
      <c r="J130" s="16"/>
      <c r="K130" s="12"/>
    </row>
    <row r="131" customFormat="false" ht="15" hidden="false" customHeight="true" outlineLevel="0" collapsed="false">
      <c r="A131" s="12" t="s">
        <v>1433</v>
      </c>
      <c r="B131" s="14" t="n">
        <v>46001</v>
      </c>
      <c r="C131" s="13" t="s">
        <v>296</v>
      </c>
      <c r="D131" s="15" t="str">
        <f aca="false">IFERROR(INDEX(Dim_Employee!$B$2:$B$76,MATCH(C131,Dim_Employee!$A$2:$A$76,0)),"")</f>
        <v>Yusuf Usman</v>
      </c>
      <c r="E131" s="12" t="s">
        <v>1319</v>
      </c>
      <c r="F131" s="12" t="s">
        <v>1290</v>
      </c>
      <c r="G131" s="12" t="s">
        <v>1304</v>
      </c>
      <c r="H131" s="12" t="s">
        <v>753</v>
      </c>
      <c r="I131" s="12" t="s">
        <v>1292</v>
      </c>
      <c r="J131" s="16" t="n">
        <v>1.7</v>
      </c>
      <c r="K131" s="1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5" min="4" style="1" width="20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0" min="10" style="1" width="17"/>
  </cols>
  <sheetData>
    <row r="1" customFormat="false" ht="26.25" hidden="false" customHeight="true" outlineLevel="0" collapsed="false">
      <c r="A1" s="10" t="s">
        <v>1278</v>
      </c>
      <c r="B1" s="10" t="s">
        <v>9</v>
      </c>
      <c r="C1" s="10" t="s">
        <v>126</v>
      </c>
      <c r="D1" s="10" t="s">
        <v>127</v>
      </c>
      <c r="E1" s="10" t="s">
        <v>1434</v>
      </c>
      <c r="F1" s="10" t="s">
        <v>1435</v>
      </c>
      <c r="G1" s="10" t="s">
        <v>1042</v>
      </c>
      <c r="H1" s="10" t="s">
        <v>1043</v>
      </c>
      <c r="I1" s="10" t="s">
        <v>1282</v>
      </c>
      <c r="J1" s="10" t="s">
        <v>1436</v>
      </c>
    </row>
    <row r="2" customFormat="false" ht="15" hidden="false" customHeight="true" outlineLevel="0" collapsed="false">
      <c r="A2" s="12" t="s">
        <v>1437</v>
      </c>
      <c r="B2" s="14" t="n">
        <v>45761</v>
      </c>
      <c r="C2" s="13" t="s">
        <v>337</v>
      </c>
      <c r="D2" s="15" t="str">
        <f aca="false">IFERROR(INDEX(Dim_Employee!$B$2:$B$76,MATCH(C2,Dim_Employee!$A$2:$A$76,0)),"")</f>
        <v>Musa Yakubu</v>
      </c>
      <c r="E2" s="12" t="s">
        <v>1438</v>
      </c>
      <c r="F2" s="12" t="s">
        <v>1439</v>
      </c>
      <c r="G2" s="12" t="s">
        <v>733</v>
      </c>
      <c r="H2" s="12" t="s">
        <v>1054</v>
      </c>
      <c r="I2" s="16"/>
      <c r="J2" s="16" t="n">
        <v>0</v>
      </c>
    </row>
    <row r="3" customFormat="false" ht="15" hidden="false" customHeight="true" outlineLevel="0" collapsed="false">
      <c r="A3" s="12" t="s">
        <v>1440</v>
      </c>
      <c r="B3" s="14" t="n">
        <v>45860</v>
      </c>
      <c r="C3" s="13" t="s">
        <v>337</v>
      </c>
      <c r="D3" s="15" t="str">
        <f aca="false">IFERROR(INDEX(Dim_Employee!$B$2:$B$76,MATCH(C3,Dim_Employee!$A$2:$A$76,0)),"")</f>
        <v>Musa Yakubu</v>
      </c>
      <c r="E3" s="12" t="s">
        <v>1441</v>
      </c>
      <c r="F3" s="12" t="s">
        <v>1442</v>
      </c>
      <c r="G3" s="12" t="s">
        <v>738</v>
      </c>
      <c r="H3" s="12" t="s">
        <v>739</v>
      </c>
      <c r="I3" s="16"/>
      <c r="J3" s="16" t="n">
        <v>0</v>
      </c>
    </row>
    <row r="4" customFormat="false" ht="15" hidden="false" customHeight="true" outlineLevel="0" collapsed="false">
      <c r="A4" s="12" t="s">
        <v>1443</v>
      </c>
      <c r="B4" s="14" t="n">
        <v>45785</v>
      </c>
      <c r="C4" s="13" t="s">
        <v>342</v>
      </c>
      <c r="D4" s="15" t="str">
        <f aca="false">IFERROR(INDEX(Dim_Employee!$B$2:$B$76,MATCH(C4,Dim_Employee!$A$2:$A$76,0)),"")</f>
        <v>Fatima Abubakar</v>
      </c>
      <c r="E4" s="12" t="s">
        <v>1438</v>
      </c>
      <c r="F4" s="12" t="s">
        <v>1444</v>
      </c>
      <c r="G4" s="12" t="s">
        <v>733</v>
      </c>
      <c r="H4" s="12" t="s">
        <v>739</v>
      </c>
      <c r="I4" s="16"/>
      <c r="J4" s="16" t="n">
        <v>225</v>
      </c>
    </row>
    <row r="5" customFormat="false" ht="15" hidden="false" customHeight="true" outlineLevel="0" collapsed="false">
      <c r="A5" s="12" t="s">
        <v>1445</v>
      </c>
      <c r="B5" s="14" t="n">
        <v>46003</v>
      </c>
      <c r="C5" s="13" t="s">
        <v>327</v>
      </c>
      <c r="D5" s="15" t="str">
        <f aca="false">IFERROR(INDEX(Dim_Employee!$B$2:$B$76,MATCH(C5,Dim_Employee!$A$2:$A$76,0)),"")</f>
        <v>Adaeze Adeyemi</v>
      </c>
      <c r="E5" s="12" t="s">
        <v>1446</v>
      </c>
      <c r="F5" s="12" t="s">
        <v>1447</v>
      </c>
      <c r="G5" s="12" t="s">
        <v>753</v>
      </c>
      <c r="H5" s="12" t="s">
        <v>741</v>
      </c>
      <c r="I5" s="16" t="n">
        <v>45.4</v>
      </c>
      <c r="J5" s="16" t="n">
        <v>0</v>
      </c>
    </row>
    <row r="6" customFormat="false" ht="15" hidden="false" customHeight="true" outlineLevel="0" collapsed="false">
      <c r="A6" s="12" t="s">
        <v>1448</v>
      </c>
      <c r="B6" s="14" t="n">
        <v>45765</v>
      </c>
      <c r="C6" s="13" t="s">
        <v>109</v>
      </c>
      <c r="D6" s="15" t="str">
        <f aca="false">IFERROR(INDEX(Dim_Employee!$B$2:$B$76,MATCH(C6,Dim_Employee!$A$2:$A$76,0)),"")</f>
        <v>Suleiman Garba</v>
      </c>
      <c r="E6" s="12" t="s">
        <v>1446</v>
      </c>
      <c r="F6" s="12" t="s">
        <v>1447</v>
      </c>
      <c r="G6" s="12" t="s">
        <v>733</v>
      </c>
      <c r="H6" s="12" t="s">
        <v>739</v>
      </c>
      <c r="I6" s="16"/>
      <c r="J6" s="16" t="n">
        <v>112</v>
      </c>
    </row>
    <row r="7" customFormat="false" ht="15" hidden="false" customHeight="true" outlineLevel="0" collapsed="false">
      <c r="A7" s="12" t="s">
        <v>1449</v>
      </c>
      <c r="B7" s="14" t="n">
        <v>45911</v>
      </c>
      <c r="C7" s="13" t="s">
        <v>351</v>
      </c>
      <c r="D7" s="15" t="str">
        <f aca="false">IFERROR(INDEX(Dim_Employee!$B$2:$B$76,MATCH(C7,Dim_Employee!$A$2:$A$76,0)),"")</f>
        <v>Rukayat Ude</v>
      </c>
      <c r="E7" s="12" t="s">
        <v>1438</v>
      </c>
      <c r="F7" s="12" t="s">
        <v>1447</v>
      </c>
      <c r="G7" s="12" t="s">
        <v>733</v>
      </c>
      <c r="H7" s="12" t="s">
        <v>739</v>
      </c>
      <c r="I7" s="16"/>
      <c r="J7" s="16" t="n">
        <v>0</v>
      </c>
    </row>
    <row r="8" customFormat="false" ht="15" hidden="false" customHeight="true" outlineLevel="0" collapsed="false">
      <c r="A8" s="12" t="s">
        <v>1450</v>
      </c>
      <c r="B8" s="14" t="n">
        <v>45867</v>
      </c>
      <c r="C8" s="13" t="s">
        <v>337</v>
      </c>
      <c r="D8" s="15" t="str">
        <f aca="false">IFERROR(INDEX(Dim_Employee!$B$2:$B$76,MATCH(C8,Dim_Employee!$A$2:$A$76,0)),"")</f>
        <v>Musa Yakubu</v>
      </c>
      <c r="E8" s="12" t="s">
        <v>1451</v>
      </c>
      <c r="F8" s="12" t="s">
        <v>1444</v>
      </c>
      <c r="G8" s="12" t="s">
        <v>733</v>
      </c>
      <c r="H8" s="12" t="s">
        <v>1452</v>
      </c>
      <c r="I8" s="16"/>
      <c r="J8" s="16" t="n">
        <v>0</v>
      </c>
    </row>
    <row r="9" customFormat="false" ht="15" hidden="false" customHeight="true" outlineLevel="0" collapsed="false">
      <c r="A9" s="12" t="s">
        <v>1453</v>
      </c>
      <c r="B9" s="14" t="n">
        <v>45847</v>
      </c>
      <c r="C9" s="13" t="s">
        <v>109</v>
      </c>
      <c r="D9" s="15" t="str">
        <f aca="false">IFERROR(INDEX(Dim_Employee!$B$2:$B$76,MATCH(C9,Dim_Employee!$A$2:$A$76,0)),"")</f>
        <v>Suleiman Garba</v>
      </c>
      <c r="E9" s="12" t="s">
        <v>1441</v>
      </c>
      <c r="F9" s="12" t="s">
        <v>1454</v>
      </c>
      <c r="G9" s="12" t="s">
        <v>753</v>
      </c>
      <c r="H9" s="12" t="s">
        <v>1054</v>
      </c>
      <c r="I9" s="16"/>
      <c r="J9" s="16" t="n">
        <v>93</v>
      </c>
    </row>
    <row r="10" customFormat="false" ht="15" hidden="false" customHeight="true" outlineLevel="0" collapsed="false">
      <c r="A10" s="12" t="s">
        <v>1455</v>
      </c>
      <c r="B10" s="14" t="n">
        <v>45888</v>
      </c>
      <c r="C10" s="13" t="s">
        <v>351</v>
      </c>
      <c r="D10" s="15" t="str">
        <f aca="false">IFERROR(INDEX(Dim_Employee!$B$2:$B$76,MATCH(C10,Dim_Employee!$A$2:$A$76,0)),"")</f>
        <v>Rukayat Ude</v>
      </c>
      <c r="E10" s="12" t="s">
        <v>1451</v>
      </c>
      <c r="F10" s="12" t="s">
        <v>1447</v>
      </c>
      <c r="G10" s="12" t="s">
        <v>753</v>
      </c>
      <c r="H10" s="12" t="s">
        <v>739</v>
      </c>
      <c r="I10" s="16"/>
      <c r="J10" s="16" t="n">
        <v>0</v>
      </c>
    </row>
    <row r="11" customFormat="false" ht="15" hidden="false" customHeight="true" outlineLevel="0" collapsed="false">
      <c r="A11" s="12" t="s">
        <v>1456</v>
      </c>
      <c r="B11" s="14" t="n">
        <v>45793</v>
      </c>
      <c r="C11" s="13" t="s">
        <v>109</v>
      </c>
      <c r="D11" s="15" t="str">
        <f aca="false">IFERROR(INDEX(Dim_Employee!$B$2:$B$76,MATCH(C11,Dim_Employee!$A$2:$A$76,0)),"")</f>
        <v>Suleiman Garba</v>
      </c>
      <c r="E11" s="12" t="s">
        <v>1451</v>
      </c>
      <c r="F11" s="12" t="s">
        <v>1457</v>
      </c>
      <c r="G11" s="12" t="s">
        <v>738</v>
      </c>
      <c r="H11" s="12" t="s">
        <v>739</v>
      </c>
      <c r="I11" s="16"/>
      <c r="J11" s="16" t="n">
        <v>0</v>
      </c>
    </row>
    <row r="12" customFormat="false" ht="15" hidden="false" customHeight="true" outlineLevel="0" collapsed="false">
      <c r="A12" s="12" t="s">
        <v>1458</v>
      </c>
      <c r="B12" s="14" t="n">
        <v>46006</v>
      </c>
      <c r="C12" s="13" t="s">
        <v>327</v>
      </c>
      <c r="D12" s="15" t="str">
        <f aca="false">IFERROR(INDEX(Dim_Employee!$B$2:$B$76,MATCH(C12,Dim_Employee!$A$2:$A$76,0)),"")</f>
        <v>Adaeze Adeyemi</v>
      </c>
      <c r="E12" s="12" t="s">
        <v>1459</v>
      </c>
      <c r="F12" s="12" t="s">
        <v>1457</v>
      </c>
      <c r="G12" s="12" t="s">
        <v>753</v>
      </c>
      <c r="H12" s="12" t="s">
        <v>741</v>
      </c>
      <c r="I12" s="16" t="n">
        <v>35.8</v>
      </c>
      <c r="J12" s="16" t="n">
        <v>0</v>
      </c>
    </row>
    <row r="13" customFormat="false" ht="15" hidden="false" customHeight="true" outlineLevel="0" collapsed="false">
      <c r="A13" s="12" t="s">
        <v>1460</v>
      </c>
      <c r="B13" s="14" t="n">
        <v>45878</v>
      </c>
      <c r="C13" s="13" t="s">
        <v>109</v>
      </c>
      <c r="D13" s="15" t="str">
        <f aca="false">IFERROR(INDEX(Dim_Employee!$B$2:$B$76,MATCH(C13,Dim_Employee!$A$2:$A$76,0)),"")</f>
        <v>Suleiman Garba</v>
      </c>
      <c r="E13" s="12" t="s">
        <v>1446</v>
      </c>
      <c r="F13" s="12" t="s">
        <v>1442</v>
      </c>
      <c r="G13" s="12" t="s">
        <v>1461</v>
      </c>
      <c r="H13" s="12" t="s">
        <v>1054</v>
      </c>
      <c r="I13" s="16"/>
      <c r="J13" s="16" t="n">
        <v>84</v>
      </c>
    </row>
    <row r="14" customFormat="false" ht="15" hidden="false" customHeight="true" outlineLevel="0" collapsed="false">
      <c r="A14" s="12" t="s">
        <v>1462</v>
      </c>
      <c r="B14" s="14" t="n">
        <v>45762</v>
      </c>
      <c r="C14" s="13" t="s">
        <v>342</v>
      </c>
      <c r="D14" s="15" t="str">
        <f aca="false">IFERROR(INDEX(Dim_Employee!$B$2:$B$76,MATCH(C14,Dim_Employee!$A$2:$A$76,0)),"")</f>
        <v>Fatima Abubakar</v>
      </c>
      <c r="E14" s="12" t="s">
        <v>1446</v>
      </c>
      <c r="F14" s="12" t="s">
        <v>1457</v>
      </c>
      <c r="G14" s="12" t="s">
        <v>753</v>
      </c>
      <c r="H14" s="12" t="s">
        <v>741</v>
      </c>
      <c r="I14" s="16" t="n">
        <v>19.7</v>
      </c>
      <c r="J14" s="16" t="n">
        <v>129</v>
      </c>
    </row>
    <row r="15" customFormat="false" ht="15" hidden="false" customHeight="true" outlineLevel="0" collapsed="false">
      <c r="A15" s="12" t="s">
        <v>1463</v>
      </c>
      <c r="B15" s="14" t="n">
        <v>45770</v>
      </c>
      <c r="C15" s="13" t="s">
        <v>109</v>
      </c>
      <c r="D15" s="15" t="str">
        <f aca="false">IFERROR(INDEX(Dim_Employee!$B$2:$B$76,MATCH(C15,Dim_Employee!$A$2:$A$76,0)),"")</f>
        <v>Suleiman Garba</v>
      </c>
      <c r="E15" s="12" t="s">
        <v>1438</v>
      </c>
      <c r="F15" s="12" t="s">
        <v>1439</v>
      </c>
      <c r="G15" s="12" t="s">
        <v>738</v>
      </c>
      <c r="H15" s="12" t="s">
        <v>741</v>
      </c>
      <c r="I15" s="16" t="n">
        <v>28</v>
      </c>
      <c r="J15" s="16" t="n">
        <v>114</v>
      </c>
    </row>
    <row r="16" customFormat="false" ht="15" hidden="false" customHeight="true" outlineLevel="0" collapsed="false">
      <c r="A16" s="12" t="s">
        <v>1464</v>
      </c>
      <c r="B16" s="14" t="n">
        <v>45822</v>
      </c>
      <c r="C16" s="13" t="s">
        <v>351</v>
      </c>
      <c r="D16" s="15" t="str">
        <f aca="false">IFERROR(INDEX(Dim_Employee!$B$2:$B$76,MATCH(C16,Dim_Employee!$A$2:$A$76,0)),"")</f>
        <v>Rukayat Ude</v>
      </c>
      <c r="E16" s="12" t="s">
        <v>1459</v>
      </c>
      <c r="F16" s="12" t="s">
        <v>1447</v>
      </c>
      <c r="G16" s="12" t="s">
        <v>733</v>
      </c>
      <c r="H16" s="12" t="s">
        <v>739</v>
      </c>
      <c r="I16" s="16"/>
      <c r="J16" s="16" t="n">
        <v>94</v>
      </c>
    </row>
    <row r="17" customFormat="false" ht="15" hidden="false" customHeight="true" outlineLevel="0" collapsed="false">
      <c r="A17" s="12" t="s">
        <v>1465</v>
      </c>
      <c r="B17" s="14" t="n">
        <v>45686</v>
      </c>
      <c r="C17" s="13" t="s">
        <v>327</v>
      </c>
      <c r="D17" s="15" t="str">
        <f aca="false">IFERROR(INDEX(Dim_Employee!$B$2:$B$76,MATCH(C17,Dim_Employee!$A$2:$A$76,0)),"")</f>
        <v>Adaeze Adeyemi</v>
      </c>
      <c r="E17" s="12" t="s">
        <v>1459</v>
      </c>
      <c r="F17" s="12" t="s">
        <v>1444</v>
      </c>
      <c r="G17" s="12" t="s">
        <v>753</v>
      </c>
      <c r="H17" s="12" t="s">
        <v>1452</v>
      </c>
      <c r="I17" s="16"/>
      <c r="J17" s="16" t="n">
        <v>0</v>
      </c>
    </row>
    <row r="18" customFormat="false" ht="15" hidden="false" customHeight="true" outlineLevel="0" collapsed="false">
      <c r="A18" s="12" t="s">
        <v>1466</v>
      </c>
      <c r="B18" s="14" t="n">
        <v>45948</v>
      </c>
      <c r="C18" s="13" t="s">
        <v>337</v>
      </c>
      <c r="D18" s="15" t="str">
        <f aca="false">IFERROR(INDEX(Dim_Employee!$B$2:$B$76,MATCH(C18,Dim_Employee!$A$2:$A$76,0)),"")</f>
        <v>Musa Yakubu</v>
      </c>
      <c r="E18" s="12" t="s">
        <v>1446</v>
      </c>
      <c r="F18" s="12" t="s">
        <v>1442</v>
      </c>
      <c r="G18" s="12" t="s">
        <v>1461</v>
      </c>
      <c r="H18" s="12" t="s">
        <v>1452</v>
      </c>
      <c r="I18" s="16"/>
      <c r="J18" s="16" t="n">
        <v>0</v>
      </c>
    </row>
    <row r="19" customFormat="false" ht="15" hidden="false" customHeight="true" outlineLevel="0" collapsed="false">
      <c r="A19" s="12" t="s">
        <v>1467</v>
      </c>
      <c r="B19" s="14" t="n">
        <v>45854</v>
      </c>
      <c r="C19" s="13" t="s">
        <v>337</v>
      </c>
      <c r="D19" s="15" t="str">
        <f aca="false">IFERROR(INDEX(Dim_Employee!$B$2:$B$76,MATCH(C19,Dim_Employee!$A$2:$A$76,0)),"")</f>
        <v>Musa Yakubu</v>
      </c>
      <c r="E19" s="12" t="s">
        <v>1441</v>
      </c>
      <c r="F19" s="12" t="s">
        <v>1457</v>
      </c>
      <c r="G19" s="12" t="s">
        <v>1461</v>
      </c>
      <c r="H19" s="12" t="s">
        <v>1452</v>
      </c>
      <c r="I19" s="16"/>
      <c r="J19" s="16" t="n">
        <v>0</v>
      </c>
    </row>
    <row r="20" customFormat="false" ht="15" hidden="false" customHeight="true" outlineLevel="0" collapsed="false">
      <c r="A20" s="12" t="s">
        <v>1468</v>
      </c>
      <c r="B20" s="14" t="n">
        <v>45886</v>
      </c>
      <c r="C20" s="13" t="s">
        <v>342</v>
      </c>
      <c r="D20" s="15" t="str">
        <f aca="false">IFERROR(INDEX(Dim_Employee!$B$2:$B$76,MATCH(C20,Dim_Employee!$A$2:$A$76,0)),"")</f>
        <v>Fatima Abubakar</v>
      </c>
      <c r="E20" s="12" t="s">
        <v>1451</v>
      </c>
      <c r="F20" s="12" t="s">
        <v>1444</v>
      </c>
      <c r="G20" s="12" t="s">
        <v>733</v>
      </c>
      <c r="H20" s="12" t="s">
        <v>741</v>
      </c>
      <c r="I20" s="16" t="n">
        <v>25</v>
      </c>
      <c r="J20" s="16" t="n">
        <v>151</v>
      </c>
    </row>
    <row r="21" customFormat="false" ht="15" hidden="false" customHeight="true" outlineLevel="0" collapsed="false">
      <c r="A21" s="12" t="s">
        <v>1469</v>
      </c>
      <c r="B21" s="14" t="n">
        <v>45789</v>
      </c>
      <c r="C21" s="13" t="s">
        <v>342</v>
      </c>
      <c r="D21" s="15" t="str">
        <f aca="false">IFERROR(INDEX(Dim_Employee!$B$2:$B$76,MATCH(C21,Dim_Employee!$A$2:$A$76,0)),"")</f>
        <v>Fatima Abubakar</v>
      </c>
      <c r="E21" s="12" t="s">
        <v>1470</v>
      </c>
      <c r="F21" s="12" t="s">
        <v>1444</v>
      </c>
      <c r="G21" s="12" t="s">
        <v>753</v>
      </c>
      <c r="H21" s="12" t="s">
        <v>741</v>
      </c>
      <c r="I21" s="16" t="n">
        <v>44.8</v>
      </c>
      <c r="J21" s="16" t="n">
        <v>112</v>
      </c>
    </row>
    <row r="22" customFormat="false" ht="15" hidden="false" customHeight="true" outlineLevel="0" collapsed="false">
      <c r="A22" s="12" t="s">
        <v>1471</v>
      </c>
      <c r="B22" s="14" t="n">
        <v>45863</v>
      </c>
      <c r="C22" s="13" t="s">
        <v>327</v>
      </c>
      <c r="D22" s="15" t="str">
        <f aca="false">IFERROR(INDEX(Dim_Employee!$B$2:$B$76,MATCH(C22,Dim_Employee!$A$2:$A$76,0)),"")</f>
        <v>Adaeze Adeyemi</v>
      </c>
      <c r="E22" s="12" t="s">
        <v>1446</v>
      </c>
      <c r="F22" s="12" t="s">
        <v>1457</v>
      </c>
      <c r="G22" s="12" t="s">
        <v>1461</v>
      </c>
      <c r="H22" s="12" t="s">
        <v>1452</v>
      </c>
      <c r="I22" s="16"/>
      <c r="J22" s="16" t="n">
        <v>0</v>
      </c>
    </row>
    <row r="23" customFormat="false" ht="15" hidden="false" customHeight="true" outlineLevel="0" collapsed="false">
      <c r="A23" s="12" t="s">
        <v>1472</v>
      </c>
      <c r="B23" s="14" t="n">
        <v>45730</v>
      </c>
      <c r="C23" s="13" t="s">
        <v>109</v>
      </c>
      <c r="D23" s="15" t="str">
        <f aca="false">IFERROR(INDEX(Dim_Employee!$B$2:$B$76,MATCH(C23,Dim_Employee!$A$2:$A$76,0)),"")</f>
        <v>Suleiman Garba</v>
      </c>
      <c r="E23" s="12" t="s">
        <v>1446</v>
      </c>
      <c r="F23" s="12" t="s">
        <v>1442</v>
      </c>
      <c r="G23" s="12" t="s">
        <v>753</v>
      </c>
      <c r="H23" s="12" t="s">
        <v>1054</v>
      </c>
      <c r="I23" s="16"/>
      <c r="J23" s="16" t="n">
        <v>222</v>
      </c>
    </row>
    <row r="24" customFormat="false" ht="15" hidden="false" customHeight="true" outlineLevel="0" collapsed="false">
      <c r="A24" s="12" t="s">
        <v>1473</v>
      </c>
      <c r="B24" s="14" t="n">
        <v>45923</v>
      </c>
      <c r="C24" s="13" t="s">
        <v>332</v>
      </c>
      <c r="D24" s="15" t="str">
        <f aca="false">IFERROR(INDEX(Dim_Employee!$B$2:$B$76,MATCH(C24,Dim_Employee!$A$2:$A$76,0)),"")</f>
        <v>Chiamaka Bakare</v>
      </c>
      <c r="E24" s="12" t="s">
        <v>1451</v>
      </c>
      <c r="F24" s="12" t="s">
        <v>1439</v>
      </c>
      <c r="G24" s="12" t="s">
        <v>738</v>
      </c>
      <c r="H24" s="12" t="s">
        <v>741</v>
      </c>
      <c r="I24" s="16" t="n">
        <v>9.3</v>
      </c>
      <c r="J24" s="16" t="n">
        <v>82</v>
      </c>
    </row>
    <row r="25" customFormat="false" ht="15" hidden="false" customHeight="true" outlineLevel="0" collapsed="false">
      <c r="A25" s="12" t="s">
        <v>1474</v>
      </c>
      <c r="B25" s="14" t="n">
        <v>45987</v>
      </c>
      <c r="C25" s="13" t="s">
        <v>342</v>
      </c>
      <c r="D25" s="15" t="str">
        <f aca="false">IFERROR(INDEX(Dim_Employee!$B$2:$B$76,MATCH(C25,Dim_Employee!$A$2:$A$76,0)),"")</f>
        <v>Fatima Abubakar</v>
      </c>
      <c r="E25" s="12" t="s">
        <v>1459</v>
      </c>
      <c r="F25" s="12" t="s">
        <v>1442</v>
      </c>
      <c r="G25" s="12" t="s">
        <v>733</v>
      </c>
      <c r="H25" s="12" t="s">
        <v>741</v>
      </c>
      <c r="I25" s="16" t="n">
        <v>41.6</v>
      </c>
      <c r="J25" s="16" t="n">
        <v>67</v>
      </c>
    </row>
    <row r="26" customFormat="false" ht="15" hidden="false" customHeight="true" outlineLevel="0" collapsed="false">
      <c r="A26" s="12" t="s">
        <v>1475</v>
      </c>
      <c r="B26" s="14" t="n">
        <v>45909</v>
      </c>
      <c r="C26" s="13" t="s">
        <v>342</v>
      </c>
      <c r="D26" s="15" t="str">
        <f aca="false">IFERROR(INDEX(Dim_Employee!$B$2:$B$76,MATCH(C26,Dim_Employee!$A$2:$A$76,0)),"")</f>
        <v>Fatima Abubakar</v>
      </c>
      <c r="E26" s="12" t="s">
        <v>1459</v>
      </c>
      <c r="F26" s="12" t="s">
        <v>1442</v>
      </c>
      <c r="G26" s="12" t="s">
        <v>1461</v>
      </c>
      <c r="H26" s="12" t="s">
        <v>1452</v>
      </c>
      <c r="I26" s="16"/>
      <c r="J26" s="16" t="n">
        <v>0</v>
      </c>
    </row>
    <row r="27" customFormat="false" ht="15" hidden="false" customHeight="true" outlineLevel="0" collapsed="false">
      <c r="A27" s="12" t="s">
        <v>1476</v>
      </c>
      <c r="B27" s="14" t="n">
        <v>45691</v>
      </c>
      <c r="C27" s="13" t="s">
        <v>351</v>
      </c>
      <c r="D27" s="15" t="str">
        <f aca="false">IFERROR(INDEX(Dim_Employee!$B$2:$B$76,MATCH(C27,Dim_Employee!$A$2:$A$76,0)),"")</f>
        <v>Rukayat Ude</v>
      </c>
      <c r="E27" s="12" t="s">
        <v>1459</v>
      </c>
      <c r="F27" s="12" t="s">
        <v>1447</v>
      </c>
      <c r="G27" s="12" t="s">
        <v>738</v>
      </c>
      <c r="H27" s="12" t="s">
        <v>741</v>
      </c>
      <c r="I27" s="16" t="n">
        <v>37.1</v>
      </c>
      <c r="J27" s="16" t="n">
        <v>0</v>
      </c>
    </row>
    <row r="28" customFormat="false" ht="15" hidden="false" customHeight="true" outlineLevel="0" collapsed="false">
      <c r="A28" s="12" t="s">
        <v>1477</v>
      </c>
      <c r="B28" s="14" t="n">
        <v>45770</v>
      </c>
      <c r="C28" s="13" t="s">
        <v>109</v>
      </c>
      <c r="D28" s="15" t="str">
        <f aca="false">IFERROR(INDEX(Dim_Employee!$B$2:$B$76,MATCH(C28,Dim_Employee!$A$2:$A$76,0)),"")</f>
        <v>Suleiman Garba</v>
      </c>
      <c r="E28" s="12" t="s">
        <v>1451</v>
      </c>
      <c r="F28" s="12" t="s">
        <v>1442</v>
      </c>
      <c r="G28" s="12" t="s">
        <v>1461</v>
      </c>
      <c r="H28" s="12" t="s">
        <v>739</v>
      </c>
      <c r="I28" s="16"/>
      <c r="J28" s="16" t="n">
        <v>83</v>
      </c>
    </row>
    <row r="29" customFormat="false" ht="15" hidden="false" customHeight="true" outlineLevel="0" collapsed="false">
      <c r="A29" s="12" t="s">
        <v>1478</v>
      </c>
      <c r="B29" s="14" t="n">
        <v>45896</v>
      </c>
      <c r="C29" s="13" t="s">
        <v>327</v>
      </c>
      <c r="D29" s="15" t="str">
        <f aca="false">IFERROR(INDEX(Dim_Employee!$B$2:$B$76,MATCH(C29,Dim_Employee!$A$2:$A$76,0)),"")</f>
        <v>Adaeze Adeyemi</v>
      </c>
      <c r="E29" s="12" t="s">
        <v>1438</v>
      </c>
      <c r="F29" s="12" t="s">
        <v>1442</v>
      </c>
      <c r="G29" s="12" t="s">
        <v>733</v>
      </c>
      <c r="H29" s="12" t="s">
        <v>1452</v>
      </c>
      <c r="I29" s="16"/>
      <c r="J29" s="16" t="n">
        <v>164</v>
      </c>
    </row>
    <row r="30" customFormat="false" ht="15" hidden="false" customHeight="true" outlineLevel="0" collapsed="false">
      <c r="A30" s="12" t="s">
        <v>1479</v>
      </c>
      <c r="B30" s="14" t="n">
        <v>45819</v>
      </c>
      <c r="C30" s="13" t="s">
        <v>347</v>
      </c>
      <c r="D30" s="15" t="str">
        <f aca="false">IFERROR(INDEX(Dim_Employee!$B$2:$B$76,MATCH(C30,Dim_Employee!$A$2:$A$76,0)),"")</f>
        <v>Rukayat Usman</v>
      </c>
      <c r="E30" s="12" t="s">
        <v>1470</v>
      </c>
      <c r="F30" s="12" t="s">
        <v>1457</v>
      </c>
      <c r="G30" s="12" t="s">
        <v>1461</v>
      </c>
      <c r="H30" s="12" t="s">
        <v>1054</v>
      </c>
      <c r="I30" s="16"/>
      <c r="J30" s="16" t="n">
        <v>0</v>
      </c>
    </row>
    <row r="31" customFormat="false" ht="15" hidden="false" customHeight="true" outlineLevel="0" collapsed="false">
      <c r="A31" s="12" t="s">
        <v>1480</v>
      </c>
      <c r="B31" s="14" t="n">
        <v>45980</v>
      </c>
      <c r="C31" s="13" t="s">
        <v>337</v>
      </c>
      <c r="D31" s="15" t="str">
        <f aca="false">IFERROR(INDEX(Dim_Employee!$B$2:$B$76,MATCH(C31,Dim_Employee!$A$2:$A$76,0)),"")</f>
        <v>Musa Yakubu</v>
      </c>
      <c r="E31" s="12" t="s">
        <v>1451</v>
      </c>
      <c r="F31" s="12" t="s">
        <v>1454</v>
      </c>
      <c r="G31" s="12" t="s">
        <v>738</v>
      </c>
      <c r="H31" s="12" t="s">
        <v>741</v>
      </c>
      <c r="I31" s="16" t="n">
        <v>39.3</v>
      </c>
      <c r="J31" s="16" t="n">
        <v>0</v>
      </c>
    </row>
    <row r="32" customFormat="false" ht="15" hidden="false" customHeight="true" outlineLevel="0" collapsed="false">
      <c r="A32" s="12" t="s">
        <v>1481</v>
      </c>
      <c r="B32" s="14" t="n">
        <v>46013</v>
      </c>
      <c r="C32" s="13" t="s">
        <v>347</v>
      </c>
      <c r="D32" s="15" t="str">
        <f aca="false">IFERROR(INDEX(Dim_Employee!$B$2:$B$76,MATCH(C32,Dim_Employee!$A$2:$A$76,0)),"")</f>
        <v>Rukayat Usman</v>
      </c>
      <c r="E32" s="12" t="s">
        <v>1441</v>
      </c>
      <c r="F32" s="12" t="s">
        <v>1439</v>
      </c>
      <c r="G32" s="12" t="s">
        <v>733</v>
      </c>
      <c r="H32" s="12" t="s">
        <v>1054</v>
      </c>
      <c r="I32" s="16"/>
      <c r="J32" s="16" t="n">
        <v>31</v>
      </c>
    </row>
    <row r="33" customFormat="false" ht="15" hidden="false" customHeight="true" outlineLevel="0" collapsed="false">
      <c r="A33" s="12" t="s">
        <v>1482</v>
      </c>
      <c r="B33" s="14" t="n">
        <v>45970</v>
      </c>
      <c r="C33" s="13" t="s">
        <v>327</v>
      </c>
      <c r="D33" s="15" t="str">
        <f aca="false">IFERROR(INDEX(Dim_Employee!$B$2:$B$76,MATCH(C33,Dim_Employee!$A$2:$A$76,0)),"")</f>
        <v>Adaeze Adeyemi</v>
      </c>
      <c r="E33" s="12" t="s">
        <v>1441</v>
      </c>
      <c r="F33" s="12" t="s">
        <v>1447</v>
      </c>
      <c r="G33" s="12" t="s">
        <v>753</v>
      </c>
      <c r="H33" s="12" t="s">
        <v>739</v>
      </c>
      <c r="I33" s="16"/>
      <c r="J33" s="16" t="n">
        <v>226</v>
      </c>
    </row>
    <row r="34" customFormat="false" ht="15" hidden="false" customHeight="true" outlineLevel="0" collapsed="false">
      <c r="A34" s="12" t="s">
        <v>1483</v>
      </c>
      <c r="B34" s="14" t="n">
        <v>45842</v>
      </c>
      <c r="C34" s="13" t="s">
        <v>327</v>
      </c>
      <c r="D34" s="15" t="str">
        <f aca="false">IFERROR(INDEX(Dim_Employee!$B$2:$B$76,MATCH(C34,Dim_Employee!$A$2:$A$76,0)),"")</f>
        <v>Adaeze Adeyemi</v>
      </c>
      <c r="E34" s="12" t="s">
        <v>1451</v>
      </c>
      <c r="F34" s="12" t="s">
        <v>1439</v>
      </c>
      <c r="G34" s="12" t="s">
        <v>738</v>
      </c>
      <c r="H34" s="12" t="s">
        <v>741</v>
      </c>
      <c r="I34" s="16" t="n">
        <v>47.8</v>
      </c>
      <c r="J34" s="16" t="n">
        <v>0</v>
      </c>
    </row>
    <row r="35" customFormat="false" ht="15" hidden="false" customHeight="true" outlineLevel="0" collapsed="false">
      <c r="A35" s="12" t="s">
        <v>1484</v>
      </c>
      <c r="B35" s="14" t="n">
        <v>45971</v>
      </c>
      <c r="C35" s="13" t="s">
        <v>327</v>
      </c>
      <c r="D35" s="15" t="str">
        <f aca="false">IFERROR(INDEX(Dim_Employee!$B$2:$B$76,MATCH(C35,Dim_Employee!$A$2:$A$76,0)),"")</f>
        <v>Adaeze Adeyemi</v>
      </c>
      <c r="E35" s="12" t="s">
        <v>1438</v>
      </c>
      <c r="F35" s="12" t="s">
        <v>1447</v>
      </c>
      <c r="G35" s="12" t="s">
        <v>1461</v>
      </c>
      <c r="H35" s="12" t="s">
        <v>741</v>
      </c>
      <c r="I35" s="16" t="n">
        <v>30.5</v>
      </c>
      <c r="J35" s="16" t="n">
        <v>0</v>
      </c>
    </row>
    <row r="36" customFormat="false" ht="15" hidden="false" customHeight="true" outlineLevel="0" collapsed="false">
      <c r="A36" s="12" t="s">
        <v>1485</v>
      </c>
      <c r="B36" s="14" t="n">
        <v>45778</v>
      </c>
      <c r="C36" s="13" t="s">
        <v>327</v>
      </c>
      <c r="D36" s="15" t="str">
        <f aca="false">IFERROR(INDEX(Dim_Employee!$B$2:$B$76,MATCH(C36,Dim_Employee!$A$2:$A$76,0)),"")</f>
        <v>Adaeze Adeyemi</v>
      </c>
      <c r="E36" s="12" t="s">
        <v>1438</v>
      </c>
      <c r="F36" s="12" t="s">
        <v>1444</v>
      </c>
      <c r="G36" s="12" t="s">
        <v>733</v>
      </c>
      <c r="H36" s="12" t="s">
        <v>741</v>
      </c>
      <c r="I36" s="16" t="n">
        <v>45.2</v>
      </c>
      <c r="J36" s="16" t="n">
        <v>169</v>
      </c>
    </row>
    <row r="37" customFormat="false" ht="15" hidden="false" customHeight="true" outlineLevel="0" collapsed="false">
      <c r="A37" s="12" t="s">
        <v>1486</v>
      </c>
      <c r="B37" s="14" t="n">
        <v>46004</v>
      </c>
      <c r="C37" s="13" t="s">
        <v>332</v>
      </c>
      <c r="D37" s="15" t="str">
        <f aca="false">IFERROR(INDEX(Dim_Employee!$B$2:$B$76,MATCH(C37,Dim_Employee!$A$2:$A$76,0)),"")</f>
        <v>Chiamaka Bakare</v>
      </c>
      <c r="E37" s="12" t="s">
        <v>1470</v>
      </c>
      <c r="F37" s="12" t="s">
        <v>1439</v>
      </c>
      <c r="G37" s="12" t="s">
        <v>738</v>
      </c>
      <c r="H37" s="12" t="s">
        <v>741</v>
      </c>
      <c r="I37" s="16" t="n">
        <v>42</v>
      </c>
      <c r="J37" s="16" t="n">
        <v>205</v>
      </c>
    </row>
    <row r="38" customFormat="false" ht="15" hidden="false" customHeight="true" outlineLevel="0" collapsed="false">
      <c r="A38" s="12" t="s">
        <v>1487</v>
      </c>
      <c r="B38" s="14" t="n">
        <v>45770</v>
      </c>
      <c r="C38" s="13" t="s">
        <v>337</v>
      </c>
      <c r="D38" s="15" t="str">
        <f aca="false">IFERROR(INDEX(Dim_Employee!$B$2:$B$76,MATCH(C38,Dim_Employee!$A$2:$A$76,0)),"")</f>
        <v>Musa Yakubu</v>
      </c>
      <c r="E38" s="12" t="s">
        <v>1438</v>
      </c>
      <c r="F38" s="12" t="s">
        <v>1454</v>
      </c>
      <c r="G38" s="12" t="s">
        <v>733</v>
      </c>
      <c r="H38" s="12" t="s">
        <v>1452</v>
      </c>
      <c r="I38" s="16"/>
      <c r="J38" s="16" t="n">
        <v>99</v>
      </c>
    </row>
    <row r="39" customFormat="false" ht="15" hidden="false" customHeight="true" outlineLevel="0" collapsed="false">
      <c r="A39" s="12" t="s">
        <v>1488</v>
      </c>
      <c r="B39" s="14" t="n">
        <v>45995</v>
      </c>
      <c r="C39" s="13" t="s">
        <v>332</v>
      </c>
      <c r="D39" s="15" t="str">
        <f aca="false">IFERROR(INDEX(Dim_Employee!$B$2:$B$76,MATCH(C39,Dim_Employee!$A$2:$A$76,0)),"")</f>
        <v>Chiamaka Bakare</v>
      </c>
      <c r="E39" s="12" t="s">
        <v>1451</v>
      </c>
      <c r="F39" s="12" t="s">
        <v>1447</v>
      </c>
      <c r="G39" s="12" t="s">
        <v>733</v>
      </c>
      <c r="H39" s="12" t="s">
        <v>1452</v>
      </c>
      <c r="I39" s="16"/>
      <c r="J39" s="16" t="n">
        <v>140</v>
      </c>
    </row>
    <row r="40" customFormat="false" ht="15" hidden="false" customHeight="true" outlineLevel="0" collapsed="false">
      <c r="A40" s="12" t="s">
        <v>1489</v>
      </c>
      <c r="B40" s="14" t="n">
        <v>45961</v>
      </c>
      <c r="C40" s="13" t="s">
        <v>347</v>
      </c>
      <c r="D40" s="15" t="str">
        <f aca="false">IFERROR(INDEX(Dim_Employee!$B$2:$B$76,MATCH(C40,Dim_Employee!$A$2:$A$76,0)),"")</f>
        <v>Rukayat Usman</v>
      </c>
      <c r="E40" s="12" t="s">
        <v>1451</v>
      </c>
      <c r="F40" s="12" t="s">
        <v>1439</v>
      </c>
      <c r="G40" s="12" t="s">
        <v>1461</v>
      </c>
      <c r="H40" s="12" t="s">
        <v>1054</v>
      </c>
      <c r="I40" s="16"/>
      <c r="J40" s="16" t="n">
        <v>90</v>
      </c>
    </row>
    <row r="41" customFormat="false" ht="15" hidden="false" customHeight="true" outlineLevel="0" collapsed="false">
      <c r="A41" s="12" t="s">
        <v>1490</v>
      </c>
      <c r="B41" s="14" t="n">
        <v>45960</v>
      </c>
      <c r="C41" s="13" t="s">
        <v>332</v>
      </c>
      <c r="D41" s="15" t="str">
        <f aca="false">IFERROR(INDEX(Dim_Employee!$B$2:$B$76,MATCH(C41,Dim_Employee!$A$2:$A$76,0)),"")</f>
        <v>Chiamaka Bakare</v>
      </c>
      <c r="E41" s="12" t="s">
        <v>1446</v>
      </c>
      <c r="F41" s="12" t="s">
        <v>1444</v>
      </c>
      <c r="G41" s="12" t="s">
        <v>733</v>
      </c>
      <c r="H41" s="12" t="s">
        <v>739</v>
      </c>
      <c r="I41" s="16"/>
      <c r="J41" s="16" t="n">
        <v>211</v>
      </c>
    </row>
    <row r="42" customFormat="false" ht="15" hidden="false" customHeight="true" outlineLevel="0" collapsed="false">
      <c r="A42" s="12" t="s">
        <v>1491</v>
      </c>
      <c r="B42" s="14" t="n">
        <v>45849</v>
      </c>
      <c r="C42" s="13" t="s">
        <v>337</v>
      </c>
      <c r="D42" s="15" t="str">
        <f aca="false">IFERROR(INDEX(Dim_Employee!$B$2:$B$76,MATCH(C42,Dim_Employee!$A$2:$A$76,0)),"")</f>
        <v>Musa Yakubu</v>
      </c>
      <c r="E42" s="12" t="s">
        <v>1446</v>
      </c>
      <c r="F42" s="12" t="s">
        <v>1454</v>
      </c>
      <c r="G42" s="12" t="s">
        <v>753</v>
      </c>
      <c r="H42" s="12" t="s">
        <v>1054</v>
      </c>
      <c r="I42" s="16"/>
      <c r="J42" s="16" t="n">
        <v>87</v>
      </c>
    </row>
    <row r="43" customFormat="false" ht="15" hidden="false" customHeight="true" outlineLevel="0" collapsed="false">
      <c r="A43" s="12" t="s">
        <v>1492</v>
      </c>
      <c r="B43" s="14" t="n">
        <v>45745</v>
      </c>
      <c r="C43" s="13" t="s">
        <v>351</v>
      </c>
      <c r="D43" s="15" t="str">
        <f aca="false">IFERROR(INDEX(Dim_Employee!$B$2:$B$76,MATCH(C43,Dim_Employee!$A$2:$A$76,0)),"")</f>
        <v>Rukayat Ude</v>
      </c>
      <c r="E43" s="12" t="s">
        <v>1438</v>
      </c>
      <c r="F43" s="12" t="s">
        <v>1444</v>
      </c>
      <c r="G43" s="12" t="s">
        <v>753</v>
      </c>
      <c r="H43" s="12" t="s">
        <v>741</v>
      </c>
      <c r="I43" s="16" t="n">
        <v>32.2</v>
      </c>
      <c r="J43" s="16" t="n">
        <v>17</v>
      </c>
    </row>
    <row r="44" customFormat="false" ht="15" hidden="false" customHeight="true" outlineLevel="0" collapsed="false">
      <c r="A44" s="12" t="s">
        <v>1493</v>
      </c>
      <c r="B44" s="14" t="n">
        <v>45860</v>
      </c>
      <c r="C44" s="13" t="s">
        <v>337</v>
      </c>
      <c r="D44" s="15" t="str">
        <f aca="false">IFERROR(INDEX(Dim_Employee!$B$2:$B$76,MATCH(C44,Dim_Employee!$A$2:$A$76,0)),"")</f>
        <v>Musa Yakubu</v>
      </c>
      <c r="E44" s="12" t="s">
        <v>1438</v>
      </c>
      <c r="F44" s="12" t="s">
        <v>1457</v>
      </c>
      <c r="G44" s="12" t="s">
        <v>733</v>
      </c>
      <c r="H44" s="12" t="s">
        <v>741</v>
      </c>
      <c r="I44" s="16" t="n">
        <v>46.6</v>
      </c>
      <c r="J44" s="16" t="n">
        <v>0</v>
      </c>
    </row>
    <row r="45" customFormat="false" ht="15" hidden="false" customHeight="true" outlineLevel="0" collapsed="false">
      <c r="A45" s="12" t="s">
        <v>1494</v>
      </c>
      <c r="B45" s="14" t="n">
        <v>45993</v>
      </c>
      <c r="C45" s="13" t="s">
        <v>109</v>
      </c>
      <c r="D45" s="15" t="str">
        <f aca="false">IFERROR(INDEX(Dim_Employee!$B$2:$B$76,MATCH(C45,Dim_Employee!$A$2:$A$76,0)),"")</f>
        <v>Suleiman Garba</v>
      </c>
      <c r="E45" s="12" t="s">
        <v>1459</v>
      </c>
      <c r="F45" s="12" t="s">
        <v>1444</v>
      </c>
      <c r="G45" s="12" t="s">
        <v>738</v>
      </c>
      <c r="H45" s="12" t="s">
        <v>741</v>
      </c>
      <c r="I45" s="16" t="n">
        <v>48</v>
      </c>
      <c r="J45" s="16" t="n">
        <v>0</v>
      </c>
    </row>
    <row r="46" customFormat="false" ht="15" hidden="false" customHeight="true" outlineLevel="0" collapsed="false">
      <c r="A46" s="12" t="s">
        <v>1495</v>
      </c>
      <c r="B46" s="14" t="n">
        <v>45921</v>
      </c>
      <c r="C46" s="13" t="s">
        <v>337</v>
      </c>
      <c r="D46" s="15" t="str">
        <f aca="false">IFERROR(INDEX(Dim_Employee!$B$2:$B$76,MATCH(C46,Dim_Employee!$A$2:$A$76,0)),"")</f>
        <v>Musa Yakubu</v>
      </c>
      <c r="E46" s="12" t="s">
        <v>1438</v>
      </c>
      <c r="F46" s="12" t="s">
        <v>1442</v>
      </c>
      <c r="G46" s="12" t="s">
        <v>733</v>
      </c>
      <c r="H46" s="12" t="s">
        <v>739</v>
      </c>
      <c r="I46" s="16"/>
      <c r="J46" s="16" t="n">
        <v>0</v>
      </c>
    </row>
    <row r="47" customFormat="false" ht="15" hidden="false" customHeight="true" outlineLevel="0" collapsed="false">
      <c r="A47" s="12" t="s">
        <v>1496</v>
      </c>
      <c r="B47" s="14" t="n">
        <v>46014</v>
      </c>
      <c r="C47" s="13" t="s">
        <v>109</v>
      </c>
      <c r="D47" s="15" t="str">
        <f aca="false">IFERROR(INDEX(Dim_Employee!$B$2:$B$76,MATCH(C47,Dim_Employee!$A$2:$A$76,0)),"")</f>
        <v>Suleiman Garba</v>
      </c>
      <c r="E47" s="12" t="s">
        <v>1441</v>
      </c>
      <c r="F47" s="12" t="s">
        <v>1454</v>
      </c>
      <c r="G47" s="12" t="s">
        <v>753</v>
      </c>
      <c r="H47" s="12" t="s">
        <v>1054</v>
      </c>
      <c r="I47" s="16"/>
      <c r="J47" s="16" t="n">
        <v>0</v>
      </c>
    </row>
    <row r="48" customFormat="false" ht="15" hidden="false" customHeight="true" outlineLevel="0" collapsed="false">
      <c r="A48" s="12" t="s">
        <v>1497</v>
      </c>
      <c r="B48" s="14" t="n">
        <v>45719</v>
      </c>
      <c r="C48" s="13" t="s">
        <v>347</v>
      </c>
      <c r="D48" s="15" t="str">
        <f aca="false">IFERROR(INDEX(Dim_Employee!$B$2:$B$76,MATCH(C48,Dim_Employee!$A$2:$A$76,0)),"")</f>
        <v>Rukayat Usman</v>
      </c>
      <c r="E48" s="12" t="s">
        <v>1438</v>
      </c>
      <c r="F48" s="12" t="s">
        <v>1439</v>
      </c>
      <c r="G48" s="12" t="s">
        <v>738</v>
      </c>
      <c r="H48" s="12" t="s">
        <v>1452</v>
      </c>
      <c r="I48" s="16"/>
      <c r="J48" s="16" t="n">
        <v>0</v>
      </c>
    </row>
    <row r="49" customFormat="false" ht="15" hidden="false" customHeight="true" outlineLevel="0" collapsed="false">
      <c r="A49" s="12" t="s">
        <v>1498</v>
      </c>
      <c r="B49" s="14" t="n">
        <v>45670</v>
      </c>
      <c r="C49" s="13" t="s">
        <v>109</v>
      </c>
      <c r="D49" s="15" t="str">
        <f aca="false">IFERROR(INDEX(Dim_Employee!$B$2:$B$76,MATCH(C49,Dim_Employee!$A$2:$A$76,0)),"")</f>
        <v>Suleiman Garba</v>
      </c>
      <c r="E49" s="12" t="s">
        <v>1446</v>
      </c>
      <c r="F49" s="12" t="s">
        <v>1447</v>
      </c>
      <c r="G49" s="12" t="s">
        <v>1461</v>
      </c>
      <c r="H49" s="12" t="s">
        <v>739</v>
      </c>
      <c r="I49" s="16"/>
      <c r="J49" s="16" t="n">
        <v>0</v>
      </c>
    </row>
    <row r="50" customFormat="false" ht="15" hidden="false" customHeight="true" outlineLevel="0" collapsed="false">
      <c r="A50" s="12" t="s">
        <v>1499</v>
      </c>
      <c r="B50" s="14" t="n">
        <v>45946</v>
      </c>
      <c r="C50" s="13" t="s">
        <v>342</v>
      </c>
      <c r="D50" s="15" t="str">
        <f aca="false">IFERROR(INDEX(Dim_Employee!$B$2:$B$76,MATCH(C50,Dim_Employee!$A$2:$A$76,0)),"")</f>
        <v>Fatima Abubakar</v>
      </c>
      <c r="E50" s="12" t="s">
        <v>1446</v>
      </c>
      <c r="F50" s="12" t="s">
        <v>1442</v>
      </c>
      <c r="G50" s="12" t="s">
        <v>738</v>
      </c>
      <c r="H50" s="12" t="s">
        <v>741</v>
      </c>
      <c r="I50" s="16" t="n">
        <v>37.4</v>
      </c>
      <c r="J50" s="16" t="n">
        <v>240</v>
      </c>
    </row>
    <row r="51" customFormat="false" ht="15" hidden="false" customHeight="true" outlineLevel="0" collapsed="false">
      <c r="A51" s="12" t="s">
        <v>1500</v>
      </c>
      <c r="B51" s="14" t="n">
        <v>45783</v>
      </c>
      <c r="C51" s="13" t="s">
        <v>327</v>
      </c>
      <c r="D51" s="15" t="str">
        <f aca="false">IFERROR(INDEX(Dim_Employee!$B$2:$B$76,MATCH(C51,Dim_Employee!$A$2:$A$76,0)),"")</f>
        <v>Adaeze Adeyemi</v>
      </c>
      <c r="E51" s="12" t="s">
        <v>1459</v>
      </c>
      <c r="F51" s="12" t="s">
        <v>1444</v>
      </c>
      <c r="G51" s="12" t="s">
        <v>1461</v>
      </c>
      <c r="H51" s="12" t="s">
        <v>741</v>
      </c>
      <c r="I51" s="16" t="n">
        <v>24.7</v>
      </c>
      <c r="J51" s="16" t="n">
        <v>85</v>
      </c>
    </row>
    <row r="52" customFormat="false" ht="15" hidden="false" customHeight="true" outlineLevel="0" collapsed="false">
      <c r="A52" s="12" t="s">
        <v>1501</v>
      </c>
      <c r="B52" s="14" t="n">
        <v>45745</v>
      </c>
      <c r="C52" s="13" t="s">
        <v>337</v>
      </c>
      <c r="D52" s="15" t="str">
        <f aca="false">IFERROR(INDEX(Dim_Employee!$B$2:$B$76,MATCH(C52,Dim_Employee!$A$2:$A$76,0)),"")</f>
        <v>Musa Yakubu</v>
      </c>
      <c r="E52" s="12" t="s">
        <v>1441</v>
      </c>
      <c r="F52" s="12" t="s">
        <v>1442</v>
      </c>
      <c r="G52" s="12" t="s">
        <v>1461</v>
      </c>
      <c r="H52" s="12" t="s">
        <v>741</v>
      </c>
      <c r="I52" s="16" t="n">
        <v>47.5</v>
      </c>
      <c r="J52" s="16" t="n">
        <v>0</v>
      </c>
    </row>
    <row r="53" customFormat="false" ht="15" hidden="false" customHeight="true" outlineLevel="0" collapsed="false">
      <c r="A53" s="12" t="s">
        <v>1502</v>
      </c>
      <c r="B53" s="14" t="n">
        <v>45731</v>
      </c>
      <c r="C53" s="13" t="s">
        <v>327</v>
      </c>
      <c r="D53" s="15" t="str">
        <f aca="false">IFERROR(INDEX(Dim_Employee!$B$2:$B$76,MATCH(C53,Dim_Employee!$A$2:$A$76,0)),"")</f>
        <v>Adaeze Adeyemi</v>
      </c>
      <c r="E53" s="12" t="s">
        <v>1441</v>
      </c>
      <c r="F53" s="12" t="s">
        <v>1444</v>
      </c>
      <c r="G53" s="12" t="s">
        <v>738</v>
      </c>
      <c r="H53" s="12" t="s">
        <v>741</v>
      </c>
      <c r="I53" s="16" t="n">
        <v>39</v>
      </c>
      <c r="J53" s="16" t="n">
        <v>0</v>
      </c>
    </row>
    <row r="54" customFormat="false" ht="15" hidden="false" customHeight="true" outlineLevel="0" collapsed="false">
      <c r="A54" s="12" t="s">
        <v>1503</v>
      </c>
      <c r="B54" s="14" t="n">
        <v>45714</v>
      </c>
      <c r="C54" s="13" t="s">
        <v>337</v>
      </c>
      <c r="D54" s="15" t="str">
        <f aca="false">IFERROR(INDEX(Dim_Employee!$B$2:$B$76,MATCH(C54,Dim_Employee!$A$2:$A$76,0)),"")</f>
        <v>Musa Yakubu</v>
      </c>
      <c r="E54" s="12" t="s">
        <v>1470</v>
      </c>
      <c r="F54" s="12" t="s">
        <v>1454</v>
      </c>
      <c r="G54" s="12" t="s">
        <v>1461</v>
      </c>
      <c r="H54" s="12" t="s">
        <v>741</v>
      </c>
      <c r="I54" s="16" t="n">
        <v>20.1</v>
      </c>
      <c r="J54" s="16" t="n">
        <v>37</v>
      </c>
    </row>
    <row r="55" customFormat="false" ht="15" hidden="false" customHeight="true" outlineLevel="0" collapsed="false">
      <c r="A55" s="12" t="s">
        <v>1504</v>
      </c>
      <c r="B55" s="14" t="n">
        <v>45672</v>
      </c>
      <c r="C55" s="13" t="s">
        <v>327</v>
      </c>
      <c r="D55" s="15" t="str">
        <f aca="false">IFERROR(INDEX(Dim_Employee!$B$2:$B$76,MATCH(C55,Dim_Employee!$A$2:$A$76,0)),"")</f>
        <v>Adaeze Adeyemi</v>
      </c>
      <c r="E55" s="12" t="s">
        <v>1438</v>
      </c>
      <c r="F55" s="12" t="s">
        <v>1442</v>
      </c>
      <c r="G55" s="12" t="s">
        <v>1461</v>
      </c>
      <c r="H55" s="12" t="s">
        <v>739</v>
      </c>
      <c r="I55" s="16"/>
      <c r="J55" s="16" t="n">
        <v>0</v>
      </c>
    </row>
    <row r="56" customFormat="false" ht="15" hidden="false" customHeight="true" outlineLevel="0" collapsed="false">
      <c r="A56" s="12" t="s">
        <v>1505</v>
      </c>
      <c r="B56" s="14" t="n">
        <v>45932</v>
      </c>
      <c r="C56" s="13" t="s">
        <v>332</v>
      </c>
      <c r="D56" s="15" t="str">
        <f aca="false">IFERROR(INDEX(Dim_Employee!$B$2:$B$76,MATCH(C56,Dim_Employee!$A$2:$A$76,0)),"")</f>
        <v>Chiamaka Bakare</v>
      </c>
      <c r="E56" s="12" t="s">
        <v>1446</v>
      </c>
      <c r="F56" s="12" t="s">
        <v>1454</v>
      </c>
      <c r="G56" s="12" t="s">
        <v>1461</v>
      </c>
      <c r="H56" s="12" t="s">
        <v>741</v>
      </c>
      <c r="I56" s="16" t="n">
        <v>19</v>
      </c>
      <c r="J56" s="16" t="n">
        <v>52</v>
      </c>
    </row>
    <row r="57" customFormat="false" ht="15" hidden="false" customHeight="true" outlineLevel="0" collapsed="false">
      <c r="A57" s="12" t="s">
        <v>1506</v>
      </c>
      <c r="B57" s="14" t="n">
        <v>45944</v>
      </c>
      <c r="C57" s="13" t="s">
        <v>332</v>
      </c>
      <c r="D57" s="15" t="str">
        <f aca="false">IFERROR(INDEX(Dim_Employee!$B$2:$B$76,MATCH(C57,Dim_Employee!$A$2:$A$76,0)),"")</f>
        <v>Chiamaka Bakare</v>
      </c>
      <c r="E57" s="12" t="s">
        <v>1459</v>
      </c>
      <c r="F57" s="12" t="s">
        <v>1444</v>
      </c>
      <c r="G57" s="12" t="s">
        <v>733</v>
      </c>
      <c r="H57" s="12" t="s">
        <v>1452</v>
      </c>
      <c r="I57" s="16"/>
      <c r="J57" s="16" t="n">
        <v>238</v>
      </c>
    </row>
    <row r="58" customFormat="false" ht="15" hidden="false" customHeight="true" outlineLevel="0" collapsed="false">
      <c r="A58" s="12" t="s">
        <v>1507</v>
      </c>
      <c r="B58" s="14" t="n">
        <v>45770</v>
      </c>
      <c r="C58" s="13" t="s">
        <v>337</v>
      </c>
      <c r="D58" s="15" t="str">
        <f aca="false">IFERROR(INDEX(Dim_Employee!$B$2:$B$76,MATCH(C58,Dim_Employee!$A$2:$A$76,0)),"")</f>
        <v>Musa Yakubu</v>
      </c>
      <c r="E58" s="12" t="s">
        <v>1451</v>
      </c>
      <c r="F58" s="12" t="s">
        <v>1442</v>
      </c>
      <c r="G58" s="12" t="s">
        <v>1461</v>
      </c>
      <c r="H58" s="12" t="s">
        <v>739</v>
      </c>
      <c r="I58" s="16"/>
      <c r="J58" s="16" t="n">
        <v>144</v>
      </c>
    </row>
    <row r="59" customFormat="false" ht="15" hidden="false" customHeight="true" outlineLevel="0" collapsed="false">
      <c r="A59" s="12" t="s">
        <v>1508</v>
      </c>
      <c r="B59" s="14" t="n">
        <v>45828</v>
      </c>
      <c r="C59" s="13" t="s">
        <v>351</v>
      </c>
      <c r="D59" s="15" t="str">
        <f aca="false">IFERROR(INDEX(Dim_Employee!$B$2:$B$76,MATCH(C59,Dim_Employee!$A$2:$A$76,0)),"")</f>
        <v>Rukayat Ude</v>
      </c>
      <c r="E59" s="12" t="s">
        <v>1438</v>
      </c>
      <c r="F59" s="12" t="s">
        <v>1442</v>
      </c>
      <c r="G59" s="12" t="s">
        <v>733</v>
      </c>
      <c r="H59" s="12" t="s">
        <v>1452</v>
      </c>
      <c r="I59" s="16"/>
      <c r="J59" s="16" t="n">
        <v>156</v>
      </c>
    </row>
    <row r="60" customFormat="false" ht="15" hidden="false" customHeight="true" outlineLevel="0" collapsed="false">
      <c r="A60" s="12" t="s">
        <v>1509</v>
      </c>
      <c r="B60" s="14" t="n">
        <v>45772</v>
      </c>
      <c r="C60" s="13" t="s">
        <v>332</v>
      </c>
      <c r="D60" s="15" t="str">
        <f aca="false">IFERROR(INDEX(Dim_Employee!$B$2:$B$76,MATCH(C60,Dim_Employee!$A$2:$A$76,0)),"")</f>
        <v>Chiamaka Bakare</v>
      </c>
      <c r="E60" s="12" t="s">
        <v>1470</v>
      </c>
      <c r="F60" s="12" t="s">
        <v>1442</v>
      </c>
      <c r="G60" s="12" t="s">
        <v>753</v>
      </c>
      <c r="H60" s="12" t="s">
        <v>741</v>
      </c>
      <c r="I60" s="16" t="n">
        <v>8.3</v>
      </c>
      <c r="J60" s="16" t="n">
        <v>77</v>
      </c>
    </row>
    <row r="61" customFormat="false" ht="15" hidden="false" customHeight="true" outlineLevel="0" collapsed="false">
      <c r="A61" s="12" t="s">
        <v>1510</v>
      </c>
      <c r="B61" s="14" t="n">
        <v>45924</v>
      </c>
      <c r="C61" s="13" t="s">
        <v>109</v>
      </c>
      <c r="D61" s="15" t="str">
        <f aca="false">IFERROR(INDEX(Dim_Employee!$B$2:$B$76,MATCH(C61,Dim_Employee!$A$2:$A$76,0)),"")</f>
        <v>Suleiman Garba</v>
      </c>
      <c r="E61" s="12" t="s">
        <v>1470</v>
      </c>
      <c r="F61" s="12" t="s">
        <v>1444</v>
      </c>
      <c r="G61" s="12" t="s">
        <v>1461</v>
      </c>
      <c r="H61" s="12" t="s">
        <v>739</v>
      </c>
      <c r="I61" s="16"/>
      <c r="J61" s="16" t="n">
        <v>228</v>
      </c>
    </row>
    <row r="62" customFormat="false" ht="15" hidden="false" customHeight="true" outlineLevel="0" collapsed="false">
      <c r="A62" s="12" t="s">
        <v>1511</v>
      </c>
      <c r="B62" s="14" t="n">
        <v>45711</v>
      </c>
      <c r="C62" s="13" t="s">
        <v>347</v>
      </c>
      <c r="D62" s="15" t="str">
        <f aca="false">IFERROR(INDEX(Dim_Employee!$B$2:$B$76,MATCH(C62,Dim_Employee!$A$2:$A$76,0)),"")</f>
        <v>Rukayat Usman</v>
      </c>
      <c r="E62" s="12" t="s">
        <v>1446</v>
      </c>
      <c r="F62" s="12" t="s">
        <v>1454</v>
      </c>
      <c r="G62" s="12" t="s">
        <v>753</v>
      </c>
      <c r="H62" s="12" t="s">
        <v>741</v>
      </c>
      <c r="I62" s="16" t="n">
        <v>18.2</v>
      </c>
      <c r="J62" s="16" t="n">
        <v>0</v>
      </c>
    </row>
    <row r="63" customFormat="false" ht="15" hidden="false" customHeight="true" outlineLevel="0" collapsed="false">
      <c r="A63" s="12" t="s">
        <v>1512</v>
      </c>
      <c r="B63" s="14" t="n">
        <v>46013</v>
      </c>
      <c r="C63" s="13" t="s">
        <v>327</v>
      </c>
      <c r="D63" s="15" t="str">
        <f aca="false">IFERROR(INDEX(Dim_Employee!$B$2:$B$76,MATCH(C63,Dim_Employee!$A$2:$A$76,0)),"")</f>
        <v>Adaeze Adeyemi</v>
      </c>
      <c r="E63" s="12" t="s">
        <v>1451</v>
      </c>
      <c r="F63" s="12" t="s">
        <v>1447</v>
      </c>
      <c r="G63" s="12" t="s">
        <v>738</v>
      </c>
      <c r="H63" s="12" t="s">
        <v>739</v>
      </c>
      <c r="I63" s="16"/>
      <c r="J63" s="16" t="n">
        <v>0</v>
      </c>
    </row>
    <row r="64" customFormat="false" ht="15" hidden="false" customHeight="true" outlineLevel="0" collapsed="false">
      <c r="A64" s="12" t="s">
        <v>1513</v>
      </c>
      <c r="B64" s="14" t="n">
        <v>45922</v>
      </c>
      <c r="C64" s="13" t="s">
        <v>342</v>
      </c>
      <c r="D64" s="15" t="str">
        <f aca="false">IFERROR(INDEX(Dim_Employee!$B$2:$B$76,MATCH(C64,Dim_Employee!$A$2:$A$76,0)),"")</f>
        <v>Fatima Abubakar</v>
      </c>
      <c r="E64" s="12" t="s">
        <v>1451</v>
      </c>
      <c r="F64" s="12" t="s">
        <v>1442</v>
      </c>
      <c r="G64" s="12" t="s">
        <v>733</v>
      </c>
      <c r="H64" s="12" t="s">
        <v>741</v>
      </c>
      <c r="I64" s="16" t="n">
        <v>15.5</v>
      </c>
      <c r="J64" s="16" t="n">
        <v>0</v>
      </c>
    </row>
    <row r="65" customFormat="false" ht="15" hidden="false" customHeight="true" outlineLevel="0" collapsed="false">
      <c r="A65" s="12" t="s">
        <v>1514</v>
      </c>
      <c r="B65" s="14" t="n">
        <v>45875</v>
      </c>
      <c r="C65" s="13" t="s">
        <v>327</v>
      </c>
      <c r="D65" s="15" t="str">
        <f aca="false">IFERROR(INDEX(Dim_Employee!$B$2:$B$76,MATCH(C65,Dim_Employee!$A$2:$A$76,0)),"")</f>
        <v>Adaeze Adeyemi</v>
      </c>
      <c r="E65" s="12" t="s">
        <v>1470</v>
      </c>
      <c r="F65" s="12" t="s">
        <v>1447</v>
      </c>
      <c r="G65" s="12" t="s">
        <v>1461</v>
      </c>
      <c r="H65" s="12" t="s">
        <v>739</v>
      </c>
      <c r="I65" s="16"/>
      <c r="J65" s="16" t="n">
        <v>0</v>
      </c>
    </row>
    <row r="66" customFormat="false" ht="15" hidden="false" customHeight="true" outlineLevel="0" collapsed="false">
      <c r="A66" s="12" t="s">
        <v>1515</v>
      </c>
      <c r="B66" s="14" t="n">
        <v>45707</v>
      </c>
      <c r="C66" s="13" t="s">
        <v>109</v>
      </c>
      <c r="D66" s="15" t="str">
        <f aca="false">IFERROR(INDEX(Dim_Employee!$B$2:$B$76,MATCH(C66,Dim_Employee!$A$2:$A$76,0)),"")</f>
        <v>Suleiman Garba</v>
      </c>
      <c r="E66" s="12" t="s">
        <v>1446</v>
      </c>
      <c r="F66" s="12" t="s">
        <v>1439</v>
      </c>
      <c r="G66" s="12" t="s">
        <v>738</v>
      </c>
      <c r="H66" s="12" t="s">
        <v>739</v>
      </c>
      <c r="I66" s="16"/>
      <c r="J66" s="16" t="n">
        <v>0</v>
      </c>
    </row>
    <row r="67" customFormat="false" ht="15" hidden="false" customHeight="true" outlineLevel="0" collapsed="false">
      <c r="A67" s="12" t="s">
        <v>1516</v>
      </c>
      <c r="B67" s="14" t="n">
        <v>45737</v>
      </c>
      <c r="C67" s="13" t="s">
        <v>351</v>
      </c>
      <c r="D67" s="15" t="str">
        <f aca="false">IFERROR(INDEX(Dim_Employee!$B$2:$B$76,MATCH(C67,Dim_Employee!$A$2:$A$76,0)),"")</f>
        <v>Rukayat Ude</v>
      </c>
      <c r="E67" s="12" t="s">
        <v>1451</v>
      </c>
      <c r="F67" s="12" t="s">
        <v>1454</v>
      </c>
      <c r="G67" s="12" t="s">
        <v>753</v>
      </c>
      <c r="H67" s="12" t="s">
        <v>739</v>
      </c>
      <c r="I67" s="16"/>
      <c r="J67" s="16" t="n">
        <v>76</v>
      </c>
    </row>
    <row r="68" customFormat="false" ht="15" hidden="false" customHeight="true" outlineLevel="0" collapsed="false">
      <c r="A68" s="12" t="s">
        <v>1517</v>
      </c>
      <c r="B68" s="14" t="n">
        <v>45940</v>
      </c>
      <c r="C68" s="13" t="s">
        <v>109</v>
      </c>
      <c r="D68" s="15" t="str">
        <f aca="false">IFERROR(INDEX(Dim_Employee!$B$2:$B$76,MATCH(C68,Dim_Employee!$A$2:$A$76,0)),"")</f>
        <v>Suleiman Garba</v>
      </c>
      <c r="E68" s="12" t="s">
        <v>1459</v>
      </c>
      <c r="F68" s="12" t="s">
        <v>1447</v>
      </c>
      <c r="G68" s="12" t="s">
        <v>733</v>
      </c>
      <c r="H68" s="12" t="s">
        <v>1452</v>
      </c>
      <c r="I68" s="16"/>
      <c r="J68" s="16" t="n">
        <v>150</v>
      </c>
    </row>
    <row r="69" customFormat="false" ht="15" hidden="false" customHeight="true" outlineLevel="0" collapsed="false">
      <c r="A69" s="12" t="s">
        <v>1518</v>
      </c>
      <c r="B69" s="14" t="n">
        <v>45660</v>
      </c>
      <c r="C69" s="13" t="s">
        <v>342</v>
      </c>
      <c r="D69" s="15" t="str">
        <f aca="false">IFERROR(INDEX(Dim_Employee!$B$2:$B$76,MATCH(C69,Dim_Employee!$A$2:$A$76,0)),"")</f>
        <v>Fatima Abubakar</v>
      </c>
      <c r="E69" s="12" t="s">
        <v>1470</v>
      </c>
      <c r="F69" s="12" t="s">
        <v>1439</v>
      </c>
      <c r="G69" s="12" t="s">
        <v>1461</v>
      </c>
      <c r="H69" s="12" t="s">
        <v>1054</v>
      </c>
      <c r="I69" s="16"/>
      <c r="J69" s="16" t="n">
        <v>0</v>
      </c>
    </row>
    <row r="70" customFormat="false" ht="15" hidden="false" customHeight="true" outlineLevel="0" collapsed="false">
      <c r="A70" s="12" t="s">
        <v>1519</v>
      </c>
      <c r="B70" s="14" t="n">
        <v>45729</v>
      </c>
      <c r="C70" s="13" t="s">
        <v>332</v>
      </c>
      <c r="D70" s="15" t="str">
        <f aca="false">IFERROR(INDEX(Dim_Employee!$B$2:$B$76,MATCH(C70,Dim_Employee!$A$2:$A$76,0)),"")</f>
        <v>Chiamaka Bakare</v>
      </c>
      <c r="E70" s="12" t="s">
        <v>1438</v>
      </c>
      <c r="F70" s="12" t="s">
        <v>1439</v>
      </c>
      <c r="G70" s="12" t="s">
        <v>1461</v>
      </c>
      <c r="H70" s="12" t="s">
        <v>741</v>
      </c>
      <c r="I70" s="16" t="n">
        <v>8.7</v>
      </c>
      <c r="J70" s="16" t="n">
        <v>164</v>
      </c>
    </row>
    <row r="71" customFormat="false" ht="15" hidden="false" customHeight="true" outlineLevel="0" collapsed="false">
      <c r="A71" s="12" t="s">
        <v>1520</v>
      </c>
      <c r="B71" s="14" t="n">
        <v>45694</v>
      </c>
      <c r="C71" s="13" t="s">
        <v>351</v>
      </c>
      <c r="D71" s="15" t="str">
        <f aca="false">IFERROR(INDEX(Dim_Employee!$B$2:$B$76,MATCH(C71,Dim_Employee!$A$2:$A$76,0)),"")</f>
        <v>Rukayat Ude</v>
      </c>
      <c r="E71" s="12" t="s">
        <v>1446</v>
      </c>
      <c r="F71" s="12" t="s">
        <v>1447</v>
      </c>
      <c r="G71" s="12" t="s">
        <v>733</v>
      </c>
      <c r="H71" s="12" t="s">
        <v>741</v>
      </c>
      <c r="I71" s="16" t="n">
        <v>21.6</v>
      </c>
      <c r="J71" s="16" t="n">
        <v>0</v>
      </c>
    </row>
    <row r="72" customFormat="false" ht="15" hidden="false" customHeight="true" outlineLevel="0" collapsed="false">
      <c r="A72" s="12" t="s">
        <v>1521</v>
      </c>
      <c r="B72" s="14" t="n">
        <v>45992</v>
      </c>
      <c r="C72" s="13" t="s">
        <v>347</v>
      </c>
      <c r="D72" s="15" t="str">
        <f aca="false">IFERROR(INDEX(Dim_Employee!$B$2:$B$76,MATCH(C72,Dim_Employee!$A$2:$A$76,0)),"")</f>
        <v>Rukayat Usman</v>
      </c>
      <c r="E72" s="12" t="s">
        <v>1441</v>
      </c>
      <c r="F72" s="12" t="s">
        <v>1442</v>
      </c>
      <c r="G72" s="12" t="s">
        <v>738</v>
      </c>
      <c r="H72" s="12" t="s">
        <v>741</v>
      </c>
      <c r="I72" s="16" t="n">
        <v>19.4</v>
      </c>
      <c r="J72" s="16" t="n">
        <v>0</v>
      </c>
    </row>
    <row r="73" customFormat="false" ht="15" hidden="false" customHeight="true" outlineLevel="0" collapsed="false">
      <c r="A73" s="12" t="s">
        <v>1522</v>
      </c>
      <c r="B73" s="14" t="n">
        <v>45721</v>
      </c>
      <c r="C73" s="13" t="s">
        <v>109</v>
      </c>
      <c r="D73" s="15" t="str">
        <f aca="false">IFERROR(INDEX(Dim_Employee!$B$2:$B$76,MATCH(C73,Dim_Employee!$A$2:$A$76,0)),"")</f>
        <v>Suleiman Garba</v>
      </c>
      <c r="E73" s="12" t="s">
        <v>1459</v>
      </c>
      <c r="F73" s="12" t="s">
        <v>1447</v>
      </c>
      <c r="G73" s="12" t="s">
        <v>1461</v>
      </c>
      <c r="H73" s="12" t="s">
        <v>1452</v>
      </c>
      <c r="I73" s="16"/>
      <c r="J73" s="16" t="n">
        <v>34</v>
      </c>
    </row>
    <row r="74" customFormat="false" ht="15" hidden="false" customHeight="true" outlineLevel="0" collapsed="false">
      <c r="A74" s="12" t="s">
        <v>1523</v>
      </c>
      <c r="B74" s="14" t="n">
        <v>45760</v>
      </c>
      <c r="C74" s="13" t="s">
        <v>337</v>
      </c>
      <c r="D74" s="15" t="str">
        <f aca="false">IFERROR(INDEX(Dim_Employee!$B$2:$B$76,MATCH(C74,Dim_Employee!$A$2:$A$76,0)),"")</f>
        <v>Musa Yakubu</v>
      </c>
      <c r="E74" s="12" t="s">
        <v>1470</v>
      </c>
      <c r="F74" s="12" t="s">
        <v>1454</v>
      </c>
      <c r="G74" s="12" t="s">
        <v>1461</v>
      </c>
      <c r="H74" s="12" t="s">
        <v>741</v>
      </c>
      <c r="I74" s="16" t="n">
        <v>43.1</v>
      </c>
      <c r="J74" s="16" t="n">
        <v>0</v>
      </c>
    </row>
    <row r="75" customFormat="false" ht="15" hidden="false" customHeight="true" outlineLevel="0" collapsed="false">
      <c r="A75" s="12" t="s">
        <v>1524</v>
      </c>
      <c r="B75" s="14" t="n">
        <v>45856</v>
      </c>
      <c r="C75" s="13" t="s">
        <v>337</v>
      </c>
      <c r="D75" s="15" t="str">
        <f aca="false">IFERROR(INDEX(Dim_Employee!$B$2:$B$76,MATCH(C75,Dim_Employee!$A$2:$A$76,0)),"")</f>
        <v>Musa Yakubu</v>
      </c>
      <c r="E75" s="12" t="s">
        <v>1441</v>
      </c>
      <c r="F75" s="12" t="s">
        <v>1439</v>
      </c>
      <c r="G75" s="12" t="s">
        <v>733</v>
      </c>
      <c r="H75" s="12" t="s">
        <v>1452</v>
      </c>
      <c r="I75" s="16"/>
      <c r="J75" s="16" t="n">
        <v>0</v>
      </c>
    </row>
    <row r="76" customFormat="false" ht="15" hidden="false" customHeight="true" outlineLevel="0" collapsed="false">
      <c r="A76" s="12" t="s">
        <v>1525</v>
      </c>
      <c r="B76" s="14" t="n">
        <v>45823</v>
      </c>
      <c r="C76" s="13" t="s">
        <v>342</v>
      </c>
      <c r="D76" s="15" t="str">
        <f aca="false">IFERROR(INDEX(Dim_Employee!$B$2:$B$76,MATCH(C76,Dim_Employee!$A$2:$A$76,0)),"")</f>
        <v>Fatima Abubakar</v>
      </c>
      <c r="E76" s="12" t="s">
        <v>1459</v>
      </c>
      <c r="F76" s="12" t="s">
        <v>1442</v>
      </c>
      <c r="G76" s="12" t="s">
        <v>753</v>
      </c>
      <c r="H76" s="12" t="s">
        <v>1054</v>
      </c>
      <c r="I76" s="16"/>
      <c r="J76" s="16" t="n">
        <v>0</v>
      </c>
    </row>
    <row r="77" customFormat="false" ht="15" hidden="false" customHeight="true" outlineLevel="0" collapsed="false">
      <c r="A77" s="12" t="s">
        <v>1526</v>
      </c>
      <c r="B77" s="14" t="n">
        <v>45851</v>
      </c>
      <c r="C77" s="13" t="s">
        <v>351</v>
      </c>
      <c r="D77" s="15" t="str">
        <f aca="false">IFERROR(INDEX(Dim_Employee!$B$2:$B$76,MATCH(C77,Dim_Employee!$A$2:$A$76,0)),"")</f>
        <v>Rukayat Ude</v>
      </c>
      <c r="E77" s="12" t="s">
        <v>1441</v>
      </c>
      <c r="F77" s="12" t="s">
        <v>1444</v>
      </c>
      <c r="G77" s="12" t="s">
        <v>1461</v>
      </c>
      <c r="H77" s="12" t="s">
        <v>1054</v>
      </c>
      <c r="I77" s="16"/>
      <c r="J77" s="16" t="n">
        <v>0</v>
      </c>
    </row>
    <row r="78" customFormat="false" ht="15" hidden="false" customHeight="true" outlineLevel="0" collapsed="false">
      <c r="A78" s="12" t="s">
        <v>1527</v>
      </c>
      <c r="B78" s="14" t="n">
        <v>45904</v>
      </c>
      <c r="C78" s="13" t="s">
        <v>337</v>
      </c>
      <c r="D78" s="15" t="str">
        <f aca="false">IFERROR(INDEX(Dim_Employee!$B$2:$B$76,MATCH(C78,Dim_Employee!$A$2:$A$76,0)),"")</f>
        <v>Musa Yakubu</v>
      </c>
      <c r="E78" s="12" t="s">
        <v>1470</v>
      </c>
      <c r="F78" s="12" t="s">
        <v>1439</v>
      </c>
      <c r="G78" s="12" t="s">
        <v>753</v>
      </c>
      <c r="H78" s="12" t="s">
        <v>1452</v>
      </c>
      <c r="I78" s="16"/>
      <c r="J78" s="16" t="n">
        <v>140</v>
      </c>
    </row>
    <row r="79" customFormat="false" ht="15" hidden="false" customHeight="true" outlineLevel="0" collapsed="false">
      <c r="A79" s="12" t="s">
        <v>1528</v>
      </c>
      <c r="B79" s="14" t="n">
        <v>45868</v>
      </c>
      <c r="C79" s="13" t="s">
        <v>109</v>
      </c>
      <c r="D79" s="15" t="str">
        <f aca="false">IFERROR(INDEX(Dim_Employee!$B$2:$B$76,MATCH(C79,Dim_Employee!$A$2:$A$76,0)),"")</f>
        <v>Suleiman Garba</v>
      </c>
      <c r="E79" s="12" t="s">
        <v>1441</v>
      </c>
      <c r="F79" s="12" t="s">
        <v>1442</v>
      </c>
      <c r="G79" s="12" t="s">
        <v>753</v>
      </c>
      <c r="H79" s="12" t="s">
        <v>1452</v>
      </c>
      <c r="I79" s="16"/>
      <c r="J79" s="16" t="n">
        <v>63</v>
      </c>
    </row>
    <row r="80" customFormat="false" ht="15" hidden="false" customHeight="true" outlineLevel="0" collapsed="false">
      <c r="A80" s="12" t="s">
        <v>1529</v>
      </c>
      <c r="B80" s="14" t="n">
        <v>45879</v>
      </c>
      <c r="C80" s="13" t="s">
        <v>109</v>
      </c>
      <c r="D80" s="15" t="str">
        <f aca="false">IFERROR(INDEX(Dim_Employee!$B$2:$B$76,MATCH(C80,Dim_Employee!$A$2:$A$76,0)),"")</f>
        <v>Suleiman Garba</v>
      </c>
      <c r="E80" s="12" t="s">
        <v>1441</v>
      </c>
      <c r="F80" s="12" t="s">
        <v>1442</v>
      </c>
      <c r="G80" s="12" t="s">
        <v>738</v>
      </c>
      <c r="H80" s="12" t="s">
        <v>739</v>
      </c>
      <c r="I80" s="16"/>
      <c r="J80" s="16" t="n">
        <v>172</v>
      </c>
    </row>
    <row r="81" customFormat="false" ht="15" hidden="false" customHeight="true" outlineLevel="0" collapsed="false">
      <c r="A81" s="12" t="s">
        <v>1530</v>
      </c>
      <c r="B81" s="14" t="n">
        <v>45753</v>
      </c>
      <c r="C81" s="13" t="s">
        <v>337</v>
      </c>
      <c r="D81" s="15" t="str">
        <f aca="false">IFERROR(INDEX(Dim_Employee!$B$2:$B$76,MATCH(C81,Dim_Employee!$A$2:$A$76,0)),"")</f>
        <v>Musa Yakubu</v>
      </c>
      <c r="E81" s="12" t="s">
        <v>1441</v>
      </c>
      <c r="F81" s="12" t="s">
        <v>1442</v>
      </c>
      <c r="G81" s="12" t="s">
        <v>753</v>
      </c>
      <c r="H81" s="12" t="s">
        <v>1452</v>
      </c>
      <c r="I81" s="16"/>
      <c r="J81" s="16" t="n">
        <v>28</v>
      </c>
    </row>
    <row r="82" customFormat="false" ht="15" hidden="false" customHeight="true" outlineLevel="0" collapsed="false">
      <c r="A82" s="12" t="s">
        <v>1531</v>
      </c>
      <c r="B82" s="14" t="n">
        <v>45948</v>
      </c>
      <c r="C82" s="13" t="s">
        <v>342</v>
      </c>
      <c r="D82" s="15" t="str">
        <f aca="false">IFERROR(INDEX(Dim_Employee!$B$2:$B$76,MATCH(C82,Dim_Employee!$A$2:$A$76,0)),"")</f>
        <v>Fatima Abubakar</v>
      </c>
      <c r="E82" s="12" t="s">
        <v>1459</v>
      </c>
      <c r="F82" s="12" t="s">
        <v>1444</v>
      </c>
      <c r="G82" s="12" t="s">
        <v>1461</v>
      </c>
      <c r="H82" s="12" t="s">
        <v>1054</v>
      </c>
      <c r="I82" s="16"/>
      <c r="J82" s="16" t="n">
        <v>168</v>
      </c>
    </row>
    <row r="83" customFormat="false" ht="15" hidden="false" customHeight="true" outlineLevel="0" collapsed="false">
      <c r="A83" s="12" t="s">
        <v>1532</v>
      </c>
      <c r="B83" s="14" t="n">
        <v>45840</v>
      </c>
      <c r="C83" s="13" t="s">
        <v>332</v>
      </c>
      <c r="D83" s="15" t="str">
        <f aca="false">IFERROR(INDEX(Dim_Employee!$B$2:$B$76,MATCH(C83,Dim_Employee!$A$2:$A$76,0)),"")</f>
        <v>Chiamaka Bakare</v>
      </c>
      <c r="E83" s="12" t="s">
        <v>1451</v>
      </c>
      <c r="F83" s="12" t="s">
        <v>1442</v>
      </c>
      <c r="G83" s="12" t="s">
        <v>738</v>
      </c>
      <c r="H83" s="12" t="s">
        <v>1452</v>
      </c>
      <c r="I83" s="16"/>
      <c r="J83" s="16" t="n">
        <v>228</v>
      </c>
    </row>
    <row r="84" customFormat="false" ht="15" hidden="false" customHeight="true" outlineLevel="0" collapsed="false">
      <c r="A84" s="12" t="s">
        <v>1533</v>
      </c>
      <c r="B84" s="14" t="n">
        <v>45931</v>
      </c>
      <c r="C84" s="13" t="s">
        <v>351</v>
      </c>
      <c r="D84" s="15" t="str">
        <f aca="false">IFERROR(INDEX(Dim_Employee!$B$2:$B$76,MATCH(C84,Dim_Employee!$A$2:$A$76,0)),"")</f>
        <v>Rukayat Ude</v>
      </c>
      <c r="E84" s="12" t="s">
        <v>1470</v>
      </c>
      <c r="F84" s="12" t="s">
        <v>1444</v>
      </c>
      <c r="G84" s="12" t="s">
        <v>753</v>
      </c>
      <c r="H84" s="12" t="s">
        <v>1054</v>
      </c>
      <c r="I84" s="16"/>
      <c r="J84" s="16" t="n">
        <v>48</v>
      </c>
    </row>
    <row r="85" customFormat="false" ht="15" hidden="false" customHeight="true" outlineLevel="0" collapsed="false">
      <c r="A85" s="12" t="s">
        <v>1534</v>
      </c>
      <c r="B85" s="14" t="n">
        <v>45956</v>
      </c>
      <c r="C85" s="13" t="s">
        <v>109</v>
      </c>
      <c r="D85" s="15" t="str">
        <f aca="false">IFERROR(INDEX(Dim_Employee!$B$2:$B$76,MATCH(C85,Dim_Employee!$A$2:$A$76,0)),"")</f>
        <v>Suleiman Garba</v>
      </c>
      <c r="E85" s="12" t="s">
        <v>1459</v>
      </c>
      <c r="F85" s="12" t="s">
        <v>1447</v>
      </c>
      <c r="G85" s="12" t="s">
        <v>753</v>
      </c>
      <c r="H85" s="12" t="s">
        <v>1054</v>
      </c>
      <c r="I85" s="16"/>
      <c r="J85" s="16" t="n">
        <v>0</v>
      </c>
    </row>
    <row r="86" customFormat="false" ht="15" hidden="false" customHeight="true" outlineLevel="0" collapsed="false">
      <c r="A86" s="12" t="s">
        <v>1535</v>
      </c>
      <c r="B86" s="14" t="n">
        <v>45806</v>
      </c>
      <c r="C86" s="13" t="s">
        <v>332</v>
      </c>
      <c r="D86" s="15" t="str">
        <f aca="false">IFERROR(INDEX(Dim_Employee!$B$2:$B$76,MATCH(C86,Dim_Employee!$A$2:$A$76,0)),"")</f>
        <v>Chiamaka Bakare</v>
      </c>
      <c r="E86" s="12" t="s">
        <v>1441</v>
      </c>
      <c r="F86" s="12" t="s">
        <v>1454</v>
      </c>
      <c r="G86" s="12" t="s">
        <v>753</v>
      </c>
      <c r="H86" s="12" t="s">
        <v>741</v>
      </c>
      <c r="I86" s="16" t="n">
        <v>45.7</v>
      </c>
      <c r="J86" s="16" t="n">
        <v>0</v>
      </c>
    </row>
    <row r="87" customFormat="false" ht="15" hidden="false" customHeight="true" outlineLevel="0" collapsed="false">
      <c r="A87" s="12" t="s">
        <v>1536</v>
      </c>
      <c r="B87" s="14" t="n">
        <v>45787</v>
      </c>
      <c r="C87" s="13" t="s">
        <v>109</v>
      </c>
      <c r="D87" s="15" t="str">
        <f aca="false">IFERROR(INDEX(Dim_Employee!$B$2:$B$76,MATCH(C87,Dim_Employee!$A$2:$A$76,0)),"")</f>
        <v>Suleiman Garba</v>
      </c>
      <c r="E87" s="12" t="s">
        <v>1470</v>
      </c>
      <c r="F87" s="12" t="s">
        <v>1447</v>
      </c>
      <c r="G87" s="12" t="s">
        <v>753</v>
      </c>
      <c r="H87" s="12" t="s">
        <v>1054</v>
      </c>
      <c r="I87" s="16"/>
      <c r="J87" s="16" t="n">
        <v>41</v>
      </c>
    </row>
    <row r="88" customFormat="false" ht="15" hidden="false" customHeight="true" outlineLevel="0" collapsed="false">
      <c r="A88" s="12" t="s">
        <v>1537</v>
      </c>
      <c r="B88" s="14" t="n">
        <v>45672</v>
      </c>
      <c r="C88" s="13" t="s">
        <v>332</v>
      </c>
      <c r="D88" s="15" t="str">
        <f aca="false">IFERROR(INDEX(Dim_Employee!$B$2:$B$76,MATCH(C88,Dim_Employee!$A$2:$A$76,0)),"")</f>
        <v>Chiamaka Bakare</v>
      </c>
      <c r="E88" s="12" t="s">
        <v>1451</v>
      </c>
      <c r="F88" s="12" t="s">
        <v>1447</v>
      </c>
      <c r="G88" s="12" t="s">
        <v>738</v>
      </c>
      <c r="H88" s="12" t="s">
        <v>1054</v>
      </c>
      <c r="I88" s="16"/>
      <c r="J88" s="16" t="n">
        <v>18</v>
      </c>
    </row>
    <row r="89" customFormat="false" ht="15" hidden="false" customHeight="true" outlineLevel="0" collapsed="false">
      <c r="A89" s="12" t="s">
        <v>1538</v>
      </c>
      <c r="B89" s="14" t="n">
        <v>45725</v>
      </c>
      <c r="C89" s="13" t="s">
        <v>351</v>
      </c>
      <c r="D89" s="15" t="str">
        <f aca="false">IFERROR(INDEX(Dim_Employee!$B$2:$B$76,MATCH(C89,Dim_Employee!$A$2:$A$76,0)),"")</f>
        <v>Rukayat Ude</v>
      </c>
      <c r="E89" s="12" t="s">
        <v>1441</v>
      </c>
      <c r="F89" s="12" t="s">
        <v>1442</v>
      </c>
      <c r="G89" s="12" t="s">
        <v>738</v>
      </c>
      <c r="H89" s="12" t="s">
        <v>1452</v>
      </c>
      <c r="I89" s="16"/>
      <c r="J89" s="16" t="n">
        <v>206</v>
      </c>
    </row>
    <row r="90" customFormat="false" ht="15" hidden="false" customHeight="true" outlineLevel="0" collapsed="false">
      <c r="A90" s="12" t="s">
        <v>1539</v>
      </c>
      <c r="B90" s="14" t="n">
        <v>45843</v>
      </c>
      <c r="C90" s="13" t="s">
        <v>342</v>
      </c>
      <c r="D90" s="15" t="str">
        <f aca="false">IFERROR(INDEX(Dim_Employee!$B$2:$B$76,MATCH(C90,Dim_Employee!$A$2:$A$76,0)),"")</f>
        <v>Fatima Abubakar</v>
      </c>
      <c r="E90" s="12" t="s">
        <v>1470</v>
      </c>
      <c r="F90" s="12" t="s">
        <v>1444</v>
      </c>
      <c r="G90" s="12" t="s">
        <v>738</v>
      </c>
      <c r="H90" s="12" t="s">
        <v>739</v>
      </c>
      <c r="I90" s="16"/>
      <c r="J90" s="16" t="n">
        <v>103</v>
      </c>
    </row>
    <row r="91" customFormat="false" ht="15" hidden="false" customHeight="true" outlineLevel="0" collapsed="false">
      <c r="A91" s="12" t="s">
        <v>1540</v>
      </c>
      <c r="B91" s="14" t="n">
        <v>45834</v>
      </c>
      <c r="C91" s="13" t="s">
        <v>337</v>
      </c>
      <c r="D91" s="15" t="str">
        <f aca="false">IFERROR(INDEX(Dim_Employee!$B$2:$B$76,MATCH(C91,Dim_Employee!$A$2:$A$76,0)),"")</f>
        <v>Musa Yakubu</v>
      </c>
      <c r="E91" s="12" t="s">
        <v>1470</v>
      </c>
      <c r="F91" s="12" t="s">
        <v>1457</v>
      </c>
      <c r="G91" s="12" t="s">
        <v>753</v>
      </c>
      <c r="H91" s="12" t="s">
        <v>1452</v>
      </c>
      <c r="I91" s="16"/>
      <c r="J91" s="16" t="n">
        <v>0</v>
      </c>
    </row>
    <row r="92" customFormat="false" ht="15" hidden="false" customHeight="true" outlineLevel="0" collapsed="false">
      <c r="A92" s="12" t="s">
        <v>1541</v>
      </c>
      <c r="B92" s="14" t="n">
        <v>45696</v>
      </c>
      <c r="C92" s="13" t="s">
        <v>342</v>
      </c>
      <c r="D92" s="15" t="str">
        <f aca="false">IFERROR(INDEX(Dim_Employee!$B$2:$B$76,MATCH(C92,Dim_Employee!$A$2:$A$76,0)),"")</f>
        <v>Fatima Abubakar</v>
      </c>
      <c r="E92" s="12" t="s">
        <v>1441</v>
      </c>
      <c r="F92" s="12" t="s">
        <v>1442</v>
      </c>
      <c r="G92" s="12" t="s">
        <v>733</v>
      </c>
      <c r="H92" s="12" t="s">
        <v>739</v>
      </c>
      <c r="I92" s="16"/>
      <c r="J92" s="16" t="n">
        <v>0</v>
      </c>
    </row>
    <row r="93" customFormat="false" ht="15" hidden="false" customHeight="true" outlineLevel="0" collapsed="false">
      <c r="A93" s="12" t="s">
        <v>1542</v>
      </c>
      <c r="B93" s="14" t="n">
        <v>45719</v>
      </c>
      <c r="C93" s="13" t="s">
        <v>332</v>
      </c>
      <c r="D93" s="15" t="str">
        <f aca="false">IFERROR(INDEX(Dim_Employee!$B$2:$B$76,MATCH(C93,Dim_Employee!$A$2:$A$76,0)),"")</f>
        <v>Chiamaka Bakare</v>
      </c>
      <c r="E93" s="12" t="s">
        <v>1459</v>
      </c>
      <c r="F93" s="12" t="s">
        <v>1447</v>
      </c>
      <c r="G93" s="12" t="s">
        <v>753</v>
      </c>
      <c r="H93" s="12" t="s">
        <v>741</v>
      </c>
      <c r="I93" s="16" t="n">
        <v>5.3</v>
      </c>
      <c r="J93" s="16" t="n">
        <v>0</v>
      </c>
    </row>
    <row r="94" customFormat="false" ht="15" hidden="false" customHeight="true" outlineLevel="0" collapsed="false">
      <c r="A94" s="12" t="s">
        <v>1543</v>
      </c>
      <c r="B94" s="14" t="n">
        <v>45692</v>
      </c>
      <c r="C94" s="13" t="s">
        <v>332</v>
      </c>
      <c r="D94" s="15" t="str">
        <f aca="false">IFERROR(INDEX(Dim_Employee!$B$2:$B$76,MATCH(C94,Dim_Employee!$A$2:$A$76,0)),"")</f>
        <v>Chiamaka Bakare</v>
      </c>
      <c r="E94" s="12" t="s">
        <v>1459</v>
      </c>
      <c r="F94" s="12" t="s">
        <v>1442</v>
      </c>
      <c r="G94" s="12" t="s">
        <v>1461</v>
      </c>
      <c r="H94" s="12" t="s">
        <v>1054</v>
      </c>
      <c r="I94" s="16"/>
      <c r="J94" s="16" t="n">
        <v>160</v>
      </c>
    </row>
    <row r="95" customFormat="false" ht="15" hidden="false" customHeight="true" outlineLevel="0" collapsed="false">
      <c r="A95" s="12" t="s">
        <v>1544</v>
      </c>
      <c r="B95" s="14" t="n">
        <v>46008</v>
      </c>
      <c r="C95" s="13" t="s">
        <v>342</v>
      </c>
      <c r="D95" s="15" t="str">
        <f aca="false">IFERROR(INDEX(Dim_Employee!$B$2:$B$76,MATCH(C95,Dim_Employee!$A$2:$A$76,0)),"")</f>
        <v>Fatima Abubakar</v>
      </c>
      <c r="E95" s="12" t="s">
        <v>1441</v>
      </c>
      <c r="F95" s="12" t="s">
        <v>1444</v>
      </c>
      <c r="G95" s="12" t="s">
        <v>733</v>
      </c>
      <c r="H95" s="12" t="s">
        <v>1054</v>
      </c>
      <c r="I95" s="16"/>
      <c r="J95" s="16" t="n">
        <v>0</v>
      </c>
    </row>
    <row r="96" customFormat="false" ht="15" hidden="false" customHeight="true" outlineLevel="0" collapsed="false">
      <c r="A96" s="12" t="s">
        <v>1545</v>
      </c>
      <c r="B96" s="14" t="n">
        <v>45971</v>
      </c>
      <c r="C96" s="13" t="s">
        <v>337</v>
      </c>
      <c r="D96" s="15" t="str">
        <f aca="false">IFERROR(INDEX(Dim_Employee!$B$2:$B$76,MATCH(C96,Dim_Employee!$A$2:$A$76,0)),"")</f>
        <v>Musa Yakubu</v>
      </c>
      <c r="E96" s="12" t="s">
        <v>1438</v>
      </c>
      <c r="F96" s="12" t="s">
        <v>1457</v>
      </c>
      <c r="G96" s="12" t="s">
        <v>733</v>
      </c>
      <c r="H96" s="12" t="s">
        <v>1054</v>
      </c>
      <c r="I96" s="16"/>
      <c r="J96" s="16" t="n">
        <v>167</v>
      </c>
    </row>
    <row r="97" customFormat="false" ht="15" hidden="false" customHeight="true" outlineLevel="0" collapsed="false">
      <c r="A97" s="12" t="s">
        <v>1546</v>
      </c>
      <c r="B97" s="14" t="n">
        <v>45698</v>
      </c>
      <c r="C97" s="13" t="s">
        <v>337</v>
      </c>
      <c r="D97" s="15" t="str">
        <f aca="false">IFERROR(INDEX(Dim_Employee!$B$2:$B$76,MATCH(C97,Dim_Employee!$A$2:$A$76,0)),"")</f>
        <v>Musa Yakubu</v>
      </c>
      <c r="E97" s="12" t="s">
        <v>1470</v>
      </c>
      <c r="F97" s="12" t="s">
        <v>1439</v>
      </c>
      <c r="G97" s="12" t="s">
        <v>733</v>
      </c>
      <c r="H97" s="12" t="s">
        <v>1054</v>
      </c>
      <c r="I97" s="16"/>
      <c r="J97" s="16" t="n">
        <v>0</v>
      </c>
    </row>
    <row r="98" customFormat="false" ht="15" hidden="false" customHeight="true" outlineLevel="0" collapsed="false">
      <c r="A98" s="12" t="s">
        <v>1547</v>
      </c>
      <c r="B98" s="14" t="n">
        <v>46017</v>
      </c>
      <c r="C98" s="13" t="s">
        <v>342</v>
      </c>
      <c r="D98" s="15" t="str">
        <f aca="false">IFERROR(INDEX(Dim_Employee!$B$2:$B$76,MATCH(C98,Dim_Employee!$A$2:$A$76,0)),"")</f>
        <v>Fatima Abubakar</v>
      </c>
      <c r="E98" s="12" t="s">
        <v>1451</v>
      </c>
      <c r="F98" s="12" t="s">
        <v>1457</v>
      </c>
      <c r="G98" s="12" t="s">
        <v>738</v>
      </c>
      <c r="H98" s="12" t="s">
        <v>741</v>
      </c>
      <c r="I98" s="16" t="n">
        <v>6.9</v>
      </c>
      <c r="J98" s="16" t="n">
        <v>81</v>
      </c>
    </row>
    <row r="99" customFormat="false" ht="15" hidden="false" customHeight="true" outlineLevel="0" collapsed="false">
      <c r="A99" s="12" t="s">
        <v>1548</v>
      </c>
      <c r="B99" s="14" t="n">
        <v>45668</v>
      </c>
      <c r="C99" s="13" t="s">
        <v>351</v>
      </c>
      <c r="D99" s="15" t="str">
        <f aca="false">IFERROR(INDEX(Dim_Employee!$B$2:$B$76,MATCH(C99,Dim_Employee!$A$2:$A$76,0)),"")</f>
        <v>Rukayat Ude</v>
      </c>
      <c r="E99" s="12" t="s">
        <v>1441</v>
      </c>
      <c r="F99" s="12" t="s">
        <v>1439</v>
      </c>
      <c r="G99" s="12" t="s">
        <v>753</v>
      </c>
      <c r="H99" s="12" t="s">
        <v>1452</v>
      </c>
      <c r="I99" s="16"/>
      <c r="J99" s="16" t="n">
        <v>0</v>
      </c>
    </row>
    <row r="100" customFormat="false" ht="15" hidden="false" customHeight="true" outlineLevel="0" collapsed="false">
      <c r="A100" s="12" t="s">
        <v>1549</v>
      </c>
      <c r="B100" s="14" t="n">
        <v>45713</v>
      </c>
      <c r="C100" s="13" t="s">
        <v>327</v>
      </c>
      <c r="D100" s="15" t="str">
        <f aca="false">IFERROR(INDEX(Dim_Employee!$B$2:$B$76,MATCH(C100,Dim_Employee!$A$2:$A$76,0)),"")</f>
        <v>Adaeze Adeyemi</v>
      </c>
      <c r="E100" s="12" t="s">
        <v>1446</v>
      </c>
      <c r="F100" s="12" t="s">
        <v>1447</v>
      </c>
      <c r="G100" s="12" t="s">
        <v>753</v>
      </c>
      <c r="H100" s="12" t="s">
        <v>741</v>
      </c>
      <c r="I100" s="16" t="n">
        <v>37</v>
      </c>
      <c r="J100" s="16" t="n">
        <v>219</v>
      </c>
    </row>
    <row r="101" customFormat="false" ht="15" hidden="false" customHeight="true" outlineLevel="0" collapsed="false">
      <c r="A101" s="12" t="s">
        <v>1550</v>
      </c>
      <c r="B101" s="14" t="n">
        <v>46010</v>
      </c>
      <c r="C101" s="13" t="s">
        <v>109</v>
      </c>
      <c r="D101" s="15" t="str">
        <f aca="false">IFERROR(INDEX(Dim_Employee!$B$2:$B$76,MATCH(C101,Dim_Employee!$A$2:$A$76,0)),"")</f>
        <v>Suleiman Garba</v>
      </c>
      <c r="E101" s="12" t="s">
        <v>1441</v>
      </c>
      <c r="F101" s="12" t="s">
        <v>1444</v>
      </c>
      <c r="G101" s="12" t="s">
        <v>733</v>
      </c>
      <c r="H101" s="12" t="s">
        <v>1452</v>
      </c>
      <c r="I101" s="16"/>
      <c r="J101" s="16" t="n">
        <v>199</v>
      </c>
    </row>
    <row r="102" customFormat="false" ht="15" hidden="false" customHeight="true" outlineLevel="0" collapsed="false">
      <c r="A102" s="12" t="s">
        <v>1551</v>
      </c>
      <c r="B102" s="14" t="n">
        <v>45860</v>
      </c>
      <c r="C102" s="13" t="s">
        <v>109</v>
      </c>
      <c r="D102" s="15" t="str">
        <f aca="false">IFERROR(INDEX(Dim_Employee!$B$2:$B$76,MATCH(C102,Dim_Employee!$A$2:$A$76,0)),"")</f>
        <v>Suleiman Garba</v>
      </c>
      <c r="E102" s="12" t="s">
        <v>1459</v>
      </c>
      <c r="F102" s="12" t="s">
        <v>1439</v>
      </c>
      <c r="G102" s="12" t="s">
        <v>753</v>
      </c>
      <c r="H102" s="12" t="s">
        <v>739</v>
      </c>
      <c r="I102" s="16"/>
      <c r="J102" s="16" t="n">
        <v>191</v>
      </c>
    </row>
    <row r="103" customFormat="false" ht="15" hidden="false" customHeight="true" outlineLevel="0" collapsed="false">
      <c r="A103" s="12" t="s">
        <v>1552</v>
      </c>
      <c r="B103" s="14" t="n">
        <v>45781</v>
      </c>
      <c r="C103" s="13" t="s">
        <v>332</v>
      </c>
      <c r="D103" s="15" t="str">
        <f aca="false">IFERROR(INDEX(Dim_Employee!$B$2:$B$76,MATCH(C103,Dim_Employee!$A$2:$A$76,0)),"")</f>
        <v>Chiamaka Bakare</v>
      </c>
      <c r="E103" s="12" t="s">
        <v>1451</v>
      </c>
      <c r="F103" s="12" t="s">
        <v>1442</v>
      </c>
      <c r="G103" s="12" t="s">
        <v>753</v>
      </c>
      <c r="H103" s="12" t="s">
        <v>1054</v>
      </c>
      <c r="I103" s="16"/>
      <c r="J103" s="16" t="n">
        <v>4</v>
      </c>
    </row>
    <row r="104" customFormat="false" ht="15" hidden="false" customHeight="true" outlineLevel="0" collapsed="false">
      <c r="A104" s="12" t="s">
        <v>1553</v>
      </c>
      <c r="B104" s="14" t="n">
        <v>45838</v>
      </c>
      <c r="C104" s="13" t="s">
        <v>342</v>
      </c>
      <c r="D104" s="15" t="str">
        <f aca="false">IFERROR(INDEX(Dim_Employee!$B$2:$B$76,MATCH(C104,Dim_Employee!$A$2:$A$76,0)),"")</f>
        <v>Fatima Abubakar</v>
      </c>
      <c r="E104" s="12" t="s">
        <v>1438</v>
      </c>
      <c r="F104" s="12" t="s">
        <v>1454</v>
      </c>
      <c r="G104" s="12" t="s">
        <v>738</v>
      </c>
      <c r="H104" s="12" t="s">
        <v>739</v>
      </c>
      <c r="I104" s="16"/>
      <c r="J104" s="16" t="n">
        <v>0</v>
      </c>
    </row>
    <row r="105" customFormat="false" ht="15" hidden="false" customHeight="true" outlineLevel="0" collapsed="false">
      <c r="A105" s="12" t="s">
        <v>1554</v>
      </c>
      <c r="B105" s="14" t="n">
        <v>45889</v>
      </c>
      <c r="C105" s="13" t="s">
        <v>337</v>
      </c>
      <c r="D105" s="15" t="str">
        <f aca="false">IFERROR(INDEX(Dim_Employee!$B$2:$B$76,MATCH(C105,Dim_Employee!$A$2:$A$76,0)),"")</f>
        <v>Musa Yakubu</v>
      </c>
      <c r="E105" s="12" t="s">
        <v>1438</v>
      </c>
      <c r="F105" s="12" t="s">
        <v>1457</v>
      </c>
      <c r="G105" s="12" t="s">
        <v>753</v>
      </c>
      <c r="H105" s="12" t="s">
        <v>1054</v>
      </c>
      <c r="I105" s="16"/>
      <c r="J105" s="16" t="n">
        <v>51</v>
      </c>
    </row>
    <row r="106" customFormat="false" ht="15" hidden="false" customHeight="true" outlineLevel="0" collapsed="false">
      <c r="A106" s="12" t="s">
        <v>1555</v>
      </c>
      <c r="B106" s="14" t="n">
        <v>45970</v>
      </c>
      <c r="C106" s="13" t="s">
        <v>327</v>
      </c>
      <c r="D106" s="15" t="str">
        <f aca="false">IFERROR(INDEX(Dim_Employee!$B$2:$B$76,MATCH(C106,Dim_Employee!$A$2:$A$76,0)),"")</f>
        <v>Adaeze Adeyemi</v>
      </c>
      <c r="E106" s="12" t="s">
        <v>1451</v>
      </c>
      <c r="F106" s="12" t="s">
        <v>1444</v>
      </c>
      <c r="G106" s="12" t="s">
        <v>753</v>
      </c>
      <c r="H106" s="12" t="s">
        <v>1054</v>
      </c>
      <c r="I106" s="16"/>
      <c r="J106" s="16" t="n">
        <v>0</v>
      </c>
    </row>
    <row r="107" customFormat="false" ht="15" hidden="false" customHeight="true" outlineLevel="0" collapsed="false">
      <c r="A107" s="12" t="s">
        <v>1556</v>
      </c>
      <c r="B107" s="14" t="n">
        <v>45826</v>
      </c>
      <c r="C107" s="13" t="s">
        <v>342</v>
      </c>
      <c r="D107" s="15" t="str">
        <f aca="false">IFERROR(INDEX(Dim_Employee!$B$2:$B$76,MATCH(C107,Dim_Employee!$A$2:$A$76,0)),"")</f>
        <v>Fatima Abubakar</v>
      </c>
      <c r="E107" s="12" t="s">
        <v>1470</v>
      </c>
      <c r="F107" s="12" t="s">
        <v>1454</v>
      </c>
      <c r="G107" s="12" t="s">
        <v>738</v>
      </c>
      <c r="H107" s="12" t="s">
        <v>741</v>
      </c>
      <c r="I107" s="16" t="n">
        <v>9.3</v>
      </c>
      <c r="J107" s="16" t="n">
        <v>72</v>
      </c>
    </row>
    <row r="108" customFormat="false" ht="15" hidden="false" customHeight="true" outlineLevel="0" collapsed="false">
      <c r="A108" s="12" t="s">
        <v>1557</v>
      </c>
      <c r="B108" s="14" t="n">
        <v>45698</v>
      </c>
      <c r="C108" s="13" t="s">
        <v>347</v>
      </c>
      <c r="D108" s="15" t="str">
        <f aca="false">IFERROR(INDEX(Dim_Employee!$B$2:$B$76,MATCH(C108,Dim_Employee!$A$2:$A$76,0)),"")</f>
        <v>Rukayat Usman</v>
      </c>
      <c r="E108" s="12" t="s">
        <v>1470</v>
      </c>
      <c r="F108" s="12" t="s">
        <v>1444</v>
      </c>
      <c r="G108" s="12" t="s">
        <v>738</v>
      </c>
      <c r="H108" s="12" t="s">
        <v>741</v>
      </c>
      <c r="I108" s="16" t="n">
        <v>38</v>
      </c>
      <c r="J108" s="16" t="n">
        <v>0</v>
      </c>
    </row>
    <row r="109" customFormat="false" ht="15" hidden="false" customHeight="true" outlineLevel="0" collapsed="false">
      <c r="A109" s="12" t="s">
        <v>1558</v>
      </c>
      <c r="B109" s="14" t="n">
        <v>45728</v>
      </c>
      <c r="C109" s="13" t="s">
        <v>337</v>
      </c>
      <c r="D109" s="15" t="str">
        <f aca="false">IFERROR(INDEX(Dim_Employee!$B$2:$B$76,MATCH(C109,Dim_Employee!$A$2:$A$76,0)),"")</f>
        <v>Musa Yakubu</v>
      </c>
      <c r="E109" s="12" t="s">
        <v>1451</v>
      </c>
      <c r="F109" s="12" t="s">
        <v>1454</v>
      </c>
      <c r="G109" s="12" t="s">
        <v>753</v>
      </c>
      <c r="H109" s="12" t="s">
        <v>1054</v>
      </c>
      <c r="I109" s="16"/>
      <c r="J109" s="16" t="n">
        <v>134</v>
      </c>
    </row>
    <row r="110" customFormat="false" ht="15" hidden="false" customHeight="true" outlineLevel="0" collapsed="false">
      <c r="A110" s="12" t="s">
        <v>1559</v>
      </c>
      <c r="B110" s="14" t="n">
        <v>46001</v>
      </c>
      <c r="C110" s="13" t="s">
        <v>109</v>
      </c>
      <c r="D110" s="15" t="str">
        <f aca="false">IFERROR(INDEX(Dim_Employee!$B$2:$B$76,MATCH(C110,Dim_Employee!$A$2:$A$76,0)),"")</f>
        <v>Suleiman Garba</v>
      </c>
      <c r="E110" s="12" t="s">
        <v>1459</v>
      </c>
      <c r="F110" s="12" t="s">
        <v>1447</v>
      </c>
      <c r="G110" s="12" t="s">
        <v>738</v>
      </c>
      <c r="H110" s="12" t="s">
        <v>741</v>
      </c>
      <c r="I110" s="16" t="n">
        <v>47.5</v>
      </c>
      <c r="J110" s="16" t="n">
        <v>33</v>
      </c>
    </row>
    <row r="111" customFormat="false" ht="15" hidden="false" customHeight="true" outlineLevel="0" collapsed="false">
      <c r="A111" s="12" t="s">
        <v>1560</v>
      </c>
      <c r="B111" s="14" t="n">
        <v>45692</v>
      </c>
      <c r="C111" s="13" t="s">
        <v>337</v>
      </c>
      <c r="D111" s="15" t="str">
        <f aca="false">IFERROR(INDEX(Dim_Employee!$B$2:$B$76,MATCH(C111,Dim_Employee!$A$2:$A$76,0)),"")</f>
        <v>Musa Yakubu</v>
      </c>
      <c r="E111" s="12" t="s">
        <v>1438</v>
      </c>
      <c r="F111" s="12" t="s">
        <v>1442</v>
      </c>
      <c r="G111" s="12" t="s">
        <v>733</v>
      </c>
      <c r="H111" s="12" t="s">
        <v>739</v>
      </c>
      <c r="I111" s="16"/>
      <c r="J111" s="16" t="n">
        <v>0</v>
      </c>
    </row>
    <row r="112" customFormat="false" ht="15" hidden="false" customHeight="true" outlineLevel="0" collapsed="false">
      <c r="A112" s="12" t="s">
        <v>1561</v>
      </c>
      <c r="B112" s="14" t="n">
        <v>45731</v>
      </c>
      <c r="C112" s="13" t="s">
        <v>337</v>
      </c>
      <c r="D112" s="15" t="str">
        <f aca="false">IFERROR(INDEX(Dim_Employee!$B$2:$B$76,MATCH(C112,Dim_Employee!$A$2:$A$76,0)),"")</f>
        <v>Musa Yakubu</v>
      </c>
      <c r="E112" s="12" t="s">
        <v>1446</v>
      </c>
      <c r="F112" s="12" t="s">
        <v>1457</v>
      </c>
      <c r="G112" s="12" t="s">
        <v>738</v>
      </c>
      <c r="H112" s="12" t="s">
        <v>741</v>
      </c>
      <c r="I112" s="16" t="n">
        <v>18.6</v>
      </c>
      <c r="J112" s="16" t="n">
        <v>219</v>
      </c>
    </row>
    <row r="113" customFormat="false" ht="15" hidden="false" customHeight="true" outlineLevel="0" collapsed="false">
      <c r="A113" s="12" t="s">
        <v>1562</v>
      </c>
      <c r="B113" s="14" t="n">
        <v>45833</v>
      </c>
      <c r="C113" s="13" t="s">
        <v>337</v>
      </c>
      <c r="D113" s="15" t="str">
        <f aca="false">IFERROR(INDEX(Dim_Employee!$B$2:$B$76,MATCH(C113,Dim_Employee!$A$2:$A$76,0)),"")</f>
        <v>Musa Yakubu</v>
      </c>
      <c r="E113" s="12" t="s">
        <v>1459</v>
      </c>
      <c r="F113" s="12" t="s">
        <v>1457</v>
      </c>
      <c r="G113" s="12" t="s">
        <v>738</v>
      </c>
      <c r="H113" s="12" t="s">
        <v>1054</v>
      </c>
      <c r="I113" s="16"/>
      <c r="J113" s="16" t="n">
        <v>0</v>
      </c>
    </row>
    <row r="114" customFormat="false" ht="15" hidden="false" customHeight="true" outlineLevel="0" collapsed="false">
      <c r="A114" s="12" t="s">
        <v>1563</v>
      </c>
      <c r="B114" s="14" t="n">
        <v>45756</v>
      </c>
      <c r="C114" s="13" t="s">
        <v>351</v>
      </c>
      <c r="D114" s="15" t="str">
        <f aca="false">IFERROR(INDEX(Dim_Employee!$B$2:$B$76,MATCH(C114,Dim_Employee!$A$2:$A$76,0)),"")</f>
        <v>Rukayat Ude</v>
      </c>
      <c r="E114" s="12" t="s">
        <v>1459</v>
      </c>
      <c r="F114" s="12" t="s">
        <v>1457</v>
      </c>
      <c r="G114" s="12" t="s">
        <v>738</v>
      </c>
      <c r="H114" s="12" t="s">
        <v>739</v>
      </c>
      <c r="I114" s="16"/>
      <c r="J114" s="16" t="n">
        <v>0</v>
      </c>
    </row>
    <row r="115" customFormat="false" ht="15" hidden="false" customHeight="true" outlineLevel="0" collapsed="false">
      <c r="A115" s="12" t="s">
        <v>1564</v>
      </c>
      <c r="B115" s="14" t="n">
        <v>45797</v>
      </c>
      <c r="C115" s="13" t="s">
        <v>351</v>
      </c>
      <c r="D115" s="15" t="str">
        <f aca="false">IFERROR(INDEX(Dim_Employee!$B$2:$B$76,MATCH(C115,Dim_Employee!$A$2:$A$76,0)),"")</f>
        <v>Rukayat Ude</v>
      </c>
      <c r="E115" s="12" t="s">
        <v>1459</v>
      </c>
      <c r="F115" s="12" t="s">
        <v>1442</v>
      </c>
      <c r="G115" s="12" t="s">
        <v>738</v>
      </c>
      <c r="H115" s="12" t="s">
        <v>1452</v>
      </c>
      <c r="I115" s="16"/>
      <c r="J115" s="16" t="n">
        <v>174</v>
      </c>
    </row>
    <row r="116" customFormat="false" ht="15" hidden="false" customHeight="true" outlineLevel="0" collapsed="false">
      <c r="A116" s="12" t="s">
        <v>1565</v>
      </c>
      <c r="B116" s="14" t="n">
        <v>45721</v>
      </c>
      <c r="C116" s="13" t="s">
        <v>347</v>
      </c>
      <c r="D116" s="15" t="str">
        <f aca="false">IFERROR(INDEX(Dim_Employee!$B$2:$B$76,MATCH(C116,Dim_Employee!$A$2:$A$76,0)),"")</f>
        <v>Rukayat Usman</v>
      </c>
      <c r="E116" s="12" t="s">
        <v>1451</v>
      </c>
      <c r="F116" s="12" t="s">
        <v>1447</v>
      </c>
      <c r="G116" s="12" t="s">
        <v>738</v>
      </c>
      <c r="H116" s="12" t="s">
        <v>739</v>
      </c>
      <c r="I116" s="16"/>
      <c r="J116" s="16" t="n">
        <v>0</v>
      </c>
    </row>
    <row r="117" customFormat="false" ht="15" hidden="false" customHeight="true" outlineLevel="0" collapsed="false">
      <c r="A117" s="12" t="s">
        <v>1566</v>
      </c>
      <c r="B117" s="14" t="n">
        <v>45948</v>
      </c>
      <c r="C117" s="13" t="s">
        <v>342</v>
      </c>
      <c r="D117" s="15" t="str">
        <f aca="false">IFERROR(INDEX(Dim_Employee!$B$2:$B$76,MATCH(C117,Dim_Employee!$A$2:$A$76,0)),"")</f>
        <v>Fatima Abubakar</v>
      </c>
      <c r="E117" s="12" t="s">
        <v>1438</v>
      </c>
      <c r="F117" s="12" t="s">
        <v>1444</v>
      </c>
      <c r="G117" s="12" t="s">
        <v>753</v>
      </c>
      <c r="H117" s="12" t="s">
        <v>741</v>
      </c>
      <c r="I117" s="16" t="n">
        <v>13.5</v>
      </c>
      <c r="J117" s="16" t="n">
        <v>0</v>
      </c>
    </row>
    <row r="118" customFormat="false" ht="15" hidden="false" customHeight="true" outlineLevel="0" collapsed="false">
      <c r="A118" s="12" t="s">
        <v>1567</v>
      </c>
      <c r="B118" s="14" t="n">
        <v>46004</v>
      </c>
      <c r="C118" s="13" t="s">
        <v>109</v>
      </c>
      <c r="D118" s="15" t="str">
        <f aca="false">IFERROR(INDEX(Dim_Employee!$B$2:$B$76,MATCH(C118,Dim_Employee!$A$2:$A$76,0)),"")</f>
        <v>Suleiman Garba</v>
      </c>
      <c r="E118" s="12" t="s">
        <v>1441</v>
      </c>
      <c r="F118" s="12" t="s">
        <v>1457</v>
      </c>
      <c r="G118" s="12" t="s">
        <v>738</v>
      </c>
      <c r="H118" s="12" t="s">
        <v>741</v>
      </c>
      <c r="I118" s="16" t="n">
        <v>31.5</v>
      </c>
      <c r="J118" s="16" t="n">
        <v>221</v>
      </c>
    </row>
    <row r="119" customFormat="false" ht="15" hidden="false" customHeight="true" outlineLevel="0" collapsed="false">
      <c r="A119" s="12" t="s">
        <v>1568</v>
      </c>
      <c r="B119" s="14" t="n">
        <v>45964</v>
      </c>
      <c r="C119" s="13" t="s">
        <v>332</v>
      </c>
      <c r="D119" s="15" t="str">
        <f aca="false">IFERROR(INDEX(Dim_Employee!$B$2:$B$76,MATCH(C119,Dim_Employee!$A$2:$A$76,0)),"")</f>
        <v>Chiamaka Bakare</v>
      </c>
      <c r="E119" s="12" t="s">
        <v>1438</v>
      </c>
      <c r="F119" s="12" t="s">
        <v>1447</v>
      </c>
      <c r="G119" s="12" t="s">
        <v>1461</v>
      </c>
      <c r="H119" s="12" t="s">
        <v>741</v>
      </c>
      <c r="I119" s="16" t="n">
        <v>14.5</v>
      </c>
      <c r="J119" s="16" t="n">
        <v>0</v>
      </c>
    </row>
    <row r="120" customFormat="false" ht="15" hidden="false" customHeight="true" outlineLevel="0" collapsed="false">
      <c r="A120" s="12" t="s">
        <v>1569</v>
      </c>
      <c r="B120" s="14" t="n">
        <v>46005</v>
      </c>
      <c r="C120" s="13" t="s">
        <v>337</v>
      </c>
      <c r="D120" s="15" t="str">
        <f aca="false">IFERROR(INDEX(Dim_Employee!$B$2:$B$76,MATCH(C120,Dim_Employee!$A$2:$A$76,0)),"")</f>
        <v>Musa Yakubu</v>
      </c>
      <c r="E120" s="12" t="s">
        <v>1446</v>
      </c>
      <c r="F120" s="12" t="s">
        <v>1439</v>
      </c>
      <c r="G120" s="12" t="s">
        <v>1461</v>
      </c>
      <c r="H120" s="12" t="s">
        <v>741</v>
      </c>
      <c r="I120" s="16" t="n">
        <v>9.6</v>
      </c>
      <c r="J120" s="16" t="n">
        <v>0</v>
      </c>
    </row>
    <row r="121" customFormat="false" ht="15" hidden="false" customHeight="true" outlineLevel="0" collapsed="false">
      <c r="A121" s="12" t="s">
        <v>1570</v>
      </c>
      <c r="B121" s="14" t="n">
        <v>45766</v>
      </c>
      <c r="C121" s="13" t="s">
        <v>342</v>
      </c>
      <c r="D121" s="15" t="str">
        <f aca="false">IFERROR(INDEX(Dim_Employee!$B$2:$B$76,MATCH(C121,Dim_Employee!$A$2:$A$76,0)),"")</f>
        <v>Fatima Abubakar</v>
      </c>
      <c r="E121" s="12" t="s">
        <v>1446</v>
      </c>
      <c r="F121" s="12" t="s">
        <v>1442</v>
      </c>
      <c r="G121" s="12" t="s">
        <v>738</v>
      </c>
      <c r="H121" s="12" t="s">
        <v>741</v>
      </c>
      <c r="I121" s="16" t="n">
        <v>13.9</v>
      </c>
      <c r="J121" s="16" t="n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6" min="6" style="1" width="15"/>
    <col collapsed="false" customWidth="true" hidden="false" outlineLevel="0" max="7" min="7" style="1" width="20"/>
    <col collapsed="false" customWidth="true" hidden="false" outlineLevel="0" max="10" min="8" style="1" width="15"/>
    <col collapsed="false" customWidth="true" hidden="false" outlineLevel="0" max="11" min="11" style="1" width="16"/>
  </cols>
  <sheetData>
    <row r="1" customFormat="false" ht="26.25" hidden="false" customHeight="true" outlineLevel="0" collapsed="false">
      <c r="A1" s="10" t="s">
        <v>1571</v>
      </c>
      <c r="B1" s="10" t="s">
        <v>9</v>
      </c>
      <c r="C1" s="10" t="s">
        <v>126</v>
      </c>
      <c r="D1" s="10" t="s">
        <v>127</v>
      </c>
      <c r="E1" s="10" t="s">
        <v>723</v>
      </c>
      <c r="F1" s="10" t="s">
        <v>1572</v>
      </c>
      <c r="G1" s="10" t="s">
        <v>1573</v>
      </c>
      <c r="H1" s="10" t="s">
        <v>1574</v>
      </c>
      <c r="I1" s="10" t="s">
        <v>1575</v>
      </c>
      <c r="J1" s="10" t="s">
        <v>1576</v>
      </c>
      <c r="K1" s="10" t="s">
        <v>850</v>
      </c>
    </row>
    <row r="2" customFormat="false" ht="15" hidden="false" customHeight="true" outlineLevel="0" collapsed="false">
      <c r="A2" s="12" t="s">
        <v>1577</v>
      </c>
      <c r="B2" s="14" t="n">
        <v>45670</v>
      </c>
      <c r="C2" s="13" t="s">
        <v>383</v>
      </c>
      <c r="D2" s="15" t="str">
        <f aca="false">IFERROR(INDEX(Dim_Employee!$B$2:$B$76,MATCH(C2,Dim_Employee!$A$2:$A$76,0)),"")</f>
        <v>Tunde Ndukwe</v>
      </c>
      <c r="E2" s="12" t="s">
        <v>97</v>
      </c>
      <c r="F2" s="12" t="s">
        <v>1578</v>
      </c>
      <c r="G2" s="12" t="s">
        <v>1579</v>
      </c>
      <c r="H2" s="18" t="n">
        <v>27130329.94</v>
      </c>
      <c r="I2" s="18" t="n">
        <v>36925659.98</v>
      </c>
      <c r="J2" s="19" t="n">
        <f aca="false">H2-I2</f>
        <v>-9795330.04</v>
      </c>
      <c r="K2" s="12" t="s">
        <v>856</v>
      </c>
    </row>
    <row r="3" customFormat="false" ht="15" hidden="false" customHeight="true" outlineLevel="0" collapsed="false">
      <c r="A3" s="12" t="s">
        <v>1580</v>
      </c>
      <c r="B3" s="14" t="n">
        <v>45974</v>
      </c>
      <c r="C3" s="13" t="s">
        <v>364</v>
      </c>
      <c r="D3" s="15" t="str">
        <f aca="false">IFERROR(INDEX(Dim_Employee!$B$2:$B$76,MATCH(C3,Dim_Employee!$A$2:$A$76,0)),"")</f>
        <v>Amaka Aliyu</v>
      </c>
      <c r="E3" s="12" t="s">
        <v>115</v>
      </c>
      <c r="F3" s="12" t="s">
        <v>1578</v>
      </c>
      <c r="G3" s="12" t="s">
        <v>1579</v>
      </c>
      <c r="H3" s="18" t="n">
        <v>51628608.55</v>
      </c>
      <c r="I3" s="18" t="n">
        <v>58328731.45</v>
      </c>
      <c r="J3" s="19" t="n">
        <f aca="false">H3-I3</f>
        <v>-6700122.90000001</v>
      </c>
      <c r="K3" s="12" t="s">
        <v>878</v>
      </c>
    </row>
    <row r="4" customFormat="false" ht="15" hidden="false" customHeight="true" outlineLevel="0" collapsed="false">
      <c r="A4" s="12" t="s">
        <v>1581</v>
      </c>
      <c r="B4" s="14" t="n">
        <v>45840</v>
      </c>
      <c r="C4" s="13" t="s">
        <v>387</v>
      </c>
      <c r="D4" s="15" t="str">
        <f aca="false">IFERROR(INDEX(Dim_Employee!$B$2:$B$76,MATCH(C4,Dim_Employee!$A$2:$A$76,0)),"")</f>
        <v>Abdullahi Ojo</v>
      </c>
      <c r="E4" s="12" t="s">
        <v>97</v>
      </c>
      <c r="F4" s="12" t="s">
        <v>1578</v>
      </c>
      <c r="G4" s="12" t="s">
        <v>1582</v>
      </c>
      <c r="H4" s="18" t="n">
        <v>32897432.1</v>
      </c>
      <c r="I4" s="18" t="n">
        <v>37622596.71</v>
      </c>
      <c r="J4" s="19" t="n">
        <f aca="false">H4-I4</f>
        <v>-4725164.61</v>
      </c>
      <c r="K4" s="12" t="s">
        <v>878</v>
      </c>
    </row>
    <row r="5" customFormat="false" ht="15" hidden="false" customHeight="true" outlineLevel="0" collapsed="false">
      <c r="A5" s="12" t="s">
        <v>1583</v>
      </c>
      <c r="B5" s="14" t="n">
        <v>45828</v>
      </c>
      <c r="C5" s="13" t="s">
        <v>383</v>
      </c>
      <c r="D5" s="15" t="str">
        <f aca="false">IFERROR(INDEX(Dim_Employee!$B$2:$B$76,MATCH(C5,Dim_Employee!$A$2:$A$76,0)),"")</f>
        <v>Tunde Ndukwe</v>
      </c>
      <c r="E5" s="12" t="s">
        <v>28</v>
      </c>
      <c r="F5" s="12" t="s">
        <v>1578</v>
      </c>
      <c r="G5" s="12" t="s">
        <v>1584</v>
      </c>
      <c r="H5" s="18" t="n">
        <v>31109357.95</v>
      </c>
      <c r="I5" s="18" t="n">
        <v>32637196.01</v>
      </c>
      <c r="J5" s="19" t="n">
        <f aca="false">H5-I5</f>
        <v>-1527838.06</v>
      </c>
      <c r="K5" s="12" t="s">
        <v>878</v>
      </c>
    </row>
    <row r="6" customFormat="false" ht="15" hidden="false" customHeight="true" outlineLevel="0" collapsed="false">
      <c r="A6" s="12" t="s">
        <v>1585</v>
      </c>
      <c r="B6" s="14" t="n">
        <v>45805</v>
      </c>
      <c r="C6" s="13" t="s">
        <v>364</v>
      </c>
      <c r="D6" s="15" t="str">
        <f aca="false">IFERROR(INDEX(Dim_Employee!$B$2:$B$76,MATCH(C6,Dim_Employee!$A$2:$A$76,0)),"")</f>
        <v>Amaka Aliyu</v>
      </c>
      <c r="E6" s="12" t="s">
        <v>104</v>
      </c>
      <c r="F6" s="12" t="s">
        <v>1578</v>
      </c>
      <c r="G6" s="12" t="s">
        <v>1584</v>
      </c>
      <c r="H6" s="18" t="n">
        <v>38209312.17</v>
      </c>
      <c r="I6" s="18" t="n">
        <v>30776689.67</v>
      </c>
      <c r="J6" s="19" t="n">
        <f aca="false">H6-I6</f>
        <v>7432622.5</v>
      </c>
      <c r="K6" s="12" t="s">
        <v>878</v>
      </c>
    </row>
    <row r="7" customFormat="false" ht="15" hidden="false" customHeight="true" outlineLevel="0" collapsed="false">
      <c r="A7" s="12" t="s">
        <v>1586</v>
      </c>
      <c r="B7" s="14" t="n">
        <v>46017</v>
      </c>
      <c r="C7" s="13" t="s">
        <v>379</v>
      </c>
      <c r="D7" s="15" t="str">
        <f aca="false">IFERROR(INDEX(Dim_Employee!$B$2:$B$76,MATCH(C7,Dim_Employee!$A$2:$A$76,0)),"")</f>
        <v>Emeka Adeyemi</v>
      </c>
      <c r="E7" s="12" t="s">
        <v>24</v>
      </c>
      <c r="F7" s="12" t="s">
        <v>1587</v>
      </c>
      <c r="G7" s="12" t="s">
        <v>1588</v>
      </c>
      <c r="H7" s="18" t="n">
        <v>30905461.51</v>
      </c>
      <c r="I7" s="18" t="n">
        <v>33519411.26</v>
      </c>
      <c r="J7" s="19" t="n">
        <f aca="false">H7-I7</f>
        <v>-2613949.75</v>
      </c>
      <c r="K7" s="12" t="s">
        <v>878</v>
      </c>
    </row>
    <row r="8" customFormat="false" ht="15" hidden="false" customHeight="true" outlineLevel="0" collapsed="false">
      <c r="A8" s="12" t="s">
        <v>1589</v>
      </c>
      <c r="B8" s="14" t="n">
        <v>45944</v>
      </c>
      <c r="C8" s="13" t="s">
        <v>359</v>
      </c>
      <c r="D8" s="15" t="str">
        <f aca="false">IFERROR(INDEX(Dim_Employee!$B$2:$B$76,MATCH(C8,Dim_Employee!$A$2:$A$76,0)),"")</f>
        <v>Ngozi Ndukwe</v>
      </c>
      <c r="E8" s="12" t="s">
        <v>16</v>
      </c>
      <c r="F8" s="12" t="s">
        <v>1590</v>
      </c>
      <c r="G8" s="12" t="s">
        <v>1591</v>
      </c>
      <c r="H8" s="18" t="n">
        <v>36878797.27</v>
      </c>
      <c r="I8" s="18" t="n">
        <v>41394629.53</v>
      </c>
      <c r="J8" s="19" t="n">
        <f aca="false">H8-I8</f>
        <v>-4515832.26</v>
      </c>
      <c r="K8" s="12" t="s">
        <v>878</v>
      </c>
    </row>
    <row r="9" customFormat="false" ht="15" hidden="false" customHeight="true" outlineLevel="0" collapsed="false">
      <c r="A9" s="12" t="s">
        <v>1592</v>
      </c>
      <c r="B9" s="14" t="n">
        <v>45795</v>
      </c>
      <c r="C9" s="13" t="s">
        <v>383</v>
      </c>
      <c r="D9" s="15" t="str">
        <f aca="false">IFERROR(INDEX(Dim_Employee!$B$2:$B$76,MATCH(C9,Dim_Employee!$A$2:$A$76,0)),"")</f>
        <v>Tunde Ndukwe</v>
      </c>
      <c r="E9" s="12" t="s">
        <v>28</v>
      </c>
      <c r="F9" s="12" t="s">
        <v>1590</v>
      </c>
      <c r="G9" s="12" t="s">
        <v>1591</v>
      </c>
      <c r="H9" s="18" t="n">
        <v>581857.02</v>
      </c>
      <c r="I9" s="18" t="n">
        <v>597957.07</v>
      </c>
      <c r="J9" s="19" t="n">
        <f aca="false">H9-I9</f>
        <v>-16100.0499999999</v>
      </c>
      <c r="K9" s="12" t="s">
        <v>856</v>
      </c>
    </row>
    <row r="10" customFormat="false" ht="15" hidden="false" customHeight="true" outlineLevel="0" collapsed="false">
      <c r="A10" s="12" t="s">
        <v>1593</v>
      </c>
      <c r="B10" s="14" t="n">
        <v>45986</v>
      </c>
      <c r="C10" s="13" t="s">
        <v>359</v>
      </c>
      <c r="D10" s="15" t="str">
        <f aca="false">IFERROR(INDEX(Dim_Employee!$B$2:$B$76,MATCH(C10,Dim_Employee!$A$2:$A$76,0)),"")</f>
        <v>Ngozi Ndukwe</v>
      </c>
      <c r="E10" s="12" t="s">
        <v>97</v>
      </c>
      <c r="F10" s="12" t="s">
        <v>1578</v>
      </c>
      <c r="G10" s="12" t="s">
        <v>1594</v>
      </c>
      <c r="H10" s="18" t="n">
        <v>29047371.36</v>
      </c>
      <c r="I10" s="18" t="n">
        <v>30101364.36</v>
      </c>
      <c r="J10" s="19" t="n">
        <f aca="false">H10-I10</f>
        <v>-1053993</v>
      </c>
      <c r="K10" s="12" t="s">
        <v>867</v>
      </c>
    </row>
    <row r="11" customFormat="false" ht="15" hidden="false" customHeight="true" outlineLevel="0" collapsed="false">
      <c r="A11" s="12" t="s">
        <v>1595</v>
      </c>
      <c r="B11" s="14" t="n">
        <v>45778</v>
      </c>
      <c r="C11" s="13" t="s">
        <v>387</v>
      </c>
      <c r="D11" s="15" t="str">
        <f aca="false">IFERROR(INDEX(Dim_Employee!$B$2:$B$76,MATCH(C11,Dim_Employee!$A$2:$A$76,0)),"")</f>
        <v>Abdullahi Ojo</v>
      </c>
      <c r="E11" s="12" t="s">
        <v>115</v>
      </c>
      <c r="F11" s="12" t="s">
        <v>1587</v>
      </c>
      <c r="G11" s="12" t="s">
        <v>1588</v>
      </c>
      <c r="H11" s="18" t="n">
        <v>6309914.15</v>
      </c>
      <c r="I11" s="18" t="n">
        <v>5535180.43</v>
      </c>
      <c r="J11" s="19" t="n">
        <f aca="false">H11-I11</f>
        <v>774733.720000001</v>
      </c>
      <c r="K11" s="12" t="s">
        <v>856</v>
      </c>
    </row>
    <row r="12" customFormat="false" ht="15" hidden="false" customHeight="true" outlineLevel="0" collapsed="false">
      <c r="A12" s="12" t="s">
        <v>1596</v>
      </c>
      <c r="B12" s="14" t="n">
        <v>45876</v>
      </c>
      <c r="C12" s="13" t="s">
        <v>374</v>
      </c>
      <c r="D12" s="15" t="str">
        <f aca="false">IFERROR(INDEX(Dim_Employee!$B$2:$B$76,MATCH(C12,Dim_Employee!$A$2:$A$76,0)),"")</f>
        <v>Titilayo Chukwu</v>
      </c>
      <c r="E12" s="12" t="s">
        <v>24</v>
      </c>
      <c r="F12" s="12" t="s">
        <v>1587</v>
      </c>
      <c r="G12" s="12" t="s">
        <v>1597</v>
      </c>
      <c r="H12" s="18" t="n">
        <v>52980679.54</v>
      </c>
      <c r="I12" s="18" t="n">
        <v>54218317.73</v>
      </c>
      <c r="J12" s="19" t="n">
        <f aca="false">H12-I12</f>
        <v>-1237638.19</v>
      </c>
      <c r="K12" s="12" t="s">
        <v>856</v>
      </c>
    </row>
    <row r="13" customFormat="false" ht="15" hidden="false" customHeight="true" outlineLevel="0" collapsed="false">
      <c r="A13" s="12" t="s">
        <v>1598</v>
      </c>
      <c r="B13" s="14" t="n">
        <v>45819</v>
      </c>
      <c r="C13" s="13" t="s">
        <v>359</v>
      </c>
      <c r="D13" s="15" t="str">
        <f aca="false">IFERROR(INDEX(Dim_Employee!$B$2:$B$76,MATCH(C13,Dim_Employee!$A$2:$A$76,0)),"")</f>
        <v>Ngozi Ndukwe</v>
      </c>
      <c r="E13" s="12" t="s">
        <v>104</v>
      </c>
      <c r="F13" s="12" t="s">
        <v>1578</v>
      </c>
      <c r="G13" s="12" t="s">
        <v>1582</v>
      </c>
      <c r="H13" s="18" t="n">
        <v>40444147.45</v>
      </c>
      <c r="I13" s="18" t="n">
        <v>51632155.73</v>
      </c>
      <c r="J13" s="19" t="n">
        <f aca="false">H13-I13</f>
        <v>-11188008.28</v>
      </c>
      <c r="K13" s="12" t="s">
        <v>878</v>
      </c>
    </row>
    <row r="14" customFormat="false" ht="15" hidden="false" customHeight="true" outlineLevel="0" collapsed="false">
      <c r="A14" s="12" t="s">
        <v>1599</v>
      </c>
      <c r="B14" s="14" t="n">
        <v>45886</v>
      </c>
      <c r="C14" s="13" t="s">
        <v>379</v>
      </c>
      <c r="D14" s="15" t="str">
        <f aca="false">IFERROR(INDEX(Dim_Employee!$B$2:$B$76,MATCH(C14,Dim_Employee!$A$2:$A$76,0)),"")</f>
        <v>Emeka Adeyemi</v>
      </c>
      <c r="E14" s="12" t="s">
        <v>104</v>
      </c>
      <c r="F14" s="12" t="s">
        <v>1587</v>
      </c>
      <c r="G14" s="12" t="s">
        <v>1588</v>
      </c>
      <c r="H14" s="18" t="n">
        <v>42063186.13</v>
      </c>
      <c r="I14" s="18" t="n">
        <v>38973296.38</v>
      </c>
      <c r="J14" s="19" t="n">
        <f aca="false">H14-I14</f>
        <v>3089889.75</v>
      </c>
      <c r="K14" s="12" t="s">
        <v>878</v>
      </c>
    </row>
    <row r="15" customFormat="false" ht="15" hidden="false" customHeight="true" outlineLevel="0" collapsed="false">
      <c r="A15" s="12" t="s">
        <v>1600</v>
      </c>
      <c r="B15" s="14" t="n">
        <v>45798</v>
      </c>
      <c r="C15" s="13" t="s">
        <v>364</v>
      </c>
      <c r="D15" s="15" t="str">
        <f aca="false">IFERROR(INDEX(Dim_Employee!$B$2:$B$76,MATCH(C15,Dim_Employee!$A$2:$A$76,0)),"")</f>
        <v>Amaka Aliyu</v>
      </c>
      <c r="E15" s="12" t="s">
        <v>104</v>
      </c>
      <c r="F15" s="12" t="s">
        <v>1590</v>
      </c>
      <c r="G15" s="12" t="s">
        <v>1601</v>
      </c>
      <c r="H15" s="18" t="n">
        <v>16721258.73</v>
      </c>
      <c r="I15" s="18" t="n">
        <v>15185909.33</v>
      </c>
      <c r="J15" s="19" t="n">
        <f aca="false">H15-I15</f>
        <v>1535349.4</v>
      </c>
      <c r="K15" s="12" t="s">
        <v>856</v>
      </c>
    </row>
    <row r="16" customFormat="false" ht="15" hidden="false" customHeight="true" outlineLevel="0" collapsed="false">
      <c r="A16" s="12" t="s">
        <v>1602</v>
      </c>
      <c r="B16" s="14" t="n">
        <v>45669</v>
      </c>
      <c r="C16" s="13" t="s">
        <v>359</v>
      </c>
      <c r="D16" s="15" t="str">
        <f aca="false">IFERROR(INDEX(Dim_Employee!$B$2:$B$76,MATCH(C16,Dim_Employee!$A$2:$A$76,0)),"")</f>
        <v>Ngozi Ndukwe</v>
      </c>
      <c r="E16" s="12" t="s">
        <v>115</v>
      </c>
      <c r="F16" s="12" t="s">
        <v>1578</v>
      </c>
      <c r="G16" s="12" t="s">
        <v>1579</v>
      </c>
      <c r="H16" s="18" t="n">
        <v>15472207.11</v>
      </c>
      <c r="I16" s="18" t="n">
        <v>18546278.1</v>
      </c>
      <c r="J16" s="19" t="n">
        <f aca="false">H16-I16</f>
        <v>-3074070.99</v>
      </c>
      <c r="K16" s="12" t="s">
        <v>867</v>
      </c>
    </row>
    <row r="17" customFormat="false" ht="15" hidden="false" customHeight="true" outlineLevel="0" collapsed="false">
      <c r="A17" s="12" t="s">
        <v>1603</v>
      </c>
      <c r="B17" s="14" t="n">
        <v>45739</v>
      </c>
      <c r="C17" s="13" t="s">
        <v>383</v>
      </c>
      <c r="D17" s="15" t="str">
        <f aca="false">IFERROR(INDEX(Dim_Employee!$B$2:$B$76,MATCH(C17,Dim_Employee!$A$2:$A$76,0)),"")</f>
        <v>Tunde Ndukwe</v>
      </c>
      <c r="E17" s="12" t="s">
        <v>16</v>
      </c>
      <c r="F17" s="12" t="s">
        <v>1590</v>
      </c>
      <c r="G17" s="12" t="s">
        <v>1601</v>
      </c>
      <c r="H17" s="18" t="n">
        <v>64317724.61</v>
      </c>
      <c r="I17" s="18" t="n">
        <v>51995609.08</v>
      </c>
      <c r="J17" s="19" t="n">
        <f aca="false">H17-I17</f>
        <v>12322115.53</v>
      </c>
      <c r="K17" s="12" t="s">
        <v>867</v>
      </c>
    </row>
    <row r="18" customFormat="false" ht="15" hidden="false" customHeight="true" outlineLevel="0" collapsed="false">
      <c r="A18" s="12" t="s">
        <v>1604</v>
      </c>
      <c r="B18" s="14" t="n">
        <v>45791</v>
      </c>
      <c r="C18" s="13" t="s">
        <v>383</v>
      </c>
      <c r="D18" s="15" t="str">
        <f aca="false">IFERROR(INDEX(Dim_Employee!$B$2:$B$76,MATCH(C18,Dim_Employee!$A$2:$A$76,0)),"")</f>
        <v>Tunde Ndukwe</v>
      </c>
      <c r="E18" s="12" t="s">
        <v>19</v>
      </c>
      <c r="F18" s="12" t="s">
        <v>1578</v>
      </c>
      <c r="G18" s="12" t="s">
        <v>1582</v>
      </c>
      <c r="H18" s="18" t="n">
        <v>16184395.46</v>
      </c>
      <c r="I18" s="18" t="n">
        <v>15626488.26</v>
      </c>
      <c r="J18" s="19" t="n">
        <f aca="false">H18-I18</f>
        <v>557907.200000001</v>
      </c>
      <c r="K18" s="12" t="s">
        <v>878</v>
      </c>
    </row>
    <row r="19" customFormat="false" ht="15" hidden="false" customHeight="true" outlineLevel="0" collapsed="false">
      <c r="A19" s="12" t="s">
        <v>1605</v>
      </c>
      <c r="B19" s="14" t="n">
        <v>45866</v>
      </c>
      <c r="C19" s="13" t="s">
        <v>364</v>
      </c>
      <c r="D19" s="15" t="str">
        <f aca="false">IFERROR(INDEX(Dim_Employee!$B$2:$B$76,MATCH(C19,Dim_Employee!$A$2:$A$76,0)),"")</f>
        <v>Amaka Aliyu</v>
      </c>
      <c r="E19" s="12" t="s">
        <v>104</v>
      </c>
      <c r="F19" s="12" t="s">
        <v>1590</v>
      </c>
      <c r="G19" s="12" t="s">
        <v>1591</v>
      </c>
      <c r="H19" s="18" t="n">
        <v>32026473.74</v>
      </c>
      <c r="I19" s="18" t="n">
        <v>43739362.72</v>
      </c>
      <c r="J19" s="19" t="n">
        <f aca="false">H19-I19</f>
        <v>-11712888.98</v>
      </c>
      <c r="K19" s="12" t="s">
        <v>856</v>
      </c>
    </row>
    <row r="20" customFormat="false" ht="15" hidden="false" customHeight="true" outlineLevel="0" collapsed="false">
      <c r="A20" s="12" t="s">
        <v>1606</v>
      </c>
      <c r="B20" s="14" t="n">
        <v>45854</v>
      </c>
      <c r="C20" s="13" t="s">
        <v>374</v>
      </c>
      <c r="D20" s="15" t="str">
        <f aca="false">IFERROR(INDEX(Dim_Employee!$B$2:$B$76,MATCH(C20,Dim_Employee!$A$2:$A$76,0)),"")</f>
        <v>Titilayo Chukwu</v>
      </c>
      <c r="E20" s="12" t="s">
        <v>19</v>
      </c>
      <c r="F20" s="12" t="s">
        <v>1578</v>
      </c>
      <c r="G20" s="12" t="s">
        <v>1579</v>
      </c>
      <c r="H20" s="18" t="n">
        <v>37393556.84</v>
      </c>
      <c r="I20" s="18" t="n">
        <v>38527763.95</v>
      </c>
      <c r="J20" s="19" t="n">
        <f aca="false">H20-I20</f>
        <v>-1134207.11</v>
      </c>
      <c r="K20" s="12" t="s">
        <v>856</v>
      </c>
    </row>
    <row r="21" customFormat="false" ht="15" hidden="false" customHeight="true" outlineLevel="0" collapsed="false">
      <c r="A21" s="12" t="s">
        <v>1607</v>
      </c>
      <c r="B21" s="14" t="n">
        <v>45776</v>
      </c>
      <c r="C21" s="13" t="s">
        <v>113</v>
      </c>
      <c r="D21" s="15" t="str">
        <f aca="false">IFERROR(INDEX(Dim_Employee!$B$2:$B$76,MATCH(C21,Dim_Employee!$A$2:$A$76,0)),"")</f>
        <v>Funmilayo Adeyemi</v>
      </c>
      <c r="E21" s="12" t="s">
        <v>19</v>
      </c>
      <c r="F21" s="12" t="s">
        <v>1587</v>
      </c>
      <c r="G21" s="12" t="s">
        <v>1597</v>
      </c>
      <c r="H21" s="18" t="n">
        <v>37459594.23</v>
      </c>
      <c r="I21" s="18" t="n">
        <v>30244267.47</v>
      </c>
      <c r="J21" s="19" t="n">
        <f aca="false">H21-I21</f>
        <v>7215326.76</v>
      </c>
      <c r="K21" s="12" t="s">
        <v>856</v>
      </c>
    </row>
    <row r="22" customFormat="false" ht="15" hidden="false" customHeight="true" outlineLevel="0" collapsed="false">
      <c r="A22" s="12" t="s">
        <v>1608</v>
      </c>
      <c r="B22" s="14" t="n">
        <v>46011</v>
      </c>
      <c r="C22" s="13" t="s">
        <v>364</v>
      </c>
      <c r="D22" s="15" t="str">
        <f aca="false">IFERROR(INDEX(Dim_Employee!$B$2:$B$76,MATCH(C22,Dim_Employee!$A$2:$A$76,0)),"")</f>
        <v>Amaka Aliyu</v>
      </c>
      <c r="E22" s="12" t="s">
        <v>97</v>
      </c>
      <c r="F22" s="12" t="s">
        <v>1590</v>
      </c>
      <c r="G22" s="12" t="s">
        <v>1609</v>
      </c>
      <c r="H22" s="18" t="n">
        <v>25030143.49</v>
      </c>
      <c r="I22" s="18" t="n">
        <v>26162386.9</v>
      </c>
      <c r="J22" s="19" t="n">
        <f aca="false">H22-I22</f>
        <v>-1132243.41</v>
      </c>
      <c r="K22" s="12" t="s">
        <v>878</v>
      </c>
    </row>
    <row r="23" customFormat="false" ht="15" hidden="false" customHeight="true" outlineLevel="0" collapsed="false">
      <c r="A23" s="12" t="s">
        <v>1610</v>
      </c>
      <c r="B23" s="14" t="n">
        <v>45826</v>
      </c>
      <c r="C23" s="13" t="s">
        <v>374</v>
      </c>
      <c r="D23" s="15" t="str">
        <f aca="false">IFERROR(INDEX(Dim_Employee!$B$2:$B$76,MATCH(C23,Dim_Employee!$A$2:$A$76,0)),"")</f>
        <v>Titilayo Chukwu</v>
      </c>
      <c r="E23" s="12" t="s">
        <v>16</v>
      </c>
      <c r="F23" s="12" t="s">
        <v>1590</v>
      </c>
      <c r="G23" s="12" t="s">
        <v>1609</v>
      </c>
      <c r="H23" s="18" t="n">
        <v>35125533.48</v>
      </c>
      <c r="I23" s="18" t="n">
        <v>46413602.41</v>
      </c>
      <c r="J23" s="19" t="n">
        <f aca="false">H23-I23</f>
        <v>-11288068.93</v>
      </c>
      <c r="K23" s="12" t="s">
        <v>867</v>
      </c>
    </row>
    <row r="24" customFormat="false" ht="15" hidden="false" customHeight="true" outlineLevel="0" collapsed="false">
      <c r="A24" s="12" t="s">
        <v>1611</v>
      </c>
      <c r="B24" s="14" t="n">
        <v>45801</v>
      </c>
      <c r="C24" s="13" t="s">
        <v>374</v>
      </c>
      <c r="D24" s="15" t="str">
        <f aca="false">IFERROR(INDEX(Dim_Employee!$B$2:$B$76,MATCH(C24,Dim_Employee!$A$2:$A$76,0)),"")</f>
        <v>Titilayo Chukwu</v>
      </c>
      <c r="E24" s="12" t="s">
        <v>97</v>
      </c>
      <c r="F24" s="12" t="s">
        <v>1578</v>
      </c>
      <c r="G24" s="12" t="s">
        <v>1582</v>
      </c>
      <c r="H24" s="18" t="n">
        <v>41127762.9</v>
      </c>
      <c r="I24" s="18" t="n">
        <v>46561332.26</v>
      </c>
      <c r="J24" s="19" t="n">
        <f aca="false">H24-I24</f>
        <v>-5433569.36</v>
      </c>
      <c r="K24" s="12" t="s">
        <v>867</v>
      </c>
    </row>
    <row r="25" customFormat="false" ht="15" hidden="false" customHeight="true" outlineLevel="0" collapsed="false">
      <c r="A25" s="12" t="s">
        <v>1612</v>
      </c>
      <c r="B25" s="14" t="n">
        <v>45683</v>
      </c>
      <c r="C25" s="13" t="s">
        <v>359</v>
      </c>
      <c r="D25" s="15" t="str">
        <f aca="false">IFERROR(INDEX(Dim_Employee!$B$2:$B$76,MATCH(C25,Dim_Employee!$A$2:$A$76,0)),"")</f>
        <v>Ngozi Ndukwe</v>
      </c>
      <c r="E25" s="12" t="s">
        <v>28</v>
      </c>
      <c r="F25" s="12" t="s">
        <v>1587</v>
      </c>
      <c r="G25" s="12" t="s">
        <v>1597</v>
      </c>
      <c r="H25" s="18" t="n">
        <v>6801156.09</v>
      </c>
      <c r="I25" s="18" t="n">
        <v>6252160.29</v>
      </c>
      <c r="J25" s="19" t="n">
        <f aca="false">H25-I25</f>
        <v>548995.8</v>
      </c>
      <c r="K25" s="12" t="s">
        <v>878</v>
      </c>
    </row>
    <row r="26" customFormat="false" ht="15" hidden="false" customHeight="true" outlineLevel="0" collapsed="false">
      <c r="A26" s="12" t="s">
        <v>1613</v>
      </c>
      <c r="B26" s="14" t="n">
        <v>45781</v>
      </c>
      <c r="C26" s="13" t="s">
        <v>369</v>
      </c>
      <c r="D26" s="15" t="str">
        <f aca="false">IFERROR(INDEX(Dim_Employee!$B$2:$B$76,MATCH(C26,Dim_Employee!$A$2:$A$76,0)),"")</f>
        <v>Chukwudi Yakubu</v>
      </c>
      <c r="E26" s="12" t="s">
        <v>28</v>
      </c>
      <c r="F26" s="12" t="s">
        <v>1578</v>
      </c>
      <c r="G26" s="12" t="s">
        <v>1579</v>
      </c>
      <c r="H26" s="18" t="n">
        <v>12594674.99</v>
      </c>
      <c r="I26" s="18" t="n">
        <v>12354623.43</v>
      </c>
      <c r="J26" s="19" t="n">
        <f aca="false">H26-I26</f>
        <v>240051.560000001</v>
      </c>
      <c r="K26" s="12" t="s">
        <v>867</v>
      </c>
    </row>
    <row r="27" customFormat="false" ht="15" hidden="false" customHeight="true" outlineLevel="0" collapsed="false">
      <c r="A27" s="12" t="s">
        <v>1614</v>
      </c>
      <c r="B27" s="14" t="n">
        <v>45927</v>
      </c>
      <c r="C27" s="13" t="s">
        <v>359</v>
      </c>
      <c r="D27" s="15" t="str">
        <f aca="false">IFERROR(INDEX(Dim_Employee!$B$2:$B$76,MATCH(C27,Dim_Employee!$A$2:$A$76,0)),"")</f>
        <v>Ngozi Ndukwe</v>
      </c>
      <c r="E27" s="12" t="s">
        <v>104</v>
      </c>
      <c r="F27" s="12" t="s">
        <v>1578</v>
      </c>
      <c r="G27" s="12" t="s">
        <v>1582</v>
      </c>
      <c r="H27" s="18" t="n">
        <v>3227189.69</v>
      </c>
      <c r="I27" s="18" t="n">
        <v>3604101.74</v>
      </c>
      <c r="J27" s="19" t="n">
        <f aca="false">H27-I27</f>
        <v>-376912.05</v>
      </c>
      <c r="K27" s="12" t="s">
        <v>867</v>
      </c>
    </row>
    <row r="28" customFormat="false" ht="15" hidden="false" customHeight="true" outlineLevel="0" collapsed="false">
      <c r="A28" s="12" t="s">
        <v>1615</v>
      </c>
      <c r="B28" s="14" t="n">
        <v>45698</v>
      </c>
      <c r="C28" s="13" t="s">
        <v>369</v>
      </c>
      <c r="D28" s="15" t="str">
        <f aca="false">IFERROR(INDEX(Dim_Employee!$B$2:$B$76,MATCH(C28,Dim_Employee!$A$2:$A$76,0)),"")</f>
        <v>Chukwudi Yakubu</v>
      </c>
      <c r="E28" s="12" t="s">
        <v>16</v>
      </c>
      <c r="F28" s="12" t="s">
        <v>1578</v>
      </c>
      <c r="G28" s="12" t="s">
        <v>1616</v>
      </c>
      <c r="H28" s="18" t="n">
        <v>62667363.25</v>
      </c>
      <c r="I28" s="18" t="n">
        <v>55247057.7</v>
      </c>
      <c r="J28" s="19" t="n">
        <f aca="false">H28-I28</f>
        <v>7420305.55</v>
      </c>
      <c r="K28" s="12" t="s">
        <v>867</v>
      </c>
    </row>
    <row r="29" customFormat="false" ht="15" hidden="false" customHeight="true" outlineLevel="0" collapsed="false">
      <c r="A29" s="12" t="s">
        <v>1617</v>
      </c>
      <c r="B29" s="14" t="n">
        <v>45986</v>
      </c>
      <c r="C29" s="13" t="s">
        <v>387</v>
      </c>
      <c r="D29" s="15" t="str">
        <f aca="false">IFERROR(INDEX(Dim_Employee!$B$2:$B$76,MATCH(C29,Dim_Employee!$A$2:$A$76,0)),"")</f>
        <v>Abdullahi Ojo</v>
      </c>
      <c r="E29" s="12" t="s">
        <v>115</v>
      </c>
      <c r="F29" s="12" t="s">
        <v>1590</v>
      </c>
      <c r="G29" s="12" t="s">
        <v>1601</v>
      </c>
      <c r="H29" s="18" t="n">
        <v>26411871.78</v>
      </c>
      <c r="I29" s="18" t="n">
        <v>25248334.24</v>
      </c>
      <c r="J29" s="19" t="n">
        <f aca="false">H29-I29</f>
        <v>1163537.54</v>
      </c>
      <c r="K29" s="12" t="s">
        <v>878</v>
      </c>
    </row>
    <row r="30" customFormat="false" ht="15" hidden="false" customHeight="true" outlineLevel="0" collapsed="false">
      <c r="A30" s="12" t="s">
        <v>1618</v>
      </c>
      <c r="B30" s="14" t="n">
        <v>45687</v>
      </c>
      <c r="C30" s="13" t="s">
        <v>383</v>
      </c>
      <c r="D30" s="15" t="str">
        <f aca="false">IFERROR(INDEX(Dim_Employee!$B$2:$B$76,MATCH(C30,Dim_Employee!$A$2:$A$76,0)),"")</f>
        <v>Tunde Ndukwe</v>
      </c>
      <c r="E30" s="12" t="s">
        <v>115</v>
      </c>
      <c r="F30" s="12" t="s">
        <v>1587</v>
      </c>
      <c r="G30" s="12" t="s">
        <v>1619</v>
      </c>
      <c r="H30" s="18" t="n">
        <v>25652033.13</v>
      </c>
      <c r="I30" s="18" t="n">
        <v>31899380.19</v>
      </c>
      <c r="J30" s="19" t="n">
        <f aca="false">H30-I30</f>
        <v>-6247347.06</v>
      </c>
      <c r="K30" s="12" t="s">
        <v>856</v>
      </c>
    </row>
    <row r="31" customFormat="false" ht="15" hidden="false" customHeight="true" outlineLevel="0" collapsed="false">
      <c r="A31" s="12" t="s">
        <v>1620</v>
      </c>
      <c r="B31" s="14" t="n">
        <v>45795</v>
      </c>
      <c r="C31" s="13" t="s">
        <v>374</v>
      </c>
      <c r="D31" s="15" t="str">
        <f aca="false">IFERROR(INDEX(Dim_Employee!$B$2:$B$76,MATCH(C31,Dim_Employee!$A$2:$A$76,0)),"")</f>
        <v>Titilayo Chukwu</v>
      </c>
      <c r="E31" s="12" t="s">
        <v>104</v>
      </c>
      <c r="F31" s="12" t="s">
        <v>1590</v>
      </c>
      <c r="G31" s="12" t="s">
        <v>1609</v>
      </c>
      <c r="H31" s="18" t="n">
        <v>42845208.99</v>
      </c>
      <c r="I31" s="18" t="n">
        <v>35287034.1</v>
      </c>
      <c r="J31" s="19" t="n">
        <f aca="false">H31-I31</f>
        <v>7558174.89</v>
      </c>
      <c r="K31" s="12" t="s">
        <v>878</v>
      </c>
    </row>
    <row r="32" customFormat="false" ht="15" hidden="false" customHeight="true" outlineLevel="0" collapsed="false">
      <c r="A32" s="12" t="s">
        <v>1621</v>
      </c>
      <c r="B32" s="14" t="n">
        <v>45901</v>
      </c>
      <c r="C32" s="13" t="s">
        <v>113</v>
      </c>
      <c r="D32" s="15" t="str">
        <f aca="false">IFERROR(INDEX(Dim_Employee!$B$2:$B$76,MATCH(C32,Dim_Employee!$A$2:$A$76,0)),"")</f>
        <v>Funmilayo Adeyemi</v>
      </c>
      <c r="E32" s="12" t="s">
        <v>97</v>
      </c>
      <c r="F32" s="12" t="s">
        <v>1578</v>
      </c>
      <c r="G32" s="12" t="s">
        <v>1579</v>
      </c>
      <c r="H32" s="18" t="n">
        <v>5088523.98</v>
      </c>
      <c r="I32" s="18" t="n">
        <v>4114481.13</v>
      </c>
      <c r="J32" s="19" t="n">
        <f aca="false">H32-I32</f>
        <v>974042.850000001</v>
      </c>
      <c r="K32" s="12" t="s">
        <v>856</v>
      </c>
    </row>
    <row r="33" customFormat="false" ht="15" hidden="false" customHeight="true" outlineLevel="0" collapsed="false">
      <c r="A33" s="12" t="s">
        <v>1622</v>
      </c>
      <c r="B33" s="14" t="n">
        <v>45882</v>
      </c>
      <c r="C33" s="13" t="s">
        <v>359</v>
      </c>
      <c r="D33" s="15" t="str">
        <f aca="false">IFERROR(INDEX(Dim_Employee!$B$2:$B$76,MATCH(C33,Dim_Employee!$A$2:$A$76,0)),"")</f>
        <v>Ngozi Ndukwe</v>
      </c>
      <c r="E33" s="12" t="s">
        <v>104</v>
      </c>
      <c r="F33" s="12" t="s">
        <v>1587</v>
      </c>
      <c r="G33" s="12" t="s">
        <v>1619</v>
      </c>
      <c r="H33" s="18" t="n">
        <v>17885494.94</v>
      </c>
      <c r="I33" s="18" t="n">
        <v>16530604.46</v>
      </c>
      <c r="J33" s="19" t="n">
        <f aca="false">H33-I33</f>
        <v>1354890.48</v>
      </c>
      <c r="K33" s="12" t="s">
        <v>867</v>
      </c>
    </row>
    <row r="34" customFormat="false" ht="15" hidden="false" customHeight="true" outlineLevel="0" collapsed="false">
      <c r="A34" s="12" t="s">
        <v>1623</v>
      </c>
      <c r="B34" s="14" t="n">
        <v>45990</v>
      </c>
      <c r="C34" s="13" t="s">
        <v>387</v>
      </c>
      <c r="D34" s="15" t="str">
        <f aca="false">IFERROR(INDEX(Dim_Employee!$B$2:$B$76,MATCH(C34,Dim_Employee!$A$2:$A$76,0)),"")</f>
        <v>Abdullahi Ojo</v>
      </c>
      <c r="E34" s="12" t="s">
        <v>97</v>
      </c>
      <c r="F34" s="12" t="s">
        <v>1590</v>
      </c>
      <c r="G34" s="12" t="s">
        <v>1591</v>
      </c>
      <c r="H34" s="18" t="n">
        <v>39386589.86</v>
      </c>
      <c r="I34" s="18" t="n">
        <v>47189957.47</v>
      </c>
      <c r="J34" s="19" t="n">
        <f aca="false">H34-I34</f>
        <v>-7803367.61</v>
      </c>
      <c r="K34" s="12" t="s">
        <v>856</v>
      </c>
    </row>
    <row r="35" customFormat="false" ht="15" hidden="false" customHeight="true" outlineLevel="0" collapsed="false">
      <c r="A35" s="12" t="s">
        <v>1624</v>
      </c>
      <c r="B35" s="14" t="n">
        <v>45950</v>
      </c>
      <c r="C35" s="13" t="s">
        <v>359</v>
      </c>
      <c r="D35" s="15" t="str">
        <f aca="false">IFERROR(INDEX(Dim_Employee!$B$2:$B$76,MATCH(C35,Dim_Employee!$A$2:$A$76,0)),"")</f>
        <v>Ngozi Ndukwe</v>
      </c>
      <c r="E35" s="12" t="s">
        <v>28</v>
      </c>
      <c r="F35" s="12" t="s">
        <v>1590</v>
      </c>
      <c r="G35" s="12" t="s">
        <v>1591</v>
      </c>
      <c r="H35" s="18" t="n">
        <v>28433276.13</v>
      </c>
      <c r="I35" s="18" t="n">
        <v>34057045.79</v>
      </c>
      <c r="J35" s="19" t="n">
        <f aca="false">H35-I35</f>
        <v>-5623769.66</v>
      </c>
      <c r="K35" s="12" t="s">
        <v>856</v>
      </c>
    </row>
    <row r="36" customFormat="false" ht="15" hidden="false" customHeight="true" outlineLevel="0" collapsed="false">
      <c r="A36" s="12" t="s">
        <v>1625</v>
      </c>
      <c r="B36" s="14" t="n">
        <v>45974</v>
      </c>
      <c r="C36" s="13" t="s">
        <v>383</v>
      </c>
      <c r="D36" s="15" t="str">
        <f aca="false">IFERROR(INDEX(Dim_Employee!$B$2:$B$76,MATCH(C36,Dim_Employee!$A$2:$A$76,0)),"")</f>
        <v>Tunde Ndukwe</v>
      </c>
      <c r="E36" s="12" t="s">
        <v>16</v>
      </c>
      <c r="F36" s="12" t="s">
        <v>1587</v>
      </c>
      <c r="G36" s="12" t="s">
        <v>1619</v>
      </c>
      <c r="H36" s="18" t="n">
        <v>49256142.72</v>
      </c>
      <c r="I36" s="18" t="n">
        <v>44707887.56</v>
      </c>
      <c r="J36" s="19" t="n">
        <f aca="false">H36-I36</f>
        <v>4548255.16</v>
      </c>
      <c r="K36" s="12" t="s">
        <v>856</v>
      </c>
    </row>
    <row r="37" customFormat="false" ht="15" hidden="false" customHeight="true" outlineLevel="0" collapsed="false">
      <c r="A37" s="12" t="s">
        <v>1626</v>
      </c>
      <c r="B37" s="14" t="n">
        <v>45984</v>
      </c>
      <c r="C37" s="13" t="s">
        <v>387</v>
      </c>
      <c r="D37" s="15" t="str">
        <f aca="false">IFERROR(INDEX(Dim_Employee!$B$2:$B$76,MATCH(C37,Dim_Employee!$A$2:$A$76,0)),"")</f>
        <v>Abdullahi Ojo</v>
      </c>
      <c r="E37" s="12" t="s">
        <v>16</v>
      </c>
      <c r="F37" s="12" t="s">
        <v>1590</v>
      </c>
      <c r="G37" s="12" t="s">
        <v>1601</v>
      </c>
      <c r="H37" s="18" t="n">
        <v>63478190.75</v>
      </c>
      <c r="I37" s="18" t="n">
        <v>52488640.34</v>
      </c>
      <c r="J37" s="19" t="n">
        <f aca="false">H37-I37</f>
        <v>10989550.41</v>
      </c>
      <c r="K37" s="12" t="s">
        <v>867</v>
      </c>
    </row>
    <row r="38" customFormat="false" ht="15" hidden="false" customHeight="true" outlineLevel="0" collapsed="false">
      <c r="A38" s="12" t="s">
        <v>1627</v>
      </c>
      <c r="B38" s="14" t="n">
        <v>45953</v>
      </c>
      <c r="C38" s="13" t="s">
        <v>113</v>
      </c>
      <c r="D38" s="15" t="str">
        <f aca="false">IFERROR(INDEX(Dim_Employee!$B$2:$B$76,MATCH(C38,Dim_Employee!$A$2:$A$76,0)),"")</f>
        <v>Funmilayo Adeyemi</v>
      </c>
      <c r="E38" s="12" t="s">
        <v>28</v>
      </c>
      <c r="F38" s="12" t="s">
        <v>1587</v>
      </c>
      <c r="G38" s="12" t="s">
        <v>1597</v>
      </c>
      <c r="H38" s="18" t="n">
        <v>55046252.44</v>
      </c>
      <c r="I38" s="18" t="n">
        <v>50199685.77</v>
      </c>
      <c r="J38" s="19" t="n">
        <f aca="false">H38-I38</f>
        <v>4846566.66999999</v>
      </c>
      <c r="K38" s="12" t="s">
        <v>867</v>
      </c>
    </row>
    <row r="39" customFormat="false" ht="15" hidden="false" customHeight="true" outlineLevel="0" collapsed="false">
      <c r="A39" s="12" t="s">
        <v>1628</v>
      </c>
      <c r="B39" s="14" t="n">
        <v>45795</v>
      </c>
      <c r="C39" s="13" t="s">
        <v>369</v>
      </c>
      <c r="D39" s="15" t="str">
        <f aca="false">IFERROR(INDEX(Dim_Employee!$B$2:$B$76,MATCH(C39,Dim_Employee!$A$2:$A$76,0)),"")</f>
        <v>Chukwudi Yakubu</v>
      </c>
      <c r="E39" s="12" t="s">
        <v>28</v>
      </c>
      <c r="F39" s="12" t="s">
        <v>1578</v>
      </c>
      <c r="G39" s="12" t="s">
        <v>1584</v>
      </c>
      <c r="H39" s="18" t="n">
        <v>1889257.67</v>
      </c>
      <c r="I39" s="18" t="n">
        <v>2516121.18</v>
      </c>
      <c r="J39" s="19" t="n">
        <f aca="false">H39-I39</f>
        <v>-626863.51</v>
      </c>
      <c r="K39" s="12" t="s">
        <v>867</v>
      </c>
    </row>
    <row r="40" customFormat="false" ht="15" hidden="false" customHeight="true" outlineLevel="0" collapsed="false">
      <c r="A40" s="12" t="s">
        <v>1629</v>
      </c>
      <c r="B40" s="14" t="n">
        <v>45977</v>
      </c>
      <c r="C40" s="13" t="s">
        <v>383</v>
      </c>
      <c r="D40" s="15" t="str">
        <f aca="false">IFERROR(INDEX(Dim_Employee!$B$2:$B$76,MATCH(C40,Dim_Employee!$A$2:$A$76,0)),"")</f>
        <v>Tunde Ndukwe</v>
      </c>
      <c r="E40" s="12" t="s">
        <v>16</v>
      </c>
      <c r="F40" s="12" t="s">
        <v>1587</v>
      </c>
      <c r="G40" s="12" t="s">
        <v>1588</v>
      </c>
      <c r="H40" s="18" t="n">
        <v>23983409.04</v>
      </c>
      <c r="I40" s="18" t="n">
        <v>27455149.84</v>
      </c>
      <c r="J40" s="19" t="n">
        <f aca="false">H40-I40</f>
        <v>-3471740.8</v>
      </c>
      <c r="K40" s="12" t="s">
        <v>867</v>
      </c>
    </row>
    <row r="41" customFormat="false" ht="15" hidden="false" customHeight="true" outlineLevel="0" collapsed="false">
      <c r="A41" s="12" t="s">
        <v>1630</v>
      </c>
      <c r="B41" s="14" t="n">
        <v>45939</v>
      </c>
      <c r="C41" s="13" t="s">
        <v>359</v>
      </c>
      <c r="D41" s="15" t="str">
        <f aca="false">IFERROR(INDEX(Dim_Employee!$B$2:$B$76,MATCH(C41,Dim_Employee!$A$2:$A$76,0)),"")</f>
        <v>Ngozi Ndukwe</v>
      </c>
      <c r="E41" s="12" t="s">
        <v>28</v>
      </c>
      <c r="F41" s="12" t="s">
        <v>1578</v>
      </c>
      <c r="G41" s="12" t="s">
        <v>1616</v>
      </c>
      <c r="H41" s="18" t="n">
        <v>46180646.38</v>
      </c>
      <c r="I41" s="18" t="n">
        <v>44232590.61</v>
      </c>
      <c r="J41" s="19" t="n">
        <f aca="false">H41-I41</f>
        <v>1948055.77</v>
      </c>
      <c r="K41" s="12" t="s">
        <v>878</v>
      </c>
    </row>
    <row r="42" customFormat="false" ht="15" hidden="false" customHeight="true" outlineLevel="0" collapsed="false">
      <c r="A42" s="12" t="s">
        <v>1631</v>
      </c>
      <c r="B42" s="14" t="n">
        <v>45775</v>
      </c>
      <c r="C42" s="13" t="s">
        <v>383</v>
      </c>
      <c r="D42" s="15" t="str">
        <f aca="false">IFERROR(INDEX(Dim_Employee!$B$2:$B$76,MATCH(C42,Dim_Employee!$A$2:$A$76,0)),"")</f>
        <v>Tunde Ndukwe</v>
      </c>
      <c r="E42" s="12" t="s">
        <v>19</v>
      </c>
      <c r="F42" s="12" t="s">
        <v>1590</v>
      </c>
      <c r="G42" s="12" t="s">
        <v>1591</v>
      </c>
      <c r="H42" s="18" t="n">
        <v>4090417</v>
      </c>
      <c r="I42" s="18" t="n">
        <v>4959651.36</v>
      </c>
      <c r="J42" s="19" t="n">
        <f aca="false">H42-I42</f>
        <v>-869234.36</v>
      </c>
      <c r="K42" s="12" t="s">
        <v>867</v>
      </c>
    </row>
    <row r="43" customFormat="false" ht="15" hidden="false" customHeight="true" outlineLevel="0" collapsed="false">
      <c r="A43" s="12" t="s">
        <v>1632</v>
      </c>
      <c r="B43" s="14" t="n">
        <v>45701</v>
      </c>
      <c r="C43" s="13" t="s">
        <v>369</v>
      </c>
      <c r="D43" s="15" t="str">
        <f aca="false">IFERROR(INDEX(Dim_Employee!$B$2:$B$76,MATCH(C43,Dim_Employee!$A$2:$A$76,0)),"")</f>
        <v>Chukwudi Yakubu</v>
      </c>
      <c r="E43" s="12" t="s">
        <v>115</v>
      </c>
      <c r="F43" s="12" t="s">
        <v>1590</v>
      </c>
      <c r="G43" s="12" t="s">
        <v>1601</v>
      </c>
      <c r="H43" s="18" t="n">
        <v>18810637.22</v>
      </c>
      <c r="I43" s="18" t="n">
        <v>18255703.55</v>
      </c>
      <c r="J43" s="19" t="n">
        <f aca="false">H43-I43</f>
        <v>554933.669999998</v>
      </c>
      <c r="K43" s="12" t="s">
        <v>878</v>
      </c>
    </row>
    <row r="44" customFormat="false" ht="15" hidden="false" customHeight="true" outlineLevel="0" collapsed="false">
      <c r="A44" s="12" t="s">
        <v>1633</v>
      </c>
      <c r="B44" s="14" t="n">
        <v>45876</v>
      </c>
      <c r="C44" s="13" t="s">
        <v>383</v>
      </c>
      <c r="D44" s="15" t="str">
        <f aca="false">IFERROR(INDEX(Dim_Employee!$B$2:$B$76,MATCH(C44,Dim_Employee!$A$2:$A$76,0)),"")</f>
        <v>Tunde Ndukwe</v>
      </c>
      <c r="E44" s="12" t="s">
        <v>24</v>
      </c>
      <c r="F44" s="12" t="s">
        <v>1587</v>
      </c>
      <c r="G44" s="12" t="s">
        <v>1619</v>
      </c>
      <c r="H44" s="18" t="n">
        <v>44894641.47</v>
      </c>
      <c r="I44" s="18" t="n">
        <v>50473540.05</v>
      </c>
      <c r="J44" s="19" t="n">
        <f aca="false">H44-I44</f>
        <v>-5578898.58</v>
      </c>
      <c r="K44" s="12" t="s">
        <v>878</v>
      </c>
    </row>
    <row r="45" customFormat="false" ht="15" hidden="false" customHeight="true" outlineLevel="0" collapsed="false">
      <c r="A45" s="12" t="s">
        <v>1634</v>
      </c>
      <c r="B45" s="14" t="n">
        <v>45758</v>
      </c>
      <c r="C45" s="13" t="s">
        <v>383</v>
      </c>
      <c r="D45" s="15" t="str">
        <f aca="false">IFERROR(INDEX(Dim_Employee!$B$2:$B$76,MATCH(C45,Dim_Employee!$A$2:$A$76,0)),"")</f>
        <v>Tunde Ndukwe</v>
      </c>
      <c r="E45" s="12" t="s">
        <v>19</v>
      </c>
      <c r="F45" s="12" t="s">
        <v>1587</v>
      </c>
      <c r="G45" s="12" t="s">
        <v>1588</v>
      </c>
      <c r="H45" s="18" t="n">
        <v>44881414.28</v>
      </c>
      <c r="I45" s="18" t="n">
        <v>51896576.98</v>
      </c>
      <c r="J45" s="19" t="n">
        <f aca="false">H45-I45</f>
        <v>-7015162.7</v>
      </c>
      <c r="K45" s="12" t="s">
        <v>856</v>
      </c>
    </row>
    <row r="46" customFormat="false" ht="15" hidden="false" customHeight="true" outlineLevel="0" collapsed="false">
      <c r="A46" s="12" t="s">
        <v>1635</v>
      </c>
      <c r="B46" s="14" t="n">
        <v>45991</v>
      </c>
      <c r="C46" s="13" t="s">
        <v>387</v>
      </c>
      <c r="D46" s="15" t="str">
        <f aca="false">IFERROR(INDEX(Dim_Employee!$B$2:$B$76,MATCH(C46,Dim_Employee!$A$2:$A$76,0)),"")</f>
        <v>Abdullahi Ojo</v>
      </c>
      <c r="E46" s="12" t="s">
        <v>28</v>
      </c>
      <c r="F46" s="12" t="s">
        <v>1590</v>
      </c>
      <c r="G46" s="12" t="s">
        <v>1609</v>
      </c>
      <c r="H46" s="18" t="n">
        <v>2922858.54</v>
      </c>
      <c r="I46" s="18" t="n">
        <v>3571094.18</v>
      </c>
      <c r="J46" s="19" t="n">
        <f aca="false">H46-I46</f>
        <v>-648235.64</v>
      </c>
      <c r="K46" s="12" t="s">
        <v>878</v>
      </c>
    </row>
    <row r="47" customFormat="false" ht="15" hidden="false" customHeight="true" outlineLevel="0" collapsed="false">
      <c r="A47" s="12" t="s">
        <v>1636</v>
      </c>
      <c r="B47" s="14" t="n">
        <v>45789</v>
      </c>
      <c r="C47" s="13" t="s">
        <v>379</v>
      </c>
      <c r="D47" s="15" t="str">
        <f aca="false">IFERROR(INDEX(Dim_Employee!$B$2:$B$76,MATCH(C47,Dim_Employee!$A$2:$A$76,0)),"")</f>
        <v>Emeka Adeyemi</v>
      </c>
      <c r="E47" s="12" t="s">
        <v>19</v>
      </c>
      <c r="F47" s="12" t="s">
        <v>1590</v>
      </c>
      <c r="G47" s="12" t="s">
        <v>1591</v>
      </c>
      <c r="H47" s="18" t="n">
        <v>21380288.24</v>
      </c>
      <c r="I47" s="18" t="n">
        <v>22201775.3</v>
      </c>
      <c r="J47" s="19" t="n">
        <f aca="false">H47-I47</f>
        <v>-821487.060000002</v>
      </c>
      <c r="K47" s="12" t="s">
        <v>878</v>
      </c>
    </row>
    <row r="48" customFormat="false" ht="15" hidden="false" customHeight="true" outlineLevel="0" collapsed="false">
      <c r="A48" s="12" t="s">
        <v>1637</v>
      </c>
      <c r="B48" s="14" t="n">
        <v>45824</v>
      </c>
      <c r="C48" s="13" t="s">
        <v>364</v>
      </c>
      <c r="D48" s="15" t="str">
        <f aca="false">IFERROR(INDEX(Dim_Employee!$B$2:$B$76,MATCH(C48,Dim_Employee!$A$2:$A$76,0)),"")</f>
        <v>Amaka Aliyu</v>
      </c>
      <c r="E48" s="12" t="s">
        <v>104</v>
      </c>
      <c r="F48" s="12" t="s">
        <v>1587</v>
      </c>
      <c r="G48" s="12" t="s">
        <v>1597</v>
      </c>
      <c r="H48" s="18" t="n">
        <v>9736055.39</v>
      </c>
      <c r="I48" s="18" t="n">
        <v>8620866.43</v>
      </c>
      <c r="J48" s="19" t="n">
        <f aca="false">H48-I48</f>
        <v>1115188.96</v>
      </c>
      <c r="K48" s="12" t="s">
        <v>878</v>
      </c>
    </row>
    <row r="49" customFormat="false" ht="15" hidden="false" customHeight="true" outlineLevel="0" collapsed="false">
      <c r="A49" s="12" t="s">
        <v>1638</v>
      </c>
      <c r="B49" s="14" t="n">
        <v>45911</v>
      </c>
      <c r="C49" s="13" t="s">
        <v>113</v>
      </c>
      <c r="D49" s="15" t="str">
        <f aca="false">IFERROR(INDEX(Dim_Employee!$B$2:$B$76,MATCH(C49,Dim_Employee!$A$2:$A$76,0)),"")</f>
        <v>Funmilayo Adeyemi</v>
      </c>
      <c r="E49" s="12" t="s">
        <v>24</v>
      </c>
      <c r="F49" s="12" t="s">
        <v>1578</v>
      </c>
      <c r="G49" s="12" t="s">
        <v>1584</v>
      </c>
      <c r="H49" s="18" t="n">
        <v>40468011.23</v>
      </c>
      <c r="I49" s="18" t="n">
        <v>45532854.34</v>
      </c>
      <c r="J49" s="19" t="n">
        <f aca="false">H49-I49</f>
        <v>-5064843.11000001</v>
      </c>
      <c r="K49" s="12" t="s">
        <v>878</v>
      </c>
    </row>
    <row r="50" customFormat="false" ht="15" hidden="false" customHeight="true" outlineLevel="0" collapsed="false">
      <c r="A50" s="12" t="s">
        <v>1639</v>
      </c>
      <c r="B50" s="14" t="n">
        <v>45873</v>
      </c>
      <c r="C50" s="13" t="s">
        <v>387</v>
      </c>
      <c r="D50" s="15" t="str">
        <f aca="false">IFERROR(INDEX(Dim_Employee!$B$2:$B$76,MATCH(C50,Dim_Employee!$A$2:$A$76,0)),"")</f>
        <v>Abdullahi Ojo</v>
      </c>
      <c r="E50" s="12" t="s">
        <v>19</v>
      </c>
      <c r="F50" s="12" t="s">
        <v>1590</v>
      </c>
      <c r="G50" s="12" t="s">
        <v>1640</v>
      </c>
      <c r="H50" s="18" t="n">
        <v>35347127.42</v>
      </c>
      <c r="I50" s="18" t="n">
        <v>29495494.37</v>
      </c>
      <c r="J50" s="19" t="n">
        <f aca="false">H50-I50</f>
        <v>5851633.05</v>
      </c>
      <c r="K50" s="12" t="s">
        <v>856</v>
      </c>
    </row>
    <row r="51" customFormat="false" ht="15" hidden="false" customHeight="true" outlineLevel="0" collapsed="false">
      <c r="A51" s="12" t="s">
        <v>1641</v>
      </c>
      <c r="B51" s="14" t="n">
        <v>45883</v>
      </c>
      <c r="C51" s="13" t="s">
        <v>113</v>
      </c>
      <c r="D51" s="15" t="str">
        <f aca="false">IFERROR(INDEX(Dim_Employee!$B$2:$B$76,MATCH(C51,Dim_Employee!$A$2:$A$76,0)),"")</f>
        <v>Funmilayo Adeyemi</v>
      </c>
      <c r="E51" s="12" t="s">
        <v>115</v>
      </c>
      <c r="F51" s="12" t="s">
        <v>1578</v>
      </c>
      <c r="G51" s="12" t="s">
        <v>1594</v>
      </c>
      <c r="H51" s="18" t="n">
        <v>28220088.55</v>
      </c>
      <c r="I51" s="18" t="n">
        <v>28038667.16</v>
      </c>
      <c r="J51" s="19" t="n">
        <f aca="false">H51-I51</f>
        <v>181421.390000001</v>
      </c>
      <c r="K51" s="12" t="s">
        <v>867</v>
      </c>
    </row>
    <row r="52" customFormat="false" ht="15" hidden="false" customHeight="true" outlineLevel="0" collapsed="false">
      <c r="A52" s="12" t="s">
        <v>1642</v>
      </c>
      <c r="B52" s="14" t="n">
        <v>45811</v>
      </c>
      <c r="C52" s="13" t="s">
        <v>379</v>
      </c>
      <c r="D52" s="15" t="str">
        <f aca="false">IFERROR(INDEX(Dim_Employee!$B$2:$B$76,MATCH(C52,Dim_Employee!$A$2:$A$76,0)),"")</f>
        <v>Emeka Adeyemi</v>
      </c>
      <c r="E52" s="12" t="s">
        <v>115</v>
      </c>
      <c r="F52" s="12" t="s">
        <v>1578</v>
      </c>
      <c r="G52" s="12" t="s">
        <v>1584</v>
      </c>
      <c r="H52" s="18" t="n">
        <v>33850821.71</v>
      </c>
      <c r="I52" s="18" t="n">
        <v>45655794.05</v>
      </c>
      <c r="J52" s="19" t="n">
        <f aca="false">H52-I52</f>
        <v>-11804972.34</v>
      </c>
      <c r="K52" s="12" t="s">
        <v>878</v>
      </c>
    </row>
    <row r="53" customFormat="false" ht="15" hidden="false" customHeight="true" outlineLevel="0" collapsed="false">
      <c r="A53" s="12" t="s">
        <v>1643</v>
      </c>
      <c r="B53" s="14" t="n">
        <v>45841</v>
      </c>
      <c r="C53" s="13" t="s">
        <v>379</v>
      </c>
      <c r="D53" s="15" t="str">
        <f aca="false">IFERROR(INDEX(Dim_Employee!$B$2:$B$76,MATCH(C53,Dim_Employee!$A$2:$A$76,0)),"")</f>
        <v>Emeka Adeyemi</v>
      </c>
      <c r="E53" s="12" t="s">
        <v>115</v>
      </c>
      <c r="F53" s="12" t="s">
        <v>1587</v>
      </c>
      <c r="G53" s="12" t="s">
        <v>1597</v>
      </c>
      <c r="H53" s="18" t="n">
        <v>19663736.7</v>
      </c>
      <c r="I53" s="18" t="n">
        <v>23120302.1</v>
      </c>
      <c r="J53" s="19" t="n">
        <f aca="false">H53-I53</f>
        <v>-3456565.4</v>
      </c>
      <c r="K53" s="12" t="s">
        <v>878</v>
      </c>
    </row>
    <row r="54" customFormat="false" ht="15" hidden="false" customHeight="true" outlineLevel="0" collapsed="false">
      <c r="A54" s="12" t="s">
        <v>1644</v>
      </c>
      <c r="B54" s="14" t="n">
        <v>45734</v>
      </c>
      <c r="C54" s="13" t="s">
        <v>113</v>
      </c>
      <c r="D54" s="15" t="str">
        <f aca="false">IFERROR(INDEX(Dim_Employee!$B$2:$B$76,MATCH(C54,Dim_Employee!$A$2:$A$76,0)),"")</f>
        <v>Funmilayo Adeyemi</v>
      </c>
      <c r="E54" s="12" t="s">
        <v>104</v>
      </c>
      <c r="F54" s="12" t="s">
        <v>1590</v>
      </c>
      <c r="G54" s="12" t="s">
        <v>1601</v>
      </c>
      <c r="H54" s="18" t="n">
        <v>24185700.72</v>
      </c>
      <c r="I54" s="18" t="n">
        <v>22784791.56</v>
      </c>
      <c r="J54" s="19" t="n">
        <f aca="false">H54-I54</f>
        <v>1400909.16</v>
      </c>
      <c r="K54" s="12" t="s">
        <v>878</v>
      </c>
    </row>
    <row r="55" customFormat="false" ht="15" hidden="false" customHeight="true" outlineLevel="0" collapsed="false">
      <c r="A55" s="12" t="s">
        <v>1645</v>
      </c>
      <c r="B55" s="14" t="n">
        <v>45701</v>
      </c>
      <c r="C55" s="13" t="s">
        <v>369</v>
      </c>
      <c r="D55" s="15" t="str">
        <f aca="false">IFERROR(INDEX(Dim_Employee!$B$2:$B$76,MATCH(C55,Dim_Employee!$A$2:$A$76,0)),"")</f>
        <v>Chukwudi Yakubu</v>
      </c>
      <c r="E55" s="12" t="s">
        <v>19</v>
      </c>
      <c r="F55" s="12" t="s">
        <v>1587</v>
      </c>
      <c r="G55" s="12" t="s">
        <v>1619</v>
      </c>
      <c r="H55" s="18" t="n">
        <v>8478430.84</v>
      </c>
      <c r="I55" s="18" t="n">
        <v>11086618.97</v>
      </c>
      <c r="J55" s="19" t="n">
        <f aca="false">H55-I55</f>
        <v>-2608188.13</v>
      </c>
      <c r="K55" s="12" t="s">
        <v>878</v>
      </c>
    </row>
    <row r="56" customFormat="false" ht="15" hidden="false" customHeight="true" outlineLevel="0" collapsed="false">
      <c r="A56" s="12" t="s">
        <v>1646</v>
      </c>
      <c r="B56" s="14" t="n">
        <v>45956</v>
      </c>
      <c r="C56" s="13" t="s">
        <v>369</v>
      </c>
      <c r="D56" s="15" t="str">
        <f aca="false">IFERROR(INDEX(Dim_Employee!$B$2:$B$76,MATCH(C56,Dim_Employee!$A$2:$A$76,0)),"")</f>
        <v>Chukwudi Yakubu</v>
      </c>
      <c r="E56" s="12" t="s">
        <v>16</v>
      </c>
      <c r="F56" s="12" t="s">
        <v>1578</v>
      </c>
      <c r="G56" s="12" t="s">
        <v>1579</v>
      </c>
      <c r="H56" s="18" t="n">
        <v>1276142.43</v>
      </c>
      <c r="I56" s="18" t="n">
        <v>1744191.46</v>
      </c>
      <c r="J56" s="19" t="n">
        <f aca="false">H56-I56</f>
        <v>-468049.03</v>
      </c>
      <c r="K56" s="12" t="s">
        <v>867</v>
      </c>
    </row>
    <row r="57" customFormat="false" ht="15" hidden="false" customHeight="true" outlineLevel="0" collapsed="false">
      <c r="A57" s="12" t="s">
        <v>1647</v>
      </c>
      <c r="B57" s="14" t="n">
        <v>45830</v>
      </c>
      <c r="C57" s="13" t="s">
        <v>369</v>
      </c>
      <c r="D57" s="15" t="str">
        <f aca="false">IFERROR(INDEX(Dim_Employee!$B$2:$B$76,MATCH(C57,Dim_Employee!$A$2:$A$76,0)),"")</f>
        <v>Chukwudi Yakubu</v>
      </c>
      <c r="E57" s="12" t="s">
        <v>104</v>
      </c>
      <c r="F57" s="12" t="s">
        <v>1590</v>
      </c>
      <c r="G57" s="12" t="s">
        <v>1640</v>
      </c>
      <c r="H57" s="18" t="n">
        <v>45938611.32</v>
      </c>
      <c r="I57" s="18" t="n">
        <v>42354951.21</v>
      </c>
      <c r="J57" s="19" t="n">
        <f aca="false">H57-I57</f>
        <v>3583660.11</v>
      </c>
      <c r="K57" s="12" t="s">
        <v>867</v>
      </c>
    </row>
    <row r="58" customFormat="false" ht="15" hidden="false" customHeight="true" outlineLevel="0" collapsed="false">
      <c r="A58" s="12" t="s">
        <v>1648</v>
      </c>
      <c r="B58" s="14" t="n">
        <v>45949</v>
      </c>
      <c r="C58" s="13" t="s">
        <v>379</v>
      </c>
      <c r="D58" s="15" t="str">
        <f aca="false">IFERROR(INDEX(Dim_Employee!$B$2:$B$76,MATCH(C58,Dim_Employee!$A$2:$A$76,0)),"")</f>
        <v>Emeka Adeyemi</v>
      </c>
      <c r="E58" s="12" t="s">
        <v>24</v>
      </c>
      <c r="F58" s="12" t="s">
        <v>1587</v>
      </c>
      <c r="G58" s="12" t="s">
        <v>1597</v>
      </c>
      <c r="H58" s="18" t="n">
        <v>30722726.53</v>
      </c>
      <c r="I58" s="18" t="n">
        <v>26790705.3</v>
      </c>
      <c r="J58" s="19" t="n">
        <f aca="false">H58-I58</f>
        <v>3932021.23</v>
      </c>
      <c r="K58" s="12" t="s">
        <v>878</v>
      </c>
    </row>
    <row r="59" customFormat="false" ht="15" hidden="false" customHeight="true" outlineLevel="0" collapsed="false">
      <c r="A59" s="12" t="s">
        <v>1649</v>
      </c>
      <c r="B59" s="14" t="n">
        <v>45821</v>
      </c>
      <c r="C59" s="13" t="s">
        <v>379</v>
      </c>
      <c r="D59" s="15" t="str">
        <f aca="false">IFERROR(INDEX(Dim_Employee!$B$2:$B$76,MATCH(C59,Dim_Employee!$A$2:$A$76,0)),"")</f>
        <v>Emeka Adeyemi</v>
      </c>
      <c r="E59" s="12" t="s">
        <v>97</v>
      </c>
      <c r="F59" s="12" t="s">
        <v>1587</v>
      </c>
      <c r="G59" s="12" t="s">
        <v>1597</v>
      </c>
      <c r="H59" s="18" t="n">
        <v>34183072.77</v>
      </c>
      <c r="I59" s="18" t="n">
        <v>33152576.44</v>
      </c>
      <c r="J59" s="19" t="n">
        <f aca="false">H59-I59</f>
        <v>1030496.33</v>
      </c>
      <c r="K59" s="12" t="s">
        <v>867</v>
      </c>
    </row>
    <row r="60" customFormat="false" ht="15" hidden="false" customHeight="true" outlineLevel="0" collapsed="false">
      <c r="A60" s="12" t="s">
        <v>1650</v>
      </c>
      <c r="B60" s="14" t="n">
        <v>45961</v>
      </c>
      <c r="C60" s="13" t="s">
        <v>387</v>
      </c>
      <c r="D60" s="15" t="str">
        <f aca="false">IFERROR(INDEX(Dim_Employee!$B$2:$B$76,MATCH(C60,Dim_Employee!$A$2:$A$76,0)),"")</f>
        <v>Abdullahi Ojo</v>
      </c>
      <c r="E60" s="12" t="s">
        <v>19</v>
      </c>
      <c r="F60" s="12" t="s">
        <v>1578</v>
      </c>
      <c r="G60" s="12" t="s">
        <v>1584</v>
      </c>
      <c r="H60" s="18" t="n">
        <v>8762463.54</v>
      </c>
      <c r="I60" s="18" t="n">
        <v>10949448.71</v>
      </c>
      <c r="J60" s="19" t="n">
        <f aca="false">H60-I60</f>
        <v>-2186985.17</v>
      </c>
      <c r="K60" s="12" t="s">
        <v>867</v>
      </c>
    </row>
    <row r="61" customFormat="false" ht="15" hidden="false" customHeight="true" outlineLevel="0" collapsed="false">
      <c r="A61" s="12" t="s">
        <v>1651</v>
      </c>
      <c r="B61" s="14" t="n">
        <v>45821</v>
      </c>
      <c r="C61" s="13" t="s">
        <v>379</v>
      </c>
      <c r="D61" s="15" t="str">
        <f aca="false">IFERROR(INDEX(Dim_Employee!$B$2:$B$76,MATCH(C61,Dim_Employee!$A$2:$A$76,0)),"")</f>
        <v>Emeka Adeyemi</v>
      </c>
      <c r="E61" s="12" t="s">
        <v>104</v>
      </c>
      <c r="F61" s="12" t="s">
        <v>1590</v>
      </c>
      <c r="G61" s="12" t="s">
        <v>1640</v>
      </c>
      <c r="H61" s="18" t="n">
        <v>34825818.38</v>
      </c>
      <c r="I61" s="18" t="n">
        <v>42530417.55</v>
      </c>
      <c r="J61" s="19" t="n">
        <f aca="false">H61-I61</f>
        <v>-7704599.16999999</v>
      </c>
      <c r="K61" s="12" t="s">
        <v>867</v>
      </c>
    </row>
    <row r="62" customFormat="false" ht="15" hidden="false" customHeight="true" outlineLevel="0" collapsed="false">
      <c r="A62" s="12" t="s">
        <v>1652</v>
      </c>
      <c r="B62" s="14" t="n">
        <v>45682</v>
      </c>
      <c r="C62" s="13" t="s">
        <v>379</v>
      </c>
      <c r="D62" s="15" t="str">
        <f aca="false">IFERROR(INDEX(Dim_Employee!$B$2:$B$76,MATCH(C62,Dim_Employee!$A$2:$A$76,0)),"")</f>
        <v>Emeka Adeyemi</v>
      </c>
      <c r="E62" s="12" t="s">
        <v>104</v>
      </c>
      <c r="F62" s="12" t="s">
        <v>1587</v>
      </c>
      <c r="G62" s="12" t="s">
        <v>1597</v>
      </c>
      <c r="H62" s="18" t="n">
        <v>15454411.26</v>
      </c>
      <c r="I62" s="18" t="n">
        <v>14110909.7</v>
      </c>
      <c r="J62" s="19" t="n">
        <f aca="false">H62-I62</f>
        <v>1343501.56</v>
      </c>
      <c r="K62" s="12" t="s">
        <v>878</v>
      </c>
    </row>
    <row r="63" customFormat="false" ht="15" hidden="false" customHeight="true" outlineLevel="0" collapsed="false">
      <c r="A63" s="12" t="s">
        <v>1653</v>
      </c>
      <c r="B63" s="14" t="n">
        <v>45706</v>
      </c>
      <c r="C63" s="13" t="s">
        <v>359</v>
      </c>
      <c r="D63" s="15" t="str">
        <f aca="false">IFERROR(INDEX(Dim_Employee!$B$2:$B$76,MATCH(C63,Dim_Employee!$A$2:$A$76,0)),"")</f>
        <v>Ngozi Ndukwe</v>
      </c>
      <c r="E63" s="12" t="s">
        <v>24</v>
      </c>
      <c r="F63" s="12" t="s">
        <v>1590</v>
      </c>
      <c r="G63" s="12" t="s">
        <v>1609</v>
      </c>
      <c r="H63" s="18" t="n">
        <v>33503865.39</v>
      </c>
      <c r="I63" s="18" t="n">
        <v>32823001.38</v>
      </c>
      <c r="J63" s="19" t="n">
        <f aca="false">H63-I63</f>
        <v>680864.010000002</v>
      </c>
      <c r="K63" s="12" t="s">
        <v>878</v>
      </c>
    </row>
    <row r="64" customFormat="false" ht="15" hidden="false" customHeight="true" outlineLevel="0" collapsed="false">
      <c r="A64" s="12" t="s">
        <v>1654</v>
      </c>
      <c r="B64" s="14" t="n">
        <v>45690</v>
      </c>
      <c r="C64" s="13" t="s">
        <v>379</v>
      </c>
      <c r="D64" s="15" t="str">
        <f aca="false">IFERROR(INDEX(Dim_Employee!$B$2:$B$76,MATCH(C64,Dim_Employee!$A$2:$A$76,0)),"")</f>
        <v>Emeka Adeyemi</v>
      </c>
      <c r="E64" s="12" t="s">
        <v>104</v>
      </c>
      <c r="F64" s="12" t="s">
        <v>1578</v>
      </c>
      <c r="G64" s="12" t="s">
        <v>1594</v>
      </c>
      <c r="H64" s="18" t="n">
        <v>42515351.09</v>
      </c>
      <c r="I64" s="18" t="n">
        <v>36206161.44</v>
      </c>
      <c r="J64" s="19" t="n">
        <f aca="false">H64-I64</f>
        <v>6309189.65000001</v>
      </c>
      <c r="K64" s="12" t="s">
        <v>867</v>
      </c>
    </row>
    <row r="65" customFormat="false" ht="15" hidden="false" customHeight="true" outlineLevel="0" collapsed="false">
      <c r="A65" s="12" t="s">
        <v>1655</v>
      </c>
      <c r="B65" s="14" t="n">
        <v>45680</v>
      </c>
      <c r="C65" s="13" t="s">
        <v>113</v>
      </c>
      <c r="D65" s="15" t="str">
        <f aca="false">IFERROR(INDEX(Dim_Employee!$B$2:$B$76,MATCH(C65,Dim_Employee!$A$2:$A$76,0)),"")</f>
        <v>Funmilayo Adeyemi</v>
      </c>
      <c r="E65" s="12" t="s">
        <v>19</v>
      </c>
      <c r="F65" s="12" t="s">
        <v>1590</v>
      </c>
      <c r="G65" s="12" t="s">
        <v>1640</v>
      </c>
      <c r="H65" s="18" t="n">
        <v>37236088.68</v>
      </c>
      <c r="I65" s="18" t="n">
        <v>37067615.46</v>
      </c>
      <c r="J65" s="19" t="n">
        <f aca="false">H65-I65</f>
        <v>168473.219999999</v>
      </c>
      <c r="K65" s="12" t="s">
        <v>878</v>
      </c>
    </row>
    <row r="66" customFormat="false" ht="15" hidden="false" customHeight="true" outlineLevel="0" collapsed="false">
      <c r="A66" s="12" t="s">
        <v>1656</v>
      </c>
      <c r="B66" s="14" t="n">
        <v>45945</v>
      </c>
      <c r="C66" s="13" t="s">
        <v>379</v>
      </c>
      <c r="D66" s="15" t="str">
        <f aca="false">IFERROR(INDEX(Dim_Employee!$B$2:$B$76,MATCH(C66,Dim_Employee!$A$2:$A$76,0)),"")</f>
        <v>Emeka Adeyemi</v>
      </c>
      <c r="E66" s="12" t="s">
        <v>16</v>
      </c>
      <c r="F66" s="12" t="s">
        <v>1587</v>
      </c>
      <c r="G66" s="12" t="s">
        <v>1588</v>
      </c>
      <c r="H66" s="18" t="n">
        <v>24320519.33</v>
      </c>
      <c r="I66" s="18" t="n">
        <v>28313426.98</v>
      </c>
      <c r="J66" s="19" t="n">
        <f aca="false">H66-I66</f>
        <v>-3992907.65</v>
      </c>
      <c r="K66" s="12" t="s">
        <v>856</v>
      </c>
    </row>
    <row r="67" customFormat="false" ht="15" hidden="false" customHeight="true" outlineLevel="0" collapsed="false">
      <c r="A67" s="12" t="s">
        <v>1657</v>
      </c>
      <c r="B67" s="14" t="n">
        <v>45791</v>
      </c>
      <c r="C67" s="13" t="s">
        <v>379</v>
      </c>
      <c r="D67" s="15" t="str">
        <f aca="false">IFERROR(INDEX(Dim_Employee!$B$2:$B$76,MATCH(C67,Dim_Employee!$A$2:$A$76,0)),"")</f>
        <v>Emeka Adeyemi</v>
      </c>
      <c r="E67" s="12" t="s">
        <v>16</v>
      </c>
      <c r="F67" s="12" t="s">
        <v>1587</v>
      </c>
      <c r="G67" s="12" t="s">
        <v>1619</v>
      </c>
      <c r="H67" s="18" t="n">
        <v>13175718.27</v>
      </c>
      <c r="I67" s="18" t="n">
        <v>15308300.94</v>
      </c>
      <c r="J67" s="19" t="n">
        <f aca="false">H67-I67</f>
        <v>-2132582.67</v>
      </c>
      <c r="K67" s="12" t="s">
        <v>867</v>
      </c>
    </row>
    <row r="68" customFormat="false" ht="15" hidden="false" customHeight="true" outlineLevel="0" collapsed="false">
      <c r="A68" s="12" t="s">
        <v>1658</v>
      </c>
      <c r="B68" s="14" t="n">
        <v>45715</v>
      </c>
      <c r="C68" s="13" t="s">
        <v>374</v>
      </c>
      <c r="D68" s="15" t="str">
        <f aca="false">IFERROR(INDEX(Dim_Employee!$B$2:$B$76,MATCH(C68,Dim_Employee!$A$2:$A$76,0)),"")</f>
        <v>Titilayo Chukwu</v>
      </c>
      <c r="E68" s="12" t="s">
        <v>97</v>
      </c>
      <c r="F68" s="12" t="s">
        <v>1578</v>
      </c>
      <c r="G68" s="12" t="s">
        <v>1594</v>
      </c>
      <c r="H68" s="18" t="n">
        <v>30286978.66</v>
      </c>
      <c r="I68" s="18" t="n">
        <v>35725536.15</v>
      </c>
      <c r="J68" s="19" t="n">
        <f aca="false">H68-I68</f>
        <v>-5438557.49</v>
      </c>
      <c r="K68" s="12" t="s">
        <v>867</v>
      </c>
    </row>
    <row r="69" customFormat="false" ht="15" hidden="false" customHeight="true" outlineLevel="0" collapsed="false">
      <c r="A69" s="12" t="s">
        <v>1659</v>
      </c>
      <c r="B69" s="14" t="n">
        <v>45976</v>
      </c>
      <c r="C69" s="13" t="s">
        <v>369</v>
      </c>
      <c r="D69" s="15" t="str">
        <f aca="false">IFERROR(INDEX(Dim_Employee!$B$2:$B$76,MATCH(C69,Dim_Employee!$A$2:$A$76,0)),"")</f>
        <v>Chukwudi Yakubu</v>
      </c>
      <c r="E69" s="12" t="s">
        <v>104</v>
      </c>
      <c r="F69" s="12" t="s">
        <v>1578</v>
      </c>
      <c r="G69" s="12" t="s">
        <v>1616</v>
      </c>
      <c r="H69" s="18" t="n">
        <v>38992896.54</v>
      </c>
      <c r="I69" s="18" t="n">
        <v>32929077.8</v>
      </c>
      <c r="J69" s="19" t="n">
        <f aca="false">H69-I69</f>
        <v>6063818.74</v>
      </c>
      <c r="K69" s="12" t="s">
        <v>878</v>
      </c>
    </row>
    <row r="70" customFormat="false" ht="15" hidden="false" customHeight="true" outlineLevel="0" collapsed="false">
      <c r="A70" s="12" t="s">
        <v>1660</v>
      </c>
      <c r="B70" s="14" t="n">
        <v>45793</v>
      </c>
      <c r="C70" s="13" t="s">
        <v>369</v>
      </c>
      <c r="D70" s="15" t="str">
        <f aca="false">IFERROR(INDEX(Dim_Employee!$B$2:$B$76,MATCH(C70,Dim_Employee!$A$2:$A$76,0)),"")</f>
        <v>Chukwudi Yakubu</v>
      </c>
      <c r="E70" s="12" t="s">
        <v>28</v>
      </c>
      <c r="F70" s="12" t="s">
        <v>1578</v>
      </c>
      <c r="G70" s="12" t="s">
        <v>1616</v>
      </c>
      <c r="H70" s="18" t="n">
        <v>44149690.98</v>
      </c>
      <c r="I70" s="18" t="n">
        <v>49096582.46</v>
      </c>
      <c r="J70" s="19" t="n">
        <f aca="false">H70-I70</f>
        <v>-4946891.48</v>
      </c>
      <c r="K70" s="12" t="s">
        <v>878</v>
      </c>
    </row>
    <row r="71" customFormat="false" ht="15" hidden="false" customHeight="true" outlineLevel="0" collapsed="false">
      <c r="A71" s="12" t="s">
        <v>1661</v>
      </c>
      <c r="B71" s="14" t="n">
        <v>45674</v>
      </c>
      <c r="C71" s="13" t="s">
        <v>369</v>
      </c>
      <c r="D71" s="15" t="str">
        <f aca="false">IFERROR(INDEX(Dim_Employee!$B$2:$B$76,MATCH(C71,Dim_Employee!$A$2:$A$76,0)),"")</f>
        <v>Chukwudi Yakubu</v>
      </c>
      <c r="E71" s="12" t="s">
        <v>19</v>
      </c>
      <c r="F71" s="12" t="s">
        <v>1578</v>
      </c>
      <c r="G71" s="12" t="s">
        <v>1594</v>
      </c>
      <c r="H71" s="18" t="n">
        <v>1576830.62</v>
      </c>
      <c r="I71" s="18" t="n">
        <v>1821723.11</v>
      </c>
      <c r="J71" s="19" t="n">
        <f aca="false">H71-I71</f>
        <v>-244892.49</v>
      </c>
      <c r="K71" s="12" t="s">
        <v>878</v>
      </c>
    </row>
    <row r="72" customFormat="false" ht="15" hidden="false" customHeight="true" outlineLevel="0" collapsed="false">
      <c r="A72" s="12" t="s">
        <v>1662</v>
      </c>
      <c r="B72" s="14" t="n">
        <v>45943</v>
      </c>
      <c r="C72" s="13" t="s">
        <v>387</v>
      </c>
      <c r="D72" s="15" t="str">
        <f aca="false">IFERROR(INDEX(Dim_Employee!$B$2:$B$76,MATCH(C72,Dim_Employee!$A$2:$A$76,0)),"")</f>
        <v>Abdullahi Ojo</v>
      </c>
      <c r="E72" s="12" t="s">
        <v>19</v>
      </c>
      <c r="F72" s="12" t="s">
        <v>1578</v>
      </c>
      <c r="G72" s="12" t="s">
        <v>1616</v>
      </c>
      <c r="H72" s="18" t="n">
        <v>28460849.95</v>
      </c>
      <c r="I72" s="18" t="n">
        <v>31548823.02</v>
      </c>
      <c r="J72" s="19" t="n">
        <f aca="false">H72-I72</f>
        <v>-3087973.07</v>
      </c>
      <c r="K72" s="12" t="s">
        <v>878</v>
      </c>
    </row>
    <row r="73" customFormat="false" ht="15" hidden="false" customHeight="true" outlineLevel="0" collapsed="false">
      <c r="A73" s="12" t="s">
        <v>1663</v>
      </c>
      <c r="B73" s="14" t="n">
        <v>45914</v>
      </c>
      <c r="C73" s="13" t="s">
        <v>379</v>
      </c>
      <c r="D73" s="15" t="str">
        <f aca="false">IFERROR(INDEX(Dim_Employee!$B$2:$B$76,MATCH(C73,Dim_Employee!$A$2:$A$76,0)),"")</f>
        <v>Emeka Adeyemi</v>
      </c>
      <c r="E73" s="12" t="s">
        <v>115</v>
      </c>
      <c r="F73" s="12" t="s">
        <v>1590</v>
      </c>
      <c r="G73" s="12" t="s">
        <v>1640</v>
      </c>
      <c r="H73" s="18" t="n">
        <v>42494470.58</v>
      </c>
      <c r="I73" s="18" t="n">
        <v>56675928.69</v>
      </c>
      <c r="J73" s="19" t="n">
        <f aca="false">H73-I73</f>
        <v>-14181458.11</v>
      </c>
      <c r="K73" s="12" t="s">
        <v>878</v>
      </c>
    </row>
    <row r="74" customFormat="false" ht="15" hidden="false" customHeight="true" outlineLevel="0" collapsed="false">
      <c r="A74" s="12" t="s">
        <v>1664</v>
      </c>
      <c r="B74" s="14" t="n">
        <v>45829</v>
      </c>
      <c r="C74" s="13" t="s">
        <v>369</v>
      </c>
      <c r="D74" s="15" t="str">
        <f aca="false">IFERROR(INDEX(Dim_Employee!$B$2:$B$76,MATCH(C74,Dim_Employee!$A$2:$A$76,0)),"")</f>
        <v>Chukwudi Yakubu</v>
      </c>
      <c r="E74" s="12" t="s">
        <v>115</v>
      </c>
      <c r="F74" s="12" t="s">
        <v>1587</v>
      </c>
      <c r="G74" s="12" t="s">
        <v>1588</v>
      </c>
      <c r="H74" s="18" t="n">
        <v>6973428.34</v>
      </c>
      <c r="I74" s="18" t="n">
        <v>7016277.61</v>
      </c>
      <c r="J74" s="19" t="n">
        <f aca="false">H74-I74</f>
        <v>-42849.2700000005</v>
      </c>
      <c r="K74" s="12" t="s">
        <v>878</v>
      </c>
    </row>
    <row r="75" customFormat="false" ht="15" hidden="false" customHeight="true" outlineLevel="0" collapsed="false">
      <c r="A75" s="12" t="s">
        <v>1665</v>
      </c>
      <c r="B75" s="14" t="n">
        <v>45696</v>
      </c>
      <c r="C75" s="13" t="s">
        <v>374</v>
      </c>
      <c r="D75" s="15" t="str">
        <f aca="false">IFERROR(INDEX(Dim_Employee!$B$2:$B$76,MATCH(C75,Dim_Employee!$A$2:$A$76,0)),"")</f>
        <v>Titilayo Chukwu</v>
      </c>
      <c r="E75" s="12" t="s">
        <v>115</v>
      </c>
      <c r="F75" s="12" t="s">
        <v>1587</v>
      </c>
      <c r="G75" s="12" t="s">
        <v>1619</v>
      </c>
      <c r="H75" s="18" t="n">
        <v>50971397.37</v>
      </c>
      <c r="I75" s="18" t="n">
        <v>51787293.15</v>
      </c>
      <c r="J75" s="19" t="n">
        <f aca="false">H75-I75</f>
        <v>-815895.780000001</v>
      </c>
      <c r="K75" s="12" t="s">
        <v>856</v>
      </c>
    </row>
    <row r="76" customFormat="false" ht="15" hidden="false" customHeight="true" outlineLevel="0" collapsed="false">
      <c r="A76" s="12" t="s">
        <v>1666</v>
      </c>
      <c r="B76" s="14" t="n">
        <v>45887</v>
      </c>
      <c r="C76" s="13" t="s">
        <v>364</v>
      </c>
      <c r="D76" s="15" t="str">
        <f aca="false">IFERROR(INDEX(Dim_Employee!$B$2:$B$76,MATCH(C76,Dim_Employee!$A$2:$A$76,0)),"")</f>
        <v>Amaka Aliyu</v>
      </c>
      <c r="E76" s="12" t="s">
        <v>115</v>
      </c>
      <c r="F76" s="12" t="s">
        <v>1578</v>
      </c>
      <c r="G76" s="12" t="s">
        <v>1616</v>
      </c>
      <c r="H76" s="18" t="n">
        <v>47895361.25</v>
      </c>
      <c r="I76" s="18" t="n">
        <v>43034780.7</v>
      </c>
      <c r="J76" s="19" t="n">
        <f aca="false">H76-I76</f>
        <v>4860580.55</v>
      </c>
      <c r="K76" s="12" t="s">
        <v>878</v>
      </c>
    </row>
    <row r="77" customFormat="false" ht="15" hidden="false" customHeight="true" outlineLevel="0" collapsed="false">
      <c r="A77" s="12" t="s">
        <v>1667</v>
      </c>
      <c r="B77" s="14" t="n">
        <v>45782</v>
      </c>
      <c r="C77" s="13" t="s">
        <v>113</v>
      </c>
      <c r="D77" s="15" t="str">
        <f aca="false">IFERROR(INDEX(Dim_Employee!$B$2:$B$76,MATCH(C77,Dim_Employee!$A$2:$A$76,0)),"")</f>
        <v>Funmilayo Adeyemi</v>
      </c>
      <c r="E77" s="12" t="s">
        <v>19</v>
      </c>
      <c r="F77" s="12" t="s">
        <v>1590</v>
      </c>
      <c r="G77" s="12" t="s">
        <v>1591</v>
      </c>
      <c r="H77" s="18" t="n">
        <v>31515632.41</v>
      </c>
      <c r="I77" s="18" t="n">
        <v>42719581.2</v>
      </c>
      <c r="J77" s="19" t="n">
        <f aca="false">H77-I77</f>
        <v>-11203948.79</v>
      </c>
      <c r="K77" s="12" t="s">
        <v>856</v>
      </c>
    </row>
    <row r="78" customFormat="false" ht="15" hidden="false" customHeight="true" outlineLevel="0" collapsed="false">
      <c r="A78" s="12" t="s">
        <v>1668</v>
      </c>
      <c r="B78" s="14" t="n">
        <v>45953</v>
      </c>
      <c r="C78" s="13" t="s">
        <v>387</v>
      </c>
      <c r="D78" s="15" t="str">
        <f aca="false">IFERROR(INDEX(Dim_Employee!$B$2:$B$76,MATCH(C78,Dim_Employee!$A$2:$A$76,0)),"")</f>
        <v>Abdullahi Ojo</v>
      </c>
      <c r="E78" s="12" t="s">
        <v>19</v>
      </c>
      <c r="F78" s="12" t="s">
        <v>1590</v>
      </c>
      <c r="G78" s="12" t="s">
        <v>1609</v>
      </c>
      <c r="H78" s="18" t="n">
        <v>29072933.06</v>
      </c>
      <c r="I78" s="18" t="n">
        <v>32842591.62</v>
      </c>
      <c r="J78" s="19" t="n">
        <f aca="false">H78-I78</f>
        <v>-3769658.56</v>
      </c>
      <c r="K78" s="12" t="s">
        <v>856</v>
      </c>
    </row>
    <row r="79" customFormat="false" ht="15" hidden="false" customHeight="true" outlineLevel="0" collapsed="false">
      <c r="A79" s="12" t="s">
        <v>1669</v>
      </c>
      <c r="B79" s="14" t="n">
        <v>45695</v>
      </c>
      <c r="C79" s="13" t="s">
        <v>369</v>
      </c>
      <c r="D79" s="15" t="str">
        <f aca="false">IFERROR(INDEX(Dim_Employee!$B$2:$B$76,MATCH(C79,Dim_Employee!$A$2:$A$76,0)),"")</f>
        <v>Chukwudi Yakubu</v>
      </c>
      <c r="E79" s="12" t="s">
        <v>97</v>
      </c>
      <c r="F79" s="12" t="s">
        <v>1590</v>
      </c>
      <c r="G79" s="12" t="s">
        <v>1601</v>
      </c>
      <c r="H79" s="18" t="n">
        <v>32366323.8</v>
      </c>
      <c r="I79" s="18" t="n">
        <v>39573097.17</v>
      </c>
      <c r="J79" s="19" t="n">
        <f aca="false">H79-I79</f>
        <v>-7206773.37</v>
      </c>
      <c r="K79" s="12" t="s">
        <v>867</v>
      </c>
    </row>
    <row r="80" customFormat="false" ht="15" hidden="false" customHeight="true" outlineLevel="0" collapsed="false">
      <c r="A80" s="12" t="s">
        <v>1670</v>
      </c>
      <c r="B80" s="14" t="n">
        <v>45752</v>
      </c>
      <c r="C80" s="13" t="s">
        <v>364</v>
      </c>
      <c r="D80" s="15" t="str">
        <f aca="false">IFERROR(INDEX(Dim_Employee!$B$2:$B$76,MATCH(C80,Dim_Employee!$A$2:$A$76,0)),"")</f>
        <v>Amaka Aliyu</v>
      </c>
      <c r="E80" s="12" t="s">
        <v>24</v>
      </c>
      <c r="F80" s="12" t="s">
        <v>1590</v>
      </c>
      <c r="G80" s="12" t="s">
        <v>1640</v>
      </c>
      <c r="H80" s="18" t="n">
        <v>39126502.33</v>
      </c>
      <c r="I80" s="18" t="n">
        <v>31627897.43</v>
      </c>
      <c r="J80" s="19" t="n">
        <f aca="false">H80-I80</f>
        <v>7498604.9</v>
      </c>
      <c r="K80" s="12" t="s">
        <v>878</v>
      </c>
    </row>
    <row r="81" customFormat="false" ht="15" hidden="false" customHeight="true" outlineLevel="0" collapsed="false">
      <c r="A81" s="12" t="s">
        <v>1671</v>
      </c>
      <c r="B81" s="14" t="n">
        <v>45729</v>
      </c>
      <c r="C81" s="13" t="s">
        <v>369</v>
      </c>
      <c r="D81" s="15" t="str">
        <f aca="false">IFERROR(INDEX(Dim_Employee!$B$2:$B$76,MATCH(C81,Dim_Employee!$A$2:$A$76,0)),"")</f>
        <v>Chukwudi Yakubu</v>
      </c>
      <c r="E81" s="12" t="s">
        <v>104</v>
      </c>
      <c r="F81" s="12" t="s">
        <v>1587</v>
      </c>
      <c r="G81" s="12" t="s">
        <v>1619</v>
      </c>
      <c r="H81" s="18" t="n">
        <v>2806632.3</v>
      </c>
      <c r="I81" s="18" t="n">
        <v>3904503.97</v>
      </c>
      <c r="J81" s="19" t="n">
        <f aca="false">H81-I81</f>
        <v>-1097871.67</v>
      </c>
      <c r="K81" s="12" t="s">
        <v>878</v>
      </c>
    </row>
    <row r="82" customFormat="false" ht="15" hidden="false" customHeight="true" outlineLevel="0" collapsed="false">
      <c r="A82" s="12" t="s">
        <v>1672</v>
      </c>
      <c r="B82" s="14" t="n">
        <v>45822</v>
      </c>
      <c r="C82" s="13" t="s">
        <v>113</v>
      </c>
      <c r="D82" s="15" t="str">
        <f aca="false">IFERROR(INDEX(Dim_Employee!$B$2:$B$76,MATCH(C82,Dim_Employee!$A$2:$A$76,0)),"")</f>
        <v>Funmilayo Adeyemi</v>
      </c>
      <c r="E82" s="12" t="s">
        <v>104</v>
      </c>
      <c r="F82" s="12" t="s">
        <v>1590</v>
      </c>
      <c r="G82" s="12" t="s">
        <v>1601</v>
      </c>
      <c r="H82" s="18" t="n">
        <v>9824673.78</v>
      </c>
      <c r="I82" s="18" t="n">
        <v>10228922.66</v>
      </c>
      <c r="J82" s="19" t="n">
        <f aca="false">H82-I82</f>
        <v>-404248.880000001</v>
      </c>
      <c r="K82" s="12" t="s">
        <v>878</v>
      </c>
    </row>
    <row r="83" customFormat="false" ht="15" hidden="false" customHeight="true" outlineLevel="0" collapsed="false">
      <c r="A83" s="12" t="s">
        <v>1673</v>
      </c>
      <c r="B83" s="14" t="n">
        <v>46008</v>
      </c>
      <c r="C83" s="13" t="s">
        <v>364</v>
      </c>
      <c r="D83" s="15" t="str">
        <f aca="false">IFERROR(INDEX(Dim_Employee!$B$2:$B$76,MATCH(C83,Dim_Employee!$A$2:$A$76,0)),"")</f>
        <v>Amaka Aliyu</v>
      </c>
      <c r="E83" s="12" t="s">
        <v>16</v>
      </c>
      <c r="F83" s="12" t="s">
        <v>1578</v>
      </c>
      <c r="G83" s="12" t="s">
        <v>1582</v>
      </c>
      <c r="H83" s="18" t="n">
        <v>39758059.69</v>
      </c>
      <c r="I83" s="18" t="n">
        <v>38289812.32</v>
      </c>
      <c r="J83" s="19" t="n">
        <f aca="false">H83-I83</f>
        <v>1468247.37</v>
      </c>
      <c r="K83" s="12" t="s">
        <v>867</v>
      </c>
    </row>
    <row r="84" customFormat="false" ht="15" hidden="false" customHeight="true" outlineLevel="0" collapsed="false">
      <c r="A84" s="12" t="s">
        <v>1674</v>
      </c>
      <c r="B84" s="14" t="n">
        <v>45752</v>
      </c>
      <c r="C84" s="13" t="s">
        <v>383</v>
      </c>
      <c r="D84" s="15" t="str">
        <f aca="false">IFERROR(INDEX(Dim_Employee!$B$2:$B$76,MATCH(C84,Dim_Employee!$A$2:$A$76,0)),"")</f>
        <v>Tunde Ndukwe</v>
      </c>
      <c r="E84" s="12" t="s">
        <v>28</v>
      </c>
      <c r="F84" s="12" t="s">
        <v>1590</v>
      </c>
      <c r="G84" s="12" t="s">
        <v>1591</v>
      </c>
      <c r="H84" s="18" t="n">
        <v>16957653.22</v>
      </c>
      <c r="I84" s="18" t="n">
        <v>15511386.57</v>
      </c>
      <c r="J84" s="19" t="n">
        <f aca="false">H84-I84</f>
        <v>1446266.65</v>
      </c>
      <c r="K84" s="12" t="s">
        <v>878</v>
      </c>
    </row>
    <row r="85" customFormat="false" ht="15" hidden="false" customHeight="true" outlineLevel="0" collapsed="false">
      <c r="A85" s="12" t="s">
        <v>1675</v>
      </c>
      <c r="B85" s="14" t="n">
        <v>45760</v>
      </c>
      <c r="C85" s="13" t="s">
        <v>113</v>
      </c>
      <c r="D85" s="15" t="str">
        <f aca="false">IFERROR(INDEX(Dim_Employee!$B$2:$B$76,MATCH(C85,Dim_Employee!$A$2:$A$76,0)),"")</f>
        <v>Funmilayo Adeyemi</v>
      </c>
      <c r="E85" s="12" t="s">
        <v>19</v>
      </c>
      <c r="F85" s="12" t="s">
        <v>1587</v>
      </c>
      <c r="G85" s="12" t="s">
        <v>1619</v>
      </c>
      <c r="H85" s="18" t="n">
        <v>30264442.06</v>
      </c>
      <c r="I85" s="18" t="n">
        <v>35657719.59</v>
      </c>
      <c r="J85" s="19" t="n">
        <f aca="false">H85-I85</f>
        <v>-5393277.53000001</v>
      </c>
      <c r="K85" s="12" t="s">
        <v>856</v>
      </c>
    </row>
    <row r="86" customFormat="false" ht="15" hidden="false" customHeight="true" outlineLevel="0" collapsed="false">
      <c r="A86" s="12" t="s">
        <v>1676</v>
      </c>
      <c r="B86" s="14" t="n">
        <v>45998</v>
      </c>
      <c r="C86" s="13" t="s">
        <v>374</v>
      </c>
      <c r="D86" s="15" t="str">
        <f aca="false">IFERROR(INDEX(Dim_Employee!$B$2:$B$76,MATCH(C86,Dim_Employee!$A$2:$A$76,0)),"")</f>
        <v>Titilayo Chukwu</v>
      </c>
      <c r="E86" s="12" t="s">
        <v>19</v>
      </c>
      <c r="F86" s="12" t="s">
        <v>1587</v>
      </c>
      <c r="G86" s="12" t="s">
        <v>1619</v>
      </c>
      <c r="H86" s="18" t="n">
        <v>38067701.46</v>
      </c>
      <c r="I86" s="18" t="n">
        <v>41854208.19</v>
      </c>
      <c r="J86" s="19" t="n">
        <f aca="false">H86-I86</f>
        <v>-3786506.73</v>
      </c>
      <c r="K86" s="12" t="s">
        <v>878</v>
      </c>
    </row>
    <row r="87" customFormat="false" ht="15" hidden="false" customHeight="true" outlineLevel="0" collapsed="false">
      <c r="A87" s="12" t="s">
        <v>1677</v>
      </c>
      <c r="B87" s="14" t="n">
        <v>45868</v>
      </c>
      <c r="C87" s="13" t="s">
        <v>383</v>
      </c>
      <c r="D87" s="15" t="str">
        <f aca="false">IFERROR(INDEX(Dim_Employee!$B$2:$B$76,MATCH(C87,Dim_Employee!$A$2:$A$76,0)),"")</f>
        <v>Tunde Ndukwe</v>
      </c>
      <c r="E87" s="12" t="s">
        <v>28</v>
      </c>
      <c r="F87" s="12" t="s">
        <v>1590</v>
      </c>
      <c r="G87" s="12" t="s">
        <v>1591</v>
      </c>
      <c r="H87" s="18" t="n">
        <v>13751692.88</v>
      </c>
      <c r="I87" s="18" t="n">
        <v>19536660.79</v>
      </c>
      <c r="J87" s="19" t="n">
        <f aca="false">H87-I87</f>
        <v>-5784967.91</v>
      </c>
      <c r="K87" s="12" t="s">
        <v>856</v>
      </c>
    </row>
    <row r="88" customFormat="false" ht="15" hidden="false" customHeight="true" outlineLevel="0" collapsed="false">
      <c r="A88" s="12" t="s">
        <v>1678</v>
      </c>
      <c r="B88" s="14" t="n">
        <v>45969</v>
      </c>
      <c r="C88" s="13" t="s">
        <v>374</v>
      </c>
      <c r="D88" s="15" t="str">
        <f aca="false">IFERROR(INDEX(Dim_Employee!$B$2:$B$76,MATCH(C88,Dim_Employee!$A$2:$A$76,0)),"")</f>
        <v>Titilayo Chukwu</v>
      </c>
      <c r="E88" s="12" t="s">
        <v>24</v>
      </c>
      <c r="F88" s="12" t="s">
        <v>1587</v>
      </c>
      <c r="G88" s="12" t="s">
        <v>1597</v>
      </c>
      <c r="H88" s="18" t="n">
        <v>6694179.69</v>
      </c>
      <c r="I88" s="18" t="n">
        <v>7455623.87</v>
      </c>
      <c r="J88" s="19" t="n">
        <f aca="false">H88-I88</f>
        <v>-761444.18</v>
      </c>
      <c r="K88" s="12" t="s">
        <v>867</v>
      </c>
    </row>
    <row r="89" customFormat="false" ht="15" hidden="false" customHeight="true" outlineLevel="0" collapsed="false">
      <c r="A89" s="12" t="s">
        <v>1679</v>
      </c>
      <c r="B89" s="14" t="n">
        <v>45969</v>
      </c>
      <c r="C89" s="13" t="s">
        <v>383</v>
      </c>
      <c r="D89" s="15" t="str">
        <f aca="false">IFERROR(INDEX(Dim_Employee!$B$2:$B$76,MATCH(C89,Dim_Employee!$A$2:$A$76,0)),"")</f>
        <v>Tunde Ndukwe</v>
      </c>
      <c r="E89" s="12" t="s">
        <v>97</v>
      </c>
      <c r="F89" s="12" t="s">
        <v>1587</v>
      </c>
      <c r="G89" s="12" t="s">
        <v>1619</v>
      </c>
      <c r="H89" s="18" t="n">
        <v>59649771.08</v>
      </c>
      <c r="I89" s="18" t="n">
        <v>56602479.45</v>
      </c>
      <c r="J89" s="19" t="n">
        <f aca="false">H89-I89</f>
        <v>3047291.63</v>
      </c>
      <c r="K89" s="12" t="s">
        <v>878</v>
      </c>
    </row>
    <row r="90" customFormat="false" ht="15" hidden="false" customHeight="true" outlineLevel="0" collapsed="false">
      <c r="A90" s="12" t="s">
        <v>1680</v>
      </c>
      <c r="B90" s="14" t="n">
        <v>45978</v>
      </c>
      <c r="C90" s="13" t="s">
        <v>113</v>
      </c>
      <c r="D90" s="15" t="str">
        <f aca="false">IFERROR(INDEX(Dim_Employee!$B$2:$B$76,MATCH(C90,Dim_Employee!$A$2:$A$76,0)),"")</f>
        <v>Funmilayo Adeyemi</v>
      </c>
      <c r="E90" s="12" t="s">
        <v>97</v>
      </c>
      <c r="F90" s="12" t="s">
        <v>1578</v>
      </c>
      <c r="G90" s="12" t="s">
        <v>1616</v>
      </c>
      <c r="H90" s="18" t="n">
        <v>41815672.38</v>
      </c>
      <c r="I90" s="18" t="n">
        <v>39660936.67</v>
      </c>
      <c r="J90" s="19" t="n">
        <f aca="false">H90-I90</f>
        <v>2154735.71</v>
      </c>
      <c r="K90" s="12" t="s">
        <v>856</v>
      </c>
    </row>
    <row r="91" customFormat="false" ht="15" hidden="false" customHeight="true" outlineLevel="0" collapsed="false">
      <c r="A91" s="12" t="s">
        <v>1681</v>
      </c>
      <c r="B91" s="14" t="n">
        <v>45675</v>
      </c>
      <c r="C91" s="13" t="s">
        <v>387</v>
      </c>
      <c r="D91" s="15" t="str">
        <f aca="false">IFERROR(INDEX(Dim_Employee!$B$2:$B$76,MATCH(C91,Dim_Employee!$A$2:$A$76,0)),"")</f>
        <v>Abdullahi Ojo</v>
      </c>
      <c r="E91" s="12" t="s">
        <v>97</v>
      </c>
      <c r="F91" s="12" t="s">
        <v>1590</v>
      </c>
      <c r="G91" s="12" t="s">
        <v>1640</v>
      </c>
      <c r="H91" s="18" t="n">
        <v>3046172.48</v>
      </c>
      <c r="I91" s="18" t="n">
        <v>3050926.4</v>
      </c>
      <c r="J91" s="19" t="n">
        <f aca="false">H91-I91</f>
        <v>-4753.91999999993</v>
      </c>
      <c r="K91" s="12" t="s">
        <v>867</v>
      </c>
    </row>
    <row r="92" customFormat="false" ht="15" hidden="false" customHeight="true" outlineLevel="0" collapsed="false">
      <c r="A92" s="12" t="s">
        <v>1682</v>
      </c>
      <c r="B92" s="14" t="n">
        <v>45741</v>
      </c>
      <c r="C92" s="13" t="s">
        <v>387</v>
      </c>
      <c r="D92" s="15" t="str">
        <f aca="false">IFERROR(INDEX(Dim_Employee!$B$2:$B$76,MATCH(C92,Dim_Employee!$A$2:$A$76,0)),"")</f>
        <v>Abdullahi Ojo</v>
      </c>
      <c r="E92" s="12" t="s">
        <v>104</v>
      </c>
      <c r="F92" s="12" t="s">
        <v>1587</v>
      </c>
      <c r="G92" s="12" t="s">
        <v>1588</v>
      </c>
      <c r="H92" s="18" t="n">
        <v>52787049.3</v>
      </c>
      <c r="I92" s="18" t="n">
        <v>50718062.95</v>
      </c>
      <c r="J92" s="19" t="n">
        <f aca="false">H92-I92</f>
        <v>2068986.34999999</v>
      </c>
      <c r="K92" s="12" t="s">
        <v>878</v>
      </c>
    </row>
    <row r="93" customFormat="false" ht="15" hidden="false" customHeight="true" outlineLevel="0" collapsed="false">
      <c r="A93" s="12" t="s">
        <v>1683</v>
      </c>
      <c r="B93" s="14" t="n">
        <v>45741</v>
      </c>
      <c r="C93" s="13" t="s">
        <v>113</v>
      </c>
      <c r="D93" s="15" t="str">
        <f aca="false">IFERROR(INDEX(Dim_Employee!$B$2:$B$76,MATCH(C93,Dim_Employee!$A$2:$A$76,0)),"")</f>
        <v>Funmilayo Adeyemi</v>
      </c>
      <c r="E93" s="12" t="s">
        <v>115</v>
      </c>
      <c r="F93" s="12" t="s">
        <v>1578</v>
      </c>
      <c r="G93" s="12" t="s">
        <v>1594</v>
      </c>
      <c r="H93" s="18" t="n">
        <v>38753199.26</v>
      </c>
      <c r="I93" s="18" t="n">
        <v>49604098.6</v>
      </c>
      <c r="J93" s="19" t="n">
        <f aca="false">H93-I93</f>
        <v>-10850899.34</v>
      </c>
      <c r="K93" s="12" t="s">
        <v>856</v>
      </c>
    </row>
    <row r="94" customFormat="false" ht="15" hidden="false" customHeight="true" outlineLevel="0" collapsed="false">
      <c r="A94" s="12" t="s">
        <v>1684</v>
      </c>
      <c r="B94" s="14" t="n">
        <v>45681</v>
      </c>
      <c r="C94" s="13" t="s">
        <v>369</v>
      </c>
      <c r="D94" s="15" t="str">
        <f aca="false">IFERROR(INDEX(Dim_Employee!$B$2:$B$76,MATCH(C94,Dim_Employee!$A$2:$A$76,0)),"")</f>
        <v>Chukwudi Yakubu</v>
      </c>
      <c r="E94" s="12" t="s">
        <v>97</v>
      </c>
      <c r="F94" s="12" t="s">
        <v>1590</v>
      </c>
      <c r="G94" s="12" t="s">
        <v>1601</v>
      </c>
      <c r="H94" s="18" t="n">
        <v>17319841.94</v>
      </c>
      <c r="I94" s="18" t="n">
        <v>23167989.1</v>
      </c>
      <c r="J94" s="19" t="n">
        <f aca="false">H94-I94</f>
        <v>-5848147.16</v>
      </c>
      <c r="K94" s="12" t="s">
        <v>878</v>
      </c>
    </row>
    <row r="95" customFormat="false" ht="15" hidden="false" customHeight="true" outlineLevel="0" collapsed="false">
      <c r="A95" s="12" t="s">
        <v>1685</v>
      </c>
      <c r="B95" s="14" t="n">
        <v>45755</v>
      </c>
      <c r="C95" s="13" t="s">
        <v>113</v>
      </c>
      <c r="D95" s="15" t="str">
        <f aca="false">IFERROR(INDEX(Dim_Employee!$B$2:$B$76,MATCH(C95,Dim_Employee!$A$2:$A$76,0)),"")</f>
        <v>Funmilayo Adeyemi</v>
      </c>
      <c r="E95" s="12" t="s">
        <v>28</v>
      </c>
      <c r="F95" s="12" t="s">
        <v>1590</v>
      </c>
      <c r="G95" s="12" t="s">
        <v>1609</v>
      </c>
      <c r="H95" s="18" t="n">
        <v>6172856.83</v>
      </c>
      <c r="I95" s="18" t="n">
        <v>7197215.72</v>
      </c>
      <c r="J95" s="19" t="n">
        <f aca="false">H95-I95</f>
        <v>-1024358.89</v>
      </c>
      <c r="K95" s="12" t="s">
        <v>867</v>
      </c>
    </row>
    <row r="96" customFormat="false" ht="15" hidden="false" customHeight="true" outlineLevel="0" collapsed="false">
      <c r="A96" s="12" t="s">
        <v>1686</v>
      </c>
      <c r="B96" s="14" t="n">
        <v>45744</v>
      </c>
      <c r="C96" s="13" t="s">
        <v>369</v>
      </c>
      <c r="D96" s="15" t="str">
        <f aca="false">IFERROR(INDEX(Dim_Employee!$B$2:$B$76,MATCH(C96,Dim_Employee!$A$2:$A$76,0)),"")</f>
        <v>Chukwudi Yakubu</v>
      </c>
      <c r="E96" s="12" t="s">
        <v>104</v>
      </c>
      <c r="F96" s="12" t="s">
        <v>1587</v>
      </c>
      <c r="G96" s="12" t="s">
        <v>1597</v>
      </c>
      <c r="H96" s="18" t="n">
        <v>30590091.27</v>
      </c>
      <c r="I96" s="18" t="n">
        <v>38601538.02</v>
      </c>
      <c r="J96" s="19" t="n">
        <f aca="false">H96-I96</f>
        <v>-8011446.75</v>
      </c>
      <c r="K96" s="12" t="s">
        <v>867</v>
      </c>
    </row>
    <row r="97" customFormat="false" ht="15" hidden="false" customHeight="true" outlineLevel="0" collapsed="false">
      <c r="A97" s="12" t="s">
        <v>1687</v>
      </c>
      <c r="B97" s="14" t="n">
        <v>45707</v>
      </c>
      <c r="C97" s="13" t="s">
        <v>383</v>
      </c>
      <c r="D97" s="15" t="str">
        <f aca="false">IFERROR(INDEX(Dim_Employee!$B$2:$B$76,MATCH(C97,Dim_Employee!$A$2:$A$76,0)),"")</f>
        <v>Tunde Ndukwe</v>
      </c>
      <c r="E97" s="12" t="s">
        <v>28</v>
      </c>
      <c r="F97" s="12" t="s">
        <v>1587</v>
      </c>
      <c r="G97" s="12" t="s">
        <v>1619</v>
      </c>
      <c r="H97" s="18" t="n">
        <v>25551669.53</v>
      </c>
      <c r="I97" s="18" t="n">
        <v>23001278.3</v>
      </c>
      <c r="J97" s="19" t="n">
        <f aca="false">H97-I97</f>
        <v>2550391.23</v>
      </c>
      <c r="K97" s="12" t="s">
        <v>867</v>
      </c>
    </row>
    <row r="98" customFormat="false" ht="15" hidden="false" customHeight="true" outlineLevel="0" collapsed="false">
      <c r="A98" s="12" t="s">
        <v>1688</v>
      </c>
      <c r="B98" s="14" t="n">
        <v>45829</v>
      </c>
      <c r="C98" s="13" t="s">
        <v>374</v>
      </c>
      <c r="D98" s="15" t="str">
        <f aca="false">IFERROR(INDEX(Dim_Employee!$B$2:$B$76,MATCH(C98,Dim_Employee!$A$2:$A$76,0)),"")</f>
        <v>Titilayo Chukwu</v>
      </c>
      <c r="E98" s="12" t="s">
        <v>16</v>
      </c>
      <c r="F98" s="12" t="s">
        <v>1587</v>
      </c>
      <c r="G98" s="12" t="s">
        <v>1588</v>
      </c>
      <c r="H98" s="18" t="n">
        <v>42401667.51</v>
      </c>
      <c r="I98" s="18" t="n">
        <v>59265356.56</v>
      </c>
      <c r="J98" s="19" t="n">
        <f aca="false">H98-I98</f>
        <v>-16863689.05</v>
      </c>
      <c r="K98" s="12" t="s">
        <v>878</v>
      </c>
    </row>
    <row r="99" customFormat="false" ht="15" hidden="false" customHeight="true" outlineLevel="0" collapsed="false">
      <c r="A99" s="12" t="s">
        <v>1689</v>
      </c>
      <c r="B99" s="14" t="n">
        <v>45725</v>
      </c>
      <c r="C99" s="13" t="s">
        <v>383</v>
      </c>
      <c r="D99" s="15" t="str">
        <f aca="false">IFERROR(INDEX(Dim_Employee!$B$2:$B$76,MATCH(C99,Dim_Employee!$A$2:$A$76,0)),"")</f>
        <v>Tunde Ndukwe</v>
      </c>
      <c r="E99" s="12" t="s">
        <v>97</v>
      </c>
      <c r="F99" s="12" t="s">
        <v>1578</v>
      </c>
      <c r="G99" s="12" t="s">
        <v>1616</v>
      </c>
      <c r="H99" s="18" t="n">
        <v>39842351.69</v>
      </c>
      <c r="I99" s="18" t="n">
        <v>32740030.39</v>
      </c>
      <c r="J99" s="19" t="n">
        <f aca="false">H99-I99</f>
        <v>7102321.3</v>
      </c>
      <c r="K99" s="12" t="s">
        <v>878</v>
      </c>
    </row>
    <row r="100" customFormat="false" ht="15" hidden="false" customHeight="true" outlineLevel="0" collapsed="false">
      <c r="A100" s="12" t="s">
        <v>1690</v>
      </c>
      <c r="B100" s="14" t="n">
        <v>45793</v>
      </c>
      <c r="C100" s="13" t="s">
        <v>379</v>
      </c>
      <c r="D100" s="15" t="str">
        <f aca="false">IFERROR(INDEX(Dim_Employee!$B$2:$B$76,MATCH(C100,Dim_Employee!$A$2:$A$76,0)),"")</f>
        <v>Emeka Adeyemi</v>
      </c>
      <c r="E100" s="12" t="s">
        <v>24</v>
      </c>
      <c r="F100" s="12" t="s">
        <v>1590</v>
      </c>
      <c r="G100" s="12" t="s">
        <v>1601</v>
      </c>
      <c r="H100" s="18" t="n">
        <v>7316105.66</v>
      </c>
      <c r="I100" s="18" t="n">
        <v>6907266.31</v>
      </c>
      <c r="J100" s="19" t="n">
        <f aca="false">H100-I100</f>
        <v>408839.350000001</v>
      </c>
      <c r="K100" s="12" t="s">
        <v>867</v>
      </c>
    </row>
    <row r="101" customFormat="false" ht="15" hidden="false" customHeight="true" outlineLevel="0" collapsed="false">
      <c r="A101" s="12" t="s">
        <v>1691</v>
      </c>
      <c r="B101" s="14" t="n">
        <v>45753</v>
      </c>
      <c r="C101" s="13" t="s">
        <v>369</v>
      </c>
      <c r="D101" s="15" t="str">
        <f aca="false">IFERROR(INDEX(Dim_Employee!$B$2:$B$76,MATCH(C101,Dim_Employee!$A$2:$A$76,0)),"")</f>
        <v>Chukwudi Yakubu</v>
      </c>
      <c r="E101" s="12" t="s">
        <v>19</v>
      </c>
      <c r="F101" s="12" t="s">
        <v>1587</v>
      </c>
      <c r="G101" s="12" t="s">
        <v>1588</v>
      </c>
      <c r="H101" s="18" t="n">
        <v>50904597.05</v>
      </c>
      <c r="I101" s="18" t="n">
        <v>42118161.12</v>
      </c>
      <c r="J101" s="19" t="n">
        <f aca="false">H101-I101</f>
        <v>8786435.93</v>
      </c>
      <c r="K101" s="12" t="s">
        <v>867</v>
      </c>
    </row>
    <row r="102" customFormat="false" ht="15" hidden="false" customHeight="true" outlineLevel="0" collapsed="false">
      <c r="A102" s="12" t="s">
        <v>1692</v>
      </c>
      <c r="B102" s="14" t="n">
        <v>45870</v>
      </c>
      <c r="C102" s="13" t="s">
        <v>374</v>
      </c>
      <c r="D102" s="15" t="str">
        <f aca="false">IFERROR(INDEX(Dim_Employee!$B$2:$B$76,MATCH(C102,Dim_Employee!$A$2:$A$76,0)),"")</f>
        <v>Titilayo Chukwu</v>
      </c>
      <c r="E102" s="12" t="s">
        <v>104</v>
      </c>
      <c r="F102" s="12" t="s">
        <v>1587</v>
      </c>
      <c r="G102" s="12" t="s">
        <v>1597</v>
      </c>
      <c r="H102" s="18" t="n">
        <v>25805223.23</v>
      </c>
      <c r="I102" s="18" t="n">
        <v>33671033.5</v>
      </c>
      <c r="J102" s="19" t="n">
        <f aca="false">H102-I102</f>
        <v>-7865810.27</v>
      </c>
      <c r="K102" s="12" t="s">
        <v>867</v>
      </c>
    </row>
    <row r="103" customFormat="false" ht="15" hidden="false" customHeight="true" outlineLevel="0" collapsed="false">
      <c r="A103" s="12" t="s">
        <v>1693</v>
      </c>
      <c r="B103" s="14" t="n">
        <v>45950</v>
      </c>
      <c r="C103" s="13" t="s">
        <v>374</v>
      </c>
      <c r="D103" s="15" t="str">
        <f aca="false">IFERROR(INDEX(Dim_Employee!$B$2:$B$76,MATCH(C103,Dim_Employee!$A$2:$A$76,0)),"")</f>
        <v>Titilayo Chukwu</v>
      </c>
      <c r="E103" s="12" t="s">
        <v>97</v>
      </c>
      <c r="F103" s="12" t="s">
        <v>1587</v>
      </c>
      <c r="G103" s="12" t="s">
        <v>1588</v>
      </c>
      <c r="H103" s="18" t="n">
        <v>53496367.39</v>
      </c>
      <c r="I103" s="18" t="n">
        <v>50434136.95</v>
      </c>
      <c r="J103" s="19" t="n">
        <f aca="false">H103-I103</f>
        <v>3062230.44</v>
      </c>
      <c r="K103" s="12" t="s">
        <v>867</v>
      </c>
    </row>
    <row r="104" customFormat="false" ht="15" hidden="false" customHeight="true" outlineLevel="0" collapsed="false">
      <c r="A104" s="12" t="s">
        <v>1694</v>
      </c>
      <c r="B104" s="14" t="n">
        <v>45993</v>
      </c>
      <c r="C104" s="13" t="s">
        <v>387</v>
      </c>
      <c r="D104" s="15" t="str">
        <f aca="false">IFERROR(INDEX(Dim_Employee!$B$2:$B$76,MATCH(C104,Dim_Employee!$A$2:$A$76,0)),"")</f>
        <v>Abdullahi Ojo</v>
      </c>
      <c r="E104" s="12" t="s">
        <v>16</v>
      </c>
      <c r="F104" s="12" t="s">
        <v>1590</v>
      </c>
      <c r="G104" s="12" t="s">
        <v>1591</v>
      </c>
      <c r="H104" s="18" t="n">
        <v>6592615.2</v>
      </c>
      <c r="I104" s="18" t="n">
        <v>5847714.04</v>
      </c>
      <c r="J104" s="19" t="n">
        <f aca="false">H104-I104</f>
        <v>744901.16</v>
      </c>
      <c r="K104" s="12" t="s">
        <v>878</v>
      </c>
    </row>
    <row r="105" customFormat="false" ht="15" hidden="false" customHeight="true" outlineLevel="0" collapsed="false">
      <c r="A105" s="12" t="s">
        <v>1695</v>
      </c>
      <c r="B105" s="14" t="n">
        <v>45756</v>
      </c>
      <c r="C105" s="13" t="s">
        <v>374</v>
      </c>
      <c r="D105" s="15" t="str">
        <f aca="false">IFERROR(INDEX(Dim_Employee!$B$2:$B$76,MATCH(C105,Dim_Employee!$A$2:$A$76,0)),"")</f>
        <v>Titilayo Chukwu</v>
      </c>
      <c r="E105" s="12" t="s">
        <v>24</v>
      </c>
      <c r="F105" s="12" t="s">
        <v>1587</v>
      </c>
      <c r="G105" s="12" t="s">
        <v>1588</v>
      </c>
      <c r="H105" s="18" t="n">
        <v>20373535.81</v>
      </c>
      <c r="I105" s="18" t="n">
        <v>19708253.7</v>
      </c>
      <c r="J105" s="19" t="n">
        <f aca="false">H105-I105</f>
        <v>665282.109999999</v>
      </c>
      <c r="K105" s="12" t="s">
        <v>878</v>
      </c>
    </row>
    <row r="106" customFormat="false" ht="15" hidden="false" customHeight="true" outlineLevel="0" collapsed="false">
      <c r="A106" s="12" t="s">
        <v>1696</v>
      </c>
      <c r="B106" s="14" t="n">
        <v>45968</v>
      </c>
      <c r="C106" s="13" t="s">
        <v>113</v>
      </c>
      <c r="D106" s="15" t="str">
        <f aca="false">IFERROR(INDEX(Dim_Employee!$B$2:$B$76,MATCH(C106,Dim_Employee!$A$2:$A$76,0)),"")</f>
        <v>Funmilayo Adeyemi</v>
      </c>
      <c r="E106" s="12" t="s">
        <v>97</v>
      </c>
      <c r="F106" s="12" t="s">
        <v>1578</v>
      </c>
      <c r="G106" s="12" t="s">
        <v>1582</v>
      </c>
      <c r="H106" s="18" t="n">
        <v>11376899.28</v>
      </c>
      <c r="I106" s="18" t="n">
        <v>11628291.52</v>
      </c>
      <c r="J106" s="19" t="n">
        <f aca="false">H106-I106</f>
        <v>-251392.24</v>
      </c>
      <c r="K106" s="12" t="s">
        <v>867</v>
      </c>
    </row>
    <row r="107" customFormat="false" ht="15" hidden="false" customHeight="true" outlineLevel="0" collapsed="false">
      <c r="A107" s="12" t="s">
        <v>1697</v>
      </c>
      <c r="B107" s="14" t="n">
        <v>45658</v>
      </c>
      <c r="C107" s="13" t="s">
        <v>369</v>
      </c>
      <c r="D107" s="15" t="str">
        <f aca="false">IFERROR(INDEX(Dim_Employee!$B$2:$B$76,MATCH(C107,Dim_Employee!$A$2:$A$76,0)),"")</f>
        <v>Chukwudi Yakubu</v>
      </c>
      <c r="E107" s="12" t="s">
        <v>16</v>
      </c>
      <c r="F107" s="12" t="s">
        <v>1578</v>
      </c>
      <c r="G107" s="12" t="s">
        <v>1594</v>
      </c>
      <c r="H107" s="18" t="n">
        <v>29814362.52</v>
      </c>
      <c r="I107" s="18" t="n">
        <v>33624603.75</v>
      </c>
      <c r="J107" s="19" t="n">
        <f aca="false">H107-I107</f>
        <v>-3810241.23</v>
      </c>
      <c r="K107" s="12" t="s">
        <v>878</v>
      </c>
    </row>
    <row r="108" customFormat="false" ht="15" hidden="false" customHeight="true" outlineLevel="0" collapsed="false">
      <c r="A108" s="12" t="s">
        <v>1698</v>
      </c>
      <c r="B108" s="14" t="n">
        <v>45917</v>
      </c>
      <c r="C108" s="13" t="s">
        <v>113</v>
      </c>
      <c r="D108" s="15" t="str">
        <f aca="false">IFERROR(INDEX(Dim_Employee!$B$2:$B$76,MATCH(C108,Dim_Employee!$A$2:$A$76,0)),"")</f>
        <v>Funmilayo Adeyemi</v>
      </c>
      <c r="E108" s="12" t="s">
        <v>19</v>
      </c>
      <c r="F108" s="12" t="s">
        <v>1590</v>
      </c>
      <c r="G108" s="12" t="s">
        <v>1609</v>
      </c>
      <c r="H108" s="18" t="n">
        <v>17052003.64</v>
      </c>
      <c r="I108" s="18" t="n">
        <v>20029001.32</v>
      </c>
      <c r="J108" s="19" t="n">
        <f aca="false">H108-I108</f>
        <v>-2976997.68</v>
      </c>
      <c r="K108" s="12" t="s">
        <v>856</v>
      </c>
    </row>
    <row r="109" customFormat="false" ht="15" hidden="false" customHeight="true" outlineLevel="0" collapsed="false">
      <c r="A109" s="12" t="s">
        <v>1699</v>
      </c>
      <c r="B109" s="14" t="n">
        <v>45749</v>
      </c>
      <c r="C109" s="13" t="s">
        <v>383</v>
      </c>
      <c r="D109" s="15" t="str">
        <f aca="false">IFERROR(INDEX(Dim_Employee!$B$2:$B$76,MATCH(C109,Dim_Employee!$A$2:$A$76,0)),"")</f>
        <v>Tunde Ndukwe</v>
      </c>
      <c r="E109" s="12" t="s">
        <v>19</v>
      </c>
      <c r="F109" s="12" t="s">
        <v>1590</v>
      </c>
      <c r="G109" s="12" t="s">
        <v>1591</v>
      </c>
      <c r="H109" s="18" t="n">
        <v>62965771.95</v>
      </c>
      <c r="I109" s="18" t="n">
        <v>55198276.8</v>
      </c>
      <c r="J109" s="19" t="n">
        <f aca="false">H109-I109</f>
        <v>7767495.15000001</v>
      </c>
      <c r="K109" s="12" t="s">
        <v>867</v>
      </c>
    </row>
    <row r="110" customFormat="false" ht="15" hidden="false" customHeight="true" outlineLevel="0" collapsed="false">
      <c r="A110" s="12" t="s">
        <v>1700</v>
      </c>
      <c r="B110" s="14" t="n">
        <v>45818</v>
      </c>
      <c r="C110" s="13" t="s">
        <v>383</v>
      </c>
      <c r="D110" s="15" t="str">
        <f aca="false">IFERROR(INDEX(Dim_Employee!$B$2:$B$76,MATCH(C110,Dim_Employee!$A$2:$A$76,0)),"")</f>
        <v>Tunde Ndukwe</v>
      </c>
      <c r="E110" s="12" t="s">
        <v>19</v>
      </c>
      <c r="F110" s="12" t="s">
        <v>1578</v>
      </c>
      <c r="G110" s="12" t="s">
        <v>1616</v>
      </c>
      <c r="H110" s="18" t="n">
        <v>17824947.64</v>
      </c>
      <c r="I110" s="18" t="n">
        <v>19404257.55</v>
      </c>
      <c r="J110" s="19" t="n">
        <f aca="false">H110-I110</f>
        <v>-1579309.91</v>
      </c>
      <c r="K110" s="12" t="s">
        <v>878</v>
      </c>
    </row>
    <row r="111" customFormat="false" ht="15" hidden="false" customHeight="true" outlineLevel="0" collapsed="false">
      <c r="A111" s="12" t="s">
        <v>1701</v>
      </c>
      <c r="B111" s="14" t="n">
        <v>45973</v>
      </c>
      <c r="C111" s="13" t="s">
        <v>364</v>
      </c>
      <c r="D111" s="15" t="str">
        <f aca="false">IFERROR(INDEX(Dim_Employee!$B$2:$B$76,MATCH(C111,Dim_Employee!$A$2:$A$76,0)),"")</f>
        <v>Amaka Aliyu</v>
      </c>
      <c r="E111" s="12" t="s">
        <v>115</v>
      </c>
      <c r="F111" s="12" t="s">
        <v>1590</v>
      </c>
      <c r="G111" s="12" t="s">
        <v>1640</v>
      </c>
      <c r="H111" s="18" t="n">
        <v>47093710.29</v>
      </c>
      <c r="I111" s="18" t="n">
        <v>58022018.84</v>
      </c>
      <c r="J111" s="19" t="n">
        <f aca="false">H111-I111</f>
        <v>-10928308.55</v>
      </c>
      <c r="K111" s="12" t="s">
        <v>878</v>
      </c>
    </row>
    <row r="112" customFormat="false" ht="15" hidden="false" customHeight="true" outlineLevel="0" collapsed="false">
      <c r="A112" s="12" t="s">
        <v>1702</v>
      </c>
      <c r="B112" s="14" t="n">
        <v>45757</v>
      </c>
      <c r="C112" s="13" t="s">
        <v>113</v>
      </c>
      <c r="D112" s="15" t="str">
        <f aca="false">IFERROR(INDEX(Dim_Employee!$B$2:$B$76,MATCH(C112,Dim_Employee!$A$2:$A$76,0)),"")</f>
        <v>Funmilayo Adeyemi</v>
      </c>
      <c r="E112" s="12" t="s">
        <v>115</v>
      </c>
      <c r="F112" s="12" t="s">
        <v>1578</v>
      </c>
      <c r="G112" s="12" t="s">
        <v>1579</v>
      </c>
      <c r="H112" s="18" t="n">
        <v>20125616.95</v>
      </c>
      <c r="I112" s="18" t="n">
        <v>25132113.14</v>
      </c>
      <c r="J112" s="19" t="n">
        <f aca="false">H112-I112</f>
        <v>-5006496.19</v>
      </c>
      <c r="K112" s="12" t="s">
        <v>878</v>
      </c>
    </row>
    <row r="113" customFormat="false" ht="15" hidden="false" customHeight="true" outlineLevel="0" collapsed="false">
      <c r="A113" s="12" t="s">
        <v>1703</v>
      </c>
      <c r="B113" s="14" t="n">
        <v>45893</v>
      </c>
      <c r="C113" s="13" t="s">
        <v>113</v>
      </c>
      <c r="D113" s="15" t="str">
        <f aca="false">IFERROR(INDEX(Dim_Employee!$B$2:$B$76,MATCH(C113,Dim_Employee!$A$2:$A$76,0)),"")</f>
        <v>Funmilayo Adeyemi</v>
      </c>
      <c r="E113" s="12" t="s">
        <v>19</v>
      </c>
      <c r="F113" s="12" t="s">
        <v>1578</v>
      </c>
      <c r="G113" s="12" t="s">
        <v>1579</v>
      </c>
      <c r="H113" s="18" t="n">
        <v>4571601.27</v>
      </c>
      <c r="I113" s="18" t="n">
        <v>6352370.44</v>
      </c>
      <c r="J113" s="19" t="n">
        <f aca="false">H113-I113</f>
        <v>-1780769.17</v>
      </c>
      <c r="K113" s="12" t="s">
        <v>878</v>
      </c>
    </row>
    <row r="114" customFormat="false" ht="15" hidden="false" customHeight="true" outlineLevel="0" collapsed="false">
      <c r="A114" s="12" t="s">
        <v>1704</v>
      </c>
      <c r="B114" s="14" t="n">
        <v>45715</v>
      </c>
      <c r="C114" s="13" t="s">
        <v>374</v>
      </c>
      <c r="D114" s="15" t="str">
        <f aca="false">IFERROR(INDEX(Dim_Employee!$B$2:$B$76,MATCH(C114,Dim_Employee!$A$2:$A$76,0)),"")</f>
        <v>Titilayo Chukwu</v>
      </c>
      <c r="E114" s="12" t="s">
        <v>16</v>
      </c>
      <c r="F114" s="12" t="s">
        <v>1590</v>
      </c>
      <c r="G114" s="12" t="s">
        <v>1609</v>
      </c>
      <c r="H114" s="18" t="n">
        <v>32028518.72</v>
      </c>
      <c r="I114" s="18" t="n">
        <v>27609317.57</v>
      </c>
      <c r="J114" s="19" t="n">
        <f aca="false">H114-I114</f>
        <v>4419201.15</v>
      </c>
      <c r="K114" s="12" t="s">
        <v>867</v>
      </c>
    </row>
    <row r="115" customFormat="false" ht="15" hidden="false" customHeight="true" outlineLevel="0" collapsed="false">
      <c r="A115" s="12" t="s">
        <v>1705</v>
      </c>
      <c r="B115" s="14" t="n">
        <v>45690</v>
      </c>
      <c r="C115" s="13" t="s">
        <v>369</v>
      </c>
      <c r="D115" s="15" t="str">
        <f aca="false">IFERROR(INDEX(Dim_Employee!$B$2:$B$76,MATCH(C115,Dim_Employee!$A$2:$A$76,0)),"")</f>
        <v>Chukwudi Yakubu</v>
      </c>
      <c r="E115" s="12" t="s">
        <v>97</v>
      </c>
      <c r="F115" s="12" t="s">
        <v>1587</v>
      </c>
      <c r="G115" s="12" t="s">
        <v>1597</v>
      </c>
      <c r="H115" s="18" t="n">
        <v>1793039.57</v>
      </c>
      <c r="I115" s="18" t="n">
        <v>2272860.74</v>
      </c>
      <c r="J115" s="19" t="n">
        <f aca="false">H115-I115</f>
        <v>-479821.17</v>
      </c>
      <c r="K115" s="12" t="s">
        <v>867</v>
      </c>
    </row>
    <row r="116" customFormat="false" ht="15" hidden="false" customHeight="true" outlineLevel="0" collapsed="false">
      <c r="A116" s="12" t="s">
        <v>1706</v>
      </c>
      <c r="B116" s="14" t="n">
        <v>45834</v>
      </c>
      <c r="C116" s="13" t="s">
        <v>364</v>
      </c>
      <c r="D116" s="15" t="str">
        <f aca="false">IFERROR(INDEX(Dim_Employee!$B$2:$B$76,MATCH(C116,Dim_Employee!$A$2:$A$76,0)),"")</f>
        <v>Amaka Aliyu</v>
      </c>
      <c r="E116" s="12" t="s">
        <v>16</v>
      </c>
      <c r="F116" s="12" t="s">
        <v>1587</v>
      </c>
      <c r="G116" s="12" t="s">
        <v>1588</v>
      </c>
      <c r="H116" s="18" t="n">
        <v>41984390.98</v>
      </c>
      <c r="I116" s="18" t="n">
        <v>36403742.36</v>
      </c>
      <c r="J116" s="19" t="n">
        <f aca="false">H116-I116</f>
        <v>5580648.62</v>
      </c>
      <c r="K116" s="12" t="s">
        <v>878</v>
      </c>
    </row>
    <row r="117" customFormat="false" ht="15" hidden="false" customHeight="true" outlineLevel="0" collapsed="false">
      <c r="A117" s="12" t="s">
        <v>1707</v>
      </c>
      <c r="B117" s="14" t="n">
        <v>45685</v>
      </c>
      <c r="C117" s="13" t="s">
        <v>379</v>
      </c>
      <c r="D117" s="15" t="str">
        <f aca="false">IFERROR(INDEX(Dim_Employee!$B$2:$B$76,MATCH(C117,Dim_Employee!$A$2:$A$76,0)),"")</f>
        <v>Emeka Adeyemi</v>
      </c>
      <c r="E117" s="12" t="s">
        <v>19</v>
      </c>
      <c r="F117" s="12" t="s">
        <v>1578</v>
      </c>
      <c r="G117" s="12" t="s">
        <v>1582</v>
      </c>
      <c r="H117" s="18" t="n">
        <v>34143121.88</v>
      </c>
      <c r="I117" s="18" t="n">
        <v>33469323.96</v>
      </c>
      <c r="J117" s="19" t="n">
        <f aca="false">H117-I117</f>
        <v>673797.920000002</v>
      </c>
      <c r="K117" s="12" t="s">
        <v>867</v>
      </c>
    </row>
    <row r="118" customFormat="false" ht="15" hidden="false" customHeight="true" outlineLevel="0" collapsed="false">
      <c r="A118" s="12" t="s">
        <v>1708</v>
      </c>
      <c r="B118" s="14" t="n">
        <v>45897</v>
      </c>
      <c r="C118" s="13" t="s">
        <v>374</v>
      </c>
      <c r="D118" s="15" t="str">
        <f aca="false">IFERROR(INDEX(Dim_Employee!$B$2:$B$76,MATCH(C118,Dim_Employee!$A$2:$A$76,0)),"")</f>
        <v>Titilayo Chukwu</v>
      </c>
      <c r="E118" s="12" t="s">
        <v>97</v>
      </c>
      <c r="F118" s="12" t="s">
        <v>1578</v>
      </c>
      <c r="G118" s="12" t="s">
        <v>1594</v>
      </c>
      <c r="H118" s="18" t="n">
        <v>48813883</v>
      </c>
      <c r="I118" s="18" t="n">
        <v>46575484.58</v>
      </c>
      <c r="J118" s="19" t="n">
        <f aca="false">H118-I118</f>
        <v>2238398.42</v>
      </c>
      <c r="K118" s="12" t="s">
        <v>867</v>
      </c>
    </row>
    <row r="119" customFormat="false" ht="15" hidden="false" customHeight="true" outlineLevel="0" collapsed="false">
      <c r="A119" s="12" t="s">
        <v>1709</v>
      </c>
      <c r="B119" s="14" t="n">
        <v>45738</v>
      </c>
      <c r="C119" s="13" t="s">
        <v>387</v>
      </c>
      <c r="D119" s="15" t="str">
        <f aca="false">IFERROR(INDEX(Dim_Employee!$B$2:$B$76,MATCH(C119,Dim_Employee!$A$2:$A$76,0)),"")</f>
        <v>Abdullahi Ojo</v>
      </c>
      <c r="E119" s="12" t="s">
        <v>115</v>
      </c>
      <c r="F119" s="12" t="s">
        <v>1578</v>
      </c>
      <c r="G119" s="12" t="s">
        <v>1579</v>
      </c>
      <c r="H119" s="18" t="n">
        <v>35033513.16</v>
      </c>
      <c r="I119" s="18" t="n">
        <v>29183749.49</v>
      </c>
      <c r="J119" s="19" t="n">
        <f aca="false">H119-I119</f>
        <v>5849763.67</v>
      </c>
      <c r="K119" s="12" t="s">
        <v>856</v>
      </c>
    </row>
    <row r="120" customFormat="false" ht="15" hidden="false" customHeight="true" outlineLevel="0" collapsed="false">
      <c r="A120" s="12" t="s">
        <v>1710</v>
      </c>
      <c r="B120" s="14" t="n">
        <v>45806</v>
      </c>
      <c r="C120" s="13" t="s">
        <v>364</v>
      </c>
      <c r="D120" s="15" t="str">
        <f aca="false">IFERROR(INDEX(Dim_Employee!$B$2:$B$76,MATCH(C120,Dim_Employee!$A$2:$A$76,0)),"")</f>
        <v>Amaka Aliyu</v>
      </c>
      <c r="E120" s="12" t="s">
        <v>16</v>
      </c>
      <c r="F120" s="12" t="s">
        <v>1578</v>
      </c>
      <c r="G120" s="12" t="s">
        <v>1616</v>
      </c>
      <c r="H120" s="18" t="n">
        <v>39363582.15</v>
      </c>
      <c r="I120" s="18" t="n">
        <v>36613154.99</v>
      </c>
      <c r="J120" s="19" t="n">
        <f aca="false">H120-I120</f>
        <v>2750427.16</v>
      </c>
      <c r="K120" s="12" t="s">
        <v>878</v>
      </c>
    </row>
    <row r="121" customFormat="false" ht="15" hidden="false" customHeight="true" outlineLevel="0" collapsed="false">
      <c r="A121" s="12" t="s">
        <v>1711</v>
      </c>
      <c r="B121" s="14" t="n">
        <v>45905</v>
      </c>
      <c r="C121" s="13" t="s">
        <v>383</v>
      </c>
      <c r="D121" s="15" t="str">
        <f aca="false">IFERROR(INDEX(Dim_Employee!$B$2:$B$76,MATCH(C121,Dim_Employee!$A$2:$A$76,0)),"")</f>
        <v>Tunde Ndukwe</v>
      </c>
      <c r="E121" s="12" t="s">
        <v>28</v>
      </c>
      <c r="F121" s="12" t="s">
        <v>1578</v>
      </c>
      <c r="G121" s="12" t="s">
        <v>1616</v>
      </c>
      <c r="H121" s="18" t="n">
        <v>28920616.82</v>
      </c>
      <c r="I121" s="18" t="n">
        <v>23974092.9</v>
      </c>
      <c r="J121" s="19" t="n">
        <f aca="false">H121-I121</f>
        <v>4946523.92</v>
      </c>
      <c r="K121" s="12" t="s">
        <v>867</v>
      </c>
    </row>
    <row r="122" customFormat="false" ht="15" hidden="false" customHeight="true" outlineLevel="0" collapsed="false">
      <c r="A122" s="12" t="s">
        <v>1712</v>
      </c>
      <c r="B122" s="14" t="n">
        <v>45698</v>
      </c>
      <c r="C122" s="13" t="s">
        <v>359</v>
      </c>
      <c r="D122" s="15" t="str">
        <f aca="false">IFERROR(INDEX(Dim_Employee!$B$2:$B$76,MATCH(C122,Dim_Employee!$A$2:$A$76,0)),"")</f>
        <v>Ngozi Ndukwe</v>
      </c>
      <c r="E122" s="12" t="s">
        <v>19</v>
      </c>
      <c r="F122" s="12" t="s">
        <v>1587</v>
      </c>
      <c r="G122" s="12" t="s">
        <v>1619</v>
      </c>
      <c r="H122" s="18" t="n">
        <v>2996812.13</v>
      </c>
      <c r="I122" s="18" t="n">
        <v>3258109.61</v>
      </c>
      <c r="J122" s="19" t="n">
        <f aca="false">H122-I122</f>
        <v>-261297.48</v>
      </c>
      <c r="K122" s="12" t="s">
        <v>867</v>
      </c>
    </row>
    <row r="123" customFormat="false" ht="15" hidden="false" customHeight="true" outlineLevel="0" collapsed="false">
      <c r="A123" s="12" t="s">
        <v>1713</v>
      </c>
      <c r="B123" s="14" t="n">
        <v>45733</v>
      </c>
      <c r="C123" s="13" t="s">
        <v>364</v>
      </c>
      <c r="D123" s="15" t="str">
        <f aca="false">IFERROR(INDEX(Dim_Employee!$B$2:$B$76,MATCH(C123,Dim_Employee!$A$2:$A$76,0)),"")</f>
        <v>Amaka Aliyu</v>
      </c>
      <c r="E123" s="12" t="s">
        <v>28</v>
      </c>
      <c r="F123" s="12" t="s">
        <v>1590</v>
      </c>
      <c r="G123" s="12" t="s">
        <v>1601</v>
      </c>
      <c r="H123" s="18" t="n">
        <v>26489037.65</v>
      </c>
      <c r="I123" s="18" t="n">
        <v>25689104.65</v>
      </c>
      <c r="J123" s="19" t="n">
        <f aca="false">H123-I123</f>
        <v>799933</v>
      </c>
      <c r="K123" s="12" t="s">
        <v>867</v>
      </c>
    </row>
    <row r="124" customFormat="false" ht="15" hidden="false" customHeight="true" outlineLevel="0" collapsed="false">
      <c r="A124" s="12" t="s">
        <v>1714</v>
      </c>
      <c r="B124" s="14" t="n">
        <v>45663</v>
      </c>
      <c r="C124" s="13" t="s">
        <v>379</v>
      </c>
      <c r="D124" s="15" t="str">
        <f aca="false">IFERROR(INDEX(Dim_Employee!$B$2:$B$76,MATCH(C124,Dim_Employee!$A$2:$A$76,0)),"")</f>
        <v>Emeka Adeyemi</v>
      </c>
      <c r="E124" s="12" t="s">
        <v>16</v>
      </c>
      <c r="F124" s="12" t="s">
        <v>1578</v>
      </c>
      <c r="G124" s="12" t="s">
        <v>1584</v>
      </c>
      <c r="H124" s="18" t="n">
        <v>43607256.35</v>
      </c>
      <c r="I124" s="18" t="n">
        <v>53356599.46</v>
      </c>
      <c r="J124" s="19" t="n">
        <f aca="false">H124-I124</f>
        <v>-9749343.11</v>
      </c>
      <c r="K124" s="12" t="s">
        <v>867</v>
      </c>
    </row>
    <row r="125" customFormat="false" ht="15" hidden="false" customHeight="true" outlineLevel="0" collapsed="false">
      <c r="A125" s="12" t="s">
        <v>1715</v>
      </c>
      <c r="B125" s="14" t="n">
        <v>45690</v>
      </c>
      <c r="C125" s="13" t="s">
        <v>364</v>
      </c>
      <c r="D125" s="15" t="str">
        <f aca="false">IFERROR(INDEX(Dim_Employee!$B$2:$B$76,MATCH(C125,Dim_Employee!$A$2:$A$76,0)),"")</f>
        <v>Amaka Aliyu</v>
      </c>
      <c r="E125" s="12" t="s">
        <v>115</v>
      </c>
      <c r="F125" s="12" t="s">
        <v>1587</v>
      </c>
      <c r="G125" s="12" t="s">
        <v>1597</v>
      </c>
      <c r="H125" s="18" t="n">
        <v>7744692.94</v>
      </c>
      <c r="I125" s="18" t="n">
        <v>10158851.05</v>
      </c>
      <c r="J125" s="19" t="n">
        <f aca="false">H125-I125</f>
        <v>-2414158.11</v>
      </c>
      <c r="K125" s="12" t="s">
        <v>856</v>
      </c>
    </row>
    <row r="126" customFormat="false" ht="15" hidden="false" customHeight="true" outlineLevel="0" collapsed="false">
      <c r="A126" s="12" t="s">
        <v>1716</v>
      </c>
      <c r="B126" s="14" t="n">
        <v>45684</v>
      </c>
      <c r="C126" s="13" t="s">
        <v>369</v>
      </c>
      <c r="D126" s="15" t="str">
        <f aca="false">IFERROR(INDEX(Dim_Employee!$B$2:$B$76,MATCH(C126,Dim_Employee!$A$2:$A$76,0)),"")</f>
        <v>Chukwudi Yakubu</v>
      </c>
      <c r="E126" s="12" t="s">
        <v>24</v>
      </c>
      <c r="F126" s="12" t="s">
        <v>1578</v>
      </c>
      <c r="G126" s="12" t="s">
        <v>1594</v>
      </c>
      <c r="H126" s="18" t="n">
        <v>27916895.56</v>
      </c>
      <c r="I126" s="18" t="n">
        <v>27030981.85</v>
      </c>
      <c r="J126" s="19" t="n">
        <f aca="false">H126-I126</f>
        <v>885913.709999997</v>
      </c>
      <c r="K126" s="12" t="s">
        <v>867</v>
      </c>
    </row>
    <row r="127" customFormat="false" ht="15" hidden="false" customHeight="true" outlineLevel="0" collapsed="false">
      <c r="A127" s="12" t="s">
        <v>1717</v>
      </c>
      <c r="B127" s="14" t="n">
        <v>45677</v>
      </c>
      <c r="C127" s="13" t="s">
        <v>364</v>
      </c>
      <c r="D127" s="15" t="str">
        <f aca="false">IFERROR(INDEX(Dim_Employee!$B$2:$B$76,MATCH(C127,Dim_Employee!$A$2:$A$76,0)),"")</f>
        <v>Amaka Aliyu</v>
      </c>
      <c r="E127" s="12" t="s">
        <v>19</v>
      </c>
      <c r="F127" s="12" t="s">
        <v>1578</v>
      </c>
      <c r="G127" s="12" t="s">
        <v>1579</v>
      </c>
      <c r="H127" s="18" t="n">
        <v>35662714.62</v>
      </c>
      <c r="I127" s="18" t="n">
        <v>46923038.28</v>
      </c>
      <c r="J127" s="19" t="n">
        <f aca="false">H127-I127</f>
        <v>-11260323.66</v>
      </c>
      <c r="K127" s="12" t="s">
        <v>867</v>
      </c>
    </row>
    <row r="128" customFormat="false" ht="15" hidden="false" customHeight="true" outlineLevel="0" collapsed="false">
      <c r="A128" s="12" t="s">
        <v>1718</v>
      </c>
      <c r="B128" s="14" t="n">
        <v>45749</v>
      </c>
      <c r="C128" s="13" t="s">
        <v>383</v>
      </c>
      <c r="D128" s="15" t="str">
        <f aca="false">IFERROR(INDEX(Dim_Employee!$B$2:$B$76,MATCH(C128,Dim_Employee!$A$2:$A$76,0)),"")</f>
        <v>Tunde Ndukwe</v>
      </c>
      <c r="E128" s="12" t="s">
        <v>28</v>
      </c>
      <c r="F128" s="12" t="s">
        <v>1587</v>
      </c>
      <c r="G128" s="12" t="s">
        <v>1588</v>
      </c>
      <c r="H128" s="18" t="n">
        <v>59814202.44</v>
      </c>
      <c r="I128" s="18" t="n">
        <v>49796233.83</v>
      </c>
      <c r="J128" s="19" t="n">
        <f aca="false">H128-I128</f>
        <v>10017968.61</v>
      </c>
      <c r="K128" s="12" t="s">
        <v>867</v>
      </c>
    </row>
    <row r="129" customFormat="false" ht="15" hidden="false" customHeight="true" outlineLevel="0" collapsed="false">
      <c r="A129" s="12" t="s">
        <v>1719</v>
      </c>
      <c r="B129" s="14" t="n">
        <v>45695</v>
      </c>
      <c r="C129" s="13" t="s">
        <v>374</v>
      </c>
      <c r="D129" s="15" t="str">
        <f aca="false">IFERROR(INDEX(Dim_Employee!$B$2:$B$76,MATCH(C129,Dim_Employee!$A$2:$A$76,0)),"")</f>
        <v>Titilayo Chukwu</v>
      </c>
      <c r="E129" s="12" t="s">
        <v>28</v>
      </c>
      <c r="F129" s="12" t="s">
        <v>1578</v>
      </c>
      <c r="G129" s="12" t="s">
        <v>1584</v>
      </c>
      <c r="H129" s="18" t="n">
        <v>13597853.24</v>
      </c>
      <c r="I129" s="18" t="n">
        <v>12903710.55</v>
      </c>
      <c r="J129" s="19" t="n">
        <f aca="false">H129-I129</f>
        <v>694142.69</v>
      </c>
      <c r="K129" s="12" t="s">
        <v>867</v>
      </c>
    </row>
    <row r="130" customFormat="false" ht="15" hidden="false" customHeight="true" outlineLevel="0" collapsed="false">
      <c r="A130" s="12" t="s">
        <v>1720</v>
      </c>
      <c r="B130" s="14" t="n">
        <v>45678</v>
      </c>
      <c r="C130" s="13" t="s">
        <v>364</v>
      </c>
      <c r="D130" s="15" t="str">
        <f aca="false">IFERROR(INDEX(Dim_Employee!$B$2:$B$76,MATCH(C130,Dim_Employee!$A$2:$A$76,0)),"")</f>
        <v>Amaka Aliyu</v>
      </c>
      <c r="E130" s="12" t="s">
        <v>104</v>
      </c>
      <c r="F130" s="12" t="s">
        <v>1578</v>
      </c>
      <c r="G130" s="12" t="s">
        <v>1582</v>
      </c>
      <c r="H130" s="18" t="n">
        <v>3808733.66</v>
      </c>
      <c r="I130" s="18" t="n">
        <v>4098906.02</v>
      </c>
      <c r="J130" s="19" t="n">
        <f aca="false">H130-I130</f>
        <v>-290172.36</v>
      </c>
      <c r="K130" s="12" t="s">
        <v>856</v>
      </c>
    </row>
    <row r="131" customFormat="false" ht="15" hidden="false" customHeight="true" outlineLevel="0" collapsed="false">
      <c r="A131" s="12" t="s">
        <v>1721</v>
      </c>
      <c r="B131" s="14" t="n">
        <v>45803</v>
      </c>
      <c r="C131" s="13" t="s">
        <v>364</v>
      </c>
      <c r="D131" s="15" t="str">
        <f aca="false">IFERROR(INDEX(Dim_Employee!$B$2:$B$76,MATCH(C131,Dim_Employee!$A$2:$A$76,0)),"")</f>
        <v>Amaka Aliyu</v>
      </c>
      <c r="E131" s="12" t="s">
        <v>97</v>
      </c>
      <c r="F131" s="12" t="s">
        <v>1590</v>
      </c>
      <c r="G131" s="12" t="s">
        <v>1640</v>
      </c>
      <c r="H131" s="18" t="n">
        <v>31158180.76</v>
      </c>
      <c r="I131" s="18" t="n">
        <v>31139477.97</v>
      </c>
      <c r="J131" s="19" t="n">
        <f aca="false">H131-I131</f>
        <v>18702.7900000028</v>
      </c>
      <c r="K131" s="12" t="s">
        <v>878</v>
      </c>
    </row>
    <row r="132" customFormat="false" ht="15" hidden="false" customHeight="true" outlineLevel="0" collapsed="false">
      <c r="A132" s="12" t="s">
        <v>1722</v>
      </c>
      <c r="B132" s="14" t="n">
        <v>45782</v>
      </c>
      <c r="C132" s="13" t="s">
        <v>379</v>
      </c>
      <c r="D132" s="15" t="str">
        <f aca="false">IFERROR(INDEX(Dim_Employee!$B$2:$B$76,MATCH(C132,Dim_Employee!$A$2:$A$76,0)),"")</f>
        <v>Emeka Adeyemi</v>
      </c>
      <c r="E132" s="12" t="s">
        <v>24</v>
      </c>
      <c r="F132" s="12" t="s">
        <v>1587</v>
      </c>
      <c r="G132" s="12" t="s">
        <v>1597</v>
      </c>
      <c r="H132" s="18" t="n">
        <v>30314970.72</v>
      </c>
      <c r="I132" s="18" t="n">
        <v>35901196.04</v>
      </c>
      <c r="J132" s="19" t="n">
        <f aca="false">H132-I132</f>
        <v>-5586225.32</v>
      </c>
      <c r="K132" s="12" t="s">
        <v>867</v>
      </c>
    </row>
    <row r="133" customFormat="false" ht="15" hidden="false" customHeight="true" outlineLevel="0" collapsed="false">
      <c r="A133" s="12" t="s">
        <v>1723</v>
      </c>
      <c r="B133" s="14" t="n">
        <v>45776</v>
      </c>
      <c r="C133" s="13" t="s">
        <v>369</v>
      </c>
      <c r="D133" s="15" t="str">
        <f aca="false">IFERROR(INDEX(Dim_Employee!$B$2:$B$76,MATCH(C133,Dim_Employee!$A$2:$A$76,0)),"")</f>
        <v>Chukwudi Yakubu</v>
      </c>
      <c r="E133" s="12" t="s">
        <v>97</v>
      </c>
      <c r="F133" s="12" t="s">
        <v>1578</v>
      </c>
      <c r="G133" s="12" t="s">
        <v>1584</v>
      </c>
      <c r="H133" s="18" t="n">
        <v>4141947.55</v>
      </c>
      <c r="I133" s="18" t="n">
        <v>4225763.21</v>
      </c>
      <c r="J133" s="19" t="n">
        <f aca="false">H133-I133</f>
        <v>-83815.6600000002</v>
      </c>
      <c r="K133" s="12" t="s">
        <v>867</v>
      </c>
    </row>
    <row r="134" customFormat="false" ht="15" hidden="false" customHeight="true" outlineLevel="0" collapsed="false">
      <c r="A134" s="12" t="s">
        <v>1724</v>
      </c>
      <c r="B134" s="14" t="n">
        <v>45697</v>
      </c>
      <c r="C134" s="13" t="s">
        <v>387</v>
      </c>
      <c r="D134" s="15" t="str">
        <f aca="false">IFERROR(INDEX(Dim_Employee!$B$2:$B$76,MATCH(C134,Dim_Employee!$A$2:$A$76,0)),"")</f>
        <v>Abdullahi Ojo</v>
      </c>
      <c r="E134" s="12" t="s">
        <v>97</v>
      </c>
      <c r="F134" s="12" t="s">
        <v>1590</v>
      </c>
      <c r="G134" s="12" t="s">
        <v>1640</v>
      </c>
      <c r="H134" s="18" t="n">
        <v>23795290.38</v>
      </c>
      <c r="I134" s="18" t="n">
        <v>29407875.61</v>
      </c>
      <c r="J134" s="19" t="n">
        <f aca="false">H134-I134</f>
        <v>-5612585.23</v>
      </c>
      <c r="K134" s="12" t="s">
        <v>878</v>
      </c>
    </row>
    <row r="135" customFormat="false" ht="15" hidden="false" customHeight="true" outlineLevel="0" collapsed="false">
      <c r="A135" s="12" t="s">
        <v>1725</v>
      </c>
      <c r="B135" s="14" t="n">
        <v>45923</v>
      </c>
      <c r="C135" s="13" t="s">
        <v>369</v>
      </c>
      <c r="D135" s="15" t="str">
        <f aca="false">IFERROR(INDEX(Dim_Employee!$B$2:$B$76,MATCH(C135,Dim_Employee!$A$2:$A$76,0)),"")</f>
        <v>Chukwudi Yakubu</v>
      </c>
      <c r="E135" s="12" t="s">
        <v>115</v>
      </c>
      <c r="F135" s="12" t="s">
        <v>1587</v>
      </c>
      <c r="G135" s="12" t="s">
        <v>1597</v>
      </c>
      <c r="H135" s="18" t="n">
        <v>5718351.81</v>
      </c>
      <c r="I135" s="18" t="n">
        <v>5846649.46</v>
      </c>
      <c r="J135" s="19" t="n">
        <f aca="false">H135-I135</f>
        <v>-128297.65</v>
      </c>
      <c r="K135" s="12" t="s">
        <v>867</v>
      </c>
    </row>
    <row r="136" customFormat="false" ht="15" hidden="false" customHeight="true" outlineLevel="0" collapsed="false">
      <c r="A136" s="12" t="s">
        <v>1726</v>
      </c>
      <c r="B136" s="14" t="n">
        <v>45868</v>
      </c>
      <c r="C136" s="13" t="s">
        <v>383</v>
      </c>
      <c r="D136" s="15" t="str">
        <f aca="false">IFERROR(INDEX(Dim_Employee!$B$2:$B$76,MATCH(C136,Dim_Employee!$A$2:$A$76,0)),"")</f>
        <v>Tunde Ndukwe</v>
      </c>
      <c r="E136" s="12" t="s">
        <v>104</v>
      </c>
      <c r="F136" s="12" t="s">
        <v>1587</v>
      </c>
      <c r="G136" s="12" t="s">
        <v>1588</v>
      </c>
      <c r="H136" s="18" t="n">
        <v>35399592.3</v>
      </c>
      <c r="I136" s="18" t="n">
        <v>39076774.03</v>
      </c>
      <c r="J136" s="19" t="n">
        <f aca="false">H136-I136</f>
        <v>-3677181.73</v>
      </c>
      <c r="K136" s="12" t="s">
        <v>856</v>
      </c>
    </row>
    <row r="137" customFormat="false" ht="15" hidden="false" customHeight="true" outlineLevel="0" collapsed="false">
      <c r="A137" s="12" t="s">
        <v>1727</v>
      </c>
      <c r="B137" s="14" t="n">
        <v>45795</v>
      </c>
      <c r="C137" s="13" t="s">
        <v>374</v>
      </c>
      <c r="D137" s="15" t="str">
        <f aca="false">IFERROR(INDEX(Dim_Employee!$B$2:$B$76,MATCH(C137,Dim_Employee!$A$2:$A$76,0)),"")</f>
        <v>Titilayo Chukwu</v>
      </c>
      <c r="E137" s="12" t="s">
        <v>104</v>
      </c>
      <c r="F137" s="12" t="s">
        <v>1578</v>
      </c>
      <c r="G137" s="12" t="s">
        <v>1584</v>
      </c>
      <c r="H137" s="18" t="n">
        <v>28444080.97</v>
      </c>
      <c r="I137" s="18" t="n">
        <v>28203879.68</v>
      </c>
      <c r="J137" s="19" t="n">
        <f aca="false">H137-I137</f>
        <v>240201.289999999</v>
      </c>
      <c r="K137" s="12" t="s">
        <v>867</v>
      </c>
    </row>
    <row r="138" customFormat="false" ht="15" hidden="false" customHeight="true" outlineLevel="0" collapsed="false">
      <c r="A138" s="12" t="s">
        <v>1728</v>
      </c>
      <c r="B138" s="14" t="n">
        <v>45819</v>
      </c>
      <c r="C138" s="13" t="s">
        <v>383</v>
      </c>
      <c r="D138" s="15" t="str">
        <f aca="false">IFERROR(INDEX(Dim_Employee!$B$2:$B$76,MATCH(C138,Dim_Employee!$A$2:$A$76,0)),"")</f>
        <v>Tunde Ndukwe</v>
      </c>
      <c r="E138" s="12" t="s">
        <v>115</v>
      </c>
      <c r="F138" s="12" t="s">
        <v>1590</v>
      </c>
      <c r="G138" s="12" t="s">
        <v>1609</v>
      </c>
      <c r="H138" s="18" t="n">
        <v>32469453.86</v>
      </c>
      <c r="I138" s="18" t="n">
        <v>38738023.06</v>
      </c>
      <c r="J138" s="19" t="n">
        <f aca="false">H138-I138</f>
        <v>-6268569.2</v>
      </c>
      <c r="K138" s="12" t="s">
        <v>856</v>
      </c>
    </row>
    <row r="139" customFormat="false" ht="15" hidden="false" customHeight="true" outlineLevel="0" collapsed="false">
      <c r="A139" s="12" t="s">
        <v>1729</v>
      </c>
      <c r="B139" s="14" t="n">
        <v>45730</v>
      </c>
      <c r="C139" s="13" t="s">
        <v>374</v>
      </c>
      <c r="D139" s="15" t="str">
        <f aca="false">IFERROR(INDEX(Dim_Employee!$B$2:$B$76,MATCH(C139,Dim_Employee!$A$2:$A$76,0)),"")</f>
        <v>Titilayo Chukwu</v>
      </c>
      <c r="E139" s="12" t="s">
        <v>19</v>
      </c>
      <c r="F139" s="12" t="s">
        <v>1590</v>
      </c>
      <c r="G139" s="12" t="s">
        <v>1609</v>
      </c>
      <c r="H139" s="18" t="n">
        <v>17588228.13</v>
      </c>
      <c r="I139" s="18" t="n">
        <v>23010106.4</v>
      </c>
      <c r="J139" s="19" t="n">
        <f aca="false">H139-I139</f>
        <v>-5421878.27</v>
      </c>
      <c r="K139" s="12" t="s">
        <v>878</v>
      </c>
    </row>
    <row r="140" customFormat="false" ht="15" hidden="false" customHeight="true" outlineLevel="0" collapsed="false">
      <c r="A140" s="12" t="s">
        <v>1730</v>
      </c>
      <c r="B140" s="14" t="n">
        <v>45838</v>
      </c>
      <c r="C140" s="13" t="s">
        <v>374</v>
      </c>
      <c r="D140" s="15" t="str">
        <f aca="false">IFERROR(INDEX(Dim_Employee!$B$2:$B$76,MATCH(C140,Dim_Employee!$A$2:$A$76,0)),"")</f>
        <v>Titilayo Chukwu</v>
      </c>
      <c r="E140" s="12" t="s">
        <v>19</v>
      </c>
      <c r="F140" s="12" t="s">
        <v>1578</v>
      </c>
      <c r="G140" s="12" t="s">
        <v>1616</v>
      </c>
      <c r="H140" s="18" t="n">
        <v>16487256.65</v>
      </c>
      <c r="I140" s="18" t="n">
        <v>13940046.05</v>
      </c>
      <c r="J140" s="19" t="n">
        <f aca="false">H140-I140</f>
        <v>2547210.6</v>
      </c>
      <c r="K140" s="12" t="s">
        <v>856</v>
      </c>
    </row>
    <row r="141" customFormat="false" ht="15" hidden="false" customHeight="true" outlineLevel="0" collapsed="false">
      <c r="A141" s="12" t="s">
        <v>1731</v>
      </c>
      <c r="B141" s="14" t="n">
        <v>45903</v>
      </c>
      <c r="C141" s="13" t="s">
        <v>374</v>
      </c>
      <c r="D141" s="15" t="str">
        <f aca="false">IFERROR(INDEX(Dim_Employee!$B$2:$B$76,MATCH(C141,Dim_Employee!$A$2:$A$76,0)),"")</f>
        <v>Titilayo Chukwu</v>
      </c>
      <c r="E141" s="12" t="s">
        <v>16</v>
      </c>
      <c r="F141" s="12" t="s">
        <v>1578</v>
      </c>
      <c r="G141" s="12" t="s">
        <v>1584</v>
      </c>
      <c r="H141" s="18" t="n">
        <v>42063377.41</v>
      </c>
      <c r="I141" s="18" t="n">
        <v>48459206.13</v>
      </c>
      <c r="J141" s="19" t="n">
        <f aca="false">H141-I141</f>
        <v>-6395828.72000001</v>
      </c>
      <c r="K141" s="12" t="s">
        <v>878</v>
      </c>
    </row>
    <row r="142" customFormat="false" ht="15" hidden="false" customHeight="true" outlineLevel="0" collapsed="false">
      <c r="A142" s="12" t="s">
        <v>1732</v>
      </c>
      <c r="B142" s="14" t="n">
        <v>45697</v>
      </c>
      <c r="C142" s="13" t="s">
        <v>379</v>
      </c>
      <c r="D142" s="15" t="str">
        <f aca="false">IFERROR(INDEX(Dim_Employee!$B$2:$B$76,MATCH(C142,Dim_Employee!$A$2:$A$76,0)),"")</f>
        <v>Emeka Adeyemi</v>
      </c>
      <c r="E142" s="12" t="s">
        <v>16</v>
      </c>
      <c r="F142" s="12" t="s">
        <v>1578</v>
      </c>
      <c r="G142" s="12" t="s">
        <v>1582</v>
      </c>
      <c r="H142" s="18" t="n">
        <v>9110927.32</v>
      </c>
      <c r="I142" s="18" t="n">
        <v>11894959.34</v>
      </c>
      <c r="J142" s="19" t="n">
        <f aca="false">H142-I142</f>
        <v>-2784032.02</v>
      </c>
      <c r="K142" s="12" t="s">
        <v>878</v>
      </c>
    </row>
    <row r="143" customFormat="false" ht="15" hidden="false" customHeight="true" outlineLevel="0" collapsed="false">
      <c r="A143" s="12" t="s">
        <v>1733</v>
      </c>
      <c r="B143" s="14" t="n">
        <v>45821</v>
      </c>
      <c r="C143" s="13" t="s">
        <v>113</v>
      </c>
      <c r="D143" s="15" t="str">
        <f aca="false">IFERROR(INDEX(Dim_Employee!$B$2:$B$76,MATCH(C143,Dim_Employee!$A$2:$A$76,0)),"")</f>
        <v>Funmilayo Adeyemi</v>
      </c>
      <c r="E143" s="12" t="s">
        <v>24</v>
      </c>
      <c r="F143" s="12" t="s">
        <v>1587</v>
      </c>
      <c r="G143" s="12" t="s">
        <v>1619</v>
      </c>
      <c r="H143" s="18" t="n">
        <v>28275354.72</v>
      </c>
      <c r="I143" s="18" t="n">
        <v>27471080.19</v>
      </c>
      <c r="J143" s="19" t="n">
        <f aca="false">H143-I143</f>
        <v>804274.529999998</v>
      </c>
      <c r="K143" s="12" t="s">
        <v>878</v>
      </c>
    </row>
    <row r="144" customFormat="false" ht="15" hidden="false" customHeight="true" outlineLevel="0" collapsed="false">
      <c r="A144" s="12" t="s">
        <v>1734</v>
      </c>
      <c r="B144" s="14" t="n">
        <v>45842</v>
      </c>
      <c r="C144" s="13" t="s">
        <v>383</v>
      </c>
      <c r="D144" s="15" t="str">
        <f aca="false">IFERROR(INDEX(Dim_Employee!$B$2:$B$76,MATCH(C144,Dim_Employee!$A$2:$A$76,0)),"")</f>
        <v>Tunde Ndukwe</v>
      </c>
      <c r="E144" s="12" t="s">
        <v>115</v>
      </c>
      <c r="F144" s="12" t="s">
        <v>1578</v>
      </c>
      <c r="G144" s="12" t="s">
        <v>1582</v>
      </c>
      <c r="H144" s="18" t="n">
        <v>26594453.38</v>
      </c>
      <c r="I144" s="18" t="n">
        <v>21538363.31</v>
      </c>
      <c r="J144" s="19" t="n">
        <f aca="false">H144-I144</f>
        <v>5056090.07</v>
      </c>
      <c r="K144" s="12" t="s">
        <v>856</v>
      </c>
    </row>
    <row r="145" customFormat="false" ht="15" hidden="false" customHeight="true" outlineLevel="0" collapsed="false">
      <c r="A145" s="12" t="s">
        <v>1735</v>
      </c>
      <c r="B145" s="14" t="n">
        <v>45943</v>
      </c>
      <c r="C145" s="13" t="s">
        <v>364</v>
      </c>
      <c r="D145" s="15" t="str">
        <f aca="false">IFERROR(INDEX(Dim_Employee!$B$2:$B$76,MATCH(C145,Dim_Employee!$A$2:$A$76,0)),"")</f>
        <v>Amaka Aliyu</v>
      </c>
      <c r="E145" s="12" t="s">
        <v>19</v>
      </c>
      <c r="F145" s="12" t="s">
        <v>1578</v>
      </c>
      <c r="G145" s="12" t="s">
        <v>1594</v>
      </c>
      <c r="H145" s="18" t="n">
        <v>36403569.77</v>
      </c>
      <c r="I145" s="18" t="n">
        <v>48564719.28</v>
      </c>
      <c r="J145" s="19" t="n">
        <f aca="false">H145-I145</f>
        <v>-12161149.51</v>
      </c>
      <c r="K145" s="12" t="s">
        <v>878</v>
      </c>
    </row>
    <row r="146" customFormat="false" ht="15" hidden="false" customHeight="true" outlineLevel="0" collapsed="false">
      <c r="A146" s="12" t="s">
        <v>1736</v>
      </c>
      <c r="B146" s="14" t="n">
        <v>45820</v>
      </c>
      <c r="C146" s="13" t="s">
        <v>359</v>
      </c>
      <c r="D146" s="15" t="str">
        <f aca="false">IFERROR(INDEX(Dim_Employee!$B$2:$B$76,MATCH(C146,Dim_Employee!$A$2:$A$76,0)),"")</f>
        <v>Ngozi Ndukwe</v>
      </c>
      <c r="E146" s="12" t="s">
        <v>115</v>
      </c>
      <c r="F146" s="12" t="s">
        <v>1587</v>
      </c>
      <c r="G146" s="12" t="s">
        <v>1588</v>
      </c>
      <c r="H146" s="18" t="n">
        <v>19592595.66</v>
      </c>
      <c r="I146" s="18" t="n">
        <v>24927989.38</v>
      </c>
      <c r="J146" s="19" t="n">
        <f aca="false">H146-I146</f>
        <v>-5335393.72</v>
      </c>
      <c r="K146" s="12" t="s">
        <v>867</v>
      </c>
    </row>
    <row r="147" customFormat="false" ht="15" hidden="false" customHeight="true" outlineLevel="0" collapsed="false">
      <c r="A147" s="12" t="s">
        <v>1737</v>
      </c>
      <c r="B147" s="14" t="n">
        <v>45818</v>
      </c>
      <c r="C147" s="13" t="s">
        <v>359</v>
      </c>
      <c r="D147" s="15" t="str">
        <f aca="false">IFERROR(INDEX(Dim_Employee!$B$2:$B$76,MATCH(C147,Dim_Employee!$A$2:$A$76,0)),"")</f>
        <v>Ngozi Ndukwe</v>
      </c>
      <c r="E147" s="12" t="s">
        <v>19</v>
      </c>
      <c r="F147" s="12" t="s">
        <v>1578</v>
      </c>
      <c r="G147" s="12" t="s">
        <v>1594</v>
      </c>
      <c r="H147" s="18" t="n">
        <v>37371055.75</v>
      </c>
      <c r="I147" s="18" t="n">
        <v>38922473.96</v>
      </c>
      <c r="J147" s="19" t="n">
        <f aca="false">H147-I147</f>
        <v>-1551418.21</v>
      </c>
      <c r="K147" s="12" t="s">
        <v>856</v>
      </c>
    </row>
    <row r="148" customFormat="false" ht="15" hidden="false" customHeight="true" outlineLevel="0" collapsed="false">
      <c r="A148" s="12" t="s">
        <v>1738</v>
      </c>
      <c r="B148" s="14" t="n">
        <v>45969</v>
      </c>
      <c r="C148" s="13" t="s">
        <v>383</v>
      </c>
      <c r="D148" s="15" t="str">
        <f aca="false">IFERROR(INDEX(Dim_Employee!$B$2:$B$76,MATCH(C148,Dim_Employee!$A$2:$A$76,0)),"")</f>
        <v>Tunde Ndukwe</v>
      </c>
      <c r="E148" s="12" t="s">
        <v>115</v>
      </c>
      <c r="F148" s="12" t="s">
        <v>1590</v>
      </c>
      <c r="G148" s="12" t="s">
        <v>1591</v>
      </c>
      <c r="H148" s="18" t="n">
        <v>53454149.46</v>
      </c>
      <c r="I148" s="18" t="n">
        <v>44824079.58</v>
      </c>
      <c r="J148" s="19" t="n">
        <f aca="false">H148-I148</f>
        <v>8630069.88</v>
      </c>
      <c r="K148" s="12" t="s">
        <v>856</v>
      </c>
    </row>
    <row r="149" customFormat="false" ht="15" hidden="false" customHeight="true" outlineLevel="0" collapsed="false">
      <c r="A149" s="12" t="s">
        <v>1739</v>
      </c>
      <c r="B149" s="14" t="n">
        <v>45816</v>
      </c>
      <c r="C149" s="13" t="s">
        <v>364</v>
      </c>
      <c r="D149" s="15" t="str">
        <f aca="false">IFERROR(INDEX(Dim_Employee!$B$2:$B$76,MATCH(C149,Dim_Employee!$A$2:$A$76,0)),"")</f>
        <v>Amaka Aliyu</v>
      </c>
      <c r="E149" s="12" t="s">
        <v>16</v>
      </c>
      <c r="F149" s="12" t="s">
        <v>1590</v>
      </c>
      <c r="G149" s="12" t="s">
        <v>1591</v>
      </c>
      <c r="H149" s="18" t="n">
        <v>2606632.62</v>
      </c>
      <c r="I149" s="18" t="n">
        <v>3306912.74</v>
      </c>
      <c r="J149" s="19" t="n">
        <f aca="false">H149-I149</f>
        <v>-700280.12</v>
      </c>
      <c r="K149" s="12" t="s">
        <v>856</v>
      </c>
    </row>
    <row r="150" customFormat="false" ht="15" hidden="false" customHeight="true" outlineLevel="0" collapsed="false">
      <c r="A150" s="12" t="s">
        <v>1740</v>
      </c>
      <c r="B150" s="14" t="n">
        <v>45970</v>
      </c>
      <c r="C150" s="13" t="s">
        <v>387</v>
      </c>
      <c r="D150" s="15" t="str">
        <f aca="false">IFERROR(INDEX(Dim_Employee!$B$2:$B$76,MATCH(C150,Dim_Employee!$A$2:$A$76,0)),"")</f>
        <v>Abdullahi Ojo</v>
      </c>
      <c r="E150" s="12" t="s">
        <v>24</v>
      </c>
      <c r="F150" s="12" t="s">
        <v>1587</v>
      </c>
      <c r="G150" s="12" t="s">
        <v>1619</v>
      </c>
      <c r="H150" s="18" t="n">
        <v>29096386.07</v>
      </c>
      <c r="I150" s="18" t="n">
        <v>34082204.25</v>
      </c>
      <c r="J150" s="19" t="n">
        <f aca="false">H150-I150</f>
        <v>-4985818.18</v>
      </c>
      <c r="K150" s="12" t="s">
        <v>867</v>
      </c>
    </row>
    <row r="151" customFormat="false" ht="15" hidden="false" customHeight="true" outlineLevel="0" collapsed="false">
      <c r="A151" s="12" t="s">
        <v>1741</v>
      </c>
      <c r="B151" s="14" t="n">
        <v>45766</v>
      </c>
      <c r="C151" s="13" t="s">
        <v>383</v>
      </c>
      <c r="D151" s="15" t="str">
        <f aca="false">IFERROR(INDEX(Dim_Employee!$B$2:$B$76,MATCH(C151,Dim_Employee!$A$2:$A$76,0)),"")</f>
        <v>Tunde Ndukwe</v>
      </c>
      <c r="E151" s="12" t="s">
        <v>16</v>
      </c>
      <c r="F151" s="12" t="s">
        <v>1587</v>
      </c>
      <c r="G151" s="12" t="s">
        <v>1588</v>
      </c>
      <c r="H151" s="18" t="n">
        <v>27055240.17</v>
      </c>
      <c r="I151" s="18" t="n">
        <v>29795936.45</v>
      </c>
      <c r="J151" s="19" t="n">
        <f aca="false">H151-I151</f>
        <v>-2740696.28</v>
      </c>
      <c r="K151" s="12" t="s">
        <v>867</v>
      </c>
    </row>
    <row r="152" customFormat="false" ht="15" hidden="false" customHeight="true" outlineLevel="0" collapsed="false">
      <c r="A152" s="12" t="s">
        <v>1742</v>
      </c>
      <c r="B152" s="14" t="n">
        <v>45877</v>
      </c>
      <c r="C152" s="13" t="s">
        <v>364</v>
      </c>
      <c r="D152" s="15" t="str">
        <f aca="false">IFERROR(INDEX(Dim_Employee!$B$2:$B$76,MATCH(C152,Dim_Employee!$A$2:$A$76,0)),"")</f>
        <v>Amaka Aliyu</v>
      </c>
      <c r="E152" s="12" t="s">
        <v>28</v>
      </c>
      <c r="F152" s="12" t="s">
        <v>1578</v>
      </c>
      <c r="G152" s="12" t="s">
        <v>1594</v>
      </c>
      <c r="H152" s="18" t="n">
        <v>21239743.65</v>
      </c>
      <c r="I152" s="18" t="n">
        <v>20040159.81</v>
      </c>
      <c r="J152" s="19" t="n">
        <f aca="false">H152-I152</f>
        <v>1199583.84</v>
      </c>
      <c r="K152" s="12" t="s">
        <v>867</v>
      </c>
    </row>
    <row r="153" customFormat="false" ht="15" hidden="false" customHeight="true" outlineLevel="0" collapsed="false">
      <c r="A153" s="12" t="s">
        <v>1743</v>
      </c>
      <c r="B153" s="14" t="n">
        <v>45963</v>
      </c>
      <c r="C153" s="13" t="s">
        <v>113</v>
      </c>
      <c r="D153" s="15" t="str">
        <f aca="false">IFERROR(INDEX(Dim_Employee!$B$2:$B$76,MATCH(C153,Dim_Employee!$A$2:$A$76,0)),"")</f>
        <v>Funmilayo Adeyemi</v>
      </c>
      <c r="E153" s="12" t="s">
        <v>97</v>
      </c>
      <c r="F153" s="12" t="s">
        <v>1590</v>
      </c>
      <c r="G153" s="12" t="s">
        <v>1591</v>
      </c>
      <c r="H153" s="18" t="n">
        <v>28253007.02</v>
      </c>
      <c r="I153" s="18" t="n">
        <v>28215845.38</v>
      </c>
      <c r="J153" s="19" t="n">
        <f aca="false">H153-I153</f>
        <v>37161.6400000006</v>
      </c>
      <c r="K153" s="12" t="s">
        <v>856</v>
      </c>
    </row>
    <row r="154" customFormat="false" ht="15" hidden="false" customHeight="true" outlineLevel="0" collapsed="false">
      <c r="A154" s="12" t="s">
        <v>1744</v>
      </c>
      <c r="B154" s="14" t="n">
        <v>45996</v>
      </c>
      <c r="C154" s="13" t="s">
        <v>369</v>
      </c>
      <c r="D154" s="15" t="str">
        <f aca="false">IFERROR(INDEX(Dim_Employee!$B$2:$B$76,MATCH(C154,Dim_Employee!$A$2:$A$76,0)),"")</f>
        <v>Chukwudi Yakubu</v>
      </c>
      <c r="E154" s="12" t="s">
        <v>28</v>
      </c>
      <c r="F154" s="12" t="s">
        <v>1590</v>
      </c>
      <c r="G154" s="12" t="s">
        <v>1640</v>
      </c>
      <c r="H154" s="18" t="n">
        <v>18187820.72</v>
      </c>
      <c r="I154" s="18" t="n">
        <v>23099848.21</v>
      </c>
      <c r="J154" s="19" t="n">
        <f aca="false">H154-I154</f>
        <v>-4912027.49</v>
      </c>
      <c r="K154" s="12" t="s">
        <v>878</v>
      </c>
    </row>
    <row r="155" customFormat="false" ht="15" hidden="false" customHeight="true" outlineLevel="0" collapsed="false">
      <c r="A155" s="12" t="s">
        <v>1745</v>
      </c>
      <c r="B155" s="14" t="n">
        <v>45742</v>
      </c>
      <c r="C155" s="13" t="s">
        <v>387</v>
      </c>
      <c r="D155" s="15" t="str">
        <f aca="false">IFERROR(INDEX(Dim_Employee!$B$2:$B$76,MATCH(C155,Dim_Employee!$A$2:$A$76,0)),"")</f>
        <v>Abdullahi Ojo</v>
      </c>
      <c r="E155" s="12" t="s">
        <v>28</v>
      </c>
      <c r="F155" s="12" t="s">
        <v>1590</v>
      </c>
      <c r="G155" s="12" t="s">
        <v>1640</v>
      </c>
      <c r="H155" s="18" t="n">
        <v>9894883.43</v>
      </c>
      <c r="I155" s="18" t="n">
        <v>12913165.4</v>
      </c>
      <c r="J155" s="19" t="n">
        <f aca="false">H155-I155</f>
        <v>-3018281.97</v>
      </c>
      <c r="K155" s="12" t="s">
        <v>856</v>
      </c>
    </row>
    <row r="156" customFormat="false" ht="15" hidden="false" customHeight="true" outlineLevel="0" collapsed="false">
      <c r="A156" s="12" t="s">
        <v>1746</v>
      </c>
      <c r="B156" s="14" t="n">
        <v>45704</v>
      </c>
      <c r="C156" s="13" t="s">
        <v>113</v>
      </c>
      <c r="D156" s="15" t="str">
        <f aca="false">IFERROR(INDEX(Dim_Employee!$B$2:$B$76,MATCH(C156,Dim_Employee!$A$2:$A$76,0)),"")</f>
        <v>Funmilayo Adeyemi</v>
      </c>
      <c r="E156" s="12" t="s">
        <v>97</v>
      </c>
      <c r="F156" s="12" t="s">
        <v>1578</v>
      </c>
      <c r="G156" s="12" t="s">
        <v>1579</v>
      </c>
      <c r="H156" s="18" t="n">
        <v>60738485.9</v>
      </c>
      <c r="I156" s="18" t="n">
        <v>50638612.43</v>
      </c>
      <c r="J156" s="19" t="n">
        <f aca="false">H156-I156</f>
        <v>10099873.47</v>
      </c>
      <c r="K156" s="12" t="s">
        <v>878</v>
      </c>
    </row>
    <row r="157" customFormat="false" ht="15" hidden="false" customHeight="true" outlineLevel="0" collapsed="false">
      <c r="A157" s="12" t="s">
        <v>1747</v>
      </c>
      <c r="B157" s="14" t="n">
        <v>45847</v>
      </c>
      <c r="C157" s="13" t="s">
        <v>379</v>
      </c>
      <c r="D157" s="15" t="str">
        <f aca="false">IFERROR(INDEX(Dim_Employee!$B$2:$B$76,MATCH(C157,Dim_Employee!$A$2:$A$76,0)),"")</f>
        <v>Emeka Adeyemi</v>
      </c>
      <c r="E157" s="12" t="s">
        <v>104</v>
      </c>
      <c r="F157" s="12" t="s">
        <v>1578</v>
      </c>
      <c r="G157" s="12" t="s">
        <v>1616</v>
      </c>
      <c r="H157" s="18" t="n">
        <v>41204335.42</v>
      </c>
      <c r="I157" s="18" t="n">
        <v>57628633.71</v>
      </c>
      <c r="J157" s="19" t="n">
        <f aca="false">H157-I157</f>
        <v>-16424298.29</v>
      </c>
      <c r="K157" s="12" t="s">
        <v>878</v>
      </c>
    </row>
    <row r="158" customFormat="false" ht="15" hidden="false" customHeight="true" outlineLevel="0" collapsed="false">
      <c r="A158" s="12" t="s">
        <v>1748</v>
      </c>
      <c r="B158" s="14" t="n">
        <v>45927</v>
      </c>
      <c r="C158" s="13" t="s">
        <v>379</v>
      </c>
      <c r="D158" s="15" t="str">
        <f aca="false">IFERROR(INDEX(Dim_Employee!$B$2:$B$76,MATCH(C158,Dim_Employee!$A$2:$A$76,0)),"")</f>
        <v>Emeka Adeyemi</v>
      </c>
      <c r="E158" s="12" t="s">
        <v>28</v>
      </c>
      <c r="F158" s="12" t="s">
        <v>1590</v>
      </c>
      <c r="G158" s="12" t="s">
        <v>1601</v>
      </c>
      <c r="H158" s="18" t="n">
        <v>32970215.01</v>
      </c>
      <c r="I158" s="18" t="n">
        <v>42014213.2</v>
      </c>
      <c r="J158" s="19" t="n">
        <f aca="false">H158-I158</f>
        <v>-9043998.19</v>
      </c>
      <c r="K158" s="12" t="s">
        <v>856</v>
      </c>
    </row>
    <row r="159" customFormat="false" ht="15" hidden="false" customHeight="true" outlineLevel="0" collapsed="false">
      <c r="A159" s="12" t="s">
        <v>1749</v>
      </c>
      <c r="B159" s="14" t="n">
        <v>45837</v>
      </c>
      <c r="C159" s="13" t="s">
        <v>359</v>
      </c>
      <c r="D159" s="15" t="str">
        <f aca="false">IFERROR(INDEX(Dim_Employee!$B$2:$B$76,MATCH(C159,Dim_Employee!$A$2:$A$76,0)),"")</f>
        <v>Ngozi Ndukwe</v>
      </c>
      <c r="E159" s="12" t="s">
        <v>16</v>
      </c>
      <c r="F159" s="12" t="s">
        <v>1578</v>
      </c>
      <c r="G159" s="12" t="s">
        <v>1594</v>
      </c>
      <c r="H159" s="18" t="n">
        <v>33172305.73</v>
      </c>
      <c r="I159" s="18" t="n">
        <v>40284350.55</v>
      </c>
      <c r="J159" s="19" t="n">
        <f aca="false">H159-I159</f>
        <v>-7112044.82</v>
      </c>
      <c r="K159" s="12" t="s">
        <v>867</v>
      </c>
    </row>
    <row r="160" customFormat="false" ht="15" hidden="false" customHeight="true" outlineLevel="0" collapsed="false">
      <c r="A160" s="12" t="s">
        <v>1750</v>
      </c>
      <c r="B160" s="14" t="n">
        <v>45688</v>
      </c>
      <c r="C160" s="13" t="s">
        <v>369</v>
      </c>
      <c r="D160" s="15" t="str">
        <f aca="false">IFERROR(INDEX(Dim_Employee!$B$2:$B$76,MATCH(C160,Dim_Employee!$A$2:$A$76,0)),"")</f>
        <v>Chukwudi Yakubu</v>
      </c>
      <c r="E160" s="12" t="s">
        <v>115</v>
      </c>
      <c r="F160" s="12" t="s">
        <v>1578</v>
      </c>
      <c r="G160" s="12" t="s">
        <v>1582</v>
      </c>
      <c r="H160" s="18" t="n">
        <v>8251403.2</v>
      </c>
      <c r="I160" s="18" t="n">
        <v>7289553.14</v>
      </c>
      <c r="J160" s="19" t="n">
        <f aca="false">H160-I160</f>
        <v>961850.060000001</v>
      </c>
      <c r="K160" s="12" t="s">
        <v>867</v>
      </c>
    </row>
    <row r="161" customFormat="false" ht="15" hidden="false" customHeight="true" outlineLevel="0" collapsed="false">
      <c r="A161" s="12" t="s">
        <v>1751</v>
      </c>
      <c r="B161" s="14" t="n">
        <v>45885</v>
      </c>
      <c r="C161" s="13" t="s">
        <v>379</v>
      </c>
      <c r="D161" s="15" t="str">
        <f aca="false">IFERROR(INDEX(Dim_Employee!$B$2:$B$76,MATCH(C161,Dim_Employee!$A$2:$A$76,0)),"")</f>
        <v>Emeka Adeyemi</v>
      </c>
      <c r="E161" s="12" t="s">
        <v>104</v>
      </c>
      <c r="F161" s="12" t="s">
        <v>1587</v>
      </c>
      <c r="G161" s="12" t="s">
        <v>1619</v>
      </c>
      <c r="H161" s="18" t="n">
        <v>10179015.78</v>
      </c>
      <c r="I161" s="18" t="n">
        <v>11467150.6</v>
      </c>
      <c r="J161" s="19" t="n">
        <f aca="false">H161-I161</f>
        <v>-1288134.82</v>
      </c>
      <c r="K161" s="12" t="s">
        <v>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26"/>
    <col collapsed="false" customWidth="true" hidden="false" outlineLevel="0" max="8" min="8" style="1" width="15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26.25" hidden="false" customHeight="true" outlineLevel="0" collapsed="false">
      <c r="A1" s="10" t="s">
        <v>471</v>
      </c>
      <c r="B1" s="10" t="s">
        <v>126</v>
      </c>
      <c r="C1" s="10" t="s">
        <v>127</v>
      </c>
      <c r="D1" s="10" t="s">
        <v>128</v>
      </c>
      <c r="E1" s="10" t="s">
        <v>9</v>
      </c>
      <c r="F1" s="10" t="s">
        <v>1752</v>
      </c>
      <c r="G1" s="10" t="s">
        <v>1753</v>
      </c>
      <c r="H1" s="10" t="s">
        <v>1754</v>
      </c>
      <c r="I1" s="10" t="s">
        <v>1755</v>
      </c>
      <c r="J1" s="10" t="s">
        <v>1043</v>
      </c>
    </row>
    <row r="2" customFormat="false" ht="15" hidden="false" customHeight="true" outlineLevel="0" collapsed="false">
      <c r="A2" s="12" t="s">
        <v>1756</v>
      </c>
      <c r="B2" s="13" t="s">
        <v>162</v>
      </c>
      <c r="C2" s="15" t="str">
        <f aca="false">IFERROR(INDEX(Dim_Employee!$B$2:$B$76,MATCH(B2,Dim_Employee!$A$2:$A$76,0)),"")</f>
        <v>Halima Nwosu</v>
      </c>
      <c r="D2" s="12" t="s">
        <v>16</v>
      </c>
      <c r="E2" s="14" t="n">
        <v>45719</v>
      </c>
      <c r="F2" s="12" t="s">
        <v>1757</v>
      </c>
      <c r="G2" s="12" t="s">
        <v>1758</v>
      </c>
      <c r="H2" s="12"/>
      <c r="I2" s="12"/>
      <c r="J2" s="12" t="s">
        <v>878</v>
      </c>
    </row>
    <row r="3" customFormat="false" ht="15" hidden="false" customHeight="true" outlineLevel="0" collapsed="false">
      <c r="A3" s="12" t="s">
        <v>1759</v>
      </c>
      <c r="B3" s="13" t="s">
        <v>332</v>
      </c>
      <c r="C3" s="15" t="str">
        <f aca="false">IFERROR(INDEX(Dim_Employee!$B$2:$B$76,MATCH(B3,Dim_Employee!$A$2:$A$76,0)),"")</f>
        <v>Chiamaka Bakare</v>
      </c>
      <c r="D3" s="12" t="s">
        <v>28</v>
      </c>
      <c r="E3" s="14" t="n">
        <v>45806</v>
      </c>
      <c r="F3" s="12" t="s">
        <v>1757</v>
      </c>
      <c r="G3" s="12" t="s">
        <v>1758</v>
      </c>
      <c r="H3" s="12"/>
      <c r="I3" s="12"/>
      <c r="J3" s="12" t="s">
        <v>856</v>
      </c>
    </row>
    <row r="4" customFormat="false" ht="15" hidden="false" customHeight="true" outlineLevel="0" collapsed="false">
      <c r="A4" s="12" t="s">
        <v>1760</v>
      </c>
      <c r="B4" s="13" t="s">
        <v>195</v>
      </c>
      <c r="C4" s="15" t="str">
        <f aca="false">IFERROR(INDEX(Dim_Employee!$B$2:$B$76,MATCH(B4,Dim_Employee!$A$2:$A$76,0)),"")</f>
        <v>Peace Balogun</v>
      </c>
      <c r="D4" s="12" t="s">
        <v>16</v>
      </c>
      <c r="E4" s="14" t="n">
        <v>45825</v>
      </c>
      <c r="F4" s="12" t="s">
        <v>1761</v>
      </c>
      <c r="G4" s="12" t="s">
        <v>1762</v>
      </c>
      <c r="H4" s="12"/>
      <c r="I4" s="12" t="n">
        <v>4</v>
      </c>
      <c r="J4" s="12" t="s">
        <v>1057</v>
      </c>
    </row>
    <row r="5" customFormat="false" ht="15" hidden="false" customHeight="true" outlineLevel="0" collapsed="false">
      <c r="A5" s="12" t="s">
        <v>1763</v>
      </c>
      <c r="B5" s="13" t="s">
        <v>319</v>
      </c>
      <c r="C5" s="15" t="str">
        <f aca="false">IFERROR(INDEX(Dim_Employee!$B$2:$B$76,MATCH(B5,Dim_Employee!$A$2:$A$76,0)),"")</f>
        <v>Funmilayo Yakubu</v>
      </c>
      <c r="D5" s="12" t="s">
        <v>104</v>
      </c>
      <c r="E5" s="14" t="n">
        <v>45949</v>
      </c>
      <c r="F5" s="12" t="s">
        <v>1761</v>
      </c>
      <c r="G5" s="12" t="s">
        <v>1764</v>
      </c>
      <c r="H5" s="12"/>
      <c r="I5" s="12" t="n">
        <v>1</v>
      </c>
      <c r="J5" s="12" t="s">
        <v>1057</v>
      </c>
    </row>
    <row r="6" customFormat="false" ht="15" hidden="false" customHeight="true" outlineLevel="0" collapsed="false">
      <c r="A6" s="12" t="s">
        <v>1765</v>
      </c>
      <c r="B6" s="13" t="s">
        <v>250</v>
      </c>
      <c r="C6" s="15" t="str">
        <f aca="false">IFERROR(INDEX(Dim_Employee!$B$2:$B$76,MATCH(B6,Dim_Employee!$A$2:$A$76,0)),"")</f>
        <v>Ibrahim Abubakar</v>
      </c>
      <c r="D6" s="12" t="s">
        <v>97</v>
      </c>
      <c r="E6" s="14" t="n">
        <v>45891</v>
      </c>
      <c r="F6" s="12" t="s">
        <v>1766</v>
      </c>
      <c r="G6" s="12" t="s">
        <v>1767</v>
      </c>
      <c r="H6" s="12" t="n">
        <v>18</v>
      </c>
      <c r="I6" s="12"/>
      <c r="J6" s="12" t="s">
        <v>1057</v>
      </c>
    </row>
    <row r="7" customFormat="false" ht="15" hidden="false" customHeight="true" outlineLevel="0" collapsed="false">
      <c r="A7" s="12" t="s">
        <v>1768</v>
      </c>
      <c r="B7" s="13" t="s">
        <v>191</v>
      </c>
      <c r="C7" s="15" t="str">
        <f aca="false">IFERROR(INDEX(Dim_Employee!$B$2:$B$76,MATCH(B7,Dim_Employee!$A$2:$A$76,0)),"")</f>
        <v>Chukwudi Eze</v>
      </c>
      <c r="D7" s="12" t="s">
        <v>16</v>
      </c>
      <c r="E7" s="14" t="n">
        <v>45708</v>
      </c>
      <c r="F7" s="12" t="s">
        <v>1769</v>
      </c>
      <c r="G7" s="12" t="s">
        <v>1770</v>
      </c>
      <c r="H7" s="12" t="n">
        <v>1</v>
      </c>
      <c r="I7" s="12"/>
      <c r="J7" s="12" t="s">
        <v>878</v>
      </c>
    </row>
    <row r="8" customFormat="false" ht="15" hidden="false" customHeight="true" outlineLevel="0" collapsed="false">
      <c r="A8" s="12" t="s">
        <v>1771</v>
      </c>
      <c r="B8" s="13" t="s">
        <v>359</v>
      </c>
      <c r="C8" s="15" t="str">
        <f aca="false">IFERROR(INDEX(Dim_Employee!$B$2:$B$76,MATCH(B8,Dim_Employee!$A$2:$A$76,0)),"")</f>
        <v>Ngozi Ndukwe</v>
      </c>
      <c r="D8" s="12" t="s">
        <v>111</v>
      </c>
      <c r="E8" s="14" t="n">
        <v>45950</v>
      </c>
      <c r="F8" s="12" t="s">
        <v>1769</v>
      </c>
      <c r="G8" s="12" t="s">
        <v>1770</v>
      </c>
      <c r="H8" s="12" t="n">
        <v>10</v>
      </c>
      <c r="I8" s="12"/>
      <c r="J8" s="12" t="s">
        <v>1066</v>
      </c>
    </row>
    <row r="9" customFormat="false" ht="15" hidden="false" customHeight="true" outlineLevel="0" collapsed="false">
      <c r="A9" s="12" t="s">
        <v>1772</v>
      </c>
      <c r="B9" s="13" t="s">
        <v>369</v>
      </c>
      <c r="C9" s="15" t="str">
        <f aca="false">IFERROR(INDEX(Dim_Employee!$B$2:$B$76,MATCH(B9,Dim_Employee!$A$2:$A$76,0)),"")</f>
        <v>Chukwudi Yakubu</v>
      </c>
      <c r="D9" s="12" t="s">
        <v>111</v>
      </c>
      <c r="E9" s="14" t="n">
        <v>45953</v>
      </c>
      <c r="F9" s="12" t="s">
        <v>1773</v>
      </c>
      <c r="G9" s="12" t="s">
        <v>1774</v>
      </c>
      <c r="H9" s="12" t="n">
        <v>5</v>
      </c>
      <c r="I9" s="12"/>
      <c r="J9" s="12" t="s">
        <v>1066</v>
      </c>
    </row>
    <row r="10" customFormat="false" ht="15" hidden="false" customHeight="true" outlineLevel="0" collapsed="false">
      <c r="A10" s="12" t="s">
        <v>1775</v>
      </c>
      <c r="B10" s="13" t="s">
        <v>113</v>
      </c>
      <c r="C10" s="15" t="str">
        <f aca="false">IFERROR(INDEX(Dim_Employee!$B$2:$B$76,MATCH(B10,Dim_Employee!$A$2:$A$76,0)),"")</f>
        <v>Funmilayo Adeyemi</v>
      </c>
      <c r="D10" s="12" t="s">
        <v>111</v>
      </c>
      <c r="E10" s="14" t="n">
        <v>45726</v>
      </c>
      <c r="F10" s="12" t="s">
        <v>1773</v>
      </c>
      <c r="G10" s="12" t="s">
        <v>1776</v>
      </c>
      <c r="H10" s="12" t="n">
        <v>2</v>
      </c>
      <c r="I10" s="12"/>
      <c r="J10" s="12" t="s">
        <v>1057</v>
      </c>
    </row>
    <row r="11" customFormat="false" ht="15" hidden="false" customHeight="true" outlineLevel="0" collapsed="false">
      <c r="A11" s="12" t="s">
        <v>1777</v>
      </c>
      <c r="B11" s="13" t="s">
        <v>448</v>
      </c>
      <c r="C11" s="15" t="str">
        <f aca="false">IFERROR(INDEX(Dim_Employee!$B$2:$B$76,MATCH(B11,Dim_Employee!$A$2:$A$76,0)),"")</f>
        <v>Bola Bakare</v>
      </c>
      <c r="D11" s="12" t="s">
        <v>123</v>
      </c>
      <c r="E11" s="14" t="n">
        <v>45892</v>
      </c>
      <c r="F11" s="12" t="s">
        <v>1778</v>
      </c>
      <c r="G11" s="12" t="s">
        <v>1779</v>
      </c>
      <c r="H11" s="12"/>
      <c r="I11" s="12"/>
      <c r="J11" s="12" t="s">
        <v>878</v>
      </c>
    </row>
    <row r="12" customFormat="false" ht="15" hidden="false" customHeight="true" outlineLevel="0" collapsed="false">
      <c r="A12" s="12" t="s">
        <v>1780</v>
      </c>
      <c r="B12" s="13" t="s">
        <v>411</v>
      </c>
      <c r="C12" s="15" t="str">
        <f aca="false">IFERROR(INDEX(Dim_Employee!$B$2:$B$76,MATCH(B12,Dim_Employee!$A$2:$A$76,0)),"")</f>
        <v>Amaka Danjuma</v>
      </c>
      <c r="D12" s="12" t="s">
        <v>115</v>
      </c>
      <c r="E12" s="14" t="n">
        <v>45719</v>
      </c>
      <c r="F12" s="12" t="s">
        <v>1757</v>
      </c>
      <c r="G12" s="12" t="s">
        <v>1758</v>
      </c>
      <c r="H12" s="12"/>
      <c r="I12" s="12"/>
      <c r="J12" s="12" t="s">
        <v>878</v>
      </c>
    </row>
    <row r="13" customFormat="false" ht="15" hidden="false" customHeight="true" outlineLevel="0" collapsed="false">
      <c r="A13" s="12" t="s">
        <v>1781</v>
      </c>
      <c r="B13" s="13" t="s">
        <v>347</v>
      </c>
      <c r="C13" s="15" t="str">
        <f aca="false">IFERROR(INDEX(Dim_Employee!$B$2:$B$76,MATCH(B13,Dim_Employee!$A$2:$A$76,0)),"")</f>
        <v>Rukayat Usman</v>
      </c>
      <c r="D13" s="12" t="s">
        <v>28</v>
      </c>
      <c r="E13" s="14" t="n">
        <v>45751</v>
      </c>
      <c r="F13" s="12" t="s">
        <v>1769</v>
      </c>
      <c r="G13" s="12" t="s">
        <v>1782</v>
      </c>
      <c r="H13" s="12" t="n">
        <v>18</v>
      </c>
      <c r="I13" s="12"/>
      <c r="J13" s="12" t="s">
        <v>1066</v>
      </c>
    </row>
    <row r="14" customFormat="false" ht="15" hidden="false" customHeight="true" outlineLevel="0" collapsed="false">
      <c r="A14" s="12" t="s">
        <v>1783</v>
      </c>
      <c r="B14" s="13" t="s">
        <v>187</v>
      </c>
      <c r="C14" s="15" t="str">
        <f aca="false">IFERROR(INDEX(Dim_Employee!$B$2:$B$76,MATCH(B14,Dim_Employee!$A$2:$A$76,0)),"")</f>
        <v>Uche Ojo</v>
      </c>
      <c r="D14" s="12" t="s">
        <v>16</v>
      </c>
      <c r="E14" s="14" t="n">
        <v>45850</v>
      </c>
      <c r="F14" s="12" t="s">
        <v>1766</v>
      </c>
      <c r="G14" s="12" t="s">
        <v>1767</v>
      </c>
      <c r="H14" s="12" t="n">
        <v>15</v>
      </c>
      <c r="I14" s="12"/>
      <c r="J14" s="12" t="s">
        <v>1057</v>
      </c>
    </row>
    <row r="15" customFormat="false" ht="15" hidden="false" customHeight="true" outlineLevel="0" collapsed="false">
      <c r="A15" s="12" t="s">
        <v>1784</v>
      </c>
      <c r="B15" s="13" t="s">
        <v>286</v>
      </c>
      <c r="C15" s="15" t="str">
        <f aca="false">IFERROR(INDEX(Dim_Employee!$B$2:$B$76,MATCH(B15,Dim_Employee!$A$2:$A$76,0)),"")</f>
        <v>Peace Balogun</v>
      </c>
      <c r="D15" s="12" t="s">
        <v>24</v>
      </c>
      <c r="E15" s="14" t="n">
        <v>45803</v>
      </c>
      <c r="F15" s="12" t="s">
        <v>1773</v>
      </c>
      <c r="G15" s="12" t="s">
        <v>1776</v>
      </c>
      <c r="H15" s="12" t="n">
        <v>4</v>
      </c>
      <c r="I15" s="12"/>
      <c r="J15" s="12" t="s">
        <v>878</v>
      </c>
    </row>
    <row r="16" customFormat="false" ht="15" hidden="false" customHeight="true" outlineLevel="0" collapsed="false">
      <c r="A16" s="12" t="s">
        <v>1785</v>
      </c>
      <c r="B16" s="13" t="s">
        <v>301</v>
      </c>
      <c r="C16" s="15" t="str">
        <f aca="false">IFERROR(INDEX(Dim_Employee!$B$2:$B$76,MATCH(B16,Dim_Employee!$A$2:$A$76,0)),"")</f>
        <v>Ibrahim Nwosu</v>
      </c>
      <c r="D16" s="12" t="s">
        <v>104</v>
      </c>
      <c r="E16" s="14" t="n">
        <v>45745</v>
      </c>
      <c r="F16" s="12" t="s">
        <v>1778</v>
      </c>
      <c r="G16" s="12" t="s">
        <v>1779</v>
      </c>
      <c r="H16" s="12"/>
      <c r="I16" s="12"/>
      <c r="J16" s="12" t="s">
        <v>878</v>
      </c>
    </row>
    <row r="17" customFormat="false" ht="15" hidden="false" customHeight="true" outlineLevel="0" collapsed="false">
      <c r="A17" s="12" t="s">
        <v>1786</v>
      </c>
      <c r="B17" s="13" t="s">
        <v>306</v>
      </c>
      <c r="C17" s="15" t="str">
        <f aca="false">IFERROR(INDEX(Dim_Employee!$B$2:$B$76,MATCH(B17,Dim_Employee!$A$2:$A$76,0)),"")</f>
        <v>Segun Ogunleye</v>
      </c>
      <c r="D17" s="12" t="s">
        <v>104</v>
      </c>
      <c r="E17" s="14" t="n">
        <v>45697</v>
      </c>
      <c r="F17" s="12" t="s">
        <v>1761</v>
      </c>
      <c r="G17" s="12" t="s">
        <v>1764</v>
      </c>
      <c r="H17" s="12"/>
      <c r="I17" s="12" t="n">
        <v>1</v>
      </c>
      <c r="J17" s="12" t="s">
        <v>856</v>
      </c>
    </row>
    <row r="18" customFormat="false" ht="15" hidden="false" customHeight="true" outlineLevel="0" collapsed="false">
      <c r="A18" s="12" t="s">
        <v>1787</v>
      </c>
      <c r="B18" s="13" t="s">
        <v>374</v>
      </c>
      <c r="C18" s="15" t="str">
        <f aca="false">IFERROR(INDEX(Dim_Employee!$B$2:$B$76,MATCH(B18,Dim_Employee!$A$2:$A$76,0)),"")</f>
        <v>Titilayo Chukwu</v>
      </c>
      <c r="D18" s="12" t="s">
        <v>111</v>
      </c>
      <c r="E18" s="14" t="n">
        <v>45692</v>
      </c>
      <c r="F18" s="12" t="s">
        <v>1766</v>
      </c>
      <c r="G18" s="12" t="s">
        <v>1767</v>
      </c>
      <c r="H18" s="12" t="n">
        <v>15</v>
      </c>
      <c r="I18" s="12"/>
      <c r="J18" s="12" t="s">
        <v>878</v>
      </c>
    </row>
    <row r="19" customFormat="false" ht="15" hidden="false" customHeight="true" outlineLevel="0" collapsed="false">
      <c r="A19" s="12" t="s">
        <v>1788</v>
      </c>
      <c r="B19" s="13" t="s">
        <v>146</v>
      </c>
      <c r="C19" s="15" t="str">
        <f aca="false">IFERROR(INDEX(Dim_Employee!$B$2:$B$76,MATCH(B19,Dim_Employee!$A$2:$A$76,0)),"")</f>
        <v>Olamide Sani</v>
      </c>
      <c r="D19" s="12" t="s">
        <v>16</v>
      </c>
      <c r="E19" s="14" t="n">
        <v>45990</v>
      </c>
      <c r="F19" s="12" t="s">
        <v>1773</v>
      </c>
      <c r="G19" s="12" t="s">
        <v>1789</v>
      </c>
      <c r="H19" s="12" t="n">
        <v>4</v>
      </c>
      <c r="I19" s="12"/>
      <c r="J19" s="12" t="s">
        <v>1057</v>
      </c>
    </row>
    <row r="20" customFormat="false" ht="15" hidden="false" customHeight="true" outlineLevel="0" collapsed="false">
      <c r="A20" s="12" t="s">
        <v>1790</v>
      </c>
      <c r="B20" s="13" t="s">
        <v>183</v>
      </c>
      <c r="C20" s="15" t="str">
        <f aca="false">IFERROR(INDEX(Dim_Employee!$B$2:$B$76,MATCH(B20,Dim_Employee!$A$2:$A$76,0)),"")</f>
        <v>Titilayo Danjuma</v>
      </c>
      <c r="D20" s="12" t="s">
        <v>16</v>
      </c>
      <c r="E20" s="14" t="n">
        <v>45878</v>
      </c>
      <c r="F20" s="12" t="s">
        <v>1773</v>
      </c>
      <c r="G20" s="12" t="s">
        <v>1789</v>
      </c>
      <c r="H20" s="12" t="n">
        <v>2</v>
      </c>
      <c r="I20" s="12"/>
      <c r="J20" s="12" t="s">
        <v>878</v>
      </c>
    </row>
    <row r="21" customFormat="false" ht="15" hidden="false" customHeight="true" outlineLevel="0" collapsed="false">
      <c r="A21" s="12" t="s">
        <v>1791</v>
      </c>
      <c r="B21" s="13" t="s">
        <v>199</v>
      </c>
      <c r="C21" s="15" t="str">
        <f aca="false">IFERROR(INDEX(Dim_Employee!$B$2:$B$76,MATCH(B21,Dim_Employee!$A$2:$A$76,0)),"")</f>
        <v>Olamide Anyanwu</v>
      </c>
      <c r="D21" s="12" t="s">
        <v>16</v>
      </c>
      <c r="E21" s="14" t="n">
        <v>45898</v>
      </c>
      <c r="F21" s="12" t="s">
        <v>1773</v>
      </c>
      <c r="G21" s="12" t="s">
        <v>1774</v>
      </c>
      <c r="H21" s="12" t="n">
        <v>5</v>
      </c>
      <c r="I21" s="12"/>
      <c r="J21" s="12" t="s">
        <v>878</v>
      </c>
    </row>
    <row r="22" customFormat="false" ht="15" hidden="false" customHeight="true" outlineLevel="0" collapsed="false">
      <c r="A22" s="12" t="s">
        <v>1792</v>
      </c>
      <c r="B22" s="13" t="s">
        <v>221</v>
      </c>
      <c r="C22" s="15" t="str">
        <f aca="false">IFERROR(INDEX(Dim_Employee!$B$2:$B$76,MATCH(B22,Dim_Employee!$A$2:$A$76,0)),"")</f>
        <v>Aisha Danjuma</v>
      </c>
      <c r="D22" s="12" t="s">
        <v>19</v>
      </c>
      <c r="E22" s="14" t="n">
        <v>45975</v>
      </c>
      <c r="F22" s="12" t="s">
        <v>1766</v>
      </c>
      <c r="G22" s="12" t="s">
        <v>1793</v>
      </c>
      <c r="H22" s="12" t="n">
        <v>13</v>
      </c>
      <c r="I22" s="12"/>
      <c r="J22" s="12" t="s">
        <v>1057</v>
      </c>
    </row>
    <row r="23" customFormat="false" ht="15" hidden="false" customHeight="true" outlineLevel="0" collapsed="false">
      <c r="A23" s="12" t="s">
        <v>1794</v>
      </c>
      <c r="B23" s="13" t="s">
        <v>458</v>
      </c>
      <c r="C23" s="15" t="str">
        <f aca="false">IFERROR(INDEX(Dim_Employee!$B$2:$B$76,MATCH(B23,Dim_Employee!$A$2:$A$76,0)),"")</f>
        <v>Grace Chukwu</v>
      </c>
      <c r="D23" s="12" t="s">
        <v>123</v>
      </c>
      <c r="E23" s="14" t="n">
        <v>45959</v>
      </c>
      <c r="F23" s="12" t="s">
        <v>1757</v>
      </c>
      <c r="G23" s="12" t="s">
        <v>1758</v>
      </c>
      <c r="H23" s="12"/>
      <c r="I23" s="12"/>
      <c r="J23" s="12" t="s">
        <v>856</v>
      </c>
    </row>
    <row r="24" customFormat="false" ht="15" hidden="false" customHeight="true" outlineLevel="0" collapsed="false">
      <c r="A24" s="12" t="s">
        <v>1795</v>
      </c>
      <c r="B24" s="13" t="s">
        <v>255</v>
      </c>
      <c r="C24" s="15" t="str">
        <f aca="false">IFERROR(INDEX(Dim_Employee!$B$2:$B$76,MATCH(B24,Dim_Employee!$A$2:$A$76,0)),"")</f>
        <v>Adaeze Onyeka</v>
      </c>
      <c r="D24" s="12" t="s">
        <v>97</v>
      </c>
      <c r="E24" s="14" t="n">
        <v>45820</v>
      </c>
      <c r="F24" s="12" t="s">
        <v>1761</v>
      </c>
      <c r="G24" s="12" t="s">
        <v>1764</v>
      </c>
      <c r="H24" s="12"/>
      <c r="I24" s="12" t="n">
        <v>5</v>
      </c>
      <c r="J24" s="12" t="s">
        <v>1057</v>
      </c>
    </row>
    <row r="25" customFormat="false" ht="15" hidden="false" customHeight="true" outlineLevel="0" collapsed="false">
      <c r="A25" s="12" t="s">
        <v>1796</v>
      </c>
      <c r="B25" s="13" t="s">
        <v>106</v>
      </c>
      <c r="C25" s="15" t="str">
        <f aca="false">IFERROR(INDEX(Dim_Employee!$B$2:$B$76,MATCH(B25,Dim_Employee!$A$2:$A$76,0)),"")</f>
        <v>Damilola Balogun</v>
      </c>
      <c r="D25" s="12" t="s">
        <v>104</v>
      </c>
      <c r="E25" s="14" t="n">
        <v>45765</v>
      </c>
      <c r="F25" s="12" t="s">
        <v>1778</v>
      </c>
      <c r="G25" s="12" t="s">
        <v>1779</v>
      </c>
      <c r="H25" s="12"/>
      <c r="I25" s="12"/>
      <c r="J25" s="12" t="s">
        <v>1066</v>
      </c>
    </row>
    <row r="26" customFormat="false" ht="15" hidden="false" customHeight="true" outlineLevel="0" collapsed="false">
      <c r="A26" s="12" t="s">
        <v>1797</v>
      </c>
      <c r="B26" s="13" t="s">
        <v>301</v>
      </c>
      <c r="C26" s="15" t="str">
        <f aca="false">IFERROR(INDEX(Dim_Employee!$B$2:$B$76,MATCH(B26,Dim_Employee!$A$2:$A$76,0)),"")</f>
        <v>Ibrahim Nwosu</v>
      </c>
      <c r="D26" s="12" t="s">
        <v>104</v>
      </c>
      <c r="E26" s="14" t="n">
        <v>45896</v>
      </c>
      <c r="F26" s="12" t="s">
        <v>1757</v>
      </c>
      <c r="G26" s="12" t="s">
        <v>1758</v>
      </c>
      <c r="H26" s="12"/>
      <c r="I26" s="12"/>
      <c r="J26" s="12" t="s">
        <v>856</v>
      </c>
    </row>
    <row r="27" customFormat="false" ht="15" hidden="false" customHeight="true" outlineLevel="0" collapsed="false">
      <c r="A27" s="12" t="s">
        <v>1798</v>
      </c>
      <c r="B27" s="13" t="s">
        <v>428</v>
      </c>
      <c r="C27" s="15" t="str">
        <f aca="false">IFERROR(INDEX(Dim_Employee!$B$2:$B$76,MATCH(B27,Dim_Employee!$A$2:$A$76,0)),"")</f>
        <v>Aisha Aliyu</v>
      </c>
      <c r="D27" s="12" t="s">
        <v>119</v>
      </c>
      <c r="E27" s="14" t="n">
        <v>45814</v>
      </c>
      <c r="F27" s="12" t="s">
        <v>1761</v>
      </c>
      <c r="G27" s="12" t="s">
        <v>1762</v>
      </c>
      <c r="H27" s="12"/>
      <c r="I27" s="12" t="n">
        <v>5</v>
      </c>
      <c r="J27" s="12" t="s">
        <v>878</v>
      </c>
    </row>
    <row r="28" customFormat="false" ht="15" hidden="false" customHeight="true" outlineLevel="0" collapsed="false">
      <c r="A28" s="12" t="s">
        <v>1799</v>
      </c>
      <c r="B28" s="13" t="s">
        <v>411</v>
      </c>
      <c r="C28" s="15" t="str">
        <f aca="false">IFERROR(INDEX(Dim_Employee!$B$2:$B$76,MATCH(B28,Dim_Employee!$A$2:$A$76,0)),"")</f>
        <v>Amaka Danjuma</v>
      </c>
      <c r="D28" s="12" t="s">
        <v>115</v>
      </c>
      <c r="E28" s="14" t="n">
        <v>45737</v>
      </c>
      <c r="F28" s="12" t="s">
        <v>1766</v>
      </c>
      <c r="G28" s="12" t="s">
        <v>1800</v>
      </c>
      <c r="H28" s="12" t="n">
        <v>8</v>
      </c>
      <c r="I28" s="12"/>
      <c r="J28" s="12" t="s">
        <v>878</v>
      </c>
    </row>
    <row r="29" customFormat="false" ht="15" hidden="false" customHeight="true" outlineLevel="0" collapsed="false">
      <c r="A29" s="12" t="s">
        <v>1801</v>
      </c>
      <c r="B29" s="13" t="s">
        <v>199</v>
      </c>
      <c r="C29" s="15" t="str">
        <f aca="false">IFERROR(INDEX(Dim_Employee!$B$2:$B$76,MATCH(B29,Dim_Employee!$A$2:$A$76,0)),"")</f>
        <v>Olamide Anyanwu</v>
      </c>
      <c r="D29" s="12" t="s">
        <v>16</v>
      </c>
      <c r="E29" s="14" t="n">
        <v>45960</v>
      </c>
      <c r="F29" s="12" t="s">
        <v>1757</v>
      </c>
      <c r="G29" s="12" t="s">
        <v>1758</v>
      </c>
      <c r="H29" s="12"/>
      <c r="I29" s="12"/>
      <c r="J29" s="12" t="s">
        <v>856</v>
      </c>
    </row>
    <row r="30" customFormat="false" ht="15" hidden="false" customHeight="true" outlineLevel="0" collapsed="false">
      <c r="A30" s="12" t="s">
        <v>1802</v>
      </c>
      <c r="B30" s="13" t="s">
        <v>400</v>
      </c>
      <c r="C30" s="15" t="str">
        <f aca="false">IFERROR(INDEX(Dim_Employee!$B$2:$B$76,MATCH(B30,Dim_Employee!$A$2:$A$76,0)),"")</f>
        <v>Femi Onyeka</v>
      </c>
      <c r="D30" s="12" t="s">
        <v>115</v>
      </c>
      <c r="E30" s="14" t="n">
        <v>45852</v>
      </c>
      <c r="F30" s="12" t="s">
        <v>1778</v>
      </c>
      <c r="G30" s="12" t="s">
        <v>1779</v>
      </c>
      <c r="H30" s="12"/>
      <c r="I30" s="12"/>
      <c r="J30" s="12" t="s">
        <v>856</v>
      </c>
    </row>
    <row r="31" customFormat="false" ht="15" hidden="false" customHeight="true" outlineLevel="0" collapsed="false">
      <c r="A31" s="12" t="s">
        <v>1803</v>
      </c>
      <c r="B31" s="13" t="s">
        <v>347</v>
      </c>
      <c r="C31" s="15" t="str">
        <f aca="false">IFERROR(INDEX(Dim_Employee!$B$2:$B$76,MATCH(B31,Dim_Employee!$A$2:$A$76,0)),"")</f>
        <v>Rukayat Usman</v>
      </c>
      <c r="D31" s="12" t="s">
        <v>28</v>
      </c>
      <c r="E31" s="14" t="n">
        <v>45827</v>
      </c>
      <c r="F31" s="12" t="s">
        <v>1773</v>
      </c>
      <c r="G31" s="12" t="s">
        <v>1774</v>
      </c>
      <c r="H31" s="12" t="n">
        <v>4</v>
      </c>
      <c r="I31" s="12"/>
      <c r="J31" s="12" t="s">
        <v>878</v>
      </c>
    </row>
    <row r="32" customFormat="false" ht="15" hidden="false" customHeight="true" outlineLevel="0" collapsed="false">
      <c r="A32" s="12" t="s">
        <v>1804</v>
      </c>
      <c r="B32" s="13" t="s">
        <v>369</v>
      </c>
      <c r="C32" s="15" t="str">
        <f aca="false">IFERROR(INDEX(Dim_Employee!$B$2:$B$76,MATCH(B32,Dim_Employee!$A$2:$A$76,0)),"")</f>
        <v>Chukwudi Yakubu</v>
      </c>
      <c r="D32" s="12" t="s">
        <v>111</v>
      </c>
      <c r="E32" s="14" t="n">
        <v>45678</v>
      </c>
      <c r="F32" s="12" t="s">
        <v>1757</v>
      </c>
      <c r="G32" s="12" t="s">
        <v>1758</v>
      </c>
      <c r="H32" s="12"/>
      <c r="I32" s="12"/>
      <c r="J32" s="12" t="s">
        <v>1057</v>
      </c>
    </row>
    <row r="33" customFormat="false" ht="15" hidden="false" customHeight="true" outlineLevel="0" collapsed="false">
      <c r="A33" s="12" t="s">
        <v>1805</v>
      </c>
      <c r="B33" s="13" t="s">
        <v>315</v>
      </c>
      <c r="C33" s="15" t="str">
        <f aca="false">IFERROR(INDEX(Dim_Employee!$B$2:$B$76,MATCH(B33,Dim_Employee!$A$2:$A$76,0)),"")</f>
        <v>Chukwudi Okonkwo</v>
      </c>
      <c r="D33" s="12" t="s">
        <v>104</v>
      </c>
      <c r="E33" s="14" t="n">
        <v>45892</v>
      </c>
      <c r="F33" s="12" t="s">
        <v>1769</v>
      </c>
      <c r="G33" s="12" t="s">
        <v>1770</v>
      </c>
      <c r="H33" s="12" t="n">
        <v>12</v>
      </c>
      <c r="I33" s="12"/>
      <c r="J33" s="12" t="s">
        <v>856</v>
      </c>
    </row>
    <row r="34" customFormat="false" ht="15" hidden="false" customHeight="true" outlineLevel="0" collapsed="false">
      <c r="A34" s="12" t="s">
        <v>1806</v>
      </c>
      <c r="B34" s="13" t="s">
        <v>162</v>
      </c>
      <c r="C34" s="15" t="str">
        <f aca="false">IFERROR(INDEX(Dim_Employee!$B$2:$B$76,MATCH(B34,Dim_Employee!$A$2:$A$76,0)),"")</f>
        <v>Halima Nwosu</v>
      </c>
      <c r="D34" s="12" t="s">
        <v>16</v>
      </c>
      <c r="E34" s="14" t="n">
        <v>45798</v>
      </c>
      <c r="F34" s="12" t="s">
        <v>1761</v>
      </c>
      <c r="G34" s="12" t="s">
        <v>1764</v>
      </c>
      <c r="H34" s="12"/>
      <c r="I34" s="12" t="n">
        <v>3</v>
      </c>
      <c r="J34" s="12" t="s">
        <v>1066</v>
      </c>
    </row>
    <row r="35" customFormat="false" ht="15" hidden="false" customHeight="true" outlineLevel="0" collapsed="false">
      <c r="A35" s="12" t="s">
        <v>1807</v>
      </c>
      <c r="B35" s="13" t="s">
        <v>359</v>
      </c>
      <c r="C35" s="15" t="str">
        <f aca="false">IFERROR(INDEX(Dim_Employee!$B$2:$B$76,MATCH(B35,Dim_Employee!$A$2:$A$76,0)),"")</f>
        <v>Ngozi Ndukwe</v>
      </c>
      <c r="D35" s="12" t="s">
        <v>111</v>
      </c>
      <c r="E35" s="14" t="n">
        <v>45742</v>
      </c>
      <c r="F35" s="12" t="s">
        <v>1766</v>
      </c>
      <c r="G35" s="12" t="s">
        <v>1767</v>
      </c>
      <c r="H35" s="12" t="n">
        <v>6</v>
      </c>
      <c r="I35" s="12"/>
      <c r="J35" s="12" t="s">
        <v>1057</v>
      </c>
    </row>
    <row r="36" customFormat="false" ht="15" hidden="false" customHeight="true" outlineLevel="0" collapsed="false">
      <c r="A36" s="12" t="s">
        <v>1808</v>
      </c>
      <c r="B36" s="13" t="s">
        <v>428</v>
      </c>
      <c r="C36" s="15" t="str">
        <f aca="false">IFERROR(INDEX(Dim_Employee!$B$2:$B$76,MATCH(B36,Dim_Employee!$A$2:$A$76,0)),"")</f>
        <v>Aisha Aliyu</v>
      </c>
      <c r="D36" s="12" t="s">
        <v>119</v>
      </c>
      <c r="E36" s="14" t="n">
        <v>45958</v>
      </c>
      <c r="F36" s="12" t="s">
        <v>1766</v>
      </c>
      <c r="G36" s="12" t="s">
        <v>1767</v>
      </c>
      <c r="H36" s="12" t="n">
        <v>2</v>
      </c>
      <c r="I36" s="12"/>
      <c r="J36" s="12" t="s">
        <v>1057</v>
      </c>
    </row>
    <row r="37" customFormat="false" ht="15" hidden="false" customHeight="true" outlineLevel="0" collapsed="false">
      <c r="A37" s="12" t="s">
        <v>1809</v>
      </c>
      <c r="B37" s="13" t="s">
        <v>211</v>
      </c>
      <c r="C37" s="15" t="str">
        <f aca="false">IFERROR(INDEX(Dim_Employee!$B$2:$B$76,MATCH(B37,Dim_Employee!$A$2:$A$76,0)),"")</f>
        <v>Abdullahi Yakubu</v>
      </c>
      <c r="D37" s="12" t="s">
        <v>19</v>
      </c>
      <c r="E37" s="14" t="n">
        <v>45824</v>
      </c>
      <c r="F37" s="12" t="s">
        <v>1757</v>
      </c>
      <c r="G37" s="12" t="s">
        <v>1758</v>
      </c>
      <c r="H37" s="12"/>
      <c r="I37" s="12"/>
      <c r="J37" s="12" t="s">
        <v>1057</v>
      </c>
    </row>
    <row r="38" customFormat="false" ht="15" hidden="false" customHeight="true" outlineLevel="0" collapsed="false">
      <c r="A38" s="12" t="s">
        <v>1810</v>
      </c>
      <c r="B38" s="13" t="s">
        <v>106</v>
      </c>
      <c r="C38" s="15" t="str">
        <f aca="false">IFERROR(INDEX(Dim_Employee!$B$2:$B$76,MATCH(B38,Dim_Employee!$A$2:$A$76,0)),"")</f>
        <v>Damilola Balogun</v>
      </c>
      <c r="D38" s="12" t="s">
        <v>104</v>
      </c>
      <c r="E38" s="14" t="n">
        <v>45785</v>
      </c>
      <c r="F38" s="12" t="s">
        <v>1773</v>
      </c>
      <c r="G38" s="12" t="s">
        <v>1789</v>
      </c>
      <c r="H38" s="12" t="n">
        <v>2</v>
      </c>
      <c r="I38" s="12"/>
      <c r="J38" s="12" t="s">
        <v>1057</v>
      </c>
    </row>
    <row r="39" customFormat="false" ht="15" hidden="false" customHeight="true" outlineLevel="0" collapsed="false">
      <c r="A39" s="12" t="s">
        <v>1811</v>
      </c>
      <c r="B39" s="13" t="s">
        <v>387</v>
      </c>
      <c r="C39" s="15" t="str">
        <f aca="false">IFERROR(INDEX(Dim_Employee!$B$2:$B$76,MATCH(B39,Dim_Employee!$A$2:$A$76,0)),"")</f>
        <v>Abdullahi Ojo</v>
      </c>
      <c r="D39" s="12" t="s">
        <v>111</v>
      </c>
      <c r="E39" s="14" t="n">
        <v>46013</v>
      </c>
      <c r="F39" s="12" t="s">
        <v>1773</v>
      </c>
      <c r="G39" s="12" t="s">
        <v>1776</v>
      </c>
      <c r="H39" s="12" t="n">
        <v>1</v>
      </c>
      <c r="I39" s="12"/>
      <c r="J39" s="12" t="s">
        <v>856</v>
      </c>
    </row>
    <row r="40" customFormat="false" ht="15" hidden="false" customHeight="true" outlineLevel="0" collapsed="false">
      <c r="A40" s="12" t="s">
        <v>1812</v>
      </c>
      <c r="B40" s="13" t="s">
        <v>448</v>
      </c>
      <c r="C40" s="15" t="str">
        <f aca="false">IFERROR(INDEX(Dim_Employee!$B$2:$B$76,MATCH(B40,Dim_Employee!$A$2:$A$76,0)),"")</f>
        <v>Bola Bakare</v>
      </c>
      <c r="D40" s="12" t="s">
        <v>123</v>
      </c>
      <c r="E40" s="14" t="n">
        <v>45773</v>
      </c>
      <c r="F40" s="12" t="s">
        <v>1769</v>
      </c>
      <c r="G40" s="12" t="s">
        <v>1813</v>
      </c>
      <c r="H40" s="12" t="n">
        <v>19</v>
      </c>
      <c r="I40" s="12"/>
      <c r="J40" s="12" t="s">
        <v>1057</v>
      </c>
    </row>
    <row r="41" customFormat="false" ht="15" hidden="false" customHeight="true" outlineLevel="0" collapsed="false">
      <c r="A41" s="12" t="s">
        <v>1814</v>
      </c>
      <c r="B41" s="13" t="s">
        <v>271</v>
      </c>
      <c r="C41" s="15" t="str">
        <f aca="false">IFERROR(INDEX(Dim_Employee!$B$2:$B$76,MATCH(B41,Dim_Employee!$A$2:$A$76,0)),"")</f>
        <v>Emmanuel Aliyu</v>
      </c>
      <c r="D41" s="12" t="s">
        <v>24</v>
      </c>
      <c r="E41" s="14" t="n">
        <v>45835</v>
      </c>
      <c r="F41" s="12" t="s">
        <v>1761</v>
      </c>
      <c r="G41" s="12" t="s">
        <v>1762</v>
      </c>
      <c r="H41" s="12"/>
      <c r="I41" s="12" t="n">
        <v>2</v>
      </c>
      <c r="J41" s="12" t="s">
        <v>1066</v>
      </c>
    </row>
    <row r="42" customFormat="false" ht="15" hidden="false" customHeight="true" outlineLevel="0" collapsed="false">
      <c r="A42" s="12" t="s">
        <v>1815</v>
      </c>
      <c r="B42" s="13" t="s">
        <v>453</v>
      </c>
      <c r="C42" s="15" t="str">
        <f aca="false">IFERROR(INDEX(Dim_Employee!$B$2:$B$76,MATCH(B42,Dim_Employee!$A$2:$A$76,0)),"")</f>
        <v>Tobi Adebayo</v>
      </c>
      <c r="D42" s="12" t="s">
        <v>123</v>
      </c>
      <c r="E42" s="14" t="n">
        <v>45688</v>
      </c>
      <c r="F42" s="12" t="s">
        <v>1769</v>
      </c>
      <c r="G42" s="12" t="s">
        <v>1770</v>
      </c>
      <c r="H42" s="12" t="n">
        <v>10</v>
      </c>
      <c r="I42" s="12"/>
      <c r="J42" s="12" t="s">
        <v>878</v>
      </c>
    </row>
    <row r="43" customFormat="false" ht="15" hidden="false" customHeight="true" outlineLevel="0" collapsed="false">
      <c r="A43" s="12" t="s">
        <v>1816</v>
      </c>
      <c r="B43" s="13" t="s">
        <v>203</v>
      </c>
      <c r="C43" s="15" t="str">
        <f aca="false">IFERROR(INDEX(Dim_Employee!$B$2:$B$76,MATCH(B43,Dim_Employee!$A$2:$A$76,0)),"")</f>
        <v>Tunde Okonkwo</v>
      </c>
      <c r="D43" s="12" t="s">
        <v>16</v>
      </c>
      <c r="E43" s="14" t="n">
        <v>45690</v>
      </c>
      <c r="F43" s="12" t="s">
        <v>1773</v>
      </c>
      <c r="G43" s="12" t="s">
        <v>1776</v>
      </c>
      <c r="H43" s="12" t="n">
        <v>5</v>
      </c>
      <c r="I43" s="12"/>
      <c r="J43" s="12" t="s">
        <v>1066</v>
      </c>
    </row>
    <row r="44" customFormat="false" ht="15" hidden="false" customHeight="true" outlineLevel="0" collapsed="false">
      <c r="A44" s="12" t="s">
        <v>1817</v>
      </c>
      <c r="B44" s="13" t="s">
        <v>113</v>
      </c>
      <c r="C44" s="15" t="str">
        <f aca="false">IFERROR(INDEX(Dim_Employee!$B$2:$B$76,MATCH(B44,Dim_Employee!$A$2:$A$76,0)),"")</f>
        <v>Funmilayo Adeyemi</v>
      </c>
      <c r="D44" s="12" t="s">
        <v>111</v>
      </c>
      <c r="E44" s="14" t="n">
        <v>45801</v>
      </c>
      <c r="F44" s="12" t="s">
        <v>1757</v>
      </c>
      <c r="G44" s="12" t="s">
        <v>1758</v>
      </c>
      <c r="H44" s="12"/>
      <c r="I44" s="12"/>
      <c r="J44" s="12" t="s">
        <v>856</v>
      </c>
    </row>
    <row r="45" customFormat="false" ht="15" hidden="false" customHeight="true" outlineLevel="0" collapsed="false">
      <c r="A45" s="12" t="s">
        <v>1818</v>
      </c>
      <c r="B45" s="13" t="s">
        <v>117</v>
      </c>
      <c r="C45" s="15" t="str">
        <f aca="false">IFERROR(INDEX(Dim_Employee!$B$2:$B$76,MATCH(B45,Dim_Employee!$A$2:$A$76,0)),"")</f>
        <v>Chioma Okafor</v>
      </c>
      <c r="D45" s="12" t="s">
        <v>115</v>
      </c>
      <c r="E45" s="14" t="n">
        <v>45875</v>
      </c>
      <c r="F45" s="12" t="s">
        <v>1766</v>
      </c>
      <c r="G45" s="12" t="s">
        <v>1800</v>
      </c>
      <c r="H45" s="12" t="n">
        <v>17</v>
      </c>
      <c r="I45" s="12"/>
      <c r="J45" s="12" t="s">
        <v>1066</v>
      </c>
    </row>
    <row r="46" customFormat="false" ht="15" hidden="false" customHeight="true" outlineLevel="0" collapsed="false">
      <c r="A46" s="12" t="s">
        <v>1819</v>
      </c>
      <c r="B46" s="13" t="s">
        <v>311</v>
      </c>
      <c r="C46" s="15" t="str">
        <f aca="false">IFERROR(INDEX(Dim_Employee!$B$2:$B$76,MATCH(B46,Dim_Employee!$A$2:$A$76,0)),"")</f>
        <v>Emeka Bello</v>
      </c>
      <c r="D46" s="12" t="s">
        <v>104</v>
      </c>
      <c r="E46" s="14" t="n">
        <v>45782</v>
      </c>
      <c r="F46" s="12" t="s">
        <v>1757</v>
      </c>
      <c r="G46" s="12" t="s">
        <v>1758</v>
      </c>
      <c r="H46" s="12"/>
      <c r="I46" s="12"/>
      <c r="J46" s="12" t="s">
        <v>878</v>
      </c>
    </row>
    <row r="47" customFormat="false" ht="15" hidden="false" customHeight="true" outlineLevel="0" collapsed="false">
      <c r="A47" s="12" t="s">
        <v>1820</v>
      </c>
      <c r="B47" s="13" t="s">
        <v>374</v>
      </c>
      <c r="C47" s="15" t="str">
        <f aca="false">IFERROR(INDEX(Dim_Employee!$B$2:$B$76,MATCH(B47,Dim_Employee!$A$2:$A$76,0)),"")</f>
        <v>Titilayo Chukwu</v>
      </c>
      <c r="D47" s="12" t="s">
        <v>111</v>
      </c>
      <c r="E47" s="14" t="n">
        <v>45727</v>
      </c>
      <c r="F47" s="12" t="s">
        <v>1778</v>
      </c>
      <c r="G47" s="12" t="s">
        <v>1779</v>
      </c>
      <c r="H47" s="12"/>
      <c r="I47" s="12"/>
      <c r="J47" s="12" t="s">
        <v>1066</v>
      </c>
    </row>
    <row r="48" customFormat="false" ht="15" hidden="false" customHeight="true" outlineLevel="0" collapsed="false">
      <c r="A48" s="12" t="s">
        <v>1821</v>
      </c>
      <c r="B48" s="13" t="s">
        <v>395</v>
      </c>
      <c r="C48" s="15" t="str">
        <f aca="false">IFERROR(INDEX(Dim_Employee!$B$2:$B$76,MATCH(B48,Dim_Employee!$A$2:$A$76,0)),"")</f>
        <v>Zainab Nwosu</v>
      </c>
      <c r="D48" s="12" t="s">
        <v>115</v>
      </c>
      <c r="E48" s="14" t="n">
        <v>45902</v>
      </c>
      <c r="F48" s="12" t="s">
        <v>1773</v>
      </c>
      <c r="G48" s="12" t="s">
        <v>1774</v>
      </c>
      <c r="H48" s="12" t="n">
        <v>5</v>
      </c>
      <c r="I48" s="12"/>
      <c r="J48" s="12" t="s">
        <v>856</v>
      </c>
    </row>
    <row r="49" customFormat="false" ht="15" hidden="false" customHeight="true" outlineLevel="0" collapsed="false">
      <c r="A49" s="12" t="s">
        <v>1822</v>
      </c>
      <c r="B49" s="13" t="s">
        <v>364</v>
      </c>
      <c r="C49" s="15" t="str">
        <f aca="false">IFERROR(INDEX(Dim_Employee!$B$2:$B$76,MATCH(B49,Dim_Employee!$A$2:$A$76,0)),"")</f>
        <v>Amaka Aliyu</v>
      </c>
      <c r="D49" s="12" t="s">
        <v>111</v>
      </c>
      <c r="E49" s="14" t="n">
        <v>45690</v>
      </c>
      <c r="F49" s="12" t="s">
        <v>1769</v>
      </c>
      <c r="G49" s="12" t="s">
        <v>1770</v>
      </c>
      <c r="H49" s="12" t="n">
        <v>19</v>
      </c>
      <c r="I49" s="12"/>
      <c r="J49" s="12" t="s">
        <v>1057</v>
      </c>
    </row>
    <row r="50" customFormat="false" ht="15" hidden="false" customHeight="true" outlineLevel="0" collapsed="false">
      <c r="A50" s="12" t="s">
        <v>1823</v>
      </c>
      <c r="B50" s="13" t="s">
        <v>271</v>
      </c>
      <c r="C50" s="15" t="str">
        <f aca="false">IFERROR(INDEX(Dim_Employee!$B$2:$B$76,MATCH(B50,Dim_Employee!$A$2:$A$76,0)),"")</f>
        <v>Emmanuel Aliyu</v>
      </c>
      <c r="D50" s="12" t="s">
        <v>24</v>
      </c>
      <c r="E50" s="14" t="n">
        <v>45785</v>
      </c>
      <c r="F50" s="12" t="s">
        <v>1766</v>
      </c>
      <c r="G50" s="12" t="s">
        <v>1767</v>
      </c>
      <c r="H50" s="12" t="n">
        <v>9</v>
      </c>
      <c r="I50" s="12"/>
      <c r="J50" s="12" t="s">
        <v>1066</v>
      </c>
    </row>
    <row r="51" customFormat="false" ht="15" hidden="false" customHeight="true" outlineLevel="0" collapsed="false">
      <c r="A51" s="12" t="s">
        <v>1824</v>
      </c>
      <c r="B51" s="13" t="s">
        <v>433</v>
      </c>
      <c r="C51" s="15" t="str">
        <f aca="false">IFERROR(INDEX(Dim_Employee!$B$2:$B$76,MATCH(B51,Dim_Employee!$A$2:$A$76,0)),"")</f>
        <v>Tobi Okonkwo</v>
      </c>
      <c r="D51" s="12" t="s">
        <v>119</v>
      </c>
      <c r="E51" s="14" t="n">
        <v>45895</v>
      </c>
      <c r="F51" s="12" t="s">
        <v>1769</v>
      </c>
      <c r="G51" s="12" t="s">
        <v>1813</v>
      </c>
      <c r="H51" s="12" t="n">
        <v>9</v>
      </c>
      <c r="I51" s="12"/>
      <c r="J51" s="12" t="s">
        <v>1057</v>
      </c>
    </row>
    <row r="52" customFormat="false" ht="15" hidden="false" customHeight="true" outlineLevel="0" collapsed="false">
      <c r="A52" s="12" t="s">
        <v>1825</v>
      </c>
      <c r="B52" s="13" t="s">
        <v>211</v>
      </c>
      <c r="C52" s="15" t="str">
        <f aca="false">IFERROR(INDEX(Dim_Employee!$B$2:$B$76,MATCH(B52,Dim_Employee!$A$2:$A$76,0)),"")</f>
        <v>Abdullahi Yakubu</v>
      </c>
      <c r="D52" s="12" t="s">
        <v>19</v>
      </c>
      <c r="E52" s="14" t="n">
        <v>45876</v>
      </c>
      <c r="F52" s="12" t="s">
        <v>1766</v>
      </c>
      <c r="G52" s="12" t="s">
        <v>1800</v>
      </c>
      <c r="H52" s="12" t="n">
        <v>6</v>
      </c>
      <c r="I52" s="12"/>
      <c r="J52" s="12" t="s">
        <v>856</v>
      </c>
    </row>
    <row r="53" customFormat="false" ht="15" hidden="false" customHeight="true" outlineLevel="0" collapsed="false">
      <c r="A53" s="12" t="s">
        <v>1826</v>
      </c>
      <c r="B53" s="13" t="s">
        <v>416</v>
      </c>
      <c r="C53" s="15" t="str">
        <f aca="false">IFERROR(INDEX(Dim_Employee!$B$2:$B$76,MATCH(B53,Dim_Employee!$A$2:$A$76,0)),"")</f>
        <v>Halima Ibe</v>
      </c>
      <c r="D53" s="12" t="s">
        <v>115</v>
      </c>
      <c r="E53" s="14" t="n">
        <v>45828</v>
      </c>
      <c r="F53" s="12" t="s">
        <v>1757</v>
      </c>
      <c r="G53" s="12" t="s">
        <v>1758</v>
      </c>
      <c r="H53" s="12"/>
      <c r="I53" s="12"/>
      <c r="J53" s="12" t="s">
        <v>856</v>
      </c>
    </row>
    <row r="54" customFormat="false" ht="15" hidden="false" customHeight="true" outlineLevel="0" collapsed="false">
      <c r="A54" s="12" t="s">
        <v>1827</v>
      </c>
      <c r="B54" s="13" t="s">
        <v>240</v>
      </c>
      <c r="C54" s="15" t="str">
        <f aca="false">IFERROR(INDEX(Dim_Employee!$B$2:$B$76,MATCH(B54,Dim_Employee!$A$2:$A$76,0)),"")</f>
        <v>Titilayo Okafor</v>
      </c>
      <c r="D54" s="12" t="s">
        <v>97</v>
      </c>
      <c r="E54" s="14" t="n">
        <v>45813</v>
      </c>
      <c r="F54" s="12" t="s">
        <v>1766</v>
      </c>
      <c r="G54" s="12" t="s">
        <v>1800</v>
      </c>
      <c r="H54" s="12" t="n">
        <v>18</v>
      </c>
      <c r="I54" s="12"/>
      <c r="J54" s="12" t="s">
        <v>1057</v>
      </c>
    </row>
    <row r="55" customFormat="false" ht="15" hidden="false" customHeight="true" outlineLevel="0" collapsed="false">
      <c r="A55" s="12" t="s">
        <v>1828</v>
      </c>
      <c r="B55" s="13" t="s">
        <v>179</v>
      </c>
      <c r="C55" s="15" t="str">
        <f aca="false">IFERROR(INDEX(Dim_Employee!$B$2:$B$76,MATCH(B55,Dim_Employee!$A$2:$A$76,0)),"")</f>
        <v>Amaka Bakare</v>
      </c>
      <c r="D55" s="12" t="s">
        <v>16</v>
      </c>
      <c r="E55" s="14" t="n">
        <v>45931</v>
      </c>
      <c r="F55" s="12" t="s">
        <v>1766</v>
      </c>
      <c r="G55" s="12" t="s">
        <v>1767</v>
      </c>
      <c r="H55" s="12" t="n">
        <v>3</v>
      </c>
      <c r="I55" s="12"/>
      <c r="J55" s="12" t="s">
        <v>1057</v>
      </c>
    </row>
    <row r="56" customFormat="false" ht="15" hidden="false" customHeight="true" outlineLevel="0" collapsed="false">
      <c r="A56" s="12" t="s">
        <v>1829</v>
      </c>
      <c r="B56" s="13" t="s">
        <v>157</v>
      </c>
      <c r="C56" s="15" t="str">
        <f aca="false">IFERROR(INDEX(Dim_Employee!$B$2:$B$76,MATCH(B56,Dim_Employee!$A$2:$A$76,0)),"")</f>
        <v>Kelechi Ojo</v>
      </c>
      <c r="D56" s="12" t="s">
        <v>16</v>
      </c>
      <c r="E56" s="14" t="n">
        <v>46010</v>
      </c>
      <c r="F56" s="12" t="s">
        <v>1766</v>
      </c>
      <c r="G56" s="12" t="s">
        <v>1767</v>
      </c>
      <c r="H56" s="12" t="n">
        <v>13</v>
      </c>
      <c r="I56" s="12"/>
      <c r="J56" s="12" t="s">
        <v>856</v>
      </c>
    </row>
    <row r="57" customFormat="false" ht="15" hidden="false" customHeight="true" outlineLevel="0" collapsed="false">
      <c r="A57" s="12" t="s">
        <v>1830</v>
      </c>
      <c r="B57" s="13" t="s">
        <v>347</v>
      </c>
      <c r="C57" s="15" t="str">
        <f aca="false">IFERROR(INDEX(Dim_Employee!$B$2:$B$76,MATCH(B57,Dim_Employee!$A$2:$A$76,0)),"")</f>
        <v>Rukayat Usman</v>
      </c>
      <c r="D57" s="12" t="s">
        <v>28</v>
      </c>
      <c r="E57" s="14" t="n">
        <v>45734</v>
      </c>
      <c r="F57" s="12" t="s">
        <v>1761</v>
      </c>
      <c r="G57" s="12" t="s">
        <v>1764</v>
      </c>
      <c r="H57" s="12"/>
      <c r="I57" s="12" t="n">
        <v>3</v>
      </c>
      <c r="J57" s="12" t="s">
        <v>1057</v>
      </c>
    </row>
    <row r="58" customFormat="false" ht="15" hidden="false" customHeight="true" outlineLevel="0" collapsed="false">
      <c r="A58" s="12" t="s">
        <v>1831</v>
      </c>
      <c r="B58" s="13" t="s">
        <v>162</v>
      </c>
      <c r="C58" s="15" t="str">
        <f aca="false">IFERROR(INDEX(Dim_Employee!$B$2:$B$76,MATCH(B58,Dim_Employee!$A$2:$A$76,0)),"")</f>
        <v>Halima Nwosu</v>
      </c>
      <c r="D58" s="12" t="s">
        <v>16</v>
      </c>
      <c r="E58" s="14" t="n">
        <v>45717</v>
      </c>
      <c r="F58" s="12" t="s">
        <v>1761</v>
      </c>
      <c r="G58" s="12" t="s">
        <v>1762</v>
      </c>
      <c r="H58" s="12"/>
      <c r="I58" s="12" t="n">
        <v>2</v>
      </c>
      <c r="J58" s="12" t="s">
        <v>878</v>
      </c>
    </row>
    <row r="59" customFormat="false" ht="15" hidden="false" customHeight="true" outlineLevel="0" collapsed="false">
      <c r="A59" s="12" t="s">
        <v>1832</v>
      </c>
      <c r="B59" s="13" t="s">
        <v>337</v>
      </c>
      <c r="C59" s="15" t="str">
        <f aca="false">IFERROR(INDEX(Dim_Employee!$B$2:$B$76,MATCH(B59,Dim_Employee!$A$2:$A$76,0)),"")</f>
        <v>Musa Yakubu</v>
      </c>
      <c r="D59" s="12" t="s">
        <v>28</v>
      </c>
      <c r="E59" s="14" t="n">
        <v>45712</v>
      </c>
      <c r="F59" s="12" t="s">
        <v>1761</v>
      </c>
      <c r="G59" s="12" t="s">
        <v>1764</v>
      </c>
      <c r="H59" s="12"/>
      <c r="I59" s="12" t="n">
        <v>4</v>
      </c>
      <c r="J59" s="12" t="s">
        <v>1057</v>
      </c>
    </row>
    <row r="60" customFormat="false" ht="15" hidden="false" customHeight="true" outlineLevel="0" collapsed="false">
      <c r="A60" s="12" t="s">
        <v>1833</v>
      </c>
      <c r="B60" s="13" t="s">
        <v>99</v>
      </c>
      <c r="C60" s="15" t="str">
        <f aca="false">IFERROR(INDEX(Dim_Employee!$B$2:$B$76,MATCH(B60,Dim_Employee!$A$2:$A$76,0)),"")</f>
        <v>Zainab Igwe</v>
      </c>
      <c r="D60" s="12" t="s">
        <v>97</v>
      </c>
      <c r="E60" s="14" t="n">
        <v>45855</v>
      </c>
      <c r="F60" s="12" t="s">
        <v>1761</v>
      </c>
      <c r="G60" s="12" t="s">
        <v>1762</v>
      </c>
      <c r="H60" s="12"/>
      <c r="I60" s="12" t="n">
        <v>5</v>
      </c>
      <c r="J60" s="12" t="s">
        <v>1057</v>
      </c>
    </row>
    <row r="61" customFormat="false" ht="15" hidden="false" customHeight="true" outlineLevel="0" collapsed="false">
      <c r="A61" s="12" t="s">
        <v>1834</v>
      </c>
      <c r="B61" s="13" t="s">
        <v>255</v>
      </c>
      <c r="C61" s="15" t="str">
        <f aca="false">IFERROR(INDEX(Dim_Employee!$B$2:$B$76,MATCH(B61,Dim_Employee!$A$2:$A$76,0)),"")</f>
        <v>Adaeze Onyeka</v>
      </c>
      <c r="D61" s="12" t="s">
        <v>97</v>
      </c>
      <c r="E61" s="14" t="n">
        <v>45909</v>
      </c>
      <c r="F61" s="12" t="s">
        <v>1757</v>
      </c>
      <c r="G61" s="12" t="s">
        <v>1758</v>
      </c>
      <c r="H61" s="12"/>
      <c r="I61" s="12"/>
      <c r="J61" s="12" t="s">
        <v>1057</v>
      </c>
    </row>
    <row r="62" customFormat="false" ht="15" hidden="false" customHeight="true" outlineLevel="0" collapsed="false">
      <c r="A62" s="12" t="s">
        <v>1835</v>
      </c>
      <c r="B62" s="13" t="s">
        <v>416</v>
      </c>
      <c r="C62" s="15" t="str">
        <f aca="false">IFERROR(INDEX(Dim_Employee!$B$2:$B$76,MATCH(B62,Dim_Employee!$A$2:$A$76,0)),"")</f>
        <v>Halima Ibe</v>
      </c>
      <c r="D62" s="12" t="s">
        <v>115</v>
      </c>
      <c r="E62" s="14" t="n">
        <v>45748</v>
      </c>
      <c r="F62" s="12" t="s">
        <v>1773</v>
      </c>
      <c r="G62" s="12" t="s">
        <v>1836</v>
      </c>
      <c r="H62" s="12" t="n">
        <v>5</v>
      </c>
      <c r="I62" s="12"/>
      <c r="J62" s="12" t="s">
        <v>1066</v>
      </c>
    </row>
    <row r="63" customFormat="false" ht="15" hidden="false" customHeight="true" outlineLevel="0" collapsed="false">
      <c r="A63" s="12" t="s">
        <v>1837</v>
      </c>
      <c r="B63" s="13" t="s">
        <v>113</v>
      </c>
      <c r="C63" s="15" t="str">
        <f aca="false">IFERROR(INDEX(Dim_Employee!$B$2:$B$76,MATCH(B63,Dim_Employee!$A$2:$A$76,0)),"")</f>
        <v>Funmilayo Adeyemi</v>
      </c>
      <c r="D63" s="12" t="s">
        <v>111</v>
      </c>
      <c r="E63" s="14" t="n">
        <v>45693</v>
      </c>
      <c r="F63" s="12" t="s">
        <v>1773</v>
      </c>
      <c r="G63" s="12" t="s">
        <v>1836</v>
      </c>
      <c r="H63" s="12" t="n">
        <v>5</v>
      </c>
      <c r="I63" s="12"/>
      <c r="J63" s="12" t="s">
        <v>856</v>
      </c>
    </row>
    <row r="64" customFormat="false" ht="15" hidden="false" customHeight="true" outlineLevel="0" collapsed="false">
      <c r="A64" s="12" t="s">
        <v>1838</v>
      </c>
      <c r="B64" s="13" t="s">
        <v>195</v>
      </c>
      <c r="C64" s="15" t="str">
        <f aca="false">IFERROR(INDEX(Dim_Employee!$B$2:$B$76,MATCH(B64,Dim_Employee!$A$2:$A$76,0)),"")</f>
        <v>Peace Balogun</v>
      </c>
      <c r="D64" s="12" t="s">
        <v>16</v>
      </c>
      <c r="E64" s="14" t="n">
        <v>45929</v>
      </c>
      <c r="F64" s="12" t="s">
        <v>1773</v>
      </c>
      <c r="G64" s="12" t="s">
        <v>1776</v>
      </c>
      <c r="H64" s="12" t="n">
        <v>4</v>
      </c>
      <c r="I64" s="12"/>
      <c r="J64" s="12" t="s">
        <v>1066</v>
      </c>
    </row>
    <row r="65" customFormat="false" ht="15" hidden="false" customHeight="true" outlineLevel="0" collapsed="false">
      <c r="A65" s="12" t="s">
        <v>1839</v>
      </c>
      <c r="B65" s="13" t="s">
        <v>442</v>
      </c>
      <c r="C65" s="15" t="str">
        <f aca="false">IFERROR(INDEX(Dim_Employee!$B$2:$B$76,MATCH(B65,Dim_Employee!$A$2:$A$76,0)),"")</f>
        <v>Segun Okafor</v>
      </c>
      <c r="D65" s="12" t="s">
        <v>119</v>
      </c>
      <c r="E65" s="14" t="n">
        <v>45927</v>
      </c>
      <c r="F65" s="12" t="s">
        <v>1766</v>
      </c>
      <c r="G65" s="12" t="s">
        <v>1767</v>
      </c>
      <c r="H65" s="12" t="n">
        <v>20</v>
      </c>
      <c r="I65" s="12"/>
      <c r="J65" s="12" t="s">
        <v>856</v>
      </c>
    </row>
    <row r="66" customFormat="false" ht="15" hidden="false" customHeight="true" outlineLevel="0" collapsed="false">
      <c r="A66" s="12" t="s">
        <v>1840</v>
      </c>
      <c r="B66" s="13" t="s">
        <v>245</v>
      </c>
      <c r="C66" s="15" t="str">
        <f aca="false">IFERROR(INDEX(Dim_Employee!$B$2:$B$76,MATCH(B66,Dim_Employee!$A$2:$A$76,0)),"")</f>
        <v>Emeka Bakare</v>
      </c>
      <c r="D66" s="12" t="s">
        <v>97</v>
      </c>
      <c r="E66" s="14" t="n">
        <v>45735</v>
      </c>
      <c r="F66" s="12" t="s">
        <v>1761</v>
      </c>
      <c r="G66" s="12" t="s">
        <v>1764</v>
      </c>
      <c r="H66" s="12"/>
      <c r="I66" s="12" t="n">
        <v>5</v>
      </c>
      <c r="J66" s="12" t="s">
        <v>1057</v>
      </c>
    </row>
    <row r="67" customFormat="false" ht="15" hidden="false" customHeight="true" outlineLevel="0" collapsed="false">
      <c r="A67" s="12" t="s">
        <v>1841</v>
      </c>
      <c r="B67" s="13" t="s">
        <v>162</v>
      </c>
      <c r="C67" s="15" t="str">
        <f aca="false">IFERROR(INDEX(Dim_Employee!$B$2:$B$76,MATCH(B67,Dim_Employee!$A$2:$A$76,0)),"")</f>
        <v>Halima Nwosu</v>
      </c>
      <c r="D67" s="12" t="s">
        <v>16</v>
      </c>
      <c r="E67" s="14" t="n">
        <v>45792</v>
      </c>
      <c r="F67" s="12" t="s">
        <v>1778</v>
      </c>
      <c r="G67" s="12" t="s">
        <v>1779</v>
      </c>
      <c r="H67" s="12"/>
      <c r="I67" s="12"/>
      <c r="J67" s="12" t="s">
        <v>878</v>
      </c>
    </row>
    <row r="68" customFormat="false" ht="15" hidden="false" customHeight="true" outlineLevel="0" collapsed="false">
      <c r="A68" s="12" t="s">
        <v>1842</v>
      </c>
      <c r="B68" s="13" t="s">
        <v>400</v>
      </c>
      <c r="C68" s="15" t="str">
        <f aca="false">IFERROR(INDEX(Dim_Employee!$B$2:$B$76,MATCH(B68,Dim_Employee!$A$2:$A$76,0)),"")</f>
        <v>Femi Onyeka</v>
      </c>
      <c r="D68" s="12" t="s">
        <v>115</v>
      </c>
      <c r="E68" s="14" t="n">
        <v>45691</v>
      </c>
      <c r="F68" s="12" t="s">
        <v>1773</v>
      </c>
      <c r="G68" s="12" t="s">
        <v>1776</v>
      </c>
      <c r="H68" s="12" t="n">
        <v>5</v>
      </c>
      <c r="I68" s="12"/>
      <c r="J68" s="12" t="s">
        <v>1057</v>
      </c>
    </row>
    <row r="69" customFormat="false" ht="15" hidden="false" customHeight="true" outlineLevel="0" collapsed="false">
      <c r="A69" s="12" t="s">
        <v>1843</v>
      </c>
      <c r="B69" s="13" t="s">
        <v>458</v>
      </c>
      <c r="C69" s="15" t="str">
        <f aca="false">IFERROR(INDEX(Dim_Employee!$B$2:$B$76,MATCH(B69,Dim_Employee!$A$2:$A$76,0)),"")</f>
        <v>Grace Chukwu</v>
      </c>
      <c r="D69" s="12" t="s">
        <v>123</v>
      </c>
      <c r="E69" s="14" t="n">
        <v>45991</v>
      </c>
      <c r="F69" s="12" t="s">
        <v>1757</v>
      </c>
      <c r="G69" s="12" t="s">
        <v>1758</v>
      </c>
      <c r="H69" s="12"/>
      <c r="I69" s="12"/>
      <c r="J69" s="12" t="s">
        <v>856</v>
      </c>
    </row>
    <row r="70" customFormat="false" ht="15" hidden="false" customHeight="true" outlineLevel="0" collapsed="false">
      <c r="A70" s="12" t="s">
        <v>1844</v>
      </c>
      <c r="B70" s="13" t="s">
        <v>433</v>
      </c>
      <c r="C70" s="15" t="str">
        <f aca="false">IFERROR(INDEX(Dim_Employee!$B$2:$B$76,MATCH(B70,Dim_Employee!$A$2:$A$76,0)),"")</f>
        <v>Tobi Okonkwo</v>
      </c>
      <c r="D70" s="12" t="s">
        <v>119</v>
      </c>
      <c r="E70" s="14" t="n">
        <v>45946</v>
      </c>
      <c r="F70" s="12" t="s">
        <v>1778</v>
      </c>
      <c r="G70" s="12" t="s">
        <v>1779</v>
      </c>
      <c r="H70" s="12"/>
      <c r="I70" s="12"/>
      <c r="J70" s="12" t="s">
        <v>878</v>
      </c>
    </row>
    <row r="71" customFormat="false" ht="15" hidden="false" customHeight="true" outlineLevel="0" collapsed="false">
      <c r="A71" s="12" t="s">
        <v>1845</v>
      </c>
      <c r="B71" s="13" t="s">
        <v>113</v>
      </c>
      <c r="C71" s="15" t="str">
        <f aca="false">IFERROR(INDEX(Dim_Employee!$B$2:$B$76,MATCH(B71,Dim_Employee!$A$2:$A$76,0)),"")</f>
        <v>Funmilayo Adeyemi</v>
      </c>
      <c r="D71" s="12" t="s">
        <v>111</v>
      </c>
      <c r="E71" s="14" t="n">
        <v>45819</v>
      </c>
      <c r="F71" s="12" t="s">
        <v>1757</v>
      </c>
      <c r="G71" s="12" t="s">
        <v>1758</v>
      </c>
      <c r="H71" s="12"/>
      <c r="I71" s="12"/>
      <c r="J71" s="12" t="s">
        <v>878</v>
      </c>
    </row>
    <row r="72" customFormat="false" ht="15" hidden="false" customHeight="true" outlineLevel="0" collapsed="false">
      <c r="A72" s="12" t="s">
        <v>1846</v>
      </c>
      <c r="B72" s="13" t="s">
        <v>95</v>
      </c>
      <c r="C72" s="15" t="str">
        <f aca="false">IFERROR(INDEX(Dim_Employee!$B$2:$B$76,MATCH(B72,Dim_Employee!$A$2:$A$76,0)),"")</f>
        <v>Titilayo Abubakar</v>
      </c>
      <c r="D72" s="12" t="s">
        <v>19</v>
      </c>
      <c r="E72" s="14" t="n">
        <v>45932</v>
      </c>
      <c r="F72" s="12" t="s">
        <v>1757</v>
      </c>
      <c r="G72" s="12" t="s">
        <v>1758</v>
      </c>
      <c r="H72" s="12"/>
      <c r="I72" s="12"/>
      <c r="J72" s="12" t="s">
        <v>1066</v>
      </c>
    </row>
    <row r="73" customFormat="false" ht="15" hidden="false" customHeight="true" outlineLevel="0" collapsed="false">
      <c r="A73" s="12" t="s">
        <v>1847</v>
      </c>
      <c r="B73" s="13" t="s">
        <v>167</v>
      </c>
      <c r="C73" s="15" t="str">
        <f aca="false">IFERROR(INDEX(Dim_Employee!$B$2:$B$76,MATCH(B73,Dim_Employee!$A$2:$A$76,0)),"")</f>
        <v>Emmanuel Yakubu</v>
      </c>
      <c r="D73" s="12" t="s">
        <v>16</v>
      </c>
      <c r="E73" s="14" t="n">
        <v>45858</v>
      </c>
      <c r="F73" s="12" t="s">
        <v>1778</v>
      </c>
      <c r="G73" s="12" t="s">
        <v>1779</v>
      </c>
      <c r="H73" s="12"/>
      <c r="I73" s="12"/>
      <c r="J73" s="12" t="s">
        <v>1066</v>
      </c>
    </row>
    <row r="74" customFormat="false" ht="15" hidden="false" customHeight="true" outlineLevel="0" collapsed="false">
      <c r="A74" s="12" t="s">
        <v>1848</v>
      </c>
      <c r="B74" s="13" t="s">
        <v>191</v>
      </c>
      <c r="C74" s="15" t="str">
        <f aca="false">IFERROR(INDEX(Dim_Employee!$B$2:$B$76,MATCH(B74,Dim_Employee!$A$2:$A$76,0)),"")</f>
        <v>Chukwudi Eze</v>
      </c>
      <c r="D74" s="12" t="s">
        <v>16</v>
      </c>
      <c r="E74" s="14" t="n">
        <v>45699</v>
      </c>
      <c r="F74" s="12" t="s">
        <v>1778</v>
      </c>
      <c r="G74" s="12" t="s">
        <v>1779</v>
      </c>
      <c r="H74" s="12"/>
      <c r="I74" s="12"/>
      <c r="J74" s="12" t="s">
        <v>1066</v>
      </c>
    </row>
    <row r="75" customFormat="false" ht="15" hidden="false" customHeight="true" outlineLevel="0" collapsed="false">
      <c r="A75" s="12" t="s">
        <v>1849</v>
      </c>
      <c r="B75" s="13" t="s">
        <v>411</v>
      </c>
      <c r="C75" s="15" t="str">
        <f aca="false">IFERROR(INDEX(Dim_Employee!$B$2:$B$76,MATCH(B75,Dim_Employee!$A$2:$A$76,0)),"")</f>
        <v>Amaka Danjuma</v>
      </c>
      <c r="D75" s="12" t="s">
        <v>115</v>
      </c>
      <c r="E75" s="14" t="n">
        <v>45981</v>
      </c>
      <c r="F75" s="12" t="s">
        <v>1769</v>
      </c>
      <c r="G75" s="12" t="s">
        <v>1782</v>
      </c>
      <c r="H75" s="12" t="n">
        <v>12</v>
      </c>
      <c r="I75" s="12"/>
      <c r="J75" s="12" t="s">
        <v>878</v>
      </c>
    </row>
    <row r="76" customFormat="false" ht="15" hidden="false" customHeight="true" outlineLevel="0" collapsed="false">
      <c r="A76" s="12" t="s">
        <v>1850</v>
      </c>
      <c r="B76" s="13" t="s">
        <v>162</v>
      </c>
      <c r="C76" s="15" t="str">
        <f aca="false">IFERROR(INDEX(Dim_Employee!$B$2:$B$76,MATCH(B76,Dim_Employee!$A$2:$A$76,0)),"")</f>
        <v>Halima Nwosu</v>
      </c>
      <c r="D76" s="12" t="s">
        <v>16</v>
      </c>
      <c r="E76" s="14" t="n">
        <v>45669</v>
      </c>
      <c r="F76" s="12" t="s">
        <v>1773</v>
      </c>
      <c r="G76" s="12" t="s">
        <v>1776</v>
      </c>
      <c r="H76" s="12" t="n">
        <v>5</v>
      </c>
      <c r="I76" s="12"/>
      <c r="J76" s="12" t="s">
        <v>1066</v>
      </c>
    </row>
    <row r="77" customFormat="false" ht="15" hidden="false" customHeight="true" outlineLevel="0" collapsed="false">
      <c r="A77" s="12" t="s">
        <v>1851</v>
      </c>
      <c r="B77" s="13" t="s">
        <v>109</v>
      </c>
      <c r="C77" s="15" t="str">
        <f aca="false">IFERROR(INDEX(Dim_Employee!$B$2:$B$76,MATCH(B77,Dim_Employee!$A$2:$A$76,0)),"")</f>
        <v>Suleiman Garba</v>
      </c>
      <c r="D77" s="12" t="s">
        <v>28</v>
      </c>
      <c r="E77" s="14" t="n">
        <v>45735</v>
      </c>
      <c r="F77" s="12" t="s">
        <v>1769</v>
      </c>
      <c r="G77" s="12" t="s">
        <v>1813</v>
      </c>
      <c r="H77" s="12" t="n">
        <v>15</v>
      </c>
      <c r="I77" s="12"/>
      <c r="J77" s="12" t="s">
        <v>1066</v>
      </c>
    </row>
    <row r="78" customFormat="false" ht="15" hidden="false" customHeight="true" outlineLevel="0" collapsed="false">
      <c r="A78" s="12" t="s">
        <v>1852</v>
      </c>
      <c r="B78" s="13" t="s">
        <v>296</v>
      </c>
      <c r="C78" s="15" t="str">
        <f aca="false">IFERROR(INDEX(Dim_Employee!$B$2:$B$76,MATCH(B78,Dim_Employee!$A$2:$A$76,0)),"")</f>
        <v>Yusuf Usman</v>
      </c>
      <c r="D78" s="12" t="s">
        <v>104</v>
      </c>
      <c r="E78" s="14" t="n">
        <v>45924</v>
      </c>
      <c r="F78" s="12" t="s">
        <v>1761</v>
      </c>
      <c r="G78" s="12" t="s">
        <v>1762</v>
      </c>
      <c r="H78" s="12"/>
      <c r="I78" s="12" t="n">
        <v>3</v>
      </c>
      <c r="J78" s="12" t="s">
        <v>878</v>
      </c>
    </row>
    <row r="79" customFormat="false" ht="15" hidden="false" customHeight="true" outlineLevel="0" collapsed="false">
      <c r="A79" s="12" t="s">
        <v>1853</v>
      </c>
      <c r="B79" s="13" t="s">
        <v>301</v>
      </c>
      <c r="C79" s="15" t="str">
        <f aca="false">IFERROR(INDEX(Dim_Employee!$B$2:$B$76,MATCH(B79,Dim_Employee!$A$2:$A$76,0)),"")</f>
        <v>Ibrahim Nwosu</v>
      </c>
      <c r="D79" s="12" t="s">
        <v>104</v>
      </c>
      <c r="E79" s="14" t="n">
        <v>45863</v>
      </c>
      <c r="F79" s="12" t="s">
        <v>1757</v>
      </c>
      <c r="G79" s="12" t="s">
        <v>1758</v>
      </c>
      <c r="H79" s="12"/>
      <c r="I79" s="12"/>
      <c r="J79" s="12" t="s">
        <v>1057</v>
      </c>
    </row>
    <row r="80" customFormat="false" ht="15" hidden="false" customHeight="true" outlineLevel="0" collapsed="false">
      <c r="A80" s="12" t="s">
        <v>1854</v>
      </c>
      <c r="B80" s="13" t="s">
        <v>102</v>
      </c>
      <c r="C80" s="15" t="str">
        <f aca="false">IFERROR(INDEX(Dim_Employee!$B$2:$B$76,MATCH(B80,Dim_Employee!$A$2:$A$76,0)),"")</f>
        <v>Yusuf Abubakar</v>
      </c>
      <c r="D80" s="12" t="s">
        <v>24</v>
      </c>
      <c r="E80" s="14" t="n">
        <v>45761</v>
      </c>
      <c r="F80" s="12" t="s">
        <v>1757</v>
      </c>
      <c r="G80" s="12" t="s">
        <v>1758</v>
      </c>
      <c r="H80" s="12"/>
      <c r="I80" s="12"/>
      <c r="J80" s="12" t="s">
        <v>1066</v>
      </c>
    </row>
    <row r="81" customFormat="false" ht="15" hidden="false" customHeight="true" outlineLevel="0" collapsed="false">
      <c r="A81" s="12" t="s">
        <v>1855</v>
      </c>
      <c r="B81" s="13" t="s">
        <v>245</v>
      </c>
      <c r="C81" s="15" t="str">
        <f aca="false">IFERROR(INDEX(Dim_Employee!$B$2:$B$76,MATCH(B81,Dim_Employee!$A$2:$A$76,0)),"")</f>
        <v>Emeka Bakare</v>
      </c>
      <c r="D81" s="12" t="s">
        <v>97</v>
      </c>
      <c r="E81" s="14" t="n">
        <v>46000</v>
      </c>
      <c r="F81" s="12" t="s">
        <v>1766</v>
      </c>
      <c r="G81" s="12" t="s">
        <v>1800</v>
      </c>
      <c r="H81" s="12" t="n">
        <v>5</v>
      </c>
      <c r="I81" s="12"/>
      <c r="J81" s="12" t="s">
        <v>856</v>
      </c>
    </row>
    <row r="82" customFormat="false" ht="15" hidden="false" customHeight="true" outlineLevel="0" collapsed="false">
      <c r="A82" s="12" t="s">
        <v>1856</v>
      </c>
      <c r="B82" s="13" t="s">
        <v>179</v>
      </c>
      <c r="C82" s="15" t="str">
        <f aca="false">IFERROR(INDEX(Dim_Employee!$B$2:$B$76,MATCH(B82,Dim_Employee!$A$2:$A$76,0)),"")</f>
        <v>Amaka Bakare</v>
      </c>
      <c r="D82" s="12" t="s">
        <v>16</v>
      </c>
      <c r="E82" s="14" t="n">
        <v>45832</v>
      </c>
      <c r="F82" s="12" t="s">
        <v>1761</v>
      </c>
      <c r="G82" s="12" t="s">
        <v>1762</v>
      </c>
      <c r="H82" s="12"/>
      <c r="I82" s="12" t="n">
        <v>5</v>
      </c>
      <c r="J82" s="12" t="s">
        <v>856</v>
      </c>
    </row>
    <row r="83" customFormat="false" ht="15" hidden="false" customHeight="true" outlineLevel="0" collapsed="false">
      <c r="A83" s="12" t="s">
        <v>1857</v>
      </c>
      <c r="B83" s="13" t="s">
        <v>442</v>
      </c>
      <c r="C83" s="15" t="str">
        <f aca="false">IFERROR(INDEX(Dim_Employee!$B$2:$B$76,MATCH(B83,Dim_Employee!$A$2:$A$76,0)),"")</f>
        <v>Segun Okafor</v>
      </c>
      <c r="D83" s="12" t="s">
        <v>119</v>
      </c>
      <c r="E83" s="14" t="n">
        <v>45890</v>
      </c>
      <c r="F83" s="12" t="s">
        <v>1769</v>
      </c>
      <c r="G83" s="12" t="s">
        <v>1813</v>
      </c>
      <c r="H83" s="12" t="n">
        <v>14</v>
      </c>
      <c r="I83" s="12"/>
      <c r="J83" s="12" t="s">
        <v>1057</v>
      </c>
    </row>
    <row r="84" customFormat="false" ht="15" hidden="false" customHeight="true" outlineLevel="0" collapsed="false">
      <c r="A84" s="12" t="s">
        <v>1858</v>
      </c>
      <c r="B84" s="13" t="s">
        <v>175</v>
      </c>
      <c r="C84" s="15" t="str">
        <f aca="false">IFERROR(INDEX(Dim_Employee!$B$2:$B$76,MATCH(B84,Dim_Employee!$A$2:$A$76,0)),"")</f>
        <v>Kingsley Okonkwo</v>
      </c>
      <c r="D84" s="12" t="s">
        <v>16</v>
      </c>
      <c r="E84" s="14" t="n">
        <v>45838</v>
      </c>
      <c r="F84" s="12" t="s">
        <v>1757</v>
      </c>
      <c r="G84" s="12" t="s">
        <v>1758</v>
      </c>
      <c r="H84" s="12"/>
      <c r="I84" s="12"/>
      <c r="J84" s="12" t="s">
        <v>1066</v>
      </c>
    </row>
    <row r="85" customFormat="false" ht="15" hidden="false" customHeight="true" outlineLevel="0" collapsed="false">
      <c r="A85" s="12" t="s">
        <v>1859</v>
      </c>
      <c r="B85" s="13" t="s">
        <v>250</v>
      </c>
      <c r="C85" s="15" t="str">
        <f aca="false">IFERROR(INDEX(Dim_Employee!$B$2:$B$76,MATCH(B85,Dim_Employee!$A$2:$A$76,0)),"")</f>
        <v>Ibrahim Abubakar</v>
      </c>
      <c r="D85" s="12" t="s">
        <v>97</v>
      </c>
      <c r="E85" s="14" t="n">
        <v>45842</v>
      </c>
      <c r="F85" s="12" t="s">
        <v>1761</v>
      </c>
      <c r="G85" s="12" t="s">
        <v>1762</v>
      </c>
      <c r="H85" s="12"/>
      <c r="I85" s="12" t="n">
        <v>2</v>
      </c>
      <c r="J85" s="12" t="s">
        <v>878</v>
      </c>
    </row>
    <row r="86" customFormat="false" ht="15" hidden="false" customHeight="true" outlineLevel="0" collapsed="false">
      <c r="A86" s="12" t="s">
        <v>1860</v>
      </c>
      <c r="B86" s="13" t="s">
        <v>420</v>
      </c>
      <c r="C86" s="15" t="str">
        <f aca="false">IFERROR(INDEX(Dim_Employee!$B$2:$B$76,MATCH(B86,Dim_Employee!$A$2:$A$76,0)),"")</f>
        <v>Suleiman Igwe</v>
      </c>
      <c r="D86" s="12" t="s">
        <v>115</v>
      </c>
      <c r="E86" s="14" t="n">
        <v>45825</v>
      </c>
      <c r="F86" s="12" t="s">
        <v>1761</v>
      </c>
      <c r="G86" s="12" t="s">
        <v>1762</v>
      </c>
      <c r="H86" s="12"/>
      <c r="I86" s="12" t="n">
        <v>2</v>
      </c>
      <c r="J86" s="12" t="s">
        <v>1057</v>
      </c>
    </row>
    <row r="87" customFormat="false" ht="15" hidden="false" customHeight="true" outlineLevel="0" collapsed="false">
      <c r="A87" s="12" t="s">
        <v>1861</v>
      </c>
      <c r="B87" s="13" t="s">
        <v>379</v>
      </c>
      <c r="C87" s="15" t="str">
        <f aca="false">IFERROR(INDEX(Dim_Employee!$B$2:$B$76,MATCH(B87,Dim_Employee!$A$2:$A$76,0)),"")</f>
        <v>Emeka Adeyemi</v>
      </c>
      <c r="D87" s="12" t="s">
        <v>111</v>
      </c>
      <c r="E87" s="14" t="n">
        <v>45983</v>
      </c>
      <c r="F87" s="12" t="s">
        <v>1769</v>
      </c>
      <c r="G87" s="12" t="s">
        <v>1770</v>
      </c>
      <c r="H87" s="12" t="n">
        <v>9</v>
      </c>
      <c r="I87" s="12"/>
      <c r="J87" s="12" t="s">
        <v>1057</v>
      </c>
    </row>
    <row r="88" customFormat="false" ht="15" hidden="false" customHeight="true" outlineLevel="0" collapsed="false">
      <c r="A88" s="12" t="s">
        <v>1862</v>
      </c>
      <c r="B88" s="13" t="s">
        <v>387</v>
      </c>
      <c r="C88" s="15" t="str">
        <f aca="false">IFERROR(INDEX(Dim_Employee!$B$2:$B$76,MATCH(B88,Dim_Employee!$A$2:$A$76,0)),"")</f>
        <v>Abdullahi Ojo</v>
      </c>
      <c r="D88" s="12" t="s">
        <v>111</v>
      </c>
      <c r="E88" s="14" t="n">
        <v>45912</v>
      </c>
      <c r="F88" s="12" t="s">
        <v>1766</v>
      </c>
      <c r="G88" s="12" t="s">
        <v>1800</v>
      </c>
      <c r="H88" s="12" t="n">
        <v>11</v>
      </c>
      <c r="I88" s="12"/>
      <c r="J88" s="12" t="s">
        <v>1066</v>
      </c>
    </row>
    <row r="89" customFormat="false" ht="15" hidden="false" customHeight="true" outlineLevel="0" collapsed="false">
      <c r="A89" s="12" t="s">
        <v>1863</v>
      </c>
      <c r="B89" s="13" t="s">
        <v>467</v>
      </c>
      <c r="C89" s="15" t="str">
        <f aca="false">IFERROR(INDEX(Dim_Employee!$B$2:$B$76,MATCH(B89,Dim_Employee!$A$2:$A$76,0)),"")</f>
        <v>Halima Okafor</v>
      </c>
      <c r="D89" s="12" t="s">
        <v>123</v>
      </c>
      <c r="E89" s="14" t="n">
        <v>45726</v>
      </c>
      <c r="F89" s="12" t="s">
        <v>1773</v>
      </c>
      <c r="G89" s="12" t="s">
        <v>1776</v>
      </c>
      <c r="H89" s="12" t="n">
        <v>3</v>
      </c>
      <c r="I89" s="12"/>
      <c r="J89" s="12" t="s">
        <v>878</v>
      </c>
    </row>
    <row r="90" customFormat="false" ht="15" hidden="false" customHeight="true" outlineLevel="0" collapsed="false">
      <c r="A90" s="12" t="s">
        <v>1864</v>
      </c>
      <c r="B90" s="13" t="s">
        <v>286</v>
      </c>
      <c r="C90" s="15" t="str">
        <f aca="false">IFERROR(INDEX(Dim_Employee!$B$2:$B$76,MATCH(B90,Dim_Employee!$A$2:$A$76,0)),"")</f>
        <v>Peace Balogun</v>
      </c>
      <c r="D90" s="12" t="s">
        <v>24</v>
      </c>
      <c r="E90" s="14" t="n">
        <v>45819</v>
      </c>
      <c r="F90" s="12" t="s">
        <v>1778</v>
      </c>
      <c r="G90" s="12" t="s">
        <v>1779</v>
      </c>
      <c r="H90" s="12"/>
      <c r="I90" s="12"/>
      <c r="J90" s="12" t="s">
        <v>1066</v>
      </c>
    </row>
    <row r="91" customFormat="false" ht="15" hidden="false" customHeight="true" outlineLevel="0" collapsed="false">
      <c r="A91" s="12" t="s">
        <v>1865</v>
      </c>
      <c r="B91" s="13" t="s">
        <v>416</v>
      </c>
      <c r="C91" s="15" t="str">
        <f aca="false">IFERROR(INDEX(Dim_Employee!$B$2:$B$76,MATCH(B91,Dim_Employee!$A$2:$A$76,0)),"")</f>
        <v>Halima Ibe</v>
      </c>
      <c r="D91" s="12" t="s">
        <v>115</v>
      </c>
      <c r="E91" s="14" t="n">
        <v>45672</v>
      </c>
      <c r="F91" s="12" t="s">
        <v>1778</v>
      </c>
      <c r="G91" s="12" t="s">
        <v>1779</v>
      </c>
      <c r="H91" s="12"/>
      <c r="I91" s="12"/>
      <c r="J91" s="12" t="s">
        <v>878</v>
      </c>
    </row>
    <row r="92" customFormat="false" ht="15" hidden="false" customHeight="true" outlineLevel="0" collapsed="false">
      <c r="A92" s="12" t="s">
        <v>1866</v>
      </c>
      <c r="B92" s="13" t="s">
        <v>467</v>
      </c>
      <c r="C92" s="15" t="str">
        <f aca="false">IFERROR(INDEX(Dim_Employee!$B$2:$B$76,MATCH(B92,Dim_Employee!$A$2:$A$76,0)),"")</f>
        <v>Halima Okafor</v>
      </c>
      <c r="D92" s="12" t="s">
        <v>123</v>
      </c>
      <c r="E92" s="14" t="n">
        <v>45800</v>
      </c>
      <c r="F92" s="12" t="s">
        <v>1773</v>
      </c>
      <c r="G92" s="12" t="s">
        <v>1789</v>
      </c>
      <c r="H92" s="12" t="n">
        <v>3</v>
      </c>
      <c r="I92" s="12"/>
      <c r="J92" s="12" t="s">
        <v>1057</v>
      </c>
    </row>
    <row r="93" customFormat="false" ht="15" hidden="false" customHeight="true" outlineLevel="0" collapsed="false">
      <c r="A93" s="12" t="s">
        <v>1867</v>
      </c>
      <c r="B93" s="13" t="s">
        <v>347</v>
      </c>
      <c r="C93" s="15" t="str">
        <f aca="false">IFERROR(INDEX(Dim_Employee!$B$2:$B$76,MATCH(B93,Dim_Employee!$A$2:$A$76,0)),"")</f>
        <v>Rukayat Usman</v>
      </c>
      <c r="D93" s="12" t="s">
        <v>28</v>
      </c>
      <c r="E93" s="14" t="n">
        <v>45820</v>
      </c>
      <c r="F93" s="12" t="s">
        <v>1769</v>
      </c>
      <c r="G93" s="12" t="s">
        <v>1770</v>
      </c>
      <c r="H93" s="12" t="n">
        <v>5</v>
      </c>
      <c r="I93" s="12"/>
      <c r="J93" s="12" t="s">
        <v>1066</v>
      </c>
    </row>
    <row r="94" customFormat="false" ht="15" hidden="false" customHeight="true" outlineLevel="0" collapsed="false">
      <c r="A94" s="12" t="s">
        <v>1868</v>
      </c>
      <c r="B94" s="13" t="s">
        <v>235</v>
      </c>
      <c r="C94" s="15" t="str">
        <f aca="false">IFERROR(INDEX(Dim_Employee!$B$2:$B$76,MATCH(B94,Dim_Employee!$A$2:$A$76,0)),"")</f>
        <v>Uche Ibe</v>
      </c>
      <c r="D94" s="12" t="s">
        <v>97</v>
      </c>
      <c r="E94" s="14" t="n">
        <v>45716</v>
      </c>
      <c r="F94" s="12" t="s">
        <v>1757</v>
      </c>
      <c r="G94" s="12" t="s">
        <v>1758</v>
      </c>
      <c r="H94" s="12"/>
      <c r="I94" s="12"/>
      <c r="J94" s="12" t="s">
        <v>1057</v>
      </c>
    </row>
    <row r="95" customFormat="false" ht="15" hidden="false" customHeight="true" outlineLevel="0" collapsed="false">
      <c r="A95" s="12" t="s">
        <v>1869</v>
      </c>
      <c r="B95" s="13" t="s">
        <v>106</v>
      </c>
      <c r="C95" s="15" t="str">
        <f aca="false">IFERROR(INDEX(Dim_Employee!$B$2:$B$76,MATCH(B95,Dim_Employee!$A$2:$A$76,0)),"")</f>
        <v>Damilola Balogun</v>
      </c>
      <c r="D95" s="12" t="s">
        <v>104</v>
      </c>
      <c r="E95" s="14" t="n">
        <v>45956</v>
      </c>
      <c r="F95" s="12" t="s">
        <v>1761</v>
      </c>
      <c r="G95" s="12" t="s">
        <v>1762</v>
      </c>
      <c r="H95" s="12"/>
      <c r="I95" s="12" t="n">
        <v>3</v>
      </c>
      <c r="J95" s="12" t="s">
        <v>856</v>
      </c>
    </row>
    <row r="96" customFormat="false" ht="15" hidden="false" customHeight="true" outlineLevel="0" collapsed="false">
      <c r="A96" s="12" t="s">
        <v>1870</v>
      </c>
      <c r="B96" s="13" t="s">
        <v>286</v>
      </c>
      <c r="C96" s="15" t="str">
        <f aca="false">IFERROR(INDEX(Dim_Employee!$B$2:$B$76,MATCH(B96,Dim_Employee!$A$2:$A$76,0)),"")</f>
        <v>Peace Balogun</v>
      </c>
      <c r="D96" s="12" t="s">
        <v>24</v>
      </c>
      <c r="E96" s="14" t="n">
        <v>45729</v>
      </c>
      <c r="F96" s="12" t="s">
        <v>1778</v>
      </c>
      <c r="G96" s="12" t="s">
        <v>1779</v>
      </c>
      <c r="H96" s="12"/>
      <c r="I96" s="12"/>
      <c r="J96" s="12" t="s">
        <v>856</v>
      </c>
    </row>
    <row r="97" customFormat="false" ht="15" hidden="false" customHeight="true" outlineLevel="0" collapsed="false">
      <c r="A97" s="12" t="s">
        <v>1871</v>
      </c>
      <c r="B97" s="13" t="s">
        <v>121</v>
      </c>
      <c r="C97" s="15" t="str">
        <f aca="false">IFERROR(INDEX(Dim_Employee!$B$2:$B$76,MATCH(B97,Dim_Employee!$A$2:$A$76,0)),"")</f>
        <v>Aisha Igwe</v>
      </c>
      <c r="D97" s="12" t="s">
        <v>119</v>
      </c>
      <c r="E97" s="14" t="n">
        <v>46003</v>
      </c>
      <c r="F97" s="12" t="s">
        <v>1761</v>
      </c>
      <c r="G97" s="12" t="s">
        <v>1762</v>
      </c>
      <c r="H97" s="12"/>
      <c r="I97" s="12" t="n">
        <v>1</v>
      </c>
      <c r="J97" s="12" t="s">
        <v>856</v>
      </c>
    </row>
    <row r="98" customFormat="false" ht="15" hidden="false" customHeight="true" outlineLevel="0" collapsed="false">
      <c r="A98" s="12" t="s">
        <v>1872</v>
      </c>
      <c r="B98" s="13" t="s">
        <v>296</v>
      </c>
      <c r="C98" s="15" t="str">
        <f aca="false">IFERROR(INDEX(Dim_Employee!$B$2:$B$76,MATCH(B98,Dim_Employee!$A$2:$A$76,0)),"")</f>
        <v>Yusuf Usman</v>
      </c>
      <c r="D98" s="12" t="s">
        <v>104</v>
      </c>
      <c r="E98" s="14" t="n">
        <v>45900</v>
      </c>
      <c r="F98" s="12" t="s">
        <v>1769</v>
      </c>
      <c r="G98" s="12" t="s">
        <v>1813</v>
      </c>
      <c r="H98" s="12" t="n">
        <v>6</v>
      </c>
      <c r="I98" s="12"/>
      <c r="J98" s="12" t="s">
        <v>1066</v>
      </c>
    </row>
    <row r="99" customFormat="false" ht="15" hidden="false" customHeight="true" outlineLevel="0" collapsed="false">
      <c r="A99" s="12" t="s">
        <v>1873</v>
      </c>
      <c r="B99" s="13" t="s">
        <v>327</v>
      </c>
      <c r="C99" s="15" t="str">
        <f aca="false">IFERROR(INDEX(Dim_Employee!$B$2:$B$76,MATCH(B99,Dim_Employee!$A$2:$A$76,0)),"")</f>
        <v>Adaeze Adeyemi</v>
      </c>
      <c r="D99" s="12" t="s">
        <v>28</v>
      </c>
      <c r="E99" s="14" t="n">
        <v>45687</v>
      </c>
      <c r="F99" s="12" t="s">
        <v>1769</v>
      </c>
      <c r="G99" s="12" t="s">
        <v>1770</v>
      </c>
      <c r="H99" s="12" t="n">
        <v>10</v>
      </c>
      <c r="I99" s="12"/>
      <c r="J99" s="12" t="s">
        <v>1066</v>
      </c>
    </row>
    <row r="100" customFormat="false" ht="15" hidden="false" customHeight="true" outlineLevel="0" collapsed="false">
      <c r="A100" s="12" t="s">
        <v>1874</v>
      </c>
      <c r="B100" s="13" t="s">
        <v>347</v>
      </c>
      <c r="C100" s="15" t="str">
        <f aca="false">IFERROR(INDEX(Dim_Employee!$B$2:$B$76,MATCH(B100,Dim_Employee!$A$2:$A$76,0)),"")</f>
        <v>Rukayat Usman</v>
      </c>
      <c r="D100" s="12" t="s">
        <v>28</v>
      </c>
      <c r="E100" s="14" t="n">
        <v>45888</v>
      </c>
      <c r="F100" s="12" t="s">
        <v>1766</v>
      </c>
      <c r="G100" s="12" t="s">
        <v>1800</v>
      </c>
      <c r="H100" s="12" t="n">
        <v>12</v>
      </c>
      <c r="I100" s="12"/>
      <c r="J100" s="12" t="s">
        <v>1066</v>
      </c>
    </row>
    <row r="101" customFormat="false" ht="15" hidden="false" customHeight="true" outlineLevel="0" collapsed="false">
      <c r="A101" s="12" t="s">
        <v>1875</v>
      </c>
      <c r="B101" s="13" t="s">
        <v>395</v>
      </c>
      <c r="C101" s="15" t="str">
        <f aca="false">IFERROR(INDEX(Dim_Employee!$B$2:$B$76,MATCH(B101,Dim_Employee!$A$2:$A$76,0)),"")</f>
        <v>Zainab Nwosu</v>
      </c>
      <c r="D101" s="12" t="s">
        <v>115</v>
      </c>
      <c r="E101" s="14" t="n">
        <v>45734</v>
      </c>
      <c r="F101" s="12" t="s">
        <v>1769</v>
      </c>
      <c r="G101" s="12" t="s">
        <v>1782</v>
      </c>
      <c r="H101" s="12" t="n">
        <v>20</v>
      </c>
      <c r="I101" s="12"/>
      <c r="J101" s="12" t="s">
        <v>856</v>
      </c>
    </row>
    <row r="102" customFormat="false" ht="15" hidden="false" customHeight="true" outlineLevel="0" collapsed="false">
      <c r="A102" s="12" t="s">
        <v>1876</v>
      </c>
      <c r="B102" s="13" t="s">
        <v>383</v>
      </c>
      <c r="C102" s="15" t="str">
        <f aca="false">IFERROR(INDEX(Dim_Employee!$B$2:$B$76,MATCH(B102,Dim_Employee!$A$2:$A$76,0)),"")</f>
        <v>Tunde Ndukwe</v>
      </c>
      <c r="D102" s="12" t="s">
        <v>111</v>
      </c>
      <c r="E102" s="14" t="n">
        <v>45960</v>
      </c>
      <c r="F102" s="12" t="s">
        <v>1769</v>
      </c>
      <c r="G102" s="12" t="s">
        <v>1782</v>
      </c>
      <c r="H102" s="12" t="n">
        <v>14</v>
      </c>
      <c r="I102" s="12"/>
      <c r="J102" s="12" t="s">
        <v>1057</v>
      </c>
    </row>
    <row r="103" customFormat="false" ht="15" hidden="false" customHeight="true" outlineLevel="0" collapsed="false">
      <c r="A103" s="12" t="s">
        <v>1877</v>
      </c>
      <c r="B103" s="13" t="s">
        <v>199</v>
      </c>
      <c r="C103" s="15" t="str">
        <f aca="false">IFERROR(INDEX(Dim_Employee!$B$2:$B$76,MATCH(B103,Dim_Employee!$A$2:$A$76,0)),"")</f>
        <v>Olamide Anyanwu</v>
      </c>
      <c r="D103" s="12" t="s">
        <v>16</v>
      </c>
      <c r="E103" s="14" t="n">
        <v>45765</v>
      </c>
      <c r="F103" s="12" t="s">
        <v>1761</v>
      </c>
      <c r="G103" s="12" t="s">
        <v>1762</v>
      </c>
      <c r="H103" s="12"/>
      <c r="I103" s="12" t="n">
        <v>1</v>
      </c>
      <c r="J103" s="12" t="s">
        <v>1066</v>
      </c>
    </row>
    <row r="104" customFormat="false" ht="15" hidden="false" customHeight="true" outlineLevel="0" collapsed="false">
      <c r="A104" s="12" t="s">
        <v>1878</v>
      </c>
      <c r="B104" s="13" t="s">
        <v>216</v>
      </c>
      <c r="C104" s="15" t="str">
        <f aca="false">IFERROR(INDEX(Dim_Employee!$B$2:$B$76,MATCH(B104,Dim_Employee!$A$2:$A$76,0)),"")</f>
        <v>Yusuf Sani</v>
      </c>
      <c r="D104" s="12" t="s">
        <v>19</v>
      </c>
      <c r="E104" s="14" t="n">
        <v>45856</v>
      </c>
      <c r="F104" s="12" t="s">
        <v>1757</v>
      </c>
      <c r="G104" s="12" t="s">
        <v>1758</v>
      </c>
      <c r="H104" s="12"/>
      <c r="I104" s="12"/>
      <c r="J104" s="12" t="s">
        <v>856</v>
      </c>
    </row>
    <row r="105" customFormat="false" ht="15" hidden="false" customHeight="true" outlineLevel="0" collapsed="false">
      <c r="A105" s="12" t="s">
        <v>1879</v>
      </c>
      <c r="B105" s="13" t="s">
        <v>327</v>
      </c>
      <c r="C105" s="15" t="str">
        <f aca="false">IFERROR(INDEX(Dim_Employee!$B$2:$B$76,MATCH(B105,Dim_Employee!$A$2:$A$76,0)),"")</f>
        <v>Adaeze Adeyemi</v>
      </c>
      <c r="D105" s="12" t="s">
        <v>28</v>
      </c>
      <c r="E105" s="14" t="n">
        <v>45893</v>
      </c>
      <c r="F105" s="12" t="s">
        <v>1773</v>
      </c>
      <c r="G105" s="12" t="s">
        <v>1776</v>
      </c>
      <c r="H105" s="12" t="n">
        <v>2</v>
      </c>
      <c r="I105" s="12"/>
      <c r="J105" s="12" t="s">
        <v>878</v>
      </c>
    </row>
    <row r="106" customFormat="false" ht="15" hidden="false" customHeight="true" outlineLevel="0" collapsed="false">
      <c r="A106" s="12" t="s">
        <v>1880</v>
      </c>
      <c r="B106" s="13" t="s">
        <v>141</v>
      </c>
      <c r="C106" s="15" t="str">
        <f aca="false">IFERROR(INDEX(Dim_Employee!$B$2:$B$76,MATCH(B106,Dim_Employee!$A$2:$A$76,0)),"")</f>
        <v>Abdullahi Adeyemi</v>
      </c>
      <c r="D106" s="12" t="s">
        <v>16</v>
      </c>
      <c r="E106" s="14" t="n">
        <v>45714</v>
      </c>
      <c r="F106" s="12" t="s">
        <v>1757</v>
      </c>
      <c r="G106" s="12" t="s">
        <v>1758</v>
      </c>
      <c r="H106" s="12"/>
      <c r="I106" s="12"/>
      <c r="J106" s="12" t="s">
        <v>878</v>
      </c>
    </row>
    <row r="107" customFormat="false" ht="15" hidden="false" customHeight="true" outlineLevel="0" collapsed="false">
      <c r="A107" s="12" t="s">
        <v>1881</v>
      </c>
      <c r="B107" s="13" t="s">
        <v>369</v>
      </c>
      <c r="C107" s="15" t="str">
        <f aca="false">IFERROR(INDEX(Dim_Employee!$B$2:$B$76,MATCH(B107,Dim_Employee!$A$2:$A$76,0)),"")</f>
        <v>Chukwudi Yakubu</v>
      </c>
      <c r="D107" s="12" t="s">
        <v>111</v>
      </c>
      <c r="E107" s="14" t="n">
        <v>45681</v>
      </c>
      <c r="F107" s="12" t="s">
        <v>1757</v>
      </c>
      <c r="G107" s="12" t="s">
        <v>1758</v>
      </c>
      <c r="H107" s="12"/>
      <c r="I107" s="12"/>
      <c r="J107" s="12" t="s">
        <v>1057</v>
      </c>
    </row>
    <row r="108" customFormat="false" ht="15" hidden="false" customHeight="true" outlineLevel="0" collapsed="false">
      <c r="A108" s="12" t="s">
        <v>1882</v>
      </c>
      <c r="B108" s="13" t="s">
        <v>448</v>
      </c>
      <c r="C108" s="15" t="str">
        <f aca="false">IFERROR(INDEX(Dim_Employee!$B$2:$B$76,MATCH(B108,Dim_Employee!$A$2:$A$76,0)),"")</f>
        <v>Bola Bakare</v>
      </c>
      <c r="D108" s="12" t="s">
        <v>123</v>
      </c>
      <c r="E108" s="14" t="n">
        <v>45938</v>
      </c>
      <c r="F108" s="12" t="s">
        <v>1773</v>
      </c>
      <c r="G108" s="12" t="s">
        <v>1789</v>
      </c>
      <c r="H108" s="12" t="n">
        <v>3</v>
      </c>
      <c r="I108" s="12"/>
      <c r="J108" s="12" t="s">
        <v>856</v>
      </c>
    </row>
    <row r="109" customFormat="false" ht="15" hidden="false" customHeight="true" outlineLevel="0" collapsed="false">
      <c r="A109" s="12" t="s">
        <v>1883</v>
      </c>
      <c r="B109" s="13" t="s">
        <v>235</v>
      </c>
      <c r="C109" s="15" t="str">
        <f aca="false">IFERROR(INDEX(Dim_Employee!$B$2:$B$76,MATCH(B109,Dim_Employee!$A$2:$A$76,0)),"")</f>
        <v>Uche Ibe</v>
      </c>
      <c r="D109" s="12" t="s">
        <v>97</v>
      </c>
      <c r="E109" s="14" t="n">
        <v>45757</v>
      </c>
      <c r="F109" s="12" t="s">
        <v>1769</v>
      </c>
      <c r="G109" s="12" t="s">
        <v>1770</v>
      </c>
      <c r="H109" s="12" t="n">
        <v>8</v>
      </c>
      <c r="I109" s="12"/>
      <c r="J109" s="12" t="s">
        <v>1066</v>
      </c>
    </row>
    <row r="110" customFormat="false" ht="15" hidden="false" customHeight="true" outlineLevel="0" collapsed="false">
      <c r="A110" s="12" t="s">
        <v>1884</v>
      </c>
      <c r="B110" s="13" t="s">
        <v>364</v>
      </c>
      <c r="C110" s="15" t="str">
        <f aca="false">IFERROR(INDEX(Dim_Employee!$B$2:$B$76,MATCH(B110,Dim_Employee!$A$2:$A$76,0)),"")</f>
        <v>Amaka Aliyu</v>
      </c>
      <c r="D110" s="12" t="s">
        <v>111</v>
      </c>
      <c r="E110" s="14" t="n">
        <v>45882</v>
      </c>
      <c r="F110" s="12" t="s">
        <v>1757</v>
      </c>
      <c r="G110" s="12" t="s">
        <v>1758</v>
      </c>
      <c r="H110" s="12"/>
      <c r="I110" s="12"/>
      <c r="J110" s="12" t="s">
        <v>878</v>
      </c>
    </row>
    <row r="111" customFormat="false" ht="15" hidden="false" customHeight="true" outlineLevel="0" collapsed="false">
      <c r="A111" s="12" t="s">
        <v>1885</v>
      </c>
      <c r="B111" s="13" t="s">
        <v>387</v>
      </c>
      <c r="C111" s="15" t="str">
        <f aca="false">IFERROR(INDEX(Dim_Employee!$B$2:$B$76,MATCH(B111,Dim_Employee!$A$2:$A$76,0)),"")</f>
        <v>Abdullahi Ojo</v>
      </c>
      <c r="D111" s="12" t="s">
        <v>111</v>
      </c>
      <c r="E111" s="14" t="n">
        <v>45899</v>
      </c>
      <c r="F111" s="12" t="s">
        <v>1766</v>
      </c>
      <c r="G111" s="12" t="s">
        <v>1767</v>
      </c>
      <c r="H111" s="12" t="n">
        <v>15</v>
      </c>
      <c r="I111" s="12"/>
      <c r="J111" s="12" t="s">
        <v>1066</v>
      </c>
    </row>
    <row r="112" customFormat="false" ht="15" hidden="false" customHeight="true" outlineLevel="0" collapsed="false">
      <c r="A112" s="12" t="s">
        <v>1886</v>
      </c>
      <c r="B112" s="13" t="s">
        <v>117</v>
      </c>
      <c r="C112" s="15" t="str">
        <f aca="false">IFERROR(INDEX(Dim_Employee!$B$2:$B$76,MATCH(B112,Dim_Employee!$A$2:$A$76,0)),"")</f>
        <v>Chioma Okafor</v>
      </c>
      <c r="D112" s="12" t="s">
        <v>115</v>
      </c>
      <c r="E112" s="14" t="n">
        <v>45671</v>
      </c>
      <c r="F112" s="12" t="s">
        <v>1766</v>
      </c>
      <c r="G112" s="12" t="s">
        <v>1767</v>
      </c>
      <c r="H112" s="12" t="n">
        <v>21</v>
      </c>
      <c r="I112" s="12"/>
      <c r="J112" s="12" t="s">
        <v>1066</v>
      </c>
    </row>
    <row r="113" customFormat="false" ht="15" hidden="false" customHeight="true" outlineLevel="0" collapsed="false">
      <c r="A113" s="12" t="s">
        <v>1887</v>
      </c>
      <c r="B113" s="13" t="s">
        <v>438</v>
      </c>
      <c r="C113" s="15" t="str">
        <f aca="false">IFERROR(INDEX(Dim_Employee!$B$2:$B$76,MATCH(B113,Dim_Employee!$A$2:$A$76,0)),"")</f>
        <v>Segun Onyeka</v>
      </c>
      <c r="D113" s="12" t="s">
        <v>119</v>
      </c>
      <c r="E113" s="14" t="n">
        <v>45842</v>
      </c>
      <c r="F113" s="12" t="s">
        <v>1773</v>
      </c>
      <c r="G113" s="12" t="s">
        <v>1789</v>
      </c>
      <c r="H113" s="12" t="n">
        <v>3</v>
      </c>
      <c r="I113" s="12"/>
      <c r="J113" s="12" t="s">
        <v>1057</v>
      </c>
    </row>
    <row r="114" customFormat="false" ht="15" hidden="false" customHeight="true" outlineLevel="0" collapsed="false">
      <c r="A114" s="12" t="s">
        <v>1888</v>
      </c>
      <c r="B114" s="13" t="s">
        <v>387</v>
      </c>
      <c r="C114" s="15" t="str">
        <f aca="false">IFERROR(INDEX(Dim_Employee!$B$2:$B$76,MATCH(B114,Dim_Employee!$A$2:$A$76,0)),"")</f>
        <v>Abdullahi Ojo</v>
      </c>
      <c r="D114" s="12" t="s">
        <v>111</v>
      </c>
      <c r="E114" s="14" t="n">
        <v>45905</v>
      </c>
      <c r="F114" s="12" t="s">
        <v>1761</v>
      </c>
      <c r="G114" s="12" t="s">
        <v>1762</v>
      </c>
      <c r="H114" s="12"/>
      <c r="I114" s="12" t="n">
        <v>2</v>
      </c>
      <c r="J114" s="12" t="s">
        <v>878</v>
      </c>
    </row>
    <row r="115" customFormat="false" ht="15" hidden="false" customHeight="true" outlineLevel="0" collapsed="false">
      <c r="A115" s="12" t="s">
        <v>1889</v>
      </c>
      <c r="B115" s="13" t="s">
        <v>245</v>
      </c>
      <c r="C115" s="15" t="str">
        <f aca="false">IFERROR(INDEX(Dim_Employee!$B$2:$B$76,MATCH(B115,Dim_Employee!$A$2:$A$76,0)),"")</f>
        <v>Emeka Bakare</v>
      </c>
      <c r="D115" s="12" t="s">
        <v>97</v>
      </c>
      <c r="E115" s="14" t="n">
        <v>45774</v>
      </c>
      <c r="F115" s="12" t="s">
        <v>1761</v>
      </c>
      <c r="G115" s="12" t="s">
        <v>1762</v>
      </c>
      <c r="H115" s="12"/>
      <c r="I115" s="12" t="n">
        <v>1</v>
      </c>
      <c r="J115" s="12" t="s">
        <v>878</v>
      </c>
    </row>
    <row r="116" customFormat="false" ht="15" hidden="false" customHeight="true" outlineLevel="0" collapsed="false">
      <c r="A116" s="12" t="s">
        <v>1890</v>
      </c>
      <c r="B116" s="13" t="s">
        <v>438</v>
      </c>
      <c r="C116" s="15" t="str">
        <f aca="false">IFERROR(INDEX(Dim_Employee!$B$2:$B$76,MATCH(B116,Dim_Employee!$A$2:$A$76,0)),"")</f>
        <v>Segun Onyeka</v>
      </c>
      <c r="D116" s="12" t="s">
        <v>119</v>
      </c>
      <c r="E116" s="14" t="n">
        <v>45876</v>
      </c>
      <c r="F116" s="12" t="s">
        <v>1757</v>
      </c>
      <c r="G116" s="12" t="s">
        <v>1758</v>
      </c>
      <c r="H116" s="12"/>
      <c r="I116" s="12"/>
      <c r="J116" s="12" t="s">
        <v>856</v>
      </c>
    </row>
    <row r="117" customFormat="false" ht="15" hidden="false" customHeight="true" outlineLevel="0" collapsed="false">
      <c r="A117" s="12" t="s">
        <v>1891</v>
      </c>
      <c r="B117" s="13" t="s">
        <v>315</v>
      </c>
      <c r="C117" s="15" t="str">
        <f aca="false">IFERROR(INDEX(Dim_Employee!$B$2:$B$76,MATCH(B117,Dim_Employee!$A$2:$A$76,0)),"")</f>
        <v>Chukwudi Okonkwo</v>
      </c>
      <c r="D117" s="12" t="s">
        <v>104</v>
      </c>
      <c r="E117" s="14" t="n">
        <v>45729</v>
      </c>
      <c r="F117" s="12" t="s">
        <v>1757</v>
      </c>
      <c r="G117" s="12" t="s">
        <v>1758</v>
      </c>
      <c r="H117" s="12"/>
      <c r="I117" s="12"/>
      <c r="J117" s="12" t="s">
        <v>878</v>
      </c>
    </row>
    <row r="118" customFormat="false" ht="15" hidden="false" customHeight="true" outlineLevel="0" collapsed="false">
      <c r="A118" s="12" t="s">
        <v>1892</v>
      </c>
      <c r="B118" s="13" t="s">
        <v>263</v>
      </c>
      <c r="C118" s="15" t="str">
        <f aca="false">IFERROR(INDEX(Dim_Employee!$B$2:$B$76,MATCH(B118,Dim_Employee!$A$2:$A$76,0)),"")</f>
        <v>Amaka Usman</v>
      </c>
      <c r="D118" s="12" t="s">
        <v>97</v>
      </c>
      <c r="E118" s="14" t="n">
        <v>45669</v>
      </c>
      <c r="F118" s="12" t="s">
        <v>1769</v>
      </c>
      <c r="G118" s="12" t="s">
        <v>1782</v>
      </c>
      <c r="H118" s="12" t="n">
        <v>12</v>
      </c>
      <c r="I118" s="12"/>
      <c r="J118" s="12" t="s">
        <v>1066</v>
      </c>
    </row>
    <row r="119" customFormat="false" ht="15" hidden="false" customHeight="true" outlineLevel="0" collapsed="false">
      <c r="A119" s="12" t="s">
        <v>1893</v>
      </c>
      <c r="B119" s="13" t="s">
        <v>183</v>
      </c>
      <c r="C119" s="15" t="str">
        <f aca="false">IFERROR(INDEX(Dim_Employee!$B$2:$B$76,MATCH(B119,Dim_Employee!$A$2:$A$76,0)),"")</f>
        <v>Titilayo Danjuma</v>
      </c>
      <c r="D119" s="12" t="s">
        <v>16</v>
      </c>
      <c r="E119" s="14" t="n">
        <v>45871</v>
      </c>
      <c r="F119" s="12" t="s">
        <v>1769</v>
      </c>
      <c r="G119" s="12" t="s">
        <v>1782</v>
      </c>
      <c r="H119" s="12" t="n">
        <v>13</v>
      </c>
      <c r="I119" s="12"/>
      <c r="J119" s="12" t="s">
        <v>856</v>
      </c>
    </row>
    <row r="120" customFormat="false" ht="15" hidden="false" customHeight="true" outlineLevel="0" collapsed="false">
      <c r="A120" s="12" t="s">
        <v>1894</v>
      </c>
      <c r="B120" s="13" t="s">
        <v>240</v>
      </c>
      <c r="C120" s="15" t="str">
        <f aca="false">IFERROR(INDEX(Dim_Employee!$B$2:$B$76,MATCH(B120,Dim_Employee!$A$2:$A$76,0)),"")</f>
        <v>Titilayo Okafor</v>
      </c>
      <c r="D120" s="12" t="s">
        <v>97</v>
      </c>
      <c r="E120" s="14" t="n">
        <v>45843</v>
      </c>
      <c r="F120" s="12" t="s">
        <v>1766</v>
      </c>
      <c r="G120" s="12" t="s">
        <v>1895</v>
      </c>
      <c r="H120" s="12" t="n">
        <v>2</v>
      </c>
      <c r="I120" s="12"/>
      <c r="J120" s="12" t="s">
        <v>878</v>
      </c>
    </row>
    <row r="121" customFormat="false" ht="15" hidden="false" customHeight="true" outlineLevel="0" collapsed="false">
      <c r="A121" s="12" t="s">
        <v>1896</v>
      </c>
      <c r="B121" s="13" t="s">
        <v>364</v>
      </c>
      <c r="C121" s="15" t="str">
        <f aca="false">IFERROR(INDEX(Dim_Employee!$B$2:$B$76,MATCH(B121,Dim_Employee!$A$2:$A$76,0)),"")</f>
        <v>Amaka Aliyu</v>
      </c>
      <c r="D121" s="12" t="s">
        <v>111</v>
      </c>
      <c r="E121" s="14" t="n">
        <v>45710</v>
      </c>
      <c r="F121" s="12" t="s">
        <v>1761</v>
      </c>
      <c r="G121" s="12" t="s">
        <v>1762</v>
      </c>
      <c r="H121" s="12"/>
      <c r="I121" s="12" t="n">
        <v>5</v>
      </c>
      <c r="J121" s="12" t="s">
        <v>1066</v>
      </c>
    </row>
    <row r="122" customFormat="false" ht="15" hidden="false" customHeight="true" outlineLevel="0" collapsed="false">
      <c r="A122" s="12" t="s">
        <v>1897</v>
      </c>
      <c r="B122" s="13" t="s">
        <v>327</v>
      </c>
      <c r="C122" s="15" t="str">
        <f aca="false">IFERROR(INDEX(Dim_Employee!$B$2:$B$76,MATCH(B122,Dim_Employee!$A$2:$A$76,0)),"")</f>
        <v>Adaeze Adeyemi</v>
      </c>
      <c r="D122" s="12" t="s">
        <v>28</v>
      </c>
      <c r="E122" s="14" t="n">
        <v>46002</v>
      </c>
      <c r="F122" s="12" t="s">
        <v>1766</v>
      </c>
      <c r="G122" s="12" t="s">
        <v>1767</v>
      </c>
      <c r="H122" s="12" t="n">
        <v>1</v>
      </c>
      <c r="I122" s="12"/>
      <c r="J122" s="12" t="s">
        <v>856</v>
      </c>
    </row>
    <row r="123" customFormat="false" ht="15" hidden="false" customHeight="true" outlineLevel="0" collapsed="false">
      <c r="A123" s="12" t="s">
        <v>1898</v>
      </c>
      <c r="B123" s="13" t="s">
        <v>347</v>
      </c>
      <c r="C123" s="15" t="str">
        <f aca="false">IFERROR(INDEX(Dim_Employee!$B$2:$B$76,MATCH(B123,Dim_Employee!$A$2:$A$76,0)),"")</f>
        <v>Rukayat Usman</v>
      </c>
      <c r="D123" s="12" t="s">
        <v>28</v>
      </c>
      <c r="E123" s="14" t="n">
        <v>45820</v>
      </c>
      <c r="F123" s="12" t="s">
        <v>1766</v>
      </c>
      <c r="G123" s="12" t="s">
        <v>1793</v>
      </c>
      <c r="H123" s="12" t="n">
        <v>4</v>
      </c>
      <c r="I123" s="12"/>
      <c r="J123" s="12" t="s">
        <v>1066</v>
      </c>
    </row>
    <row r="124" customFormat="false" ht="15" hidden="false" customHeight="true" outlineLevel="0" collapsed="false">
      <c r="A124" s="12" t="s">
        <v>1899</v>
      </c>
      <c r="B124" s="13" t="s">
        <v>187</v>
      </c>
      <c r="C124" s="15" t="str">
        <f aca="false">IFERROR(INDEX(Dim_Employee!$B$2:$B$76,MATCH(B124,Dim_Employee!$A$2:$A$76,0)),"")</f>
        <v>Uche Ojo</v>
      </c>
      <c r="D124" s="12" t="s">
        <v>16</v>
      </c>
      <c r="E124" s="14" t="n">
        <v>45816</v>
      </c>
      <c r="F124" s="12" t="s">
        <v>1761</v>
      </c>
      <c r="G124" s="12" t="s">
        <v>1764</v>
      </c>
      <c r="H124" s="12"/>
      <c r="I124" s="12" t="n">
        <v>2</v>
      </c>
      <c r="J124" s="12" t="s">
        <v>1057</v>
      </c>
    </row>
    <row r="125" customFormat="false" ht="15" hidden="false" customHeight="true" outlineLevel="0" collapsed="false">
      <c r="A125" s="12" t="s">
        <v>1900</v>
      </c>
      <c r="B125" s="13" t="s">
        <v>448</v>
      </c>
      <c r="C125" s="15" t="str">
        <f aca="false">IFERROR(INDEX(Dim_Employee!$B$2:$B$76,MATCH(B125,Dim_Employee!$A$2:$A$76,0)),"")</f>
        <v>Bola Bakare</v>
      </c>
      <c r="D125" s="12" t="s">
        <v>123</v>
      </c>
      <c r="E125" s="14" t="n">
        <v>45943</v>
      </c>
      <c r="F125" s="12" t="s">
        <v>1769</v>
      </c>
      <c r="G125" s="12" t="s">
        <v>1770</v>
      </c>
      <c r="H125" s="12" t="n">
        <v>10</v>
      </c>
      <c r="I125" s="12"/>
      <c r="J125" s="12" t="s">
        <v>1057</v>
      </c>
    </row>
    <row r="126" customFormat="false" ht="15" hidden="false" customHeight="true" outlineLevel="0" collapsed="false">
      <c r="A126" s="12" t="s">
        <v>1901</v>
      </c>
      <c r="B126" s="13" t="s">
        <v>448</v>
      </c>
      <c r="C126" s="15" t="str">
        <f aca="false">IFERROR(INDEX(Dim_Employee!$B$2:$B$76,MATCH(B126,Dim_Employee!$A$2:$A$76,0)),"")</f>
        <v>Bola Bakare</v>
      </c>
      <c r="D126" s="12" t="s">
        <v>123</v>
      </c>
      <c r="E126" s="14" t="n">
        <v>45908</v>
      </c>
      <c r="F126" s="12" t="s">
        <v>1769</v>
      </c>
      <c r="G126" s="12" t="s">
        <v>1782</v>
      </c>
      <c r="H126" s="12" t="n">
        <v>1</v>
      </c>
      <c r="I126" s="12"/>
      <c r="J126" s="12" t="s">
        <v>1057</v>
      </c>
    </row>
    <row r="127" customFormat="false" ht="15" hidden="false" customHeight="true" outlineLevel="0" collapsed="false">
      <c r="A127" s="12" t="s">
        <v>1902</v>
      </c>
      <c r="B127" s="13" t="s">
        <v>296</v>
      </c>
      <c r="C127" s="15" t="str">
        <f aca="false">IFERROR(INDEX(Dim_Employee!$B$2:$B$76,MATCH(B127,Dim_Employee!$A$2:$A$76,0)),"")</f>
        <v>Yusuf Usman</v>
      </c>
      <c r="D127" s="12" t="s">
        <v>104</v>
      </c>
      <c r="E127" s="14" t="n">
        <v>46001</v>
      </c>
      <c r="F127" s="12" t="s">
        <v>1766</v>
      </c>
      <c r="G127" s="12" t="s">
        <v>1793</v>
      </c>
      <c r="H127" s="12" t="n">
        <v>7</v>
      </c>
      <c r="I127" s="12"/>
      <c r="J127" s="12" t="s">
        <v>878</v>
      </c>
    </row>
    <row r="128" customFormat="false" ht="15" hidden="false" customHeight="true" outlineLevel="0" collapsed="false">
      <c r="A128" s="12" t="s">
        <v>1903</v>
      </c>
      <c r="B128" s="13" t="s">
        <v>416</v>
      </c>
      <c r="C128" s="15" t="str">
        <f aca="false">IFERROR(INDEX(Dim_Employee!$B$2:$B$76,MATCH(B128,Dim_Employee!$A$2:$A$76,0)),"")</f>
        <v>Halima Ibe</v>
      </c>
      <c r="D128" s="12" t="s">
        <v>115</v>
      </c>
      <c r="E128" s="14" t="n">
        <v>45707</v>
      </c>
      <c r="F128" s="12" t="s">
        <v>1778</v>
      </c>
      <c r="G128" s="12" t="s">
        <v>1779</v>
      </c>
      <c r="H128" s="12"/>
      <c r="I128" s="12"/>
      <c r="J128" s="12" t="s">
        <v>1066</v>
      </c>
    </row>
    <row r="129" customFormat="false" ht="15" hidden="false" customHeight="true" outlineLevel="0" collapsed="false">
      <c r="A129" s="12" t="s">
        <v>1904</v>
      </c>
      <c r="B129" s="13" t="s">
        <v>141</v>
      </c>
      <c r="C129" s="15" t="str">
        <f aca="false">IFERROR(INDEX(Dim_Employee!$B$2:$B$76,MATCH(B129,Dim_Employee!$A$2:$A$76,0)),"")</f>
        <v>Abdullahi Adeyemi</v>
      </c>
      <c r="D129" s="12" t="s">
        <v>16</v>
      </c>
      <c r="E129" s="14" t="n">
        <v>45965</v>
      </c>
      <c r="F129" s="12" t="s">
        <v>1773</v>
      </c>
      <c r="G129" s="12" t="s">
        <v>1836</v>
      </c>
      <c r="H129" s="12" t="n">
        <v>5</v>
      </c>
      <c r="I129" s="12"/>
      <c r="J129" s="12" t="s">
        <v>856</v>
      </c>
    </row>
    <row r="130" customFormat="false" ht="15" hidden="false" customHeight="true" outlineLevel="0" collapsed="false">
      <c r="A130" s="12" t="s">
        <v>1905</v>
      </c>
      <c r="B130" s="13" t="s">
        <v>296</v>
      </c>
      <c r="C130" s="15" t="str">
        <f aca="false">IFERROR(INDEX(Dim_Employee!$B$2:$B$76,MATCH(B130,Dim_Employee!$A$2:$A$76,0)),"")</f>
        <v>Yusuf Usman</v>
      </c>
      <c r="D130" s="12" t="s">
        <v>104</v>
      </c>
      <c r="E130" s="14" t="n">
        <v>45996</v>
      </c>
      <c r="F130" s="12" t="s">
        <v>1769</v>
      </c>
      <c r="G130" s="12" t="s">
        <v>1770</v>
      </c>
      <c r="H130" s="12" t="n">
        <v>12</v>
      </c>
      <c r="I130" s="12"/>
      <c r="J130" s="12" t="s">
        <v>856</v>
      </c>
    </row>
    <row r="131" customFormat="false" ht="15" hidden="false" customHeight="true" outlineLevel="0" collapsed="false">
      <c r="A131" s="12" t="s">
        <v>1906</v>
      </c>
      <c r="B131" s="13" t="s">
        <v>337</v>
      </c>
      <c r="C131" s="15" t="str">
        <f aca="false">IFERROR(INDEX(Dim_Employee!$B$2:$B$76,MATCH(B131,Dim_Employee!$A$2:$A$76,0)),"")</f>
        <v>Musa Yakubu</v>
      </c>
      <c r="D131" s="12" t="s">
        <v>28</v>
      </c>
      <c r="E131" s="14" t="n">
        <v>45691</v>
      </c>
      <c r="F131" s="12" t="s">
        <v>1761</v>
      </c>
      <c r="G131" s="12" t="s">
        <v>1762</v>
      </c>
      <c r="H131" s="12"/>
      <c r="I131" s="12" t="n">
        <v>2</v>
      </c>
      <c r="J131" s="12" t="s">
        <v>878</v>
      </c>
    </row>
    <row r="132" customFormat="false" ht="15" hidden="false" customHeight="true" outlineLevel="0" collapsed="false">
      <c r="A132" s="12" t="s">
        <v>1907</v>
      </c>
      <c r="B132" s="13" t="s">
        <v>383</v>
      </c>
      <c r="C132" s="15" t="str">
        <f aca="false">IFERROR(INDEX(Dim_Employee!$B$2:$B$76,MATCH(B132,Dim_Employee!$A$2:$A$76,0)),"")</f>
        <v>Tunde Ndukwe</v>
      </c>
      <c r="D132" s="12" t="s">
        <v>111</v>
      </c>
      <c r="E132" s="14" t="n">
        <v>45730</v>
      </c>
      <c r="F132" s="12" t="s">
        <v>1778</v>
      </c>
      <c r="G132" s="12" t="s">
        <v>1779</v>
      </c>
      <c r="H132" s="12"/>
      <c r="I132" s="12"/>
      <c r="J132" s="12" t="s">
        <v>1066</v>
      </c>
    </row>
    <row r="133" customFormat="false" ht="15" hidden="false" customHeight="true" outlineLevel="0" collapsed="false">
      <c r="A133" s="12" t="s">
        <v>1908</v>
      </c>
      <c r="B133" s="13" t="s">
        <v>369</v>
      </c>
      <c r="C133" s="15" t="str">
        <f aca="false">IFERROR(INDEX(Dim_Employee!$B$2:$B$76,MATCH(B133,Dim_Employee!$A$2:$A$76,0)),"")</f>
        <v>Chukwudi Yakubu</v>
      </c>
      <c r="D133" s="12" t="s">
        <v>111</v>
      </c>
      <c r="E133" s="14" t="n">
        <v>45757</v>
      </c>
      <c r="F133" s="12" t="s">
        <v>1778</v>
      </c>
      <c r="G133" s="12" t="s">
        <v>1779</v>
      </c>
      <c r="H133" s="12"/>
      <c r="I133" s="12"/>
      <c r="J133" s="12" t="s">
        <v>878</v>
      </c>
    </row>
    <row r="134" customFormat="false" ht="15" hidden="false" customHeight="true" outlineLevel="0" collapsed="false">
      <c r="A134" s="12" t="s">
        <v>1909</v>
      </c>
      <c r="B134" s="13" t="s">
        <v>199</v>
      </c>
      <c r="C134" s="15" t="str">
        <f aca="false">IFERROR(INDEX(Dim_Employee!$B$2:$B$76,MATCH(B134,Dim_Employee!$A$2:$A$76,0)),"")</f>
        <v>Olamide Anyanwu</v>
      </c>
      <c r="D134" s="12" t="s">
        <v>16</v>
      </c>
      <c r="E134" s="14" t="n">
        <v>45845</v>
      </c>
      <c r="F134" s="12" t="s">
        <v>1757</v>
      </c>
      <c r="G134" s="12" t="s">
        <v>1758</v>
      </c>
      <c r="H134" s="12"/>
      <c r="I134" s="12"/>
      <c r="J134" s="12" t="s">
        <v>878</v>
      </c>
    </row>
    <row r="135" customFormat="false" ht="15" hidden="false" customHeight="true" outlineLevel="0" collapsed="false">
      <c r="A135" s="12" t="s">
        <v>1910</v>
      </c>
      <c r="B135" s="13" t="s">
        <v>113</v>
      </c>
      <c r="C135" s="15" t="str">
        <f aca="false">IFERROR(INDEX(Dim_Employee!$B$2:$B$76,MATCH(B135,Dim_Employee!$A$2:$A$76,0)),"")</f>
        <v>Funmilayo Adeyemi</v>
      </c>
      <c r="D135" s="12" t="s">
        <v>111</v>
      </c>
      <c r="E135" s="14" t="n">
        <v>45731</v>
      </c>
      <c r="F135" s="12" t="s">
        <v>1757</v>
      </c>
      <c r="G135" s="12" t="s">
        <v>1758</v>
      </c>
      <c r="H135" s="12"/>
      <c r="I135" s="12"/>
      <c r="J135" s="12" t="s">
        <v>1066</v>
      </c>
    </row>
    <row r="136" customFormat="false" ht="15" hidden="false" customHeight="true" outlineLevel="0" collapsed="false">
      <c r="A136" s="12" t="s">
        <v>1911</v>
      </c>
      <c r="B136" s="13" t="s">
        <v>203</v>
      </c>
      <c r="C136" s="15" t="str">
        <f aca="false">IFERROR(INDEX(Dim_Employee!$B$2:$B$76,MATCH(B136,Dim_Employee!$A$2:$A$76,0)),"")</f>
        <v>Tunde Okonkwo</v>
      </c>
      <c r="D136" s="12" t="s">
        <v>16</v>
      </c>
      <c r="E136" s="14" t="n">
        <v>45914</v>
      </c>
      <c r="F136" s="12" t="s">
        <v>1761</v>
      </c>
      <c r="G136" s="12" t="s">
        <v>1762</v>
      </c>
      <c r="H136" s="12"/>
      <c r="I136" s="12" t="n">
        <v>2</v>
      </c>
      <c r="J136" s="12" t="s">
        <v>878</v>
      </c>
    </row>
    <row r="137" customFormat="false" ht="15" hidden="false" customHeight="true" outlineLevel="0" collapsed="false">
      <c r="A137" s="12" t="s">
        <v>1912</v>
      </c>
      <c r="B137" s="13" t="s">
        <v>95</v>
      </c>
      <c r="C137" s="15" t="str">
        <f aca="false">IFERROR(INDEX(Dim_Employee!$B$2:$B$76,MATCH(B137,Dim_Employee!$A$2:$A$76,0)),"")</f>
        <v>Titilayo Abubakar</v>
      </c>
      <c r="D137" s="12" t="s">
        <v>19</v>
      </c>
      <c r="E137" s="14" t="n">
        <v>45758</v>
      </c>
      <c r="F137" s="12" t="s">
        <v>1773</v>
      </c>
      <c r="G137" s="12" t="s">
        <v>1776</v>
      </c>
      <c r="H137" s="12" t="n">
        <v>2</v>
      </c>
      <c r="I137" s="12"/>
      <c r="J137" s="12" t="s">
        <v>878</v>
      </c>
    </row>
    <row r="138" customFormat="false" ht="15" hidden="false" customHeight="true" outlineLevel="0" collapsed="false">
      <c r="A138" s="12" t="s">
        <v>1913</v>
      </c>
      <c r="B138" s="13" t="s">
        <v>109</v>
      </c>
      <c r="C138" s="15" t="str">
        <f aca="false">IFERROR(INDEX(Dim_Employee!$B$2:$B$76,MATCH(B138,Dim_Employee!$A$2:$A$76,0)),"")</f>
        <v>Suleiman Garba</v>
      </c>
      <c r="D138" s="12" t="s">
        <v>28</v>
      </c>
      <c r="E138" s="14" t="n">
        <v>45817</v>
      </c>
      <c r="F138" s="12" t="s">
        <v>1769</v>
      </c>
      <c r="G138" s="12" t="s">
        <v>1770</v>
      </c>
      <c r="H138" s="12" t="n">
        <v>9</v>
      </c>
      <c r="I138" s="12"/>
      <c r="J138" s="12" t="s">
        <v>856</v>
      </c>
    </row>
    <row r="139" customFormat="false" ht="15" hidden="false" customHeight="true" outlineLevel="0" collapsed="false">
      <c r="A139" s="12" t="s">
        <v>1914</v>
      </c>
      <c r="B139" s="13" t="s">
        <v>102</v>
      </c>
      <c r="C139" s="15" t="str">
        <f aca="false">IFERROR(INDEX(Dim_Employee!$B$2:$B$76,MATCH(B139,Dim_Employee!$A$2:$A$76,0)),"")</f>
        <v>Yusuf Abubakar</v>
      </c>
      <c r="D139" s="12" t="s">
        <v>24</v>
      </c>
      <c r="E139" s="14" t="n">
        <v>45921</v>
      </c>
      <c r="F139" s="12" t="s">
        <v>1778</v>
      </c>
      <c r="G139" s="12" t="s">
        <v>1779</v>
      </c>
      <c r="H139" s="12"/>
      <c r="I139" s="12"/>
      <c r="J139" s="12" t="s">
        <v>878</v>
      </c>
    </row>
    <row r="140" customFormat="false" ht="15" hidden="false" customHeight="true" outlineLevel="0" collapsed="false">
      <c r="A140" s="12" t="s">
        <v>1915</v>
      </c>
      <c r="B140" s="13" t="s">
        <v>102</v>
      </c>
      <c r="C140" s="15" t="str">
        <f aca="false">IFERROR(INDEX(Dim_Employee!$B$2:$B$76,MATCH(B140,Dim_Employee!$A$2:$A$76,0)),"")</f>
        <v>Yusuf Abubakar</v>
      </c>
      <c r="D140" s="12" t="s">
        <v>24</v>
      </c>
      <c r="E140" s="14" t="n">
        <v>45773</v>
      </c>
      <c r="F140" s="12" t="s">
        <v>1778</v>
      </c>
      <c r="G140" s="12" t="s">
        <v>1779</v>
      </c>
      <c r="H140" s="12"/>
      <c r="I140" s="12"/>
      <c r="J140" s="12" t="s">
        <v>1066</v>
      </c>
    </row>
    <row r="141" customFormat="false" ht="15" hidden="false" customHeight="true" outlineLevel="0" collapsed="false">
      <c r="A141" s="12" t="s">
        <v>1916</v>
      </c>
      <c r="B141" s="13" t="s">
        <v>319</v>
      </c>
      <c r="C141" s="15" t="str">
        <f aca="false">IFERROR(INDEX(Dim_Employee!$B$2:$B$76,MATCH(B141,Dim_Employee!$A$2:$A$76,0)),"")</f>
        <v>Funmilayo Yakubu</v>
      </c>
      <c r="D141" s="12" t="s">
        <v>104</v>
      </c>
      <c r="E141" s="14" t="n">
        <v>45848</v>
      </c>
      <c r="F141" s="12" t="s">
        <v>1778</v>
      </c>
      <c r="G141" s="12" t="s">
        <v>1779</v>
      </c>
      <c r="H141" s="12"/>
      <c r="I141" s="12"/>
      <c r="J141" s="12" t="s">
        <v>878</v>
      </c>
    </row>
    <row r="142" customFormat="false" ht="15" hidden="false" customHeight="true" outlineLevel="0" collapsed="false">
      <c r="A142" s="12" t="s">
        <v>1917</v>
      </c>
      <c r="B142" s="13" t="s">
        <v>467</v>
      </c>
      <c r="C142" s="15" t="str">
        <f aca="false">IFERROR(INDEX(Dim_Employee!$B$2:$B$76,MATCH(B142,Dim_Employee!$A$2:$A$76,0)),"")</f>
        <v>Halima Okafor</v>
      </c>
      <c r="D142" s="12" t="s">
        <v>123</v>
      </c>
      <c r="E142" s="14" t="n">
        <v>45958</v>
      </c>
      <c r="F142" s="12" t="s">
        <v>1769</v>
      </c>
      <c r="G142" s="12" t="s">
        <v>1782</v>
      </c>
      <c r="H142" s="12" t="n">
        <v>7</v>
      </c>
      <c r="I142" s="12"/>
      <c r="J142" s="12" t="s">
        <v>856</v>
      </c>
    </row>
    <row r="143" customFormat="false" ht="15" hidden="false" customHeight="true" outlineLevel="0" collapsed="false">
      <c r="A143" s="12" t="s">
        <v>1918</v>
      </c>
      <c r="B143" s="13" t="s">
        <v>211</v>
      </c>
      <c r="C143" s="15" t="str">
        <f aca="false">IFERROR(INDEX(Dim_Employee!$B$2:$B$76,MATCH(B143,Dim_Employee!$A$2:$A$76,0)),"")</f>
        <v>Abdullahi Yakubu</v>
      </c>
      <c r="D143" s="12" t="s">
        <v>19</v>
      </c>
      <c r="E143" s="14" t="n">
        <v>45830</v>
      </c>
      <c r="F143" s="12" t="s">
        <v>1761</v>
      </c>
      <c r="G143" s="12" t="s">
        <v>1764</v>
      </c>
      <c r="H143" s="12"/>
      <c r="I143" s="12" t="n">
        <v>3</v>
      </c>
      <c r="J143" s="12" t="s">
        <v>1066</v>
      </c>
    </row>
    <row r="144" customFormat="false" ht="15" hidden="false" customHeight="true" outlineLevel="0" collapsed="false">
      <c r="A144" s="12" t="s">
        <v>1919</v>
      </c>
      <c r="B144" s="13" t="s">
        <v>191</v>
      </c>
      <c r="C144" s="15" t="str">
        <f aca="false">IFERROR(INDEX(Dim_Employee!$B$2:$B$76,MATCH(B144,Dim_Employee!$A$2:$A$76,0)),"")</f>
        <v>Chukwudi Eze</v>
      </c>
      <c r="D144" s="12" t="s">
        <v>16</v>
      </c>
      <c r="E144" s="14" t="n">
        <v>45765</v>
      </c>
      <c r="F144" s="12" t="s">
        <v>1757</v>
      </c>
      <c r="G144" s="12" t="s">
        <v>1758</v>
      </c>
      <c r="H144" s="12"/>
      <c r="I144" s="12"/>
      <c r="J144" s="12" t="s">
        <v>878</v>
      </c>
    </row>
    <row r="145" customFormat="false" ht="15" hidden="false" customHeight="true" outlineLevel="0" collapsed="false">
      <c r="A145" s="12" t="s">
        <v>1920</v>
      </c>
      <c r="B145" s="13" t="s">
        <v>383</v>
      </c>
      <c r="C145" s="15" t="str">
        <f aca="false">IFERROR(INDEX(Dim_Employee!$B$2:$B$76,MATCH(B145,Dim_Employee!$A$2:$A$76,0)),"")</f>
        <v>Tunde Ndukwe</v>
      </c>
      <c r="D145" s="12" t="s">
        <v>111</v>
      </c>
      <c r="E145" s="14" t="n">
        <v>45763</v>
      </c>
      <c r="F145" s="12" t="s">
        <v>1757</v>
      </c>
      <c r="G145" s="12" t="s">
        <v>1758</v>
      </c>
      <c r="H145" s="12"/>
      <c r="I145" s="12"/>
      <c r="J145" s="12" t="s">
        <v>1057</v>
      </c>
    </row>
    <row r="146" customFormat="false" ht="15" hidden="false" customHeight="true" outlineLevel="0" collapsed="false">
      <c r="A146" s="12" t="s">
        <v>1921</v>
      </c>
      <c r="B146" s="13" t="s">
        <v>458</v>
      </c>
      <c r="C146" s="15" t="str">
        <f aca="false">IFERROR(INDEX(Dim_Employee!$B$2:$B$76,MATCH(B146,Dim_Employee!$A$2:$A$76,0)),"")</f>
        <v>Grace Chukwu</v>
      </c>
      <c r="D146" s="12" t="s">
        <v>123</v>
      </c>
      <c r="E146" s="14" t="n">
        <v>45823</v>
      </c>
      <c r="F146" s="12" t="s">
        <v>1766</v>
      </c>
      <c r="G146" s="12" t="s">
        <v>1793</v>
      </c>
      <c r="H146" s="12" t="n">
        <v>21</v>
      </c>
      <c r="I146" s="12"/>
      <c r="J146" s="12" t="s">
        <v>856</v>
      </c>
    </row>
    <row r="147" customFormat="false" ht="15" hidden="false" customHeight="true" outlineLevel="0" collapsed="false">
      <c r="A147" s="12" t="s">
        <v>1922</v>
      </c>
      <c r="B147" s="13" t="s">
        <v>296</v>
      </c>
      <c r="C147" s="15" t="str">
        <f aca="false">IFERROR(INDEX(Dim_Employee!$B$2:$B$76,MATCH(B147,Dim_Employee!$A$2:$A$76,0)),"")</f>
        <v>Yusuf Usman</v>
      </c>
      <c r="D147" s="12" t="s">
        <v>104</v>
      </c>
      <c r="E147" s="14" t="n">
        <v>45743</v>
      </c>
      <c r="F147" s="12" t="s">
        <v>1773</v>
      </c>
      <c r="G147" s="12" t="s">
        <v>1836</v>
      </c>
      <c r="H147" s="12" t="n">
        <v>4</v>
      </c>
      <c r="I147" s="12"/>
      <c r="J147" s="12" t="s">
        <v>856</v>
      </c>
    </row>
    <row r="148" customFormat="false" ht="15" hidden="false" customHeight="true" outlineLevel="0" collapsed="false">
      <c r="A148" s="12" t="s">
        <v>1923</v>
      </c>
      <c r="B148" s="13" t="s">
        <v>91</v>
      </c>
      <c r="C148" s="15" t="str">
        <f aca="false">IFERROR(INDEX(Dim_Employee!$B$2:$B$76,MATCH(B148,Dim_Employee!$A$2:$A$76,0)),"")</f>
        <v>Ngozi Okafor</v>
      </c>
      <c r="D148" s="12" t="s">
        <v>16</v>
      </c>
      <c r="E148" s="14" t="n">
        <v>45891</v>
      </c>
      <c r="F148" s="12" t="s">
        <v>1778</v>
      </c>
      <c r="G148" s="12" t="s">
        <v>1779</v>
      </c>
      <c r="H148" s="12"/>
      <c r="I148" s="12"/>
      <c r="J148" s="12" t="s">
        <v>856</v>
      </c>
    </row>
    <row r="149" customFormat="false" ht="15" hidden="false" customHeight="true" outlineLevel="0" collapsed="false">
      <c r="A149" s="12" t="s">
        <v>1924</v>
      </c>
      <c r="B149" s="13" t="s">
        <v>95</v>
      </c>
      <c r="C149" s="15" t="str">
        <f aca="false">IFERROR(INDEX(Dim_Employee!$B$2:$B$76,MATCH(B149,Dim_Employee!$A$2:$A$76,0)),"")</f>
        <v>Titilayo Abubakar</v>
      </c>
      <c r="D149" s="12" t="s">
        <v>19</v>
      </c>
      <c r="E149" s="14" t="n">
        <v>45996</v>
      </c>
      <c r="F149" s="12" t="s">
        <v>1757</v>
      </c>
      <c r="G149" s="12" t="s">
        <v>1758</v>
      </c>
      <c r="H149" s="12"/>
      <c r="I149" s="12"/>
      <c r="J149" s="12" t="s">
        <v>878</v>
      </c>
    </row>
    <row r="150" customFormat="false" ht="15" hidden="false" customHeight="true" outlineLevel="0" collapsed="false">
      <c r="A150" s="12" t="s">
        <v>1925</v>
      </c>
      <c r="B150" s="13" t="s">
        <v>332</v>
      </c>
      <c r="C150" s="15" t="str">
        <f aca="false">IFERROR(INDEX(Dim_Employee!$B$2:$B$76,MATCH(B150,Dim_Employee!$A$2:$A$76,0)),"")</f>
        <v>Chiamaka Bakare</v>
      </c>
      <c r="D150" s="12" t="s">
        <v>28</v>
      </c>
      <c r="E150" s="14" t="n">
        <v>45964</v>
      </c>
      <c r="F150" s="12" t="s">
        <v>1778</v>
      </c>
      <c r="G150" s="12" t="s">
        <v>1779</v>
      </c>
      <c r="H150" s="12"/>
      <c r="I150" s="12"/>
      <c r="J150" s="12" t="s">
        <v>878</v>
      </c>
    </row>
    <row r="151" customFormat="false" ht="15" hidden="false" customHeight="true" outlineLevel="0" collapsed="false">
      <c r="A151" s="12" t="s">
        <v>1926</v>
      </c>
      <c r="B151" s="13" t="s">
        <v>374</v>
      </c>
      <c r="C151" s="15" t="str">
        <f aca="false">IFERROR(INDEX(Dim_Employee!$B$2:$B$76,MATCH(B151,Dim_Employee!$A$2:$A$76,0)),"")</f>
        <v>Titilayo Chukwu</v>
      </c>
      <c r="D151" s="12" t="s">
        <v>111</v>
      </c>
      <c r="E151" s="14" t="n">
        <v>45798</v>
      </c>
      <c r="F151" s="12" t="s">
        <v>1761</v>
      </c>
      <c r="G151" s="12" t="s">
        <v>1762</v>
      </c>
      <c r="H151" s="12"/>
      <c r="I151" s="12" t="n">
        <v>1</v>
      </c>
      <c r="J151" s="12" t="s">
        <v>1057</v>
      </c>
    </row>
    <row r="152" customFormat="false" ht="15" hidden="false" customHeight="true" outlineLevel="0" collapsed="false">
      <c r="A152" s="12" t="s">
        <v>1927</v>
      </c>
      <c r="B152" s="13" t="s">
        <v>183</v>
      </c>
      <c r="C152" s="15" t="str">
        <f aca="false">IFERROR(INDEX(Dim_Employee!$B$2:$B$76,MATCH(B152,Dim_Employee!$A$2:$A$76,0)),"")</f>
        <v>Titilayo Danjuma</v>
      </c>
      <c r="D152" s="12" t="s">
        <v>16</v>
      </c>
      <c r="E152" s="14" t="n">
        <v>45688</v>
      </c>
      <c r="F152" s="12" t="s">
        <v>1766</v>
      </c>
      <c r="G152" s="12" t="s">
        <v>1767</v>
      </c>
      <c r="H152" s="12" t="n">
        <v>7</v>
      </c>
      <c r="I152" s="12"/>
      <c r="J152" s="12" t="s">
        <v>856</v>
      </c>
    </row>
    <row r="153" customFormat="false" ht="15" hidden="false" customHeight="true" outlineLevel="0" collapsed="false">
      <c r="A153" s="12" t="s">
        <v>1928</v>
      </c>
      <c r="B153" s="13" t="s">
        <v>364</v>
      </c>
      <c r="C153" s="15" t="str">
        <f aca="false">IFERROR(INDEX(Dim_Employee!$B$2:$B$76,MATCH(B153,Dim_Employee!$A$2:$A$76,0)),"")</f>
        <v>Amaka Aliyu</v>
      </c>
      <c r="D153" s="12" t="s">
        <v>111</v>
      </c>
      <c r="E153" s="14" t="n">
        <v>45978</v>
      </c>
      <c r="F153" s="12" t="s">
        <v>1778</v>
      </c>
      <c r="G153" s="12" t="s">
        <v>1779</v>
      </c>
      <c r="H153" s="12"/>
      <c r="I153" s="12"/>
      <c r="J153" s="12" t="s">
        <v>1066</v>
      </c>
    </row>
    <row r="154" customFormat="false" ht="15" hidden="false" customHeight="true" outlineLevel="0" collapsed="false">
      <c r="A154" s="12" t="s">
        <v>1929</v>
      </c>
      <c r="B154" s="13" t="s">
        <v>332</v>
      </c>
      <c r="C154" s="15" t="str">
        <f aca="false">IFERROR(INDEX(Dim_Employee!$B$2:$B$76,MATCH(B154,Dim_Employee!$A$2:$A$76,0)),"")</f>
        <v>Chiamaka Bakare</v>
      </c>
      <c r="D154" s="12" t="s">
        <v>28</v>
      </c>
      <c r="E154" s="14" t="n">
        <v>45797</v>
      </c>
      <c r="F154" s="12" t="s">
        <v>1773</v>
      </c>
      <c r="G154" s="12" t="s">
        <v>1776</v>
      </c>
      <c r="H154" s="12" t="n">
        <v>2</v>
      </c>
      <c r="I154" s="12"/>
      <c r="J154" s="12" t="s">
        <v>1057</v>
      </c>
    </row>
    <row r="155" customFormat="false" ht="15" hidden="false" customHeight="true" outlineLevel="0" collapsed="false">
      <c r="A155" s="12" t="s">
        <v>1930</v>
      </c>
      <c r="B155" s="13" t="s">
        <v>327</v>
      </c>
      <c r="C155" s="15" t="str">
        <f aca="false">IFERROR(INDEX(Dim_Employee!$B$2:$B$76,MATCH(B155,Dim_Employee!$A$2:$A$76,0)),"")</f>
        <v>Adaeze Adeyemi</v>
      </c>
      <c r="D155" s="12" t="s">
        <v>28</v>
      </c>
      <c r="E155" s="14" t="n">
        <v>45694</v>
      </c>
      <c r="F155" s="12" t="s">
        <v>1757</v>
      </c>
      <c r="G155" s="12" t="s">
        <v>1758</v>
      </c>
      <c r="H155" s="12"/>
      <c r="I155" s="12"/>
      <c r="J155" s="12" t="s">
        <v>1057</v>
      </c>
    </row>
    <row r="156" customFormat="false" ht="15" hidden="false" customHeight="true" outlineLevel="0" collapsed="false">
      <c r="A156" s="12" t="s">
        <v>1931</v>
      </c>
      <c r="B156" s="13" t="s">
        <v>146</v>
      </c>
      <c r="C156" s="15" t="str">
        <f aca="false">IFERROR(INDEX(Dim_Employee!$B$2:$B$76,MATCH(B156,Dim_Employee!$A$2:$A$76,0)),"")</f>
        <v>Olamide Sani</v>
      </c>
      <c r="D156" s="12" t="s">
        <v>16</v>
      </c>
      <c r="E156" s="14" t="n">
        <v>45976</v>
      </c>
      <c r="F156" s="12" t="s">
        <v>1769</v>
      </c>
      <c r="G156" s="12" t="s">
        <v>1770</v>
      </c>
      <c r="H156" s="12" t="n">
        <v>16</v>
      </c>
      <c r="I156" s="12"/>
      <c r="J156" s="12" t="s">
        <v>1066</v>
      </c>
    </row>
    <row r="157" customFormat="false" ht="15" hidden="false" customHeight="true" outlineLevel="0" collapsed="false">
      <c r="A157" s="12" t="s">
        <v>1932</v>
      </c>
      <c r="B157" s="13" t="s">
        <v>416</v>
      </c>
      <c r="C157" s="15" t="str">
        <f aca="false">IFERROR(INDEX(Dim_Employee!$B$2:$B$76,MATCH(B157,Dim_Employee!$A$2:$A$76,0)),"")</f>
        <v>Halima Ibe</v>
      </c>
      <c r="D157" s="12" t="s">
        <v>115</v>
      </c>
      <c r="E157" s="14" t="n">
        <v>45749</v>
      </c>
      <c r="F157" s="12" t="s">
        <v>1773</v>
      </c>
      <c r="G157" s="12" t="s">
        <v>1776</v>
      </c>
      <c r="H157" s="12" t="n">
        <v>4</v>
      </c>
      <c r="I157" s="12"/>
      <c r="J157" s="12" t="s">
        <v>1066</v>
      </c>
    </row>
    <row r="158" customFormat="false" ht="15" hidden="false" customHeight="true" outlineLevel="0" collapsed="false">
      <c r="A158" s="12" t="s">
        <v>1933</v>
      </c>
      <c r="B158" s="13" t="s">
        <v>351</v>
      </c>
      <c r="C158" s="15" t="str">
        <f aca="false">IFERROR(INDEX(Dim_Employee!$B$2:$B$76,MATCH(B158,Dim_Employee!$A$2:$A$76,0)),"")</f>
        <v>Rukayat Ude</v>
      </c>
      <c r="D158" s="12" t="s">
        <v>28</v>
      </c>
      <c r="E158" s="14" t="n">
        <v>45932</v>
      </c>
      <c r="F158" s="12" t="s">
        <v>1778</v>
      </c>
      <c r="G158" s="12" t="s">
        <v>1779</v>
      </c>
      <c r="H158" s="12"/>
      <c r="I158" s="12"/>
      <c r="J158" s="12" t="s">
        <v>1066</v>
      </c>
    </row>
    <row r="159" customFormat="false" ht="15" hidden="false" customHeight="true" outlineLevel="0" collapsed="false">
      <c r="A159" s="12" t="s">
        <v>1934</v>
      </c>
      <c r="B159" s="13" t="s">
        <v>383</v>
      </c>
      <c r="C159" s="15" t="str">
        <f aca="false">IFERROR(INDEX(Dim_Employee!$B$2:$B$76,MATCH(B159,Dim_Employee!$A$2:$A$76,0)),"")</f>
        <v>Tunde Ndukwe</v>
      </c>
      <c r="D159" s="12" t="s">
        <v>111</v>
      </c>
      <c r="E159" s="14" t="n">
        <v>45752</v>
      </c>
      <c r="F159" s="12" t="s">
        <v>1769</v>
      </c>
      <c r="G159" s="12" t="s">
        <v>1770</v>
      </c>
      <c r="H159" s="12" t="n">
        <v>8</v>
      </c>
      <c r="I159" s="12"/>
      <c r="J159" s="12" t="s">
        <v>1066</v>
      </c>
    </row>
    <row r="160" customFormat="false" ht="15" hidden="false" customHeight="true" outlineLevel="0" collapsed="false">
      <c r="A160" s="12" t="s">
        <v>1935</v>
      </c>
      <c r="B160" s="13" t="s">
        <v>211</v>
      </c>
      <c r="C160" s="15" t="str">
        <f aca="false">IFERROR(INDEX(Dim_Employee!$B$2:$B$76,MATCH(B160,Dim_Employee!$A$2:$A$76,0)),"")</f>
        <v>Abdullahi Yakubu</v>
      </c>
      <c r="D160" s="12" t="s">
        <v>19</v>
      </c>
      <c r="E160" s="14" t="n">
        <v>45662</v>
      </c>
      <c r="F160" s="12" t="s">
        <v>1761</v>
      </c>
      <c r="G160" s="12" t="s">
        <v>1762</v>
      </c>
      <c r="H160" s="12"/>
      <c r="I160" s="12" t="n">
        <v>4</v>
      </c>
      <c r="J160" s="12" t="s">
        <v>1066</v>
      </c>
    </row>
    <row r="161" customFormat="false" ht="15" hidden="false" customHeight="true" outlineLevel="0" collapsed="false">
      <c r="A161" s="12" t="s">
        <v>1936</v>
      </c>
      <c r="B161" s="13" t="s">
        <v>405</v>
      </c>
      <c r="C161" s="15" t="str">
        <f aca="false">IFERROR(INDEX(Dim_Employee!$B$2:$B$76,MATCH(B161,Dim_Employee!$A$2:$A$76,0)),"")</f>
        <v>Zainab Sani</v>
      </c>
      <c r="D161" s="12" t="s">
        <v>115</v>
      </c>
      <c r="E161" s="14" t="n">
        <v>45999</v>
      </c>
      <c r="F161" s="12" t="s">
        <v>1761</v>
      </c>
      <c r="G161" s="12" t="s">
        <v>1764</v>
      </c>
      <c r="H161" s="12"/>
      <c r="I161" s="12" t="n">
        <v>1</v>
      </c>
      <c r="J161" s="12" t="s">
        <v>856</v>
      </c>
    </row>
    <row r="162" customFormat="false" ht="15" hidden="false" customHeight="true" outlineLevel="0" collapsed="false">
      <c r="A162" s="12" t="s">
        <v>1937</v>
      </c>
      <c r="B162" s="13" t="s">
        <v>383</v>
      </c>
      <c r="C162" s="15" t="str">
        <f aca="false">IFERROR(INDEX(Dim_Employee!$B$2:$B$76,MATCH(B162,Dim_Employee!$A$2:$A$76,0)),"")</f>
        <v>Tunde Ndukwe</v>
      </c>
      <c r="D162" s="12" t="s">
        <v>111</v>
      </c>
      <c r="E162" s="14" t="n">
        <v>45836</v>
      </c>
      <c r="F162" s="12" t="s">
        <v>1757</v>
      </c>
      <c r="G162" s="12" t="s">
        <v>1758</v>
      </c>
      <c r="H162" s="12"/>
      <c r="I162" s="12"/>
      <c r="J162" s="12" t="s">
        <v>1066</v>
      </c>
    </row>
    <row r="163" customFormat="false" ht="15" hidden="false" customHeight="true" outlineLevel="0" collapsed="false">
      <c r="A163" s="12" t="s">
        <v>1938</v>
      </c>
      <c r="B163" s="13" t="s">
        <v>125</v>
      </c>
      <c r="C163" s="15" t="str">
        <f aca="false">IFERROR(INDEX(Dim_Employee!$B$2:$B$76,MATCH(B163,Dim_Employee!$A$2:$A$76,0)),"")</f>
        <v>Chukwudi Yakubu</v>
      </c>
      <c r="D163" s="12" t="s">
        <v>123</v>
      </c>
      <c r="E163" s="14" t="n">
        <v>45961</v>
      </c>
      <c r="F163" s="12" t="s">
        <v>1769</v>
      </c>
      <c r="G163" s="12" t="s">
        <v>1782</v>
      </c>
      <c r="H163" s="12" t="n">
        <v>18</v>
      </c>
      <c r="I163" s="12"/>
      <c r="J163" s="12" t="s">
        <v>1066</v>
      </c>
    </row>
    <row r="164" customFormat="false" ht="15" hidden="false" customHeight="true" outlineLevel="0" collapsed="false">
      <c r="A164" s="12" t="s">
        <v>1939</v>
      </c>
      <c r="B164" s="13" t="s">
        <v>121</v>
      </c>
      <c r="C164" s="15" t="str">
        <f aca="false">IFERROR(INDEX(Dim_Employee!$B$2:$B$76,MATCH(B164,Dim_Employee!$A$2:$A$76,0)),"")</f>
        <v>Aisha Igwe</v>
      </c>
      <c r="D164" s="12" t="s">
        <v>119</v>
      </c>
      <c r="E164" s="14" t="n">
        <v>46008</v>
      </c>
      <c r="F164" s="12" t="s">
        <v>1757</v>
      </c>
      <c r="G164" s="12" t="s">
        <v>1758</v>
      </c>
      <c r="H164" s="12"/>
      <c r="I164" s="12"/>
      <c r="J164" s="12" t="s">
        <v>1066</v>
      </c>
    </row>
    <row r="165" customFormat="false" ht="15" hidden="false" customHeight="true" outlineLevel="0" collapsed="false">
      <c r="A165" s="12" t="s">
        <v>1940</v>
      </c>
      <c r="B165" s="13" t="s">
        <v>276</v>
      </c>
      <c r="C165" s="15" t="str">
        <f aca="false">IFERROR(INDEX(Dim_Employee!$B$2:$B$76,MATCH(B165,Dim_Employee!$A$2:$A$76,0)),"")</f>
        <v>Blessing Nnamdi</v>
      </c>
      <c r="D165" s="12" t="s">
        <v>24</v>
      </c>
      <c r="E165" s="14" t="n">
        <v>45750</v>
      </c>
      <c r="F165" s="12" t="s">
        <v>1778</v>
      </c>
      <c r="G165" s="12" t="s">
        <v>1779</v>
      </c>
      <c r="H165" s="12"/>
      <c r="I165" s="12"/>
      <c r="J165" s="12" t="s">
        <v>1066</v>
      </c>
    </row>
    <row r="166" customFormat="false" ht="15" hidden="false" customHeight="true" outlineLevel="0" collapsed="false">
      <c r="A166" s="12" t="s">
        <v>1941</v>
      </c>
      <c r="B166" s="13" t="s">
        <v>301</v>
      </c>
      <c r="C166" s="15" t="str">
        <f aca="false">IFERROR(INDEX(Dim_Employee!$B$2:$B$76,MATCH(B166,Dim_Employee!$A$2:$A$76,0)),"")</f>
        <v>Ibrahim Nwosu</v>
      </c>
      <c r="D166" s="12" t="s">
        <v>104</v>
      </c>
      <c r="E166" s="14" t="n">
        <v>45723</v>
      </c>
      <c r="F166" s="12" t="s">
        <v>1778</v>
      </c>
      <c r="G166" s="12" t="s">
        <v>1779</v>
      </c>
      <c r="H166" s="12"/>
      <c r="I166" s="12"/>
      <c r="J166" s="12" t="s">
        <v>1066</v>
      </c>
    </row>
    <row r="167" customFormat="false" ht="15" hidden="false" customHeight="true" outlineLevel="0" collapsed="false">
      <c r="A167" s="12" t="s">
        <v>1942</v>
      </c>
      <c r="B167" s="13" t="s">
        <v>337</v>
      </c>
      <c r="C167" s="15" t="str">
        <f aca="false">IFERROR(INDEX(Dim_Employee!$B$2:$B$76,MATCH(B167,Dim_Employee!$A$2:$A$76,0)),"")</f>
        <v>Musa Yakubu</v>
      </c>
      <c r="D167" s="12" t="s">
        <v>28</v>
      </c>
      <c r="E167" s="14" t="n">
        <v>45812</v>
      </c>
      <c r="F167" s="12" t="s">
        <v>1778</v>
      </c>
      <c r="G167" s="12" t="s">
        <v>1779</v>
      </c>
      <c r="H167" s="12"/>
      <c r="I167" s="12"/>
      <c r="J167" s="12" t="s">
        <v>856</v>
      </c>
    </row>
    <row r="168" customFormat="false" ht="15" hidden="false" customHeight="true" outlineLevel="0" collapsed="false">
      <c r="A168" s="12" t="s">
        <v>1943</v>
      </c>
      <c r="B168" s="13" t="s">
        <v>395</v>
      </c>
      <c r="C168" s="15" t="str">
        <f aca="false">IFERROR(INDEX(Dim_Employee!$B$2:$B$76,MATCH(B168,Dim_Employee!$A$2:$A$76,0)),"")</f>
        <v>Zainab Nwosu</v>
      </c>
      <c r="D168" s="12" t="s">
        <v>115</v>
      </c>
      <c r="E168" s="14" t="n">
        <v>45738</v>
      </c>
      <c r="F168" s="12" t="s">
        <v>1769</v>
      </c>
      <c r="G168" s="12" t="s">
        <v>1770</v>
      </c>
      <c r="H168" s="12" t="n">
        <v>6</v>
      </c>
      <c r="I168" s="12"/>
      <c r="J168" s="12" t="s">
        <v>856</v>
      </c>
    </row>
    <row r="169" customFormat="false" ht="15" hidden="false" customHeight="true" outlineLevel="0" collapsed="false">
      <c r="A169" s="12" t="s">
        <v>1944</v>
      </c>
      <c r="B169" s="13" t="s">
        <v>259</v>
      </c>
      <c r="C169" s="15" t="str">
        <f aca="false">IFERROR(INDEX(Dim_Employee!$B$2:$B$76,MATCH(B169,Dim_Employee!$A$2:$A$76,0)),"")</f>
        <v>Blessing Balogun</v>
      </c>
      <c r="D169" s="12" t="s">
        <v>97</v>
      </c>
      <c r="E169" s="14" t="n">
        <v>45762</v>
      </c>
      <c r="F169" s="12" t="s">
        <v>1766</v>
      </c>
      <c r="G169" s="12" t="s">
        <v>1895</v>
      </c>
      <c r="H169" s="12" t="n">
        <v>14</v>
      </c>
      <c r="I169" s="12"/>
      <c r="J169" s="12" t="s">
        <v>1066</v>
      </c>
    </row>
    <row r="170" customFormat="false" ht="15" hidden="false" customHeight="true" outlineLevel="0" collapsed="false">
      <c r="A170" s="12" t="s">
        <v>1945</v>
      </c>
      <c r="B170" s="13" t="s">
        <v>438</v>
      </c>
      <c r="C170" s="15" t="str">
        <f aca="false">IFERROR(INDEX(Dim_Employee!$B$2:$B$76,MATCH(B170,Dim_Employee!$A$2:$A$76,0)),"")</f>
        <v>Segun Onyeka</v>
      </c>
      <c r="D170" s="12" t="s">
        <v>119</v>
      </c>
      <c r="E170" s="14" t="n">
        <v>45862</v>
      </c>
      <c r="F170" s="12" t="s">
        <v>1757</v>
      </c>
      <c r="G170" s="12" t="s">
        <v>1758</v>
      </c>
      <c r="H170" s="12"/>
      <c r="I170" s="12"/>
      <c r="J170" s="12" t="s">
        <v>1057</v>
      </c>
    </row>
    <row r="171" customFormat="false" ht="15" hidden="false" customHeight="true" outlineLevel="0" collapsed="false">
      <c r="A171" s="12" t="s">
        <v>1946</v>
      </c>
      <c r="B171" s="13" t="s">
        <v>187</v>
      </c>
      <c r="C171" s="15" t="str">
        <f aca="false">IFERROR(INDEX(Dim_Employee!$B$2:$B$76,MATCH(B171,Dim_Employee!$A$2:$A$76,0)),"")</f>
        <v>Uche Ojo</v>
      </c>
      <c r="D171" s="12" t="s">
        <v>16</v>
      </c>
      <c r="E171" s="14" t="n">
        <v>45804</v>
      </c>
      <c r="F171" s="12" t="s">
        <v>1769</v>
      </c>
      <c r="G171" s="12" t="s">
        <v>1813</v>
      </c>
      <c r="H171" s="12" t="n">
        <v>6</v>
      </c>
      <c r="I171" s="12"/>
      <c r="J171" s="12" t="s">
        <v>856</v>
      </c>
    </row>
    <row r="172" customFormat="false" ht="15" hidden="false" customHeight="true" outlineLevel="0" collapsed="false">
      <c r="A172" s="12" t="s">
        <v>1947</v>
      </c>
      <c r="B172" s="13" t="s">
        <v>162</v>
      </c>
      <c r="C172" s="15" t="str">
        <f aca="false">IFERROR(INDEX(Dim_Employee!$B$2:$B$76,MATCH(B172,Dim_Employee!$A$2:$A$76,0)),"")</f>
        <v>Halima Nwosu</v>
      </c>
      <c r="D172" s="12" t="s">
        <v>16</v>
      </c>
      <c r="E172" s="14" t="n">
        <v>46004</v>
      </c>
      <c r="F172" s="12" t="s">
        <v>1773</v>
      </c>
      <c r="G172" s="12" t="s">
        <v>1776</v>
      </c>
      <c r="H172" s="12" t="n">
        <v>3</v>
      </c>
      <c r="I172" s="12"/>
      <c r="J172" s="12" t="s">
        <v>1057</v>
      </c>
    </row>
    <row r="173" customFormat="false" ht="15" hidden="false" customHeight="true" outlineLevel="0" collapsed="false">
      <c r="A173" s="12" t="s">
        <v>1948</v>
      </c>
      <c r="B173" s="13" t="s">
        <v>216</v>
      </c>
      <c r="C173" s="15" t="str">
        <f aca="false">IFERROR(INDEX(Dim_Employee!$B$2:$B$76,MATCH(B173,Dim_Employee!$A$2:$A$76,0)),"")</f>
        <v>Yusuf Sani</v>
      </c>
      <c r="D173" s="12" t="s">
        <v>19</v>
      </c>
      <c r="E173" s="14" t="n">
        <v>45869</v>
      </c>
      <c r="F173" s="12" t="s">
        <v>1778</v>
      </c>
      <c r="G173" s="12" t="s">
        <v>1779</v>
      </c>
      <c r="H173" s="12"/>
      <c r="I173" s="12"/>
      <c r="J173" s="12" t="s">
        <v>856</v>
      </c>
    </row>
    <row r="174" customFormat="false" ht="15" hidden="false" customHeight="true" outlineLevel="0" collapsed="false">
      <c r="A174" s="12" t="s">
        <v>1949</v>
      </c>
      <c r="B174" s="13" t="s">
        <v>438</v>
      </c>
      <c r="C174" s="15" t="str">
        <f aca="false">IFERROR(INDEX(Dim_Employee!$B$2:$B$76,MATCH(B174,Dim_Employee!$A$2:$A$76,0)),"")</f>
        <v>Segun Onyeka</v>
      </c>
      <c r="D174" s="12" t="s">
        <v>119</v>
      </c>
      <c r="E174" s="14" t="n">
        <v>45718</v>
      </c>
      <c r="F174" s="12" t="s">
        <v>1761</v>
      </c>
      <c r="G174" s="12" t="s">
        <v>1764</v>
      </c>
      <c r="H174" s="12"/>
      <c r="I174" s="12" t="n">
        <v>5</v>
      </c>
      <c r="J174" s="12" t="s">
        <v>878</v>
      </c>
    </row>
    <row r="175" customFormat="false" ht="15" hidden="false" customHeight="true" outlineLevel="0" collapsed="false">
      <c r="A175" s="12" t="s">
        <v>1950</v>
      </c>
      <c r="B175" s="13" t="s">
        <v>296</v>
      </c>
      <c r="C175" s="15" t="str">
        <f aca="false">IFERROR(INDEX(Dim_Employee!$B$2:$B$76,MATCH(B175,Dim_Employee!$A$2:$A$76,0)),"")</f>
        <v>Yusuf Usman</v>
      </c>
      <c r="D175" s="12" t="s">
        <v>104</v>
      </c>
      <c r="E175" s="14" t="n">
        <v>45736</v>
      </c>
      <c r="F175" s="12" t="s">
        <v>1778</v>
      </c>
      <c r="G175" s="12" t="s">
        <v>1779</v>
      </c>
      <c r="H175" s="12"/>
      <c r="I175" s="12"/>
      <c r="J175" s="12" t="s">
        <v>1066</v>
      </c>
    </row>
    <row r="176" customFormat="false" ht="15" hidden="false" customHeight="true" outlineLevel="0" collapsed="false">
      <c r="A176" s="12" t="s">
        <v>1951</v>
      </c>
      <c r="B176" s="13" t="s">
        <v>337</v>
      </c>
      <c r="C176" s="15" t="str">
        <f aca="false">IFERROR(INDEX(Dim_Employee!$B$2:$B$76,MATCH(B176,Dim_Employee!$A$2:$A$76,0)),"")</f>
        <v>Musa Yakubu</v>
      </c>
      <c r="D176" s="12" t="s">
        <v>28</v>
      </c>
      <c r="E176" s="14" t="n">
        <v>45867</v>
      </c>
      <c r="F176" s="12" t="s">
        <v>1761</v>
      </c>
      <c r="G176" s="12" t="s">
        <v>1762</v>
      </c>
      <c r="H176" s="12"/>
      <c r="I176" s="12" t="n">
        <v>4</v>
      </c>
      <c r="J176" s="12" t="s">
        <v>1057</v>
      </c>
    </row>
    <row r="177" customFormat="false" ht="15" hidden="false" customHeight="true" outlineLevel="0" collapsed="false">
      <c r="A177" s="12" t="s">
        <v>1952</v>
      </c>
      <c r="B177" s="13" t="s">
        <v>395</v>
      </c>
      <c r="C177" s="15" t="str">
        <f aca="false">IFERROR(INDEX(Dim_Employee!$B$2:$B$76,MATCH(B177,Dim_Employee!$A$2:$A$76,0)),"")</f>
        <v>Zainab Nwosu</v>
      </c>
      <c r="D177" s="12" t="s">
        <v>115</v>
      </c>
      <c r="E177" s="14" t="n">
        <v>45995</v>
      </c>
      <c r="F177" s="12" t="s">
        <v>1773</v>
      </c>
      <c r="G177" s="12" t="s">
        <v>1774</v>
      </c>
      <c r="H177" s="12" t="n">
        <v>2</v>
      </c>
      <c r="I177" s="12"/>
      <c r="J177" s="12" t="s">
        <v>1066</v>
      </c>
    </row>
    <row r="178" customFormat="false" ht="15" hidden="false" customHeight="true" outlineLevel="0" collapsed="false">
      <c r="A178" s="12" t="s">
        <v>1953</v>
      </c>
      <c r="B178" s="13" t="s">
        <v>438</v>
      </c>
      <c r="C178" s="15" t="str">
        <f aca="false">IFERROR(INDEX(Dim_Employee!$B$2:$B$76,MATCH(B178,Dim_Employee!$A$2:$A$76,0)),"")</f>
        <v>Segun Onyeka</v>
      </c>
      <c r="D178" s="12" t="s">
        <v>119</v>
      </c>
      <c r="E178" s="14" t="n">
        <v>45871</v>
      </c>
      <c r="F178" s="12" t="s">
        <v>1761</v>
      </c>
      <c r="G178" s="12" t="s">
        <v>1764</v>
      </c>
      <c r="H178" s="12"/>
      <c r="I178" s="12" t="n">
        <v>2</v>
      </c>
      <c r="J178" s="12" t="s">
        <v>1057</v>
      </c>
    </row>
    <row r="179" customFormat="false" ht="15" hidden="false" customHeight="true" outlineLevel="0" collapsed="false">
      <c r="A179" s="12" t="s">
        <v>1954</v>
      </c>
      <c r="B179" s="13" t="s">
        <v>117</v>
      </c>
      <c r="C179" s="15" t="str">
        <f aca="false">IFERROR(INDEX(Dim_Employee!$B$2:$B$76,MATCH(B179,Dim_Employee!$A$2:$A$76,0)),"")</f>
        <v>Chioma Okafor</v>
      </c>
      <c r="D179" s="12" t="s">
        <v>115</v>
      </c>
      <c r="E179" s="14" t="n">
        <v>45892</v>
      </c>
      <c r="F179" s="12" t="s">
        <v>1778</v>
      </c>
      <c r="G179" s="12" t="s">
        <v>1779</v>
      </c>
      <c r="H179" s="12"/>
      <c r="I179" s="12"/>
      <c r="J179" s="12" t="s">
        <v>878</v>
      </c>
    </row>
    <row r="180" customFormat="false" ht="15" hidden="false" customHeight="true" outlineLevel="0" collapsed="false">
      <c r="A180" s="12" t="s">
        <v>1955</v>
      </c>
      <c r="B180" s="13" t="s">
        <v>175</v>
      </c>
      <c r="C180" s="15" t="str">
        <f aca="false">IFERROR(INDEX(Dim_Employee!$B$2:$B$76,MATCH(B180,Dim_Employee!$A$2:$A$76,0)),"")</f>
        <v>Kingsley Okonkwo</v>
      </c>
      <c r="D180" s="12" t="s">
        <v>16</v>
      </c>
      <c r="E180" s="14" t="n">
        <v>45955</v>
      </c>
      <c r="F180" s="12" t="s">
        <v>1766</v>
      </c>
      <c r="G180" s="12" t="s">
        <v>1895</v>
      </c>
      <c r="H180" s="12" t="n">
        <v>9</v>
      </c>
      <c r="I180" s="12"/>
      <c r="J180" s="12" t="s">
        <v>878</v>
      </c>
    </row>
    <row r="181" customFormat="false" ht="15" hidden="false" customHeight="true" outlineLevel="0" collapsed="false">
      <c r="A181" s="12" t="s">
        <v>1956</v>
      </c>
      <c r="B181" s="13" t="s">
        <v>175</v>
      </c>
      <c r="C181" s="15" t="str">
        <f aca="false">IFERROR(INDEX(Dim_Employee!$B$2:$B$76,MATCH(B181,Dim_Employee!$A$2:$A$76,0)),"")</f>
        <v>Kingsley Okonkwo</v>
      </c>
      <c r="D181" s="12" t="s">
        <v>16</v>
      </c>
      <c r="E181" s="14" t="n">
        <v>45831</v>
      </c>
      <c r="F181" s="12" t="s">
        <v>1769</v>
      </c>
      <c r="G181" s="12" t="s">
        <v>1813</v>
      </c>
      <c r="H181" s="12" t="n">
        <v>3</v>
      </c>
      <c r="I181" s="12"/>
      <c r="J181" s="12" t="s">
        <v>878</v>
      </c>
    </row>
    <row r="182" customFormat="false" ht="15" hidden="false" customHeight="true" outlineLevel="0" collapsed="false">
      <c r="A182" s="12" t="s">
        <v>1957</v>
      </c>
      <c r="B182" s="13" t="s">
        <v>276</v>
      </c>
      <c r="C182" s="15" t="str">
        <f aca="false">IFERROR(INDEX(Dim_Employee!$B$2:$B$76,MATCH(B182,Dim_Employee!$A$2:$A$76,0)),"")</f>
        <v>Blessing Nnamdi</v>
      </c>
      <c r="D182" s="12" t="s">
        <v>24</v>
      </c>
      <c r="E182" s="14" t="n">
        <v>45954</v>
      </c>
      <c r="F182" s="12" t="s">
        <v>1761</v>
      </c>
      <c r="G182" s="12" t="s">
        <v>1762</v>
      </c>
      <c r="H182" s="12"/>
      <c r="I182" s="12" t="n">
        <v>2</v>
      </c>
      <c r="J182" s="12" t="s">
        <v>1066</v>
      </c>
    </row>
    <row r="183" customFormat="false" ht="15" hidden="false" customHeight="true" outlineLevel="0" collapsed="false">
      <c r="A183" s="12" t="s">
        <v>1958</v>
      </c>
      <c r="B183" s="13" t="s">
        <v>245</v>
      </c>
      <c r="C183" s="15" t="str">
        <f aca="false">IFERROR(INDEX(Dim_Employee!$B$2:$B$76,MATCH(B183,Dim_Employee!$A$2:$A$76,0)),"")</f>
        <v>Emeka Bakare</v>
      </c>
      <c r="D183" s="12" t="s">
        <v>97</v>
      </c>
      <c r="E183" s="14" t="n">
        <v>45992</v>
      </c>
      <c r="F183" s="12" t="s">
        <v>1766</v>
      </c>
      <c r="G183" s="12" t="s">
        <v>1895</v>
      </c>
      <c r="H183" s="12" t="n">
        <v>9</v>
      </c>
      <c r="I183" s="12"/>
      <c r="J183" s="12" t="s">
        <v>856</v>
      </c>
    </row>
    <row r="184" customFormat="false" ht="15" hidden="false" customHeight="true" outlineLevel="0" collapsed="false">
      <c r="A184" s="12" t="s">
        <v>1959</v>
      </c>
      <c r="B184" s="13" t="s">
        <v>221</v>
      </c>
      <c r="C184" s="15" t="str">
        <f aca="false">IFERROR(INDEX(Dim_Employee!$B$2:$B$76,MATCH(B184,Dim_Employee!$A$2:$A$76,0)),"")</f>
        <v>Aisha Danjuma</v>
      </c>
      <c r="D184" s="12" t="s">
        <v>19</v>
      </c>
      <c r="E184" s="14" t="n">
        <v>45887</v>
      </c>
      <c r="F184" s="12" t="s">
        <v>1773</v>
      </c>
      <c r="G184" s="12" t="s">
        <v>1789</v>
      </c>
      <c r="H184" s="12" t="n">
        <v>4</v>
      </c>
      <c r="I184" s="12"/>
      <c r="J184" s="12" t="s">
        <v>856</v>
      </c>
    </row>
    <row r="185" customFormat="false" ht="15" hidden="false" customHeight="true" outlineLevel="0" collapsed="false">
      <c r="A185" s="12" t="s">
        <v>1960</v>
      </c>
      <c r="B185" s="13" t="s">
        <v>383</v>
      </c>
      <c r="C185" s="15" t="str">
        <f aca="false">IFERROR(INDEX(Dim_Employee!$B$2:$B$76,MATCH(B185,Dim_Employee!$A$2:$A$76,0)),"")</f>
        <v>Tunde Ndukwe</v>
      </c>
      <c r="D185" s="12" t="s">
        <v>111</v>
      </c>
      <c r="E185" s="14" t="n">
        <v>45763</v>
      </c>
      <c r="F185" s="12" t="s">
        <v>1757</v>
      </c>
      <c r="G185" s="12" t="s">
        <v>1758</v>
      </c>
      <c r="H185" s="12"/>
      <c r="I185" s="12"/>
      <c r="J185" s="12" t="s">
        <v>878</v>
      </c>
    </row>
    <row r="186" customFormat="false" ht="15" hidden="false" customHeight="true" outlineLevel="0" collapsed="false">
      <c r="A186" s="12" t="s">
        <v>1961</v>
      </c>
      <c r="B186" s="13" t="s">
        <v>125</v>
      </c>
      <c r="C186" s="15" t="str">
        <f aca="false">IFERROR(INDEX(Dim_Employee!$B$2:$B$76,MATCH(B186,Dim_Employee!$A$2:$A$76,0)),"")</f>
        <v>Chukwudi Yakubu</v>
      </c>
      <c r="D186" s="12" t="s">
        <v>123</v>
      </c>
      <c r="E186" s="14" t="n">
        <v>45821</v>
      </c>
      <c r="F186" s="12" t="s">
        <v>1769</v>
      </c>
      <c r="G186" s="12" t="s">
        <v>1770</v>
      </c>
      <c r="H186" s="12" t="n">
        <v>18</v>
      </c>
      <c r="I186" s="12"/>
      <c r="J186" s="12" t="s">
        <v>878</v>
      </c>
    </row>
    <row r="187" customFormat="false" ht="15" hidden="false" customHeight="true" outlineLevel="0" collapsed="false">
      <c r="A187" s="12" t="s">
        <v>1962</v>
      </c>
      <c r="B187" s="13" t="s">
        <v>203</v>
      </c>
      <c r="C187" s="15" t="str">
        <f aca="false">IFERROR(INDEX(Dim_Employee!$B$2:$B$76,MATCH(B187,Dim_Employee!$A$2:$A$76,0)),"")</f>
        <v>Tunde Okonkwo</v>
      </c>
      <c r="D187" s="12" t="s">
        <v>16</v>
      </c>
      <c r="E187" s="14" t="n">
        <v>45832</v>
      </c>
      <c r="F187" s="12" t="s">
        <v>1757</v>
      </c>
      <c r="G187" s="12" t="s">
        <v>1758</v>
      </c>
      <c r="H187" s="12"/>
      <c r="I187" s="12"/>
      <c r="J187" s="12" t="s">
        <v>878</v>
      </c>
    </row>
    <row r="188" customFormat="false" ht="15" hidden="false" customHeight="true" outlineLevel="0" collapsed="false">
      <c r="A188" s="12" t="s">
        <v>1963</v>
      </c>
      <c r="B188" s="13" t="s">
        <v>359</v>
      </c>
      <c r="C188" s="15" t="str">
        <f aca="false">IFERROR(INDEX(Dim_Employee!$B$2:$B$76,MATCH(B188,Dim_Employee!$A$2:$A$76,0)),"")</f>
        <v>Ngozi Ndukwe</v>
      </c>
      <c r="D188" s="12" t="s">
        <v>111</v>
      </c>
      <c r="E188" s="14" t="n">
        <v>45724</v>
      </c>
      <c r="F188" s="12" t="s">
        <v>1769</v>
      </c>
      <c r="G188" s="12" t="s">
        <v>1813</v>
      </c>
      <c r="H188" s="12" t="n">
        <v>5</v>
      </c>
      <c r="I188" s="12"/>
      <c r="J188" s="12" t="s">
        <v>1057</v>
      </c>
    </row>
    <row r="189" customFormat="false" ht="15" hidden="false" customHeight="true" outlineLevel="0" collapsed="false">
      <c r="A189" s="12" t="s">
        <v>1964</v>
      </c>
      <c r="B189" s="13" t="s">
        <v>374</v>
      </c>
      <c r="C189" s="15" t="str">
        <f aca="false">IFERROR(INDEX(Dim_Employee!$B$2:$B$76,MATCH(B189,Dim_Employee!$A$2:$A$76,0)),"")</f>
        <v>Titilayo Chukwu</v>
      </c>
      <c r="D189" s="12" t="s">
        <v>111</v>
      </c>
      <c r="E189" s="14" t="n">
        <v>45674</v>
      </c>
      <c r="F189" s="12" t="s">
        <v>1766</v>
      </c>
      <c r="G189" s="12" t="s">
        <v>1793</v>
      </c>
      <c r="H189" s="12" t="n">
        <v>17</v>
      </c>
      <c r="I189" s="12"/>
      <c r="J189" s="12" t="s">
        <v>1057</v>
      </c>
    </row>
    <row r="190" customFormat="false" ht="15" hidden="false" customHeight="true" outlineLevel="0" collapsed="false">
      <c r="A190" s="12" t="s">
        <v>1965</v>
      </c>
      <c r="B190" s="13" t="s">
        <v>347</v>
      </c>
      <c r="C190" s="15" t="str">
        <f aca="false">IFERROR(INDEX(Dim_Employee!$B$2:$B$76,MATCH(B190,Dim_Employee!$A$2:$A$76,0)),"")</f>
        <v>Rukayat Usman</v>
      </c>
      <c r="D190" s="12" t="s">
        <v>28</v>
      </c>
      <c r="E190" s="14" t="n">
        <v>45938</v>
      </c>
      <c r="F190" s="12" t="s">
        <v>1757</v>
      </c>
      <c r="G190" s="12" t="s">
        <v>1758</v>
      </c>
      <c r="H190" s="12"/>
      <c r="I190" s="12"/>
      <c r="J190" s="12" t="s">
        <v>856</v>
      </c>
    </row>
    <row r="191" customFormat="false" ht="15" hidden="false" customHeight="true" outlineLevel="0" collapsed="false">
      <c r="A191" s="12" t="s">
        <v>1966</v>
      </c>
      <c r="B191" s="13" t="s">
        <v>199</v>
      </c>
      <c r="C191" s="15" t="str">
        <f aca="false">IFERROR(INDEX(Dim_Employee!$B$2:$B$76,MATCH(B191,Dim_Employee!$A$2:$A$76,0)),"")</f>
        <v>Olamide Anyanwu</v>
      </c>
      <c r="D191" s="12" t="s">
        <v>16</v>
      </c>
      <c r="E191" s="14" t="n">
        <v>45832</v>
      </c>
      <c r="F191" s="12" t="s">
        <v>1766</v>
      </c>
      <c r="G191" s="12" t="s">
        <v>1767</v>
      </c>
      <c r="H191" s="12" t="n">
        <v>9</v>
      </c>
      <c r="I191" s="12"/>
      <c r="J191" s="12" t="s">
        <v>878</v>
      </c>
    </row>
    <row r="192" customFormat="false" ht="15" hidden="false" customHeight="true" outlineLevel="0" collapsed="false">
      <c r="A192" s="12" t="s">
        <v>1967</v>
      </c>
      <c r="B192" s="13" t="s">
        <v>347</v>
      </c>
      <c r="C192" s="15" t="str">
        <f aca="false">IFERROR(INDEX(Dim_Employee!$B$2:$B$76,MATCH(B192,Dim_Employee!$A$2:$A$76,0)),"")</f>
        <v>Rukayat Usman</v>
      </c>
      <c r="D192" s="12" t="s">
        <v>28</v>
      </c>
      <c r="E192" s="14" t="n">
        <v>45887</v>
      </c>
      <c r="F192" s="12" t="s">
        <v>1773</v>
      </c>
      <c r="G192" s="12" t="s">
        <v>1776</v>
      </c>
      <c r="H192" s="12" t="n">
        <v>3</v>
      </c>
      <c r="I192" s="12"/>
      <c r="J192" s="12" t="s">
        <v>856</v>
      </c>
    </row>
    <row r="193" customFormat="false" ht="15" hidden="false" customHeight="true" outlineLevel="0" collapsed="false">
      <c r="A193" s="12" t="s">
        <v>1968</v>
      </c>
      <c r="B193" s="13" t="s">
        <v>276</v>
      </c>
      <c r="C193" s="15" t="str">
        <f aca="false">IFERROR(INDEX(Dim_Employee!$B$2:$B$76,MATCH(B193,Dim_Employee!$A$2:$A$76,0)),"")</f>
        <v>Blessing Nnamdi</v>
      </c>
      <c r="D193" s="12" t="s">
        <v>24</v>
      </c>
      <c r="E193" s="14" t="n">
        <v>45722</v>
      </c>
      <c r="F193" s="12" t="s">
        <v>1761</v>
      </c>
      <c r="G193" s="12" t="s">
        <v>1762</v>
      </c>
      <c r="H193" s="12"/>
      <c r="I193" s="12" t="n">
        <v>3</v>
      </c>
      <c r="J193" s="12" t="s">
        <v>1057</v>
      </c>
    </row>
    <row r="194" customFormat="false" ht="15" hidden="false" customHeight="true" outlineLevel="0" collapsed="false">
      <c r="A194" s="12" t="s">
        <v>1969</v>
      </c>
      <c r="B194" s="13" t="s">
        <v>327</v>
      </c>
      <c r="C194" s="15" t="str">
        <f aca="false">IFERROR(INDEX(Dim_Employee!$B$2:$B$76,MATCH(B194,Dim_Employee!$A$2:$A$76,0)),"")</f>
        <v>Adaeze Adeyemi</v>
      </c>
      <c r="D194" s="12" t="s">
        <v>28</v>
      </c>
      <c r="E194" s="14" t="n">
        <v>45809</v>
      </c>
      <c r="F194" s="12" t="s">
        <v>1757</v>
      </c>
      <c r="G194" s="12" t="s">
        <v>1758</v>
      </c>
      <c r="H194" s="12"/>
      <c r="I194" s="12"/>
      <c r="J194" s="12" t="s">
        <v>1057</v>
      </c>
    </row>
    <row r="195" customFormat="false" ht="15" hidden="false" customHeight="true" outlineLevel="0" collapsed="false">
      <c r="A195" s="12" t="s">
        <v>1970</v>
      </c>
      <c r="B195" s="13" t="s">
        <v>342</v>
      </c>
      <c r="C195" s="15" t="str">
        <f aca="false">IFERROR(INDEX(Dim_Employee!$B$2:$B$76,MATCH(B195,Dim_Employee!$A$2:$A$76,0)),"")</f>
        <v>Fatima Abubakar</v>
      </c>
      <c r="D195" s="12" t="s">
        <v>28</v>
      </c>
      <c r="E195" s="14" t="n">
        <v>45666</v>
      </c>
      <c r="F195" s="12" t="s">
        <v>1757</v>
      </c>
      <c r="G195" s="12" t="s">
        <v>1758</v>
      </c>
      <c r="H195" s="12"/>
      <c r="I195" s="12"/>
      <c r="J195" s="12" t="s">
        <v>878</v>
      </c>
    </row>
    <row r="196" customFormat="false" ht="15" hidden="false" customHeight="true" outlineLevel="0" collapsed="false">
      <c r="A196" s="12" t="s">
        <v>1971</v>
      </c>
      <c r="B196" s="13" t="s">
        <v>167</v>
      </c>
      <c r="C196" s="15" t="str">
        <f aca="false">IFERROR(INDEX(Dim_Employee!$B$2:$B$76,MATCH(B196,Dim_Employee!$A$2:$A$76,0)),"")</f>
        <v>Emmanuel Yakubu</v>
      </c>
      <c r="D196" s="12" t="s">
        <v>16</v>
      </c>
      <c r="E196" s="14" t="n">
        <v>45872</v>
      </c>
      <c r="F196" s="12" t="s">
        <v>1761</v>
      </c>
      <c r="G196" s="12" t="s">
        <v>1762</v>
      </c>
      <c r="H196" s="12"/>
      <c r="I196" s="12" t="n">
        <v>1</v>
      </c>
      <c r="J196" s="12" t="s">
        <v>856</v>
      </c>
    </row>
    <row r="197" customFormat="false" ht="15" hidden="false" customHeight="true" outlineLevel="0" collapsed="false">
      <c r="A197" s="12" t="s">
        <v>1972</v>
      </c>
      <c r="B197" s="13" t="s">
        <v>226</v>
      </c>
      <c r="C197" s="15" t="str">
        <f aca="false">IFERROR(INDEX(Dim_Employee!$B$2:$B$76,MATCH(B197,Dim_Employee!$A$2:$A$76,0)),"")</f>
        <v>Tunde Nnamdi</v>
      </c>
      <c r="D197" s="12" t="s">
        <v>19</v>
      </c>
      <c r="E197" s="14" t="n">
        <v>45962</v>
      </c>
      <c r="F197" s="12" t="s">
        <v>1773</v>
      </c>
      <c r="G197" s="12" t="s">
        <v>1836</v>
      </c>
      <c r="H197" s="12" t="n">
        <v>4</v>
      </c>
      <c r="I197" s="12"/>
      <c r="J197" s="12" t="s">
        <v>856</v>
      </c>
    </row>
    <row r="198" customFormat="false" ht="15" hidden="false" customHeight="true" outlineLevel="0" collapsed="false">
      <c r="A198" s="12" t="s">
        <v>1973</v>
      </c>
      <c r="B198" s="13" t="s">
        <v>315</v>
      </c>
      <c r="C198" s="15" t="str">
        <f aca="false">IFERROR(INDEX(Dim_Employee!$B$2:$B$76,MATCH(B198,Dim_Employee!$A$2:$A$76,0)),"")</f>
        <v>Chukwudi Okonkwo</v>
      </c>
      <c r="D198" s="12" t="s">
        <v>104</v>
      </c>
      <c r="E198" s="14" t="n">
        <v>45722</v>
      </c>
      <c r="F198" s="12" t="s">
        <v>1757</v>
      </c>
      <c r="G198" s="12" t="s">
        <v>1758</v>
      </c>
      <c r="H198" s="12"/>
      <c r="I198" s="12"/>
      <c r="J198" s="12" t="s">
        <v>1057</v>
      </c>
    </row>
    <row r="199" customFormat="false" ht="15" hidden="false" customHeight="true" outlineLevel="0" collapsed="false">
      <c r="A199" s="12" t="s">
        <v>1974</v>
      </c>
      <c r="B199" s="13" t="s">
        <v>411</v>
      </c>
      <c r="C199" s="15" t="str">
        <f aca="false">IFERROR(INDEX(Dim_Employee!$B$2:$B$76,MATCH(B199,Dim_Employee!$A$2:$A$76,0)),"")</f>
        <v>Amaka Danjuma</v>
      </c>
      <c r="D199" s="12" t="s">
        <v>115</v>
      </c>
      <c r="E199" s="14" t="n">
        <v>45896</v>
      </c>
      <c r="F199" s="12" t="s">
        <v>1769</v>
      </c>
      <c r="G199" s="12" t="s">
        <v>1770</v>
      </c>
      <c r="H199" s="12" t="n">
        <v>1</v>
      </c>
      <c r="I199" s="12"/>
      <c r="J199" s="12" t="s">
        <v>1057</v>
      </c>
    </row>
    <row r="200" customFormat="false" ht="15" hidden="false" customHeight="true" outlineLevel="0" collapsed="false">
      <c r="A200" s="12" t="s">
        <v>1975</v>
      </c>
      <c r="B200" s="13" t="s">
        <v>167</v>
      </c>
      <c r="C200" s="15" t="str">
        <f aca="false">IFERROR(INDEX(Dim_Employee!$B$2:$B$76,MATCH(B200,Dim_Employee!$A$2:$A$76,0)),"")</f>
        <v>Emmanuel Yakubu</v>
      </c>
      <c r="D200" s="12" t="s">
        <v>16</v>
      </c>
      <c r="E200" s="14" t="n">
        <v>45839</v>
      </c>
      <c r="F200" s="12" t="s">
        <v>1761</v>
      </c>
      <c r="G200" s="12" t="s">
        <v>1764</v>
      </c>
      <c r="H200" s="12"/>
      <c r="I200" s="12" t="n">
        <v>1</v>
      </c>
      <c r="J200" s="12" t="s">
        <v>878</v>
      </c>
    </row>
    <row r="201" customFormat="false" ht="15" hidden="false" customHeight="true" outlineLevel="0" collapsed="false">
      <c r="A201" s="12" t="s">
        <v>1976</v>
      </c>
      <c r="B201" s="13" t="s">
        <v>463</v>
      </c>
      <c r="C201" s="15" t="str">
        <f aca="false">IFERROR(INDEX(Dim_Employee!$B$2:$B$76,MATCH(B201,Dim_Employee!$A$2:$A$76,0)),"")</f>
        <v>Tobi Danjuma</v>
      </c>
      <c r="D201" s="12" t="s">
        <v>123</v>
      </c>
      <c r="E201" s="14" t="n">
        <v>45776</v>
      </c>
      <c r="F201" s="12" t="s">
        <v>1778</v>
      </c>
      <c r="G201" s="12" t="s">
        <v>1779</v>
      </c>
      <c r="H201" s="12"/>
      <c r="I201" s="12"/>
      <c r="J201" s="12" t="s">
        <v>1057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5" min="4" style="1" width="20"/>
    <col collapsed="false" customWidth="true" hidden="false" outlineLevel="0" max="6" min="6" style="1" width="22"/>
    <col collapsed="false" customWidth="true" hidden="false" outlineLevel="0" max="7" min="7" style="1" width="28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15"/>
  </cols>
  <sheetData>
    <row r="1" customFormat="false" ht="26.25" hidden="false" customHeight="true" outlineLevel="0" collapsed="false">
      <c r="A1" s="10" t="s">
        <v>1977</v>
      </c>
      <c r="B1" s="10" t="s">
        <v>9</v>
      </c>
      <c r="C1" s="10" t="s">
        <v>126</v>
      </c>
      <c r="D1" s="10" t="s">
        <v>127</v>
      </c>
      <c r="E1" s="10" t="s">
        <v>1978</v>
      </c>
      <c r="F1" s="10" t="s">
        <v>1979</v>
      </c>
      <c r="G1" s="10" t="s">
        <v>1980</v>
      </c>
      <c r="H1" s="10" t="s">
        <v>1981</v>
      </c>
      <c r="I1" s="10" t="s">
        <v>1043</v>
      </c>
      <c r="J1" s="10" t="s">
        <v>1045</v>
      </c>
    </row>
    <row r="2" customFormat="false" ht="15" hidden="false" customHeight="true" outlineLevel="0" collapsed="false">
      <c r="A2" s="12" t="s">
        <v>1982</v>
      </c>
      <c r="B2" s="14" t="n">
        <v>45939</v>
      </c>
      <c r="C2" s="13" t="s">
        <v>428</v>
      </c>
      <c r="D2" s="15" t="str">
        <f aca="false">IFERROR(INDEX(Dim_Employee!$B$2:$B$76,MATCH(C2,Dim_Employee!$A$2:$A$76,0)),"")</f>
        <v>Aisha Aliyu</v>
      </c>
      <c r="E2" s="12" t="s">
        <v>97</v>
      </c>
      <c r="F2" s="12" t="s">
        <v>1983</v>
      </c>
      <c r="G2" s="12" t="s">
        <v>1984</v>
      </c>
      <c r="H2" s="12" t="s">
        <v>738</v>
      </c>
      <c r="I2" s="12" t="s">
        <v>1985</v>
      </c>
      <c r="J2" s="14"/>
    </row>
    <row r="3" customFormat="false" ht="15" hidden="false" customHeight="true" outlineLevel="0" collapsed="false">
      <c r="A3" s="12" t="s">
        <v>1986</v>
      </c>
      <c r="B3" s="14" t="n">
        <v>45767</v>
      </c>
      <c r="C3" s="13" t="s">
        <v>442</v>
      </c>
      <c r="D3" s="15" t="str">
        <f aca="false">IFERROR(INDEX(Dim_Employee!$B$2:$B$76,MATCH(C3,Dim_Employee!$A$2:$A$76,0)),"")</f>
        <v>Segun Okafor</v>
      </c>
      <c r="E3" s="12" t="s">
        <v>111</v>
      </c>
      <c r="F3" s="12" t="s">
        <v>1987</v>
      </c>
      <c r="G3" s="12" t="s">
        <v>1984</v>
      </c>
      <c r="H3" s="12" t="s">
        <v>1461</v>
      </c>
      <c r="I3" s="12" t="s">
        <v>741</v>
      </c>
      <c r="J3" s="14" t="n">
        <v>45811</v>
      </c>
    </row>
    <row r="4" customFormat="false" ht="15" hidden="false" customHeight="true" outlineLevel="0" collapsed="false">
      <c r="A4" s="12" t="s">
        <v>1988</v>
      </c>
      <c r="B4" s="14" t="n">
        <v>45741</v>
      </c>
      <c r="C4" s="13" t="s">
        <v>428</v>
      </c>
      <c r="D4" s="15" t="str">
        <f aca="false">IFERROR(INDEX(Dim_Employee!$B$2:$B$76,MATCH(C4,Dim_Employee!$A$2:$A$76,0)),"")</f>
        <v>Aisha Aliyu</v>
      </c>
      <c r="E4" s="12" t="s">
        <v>24</v>
      </c>
      <c r="F4" s="12" t="s">
        <v>1989</v>
      </c>
      <c r="G4" s="12" t="s">
        <v>1990</v>
      </c>
      <c r="H4" s="12" t="s">
        <v>1461</v>
      </c>
      <c r="I4" s="12" t="s">
        <v>739</v>
      </c>
      <c r="J4" s="14"/>
    </row>
    <row r="5" customFormat="false" ht="15" hidden="false" customHeight="true" outlineLevel="0" collapsed="false">
      <c r="A5" s="12" t="s">
        <v>1991</v>
      </c>
      <c r="B5" s="14" t="n">
        <v>45890</v>
      </c>
      <c r="C5" s="13" t="s">
        <v>433</v>
      </c>
      <c r="D5" s="15" t="str">
        <f aca="false">IFERROR(INDEX(Dim_Employee!$B$2:$B$76,MATCH(C5,Dim_Employee!$A$2:$A$76,0)),"")</f>
        <v>Tobi Okonkwo</v>
      </c>
      <c r="E5" s="12" t="s">
        <v>97</v>
      </c>
      <c r="F5" s="12" t="s">
        <v>1992</v>
      </c>
      <c r="G5" s="12" t="s">
        <v>1993</v>
      </c>
      <c r="H5" s="12" t="s">
        <v>738</v>
      </c>
      <c r="I5" s="12" t="s">
        <v>1985</v>
      </c>
      <c r="J5" s="14"/>
    </row>
    <row r="6" customFormat="false" ht="15" hidden="false" customHeight="true" outlineLevel="0" collapsed="false">
      <c r="A6" s="12" t="s">
        <v>1994</v>
      </c>
      <c r="B6" s="14" t="n">
        <v>45816</v>
      </c>
      <c r="C6" s="13" t="s">
        <v>433</v>
      </c>
      <c r="D6" s="15" t="str">
        <f aca="false">IFERROR(INDEX(Dim_Employee!$B$2:$B$76,MATCH(C6,Dim_Employee!$A$2:$A$76,0)),"")</f>
        <v>Tobi Okonkwo</v>
      </c>
      <c r="E6" s="12" t="s">
        <v>97</v>
      </c>
      <c r="F6" s="12" t="s">
        <v>1992</v>
      </c>
      <c r="G6" s="12" t="s">
        <v>1995</v>
      </c>
      <c r="H6" s="12" t="s">
        <v>1461</v>
      </c>
      <c r="I6" s="12" t="s">
        <v>1985</v>
      </c>
      <c r="J6" s="14"/>
    </row>
    <row r="7" customFormat="false" ht="15" hidden="false" customHeight="true" outlineLevel="0" collapsed="false">
      <c r="A7" s="12" t="s">
        <v>1996</v>
      </c>
      <c r="B7" s="14" t="n">
        <v>46020</v>
      </c>
      <c r="C7" s="13" t="s">
        <v>433</v>
      </c>
      <c r="D7" s="15" t="str">
        <f aca="false">IFERROR(INDEX(Dim_Employee!$B$2:$B$76,MATCH(C7,Dim_Employee!$A$2:$A$76,0)),"")</f>
        <v>Tobi Okonkwo</v>
      </c>
      <c r="E7" s="12" t="s">
        <v>24</v>
      </c>
      <c r="F7" s="12" t="s">
        <v>1997</v>
      </c>
      <c r="G7" s="12" t="s">
        <v>1993</v>
      </c>
      <c r="H7" s="12" t="s">
        <v>753</v>
      </c>
      <c r="I7" s="12" t="s">
        <v>741</v>
      </c>
      <c r="J7" s="14" t="n">
        <v>46053</v>
      </c>
    </row>
    <row r="8" customFormat="false" ht="15" hidden="false" customHeight="true" outlineLevel="0" collapsed="false">
      <c r="A8" s="12" t="s">
        <v>1998</v>
      </c>
      <c r="B8" s="14" t="n">
        <v>45854</v>
      </c>
      <c r="C8" s="13" t="s">
        <v>442</v>
      </c>
      <c r="D8" s="15" t="str">
        <f aca="false">IFERROR(INDEX(Dim_Employee!$B$2:$B$76,MATCH(C8,Dim_Employee!$A$2:$A$76,0)),"")</f>
        <v>Segun Okafor</v>
      </c>
      <c r="E8" s="12" t="s">
        <v>111</v>
      </c>
      <c r="F8" s="12" t="s">
        <v>1983</v>
      </c>
      <c r="G8" s="12" t="s">
        <v>1995</v>
      </c>
      <c r="H8" s="12" t="s">
        <v>738</v>
      </c>
      <c r="I8" s="12" t="s">
        <v>739</v>
      </c>
      <c r="J8" s="14"/>
    </row>
    <row r="9" customFormat="false" ht="15" hidden="false" customHeight="true" outlineLevel="0" collapsed="false">
      <c r="A9" s="12" t="s">
        <v>1999</v>
      </c>
      <c r="B9" s="14" t="n">
        <v>45999</v>
      </c>
      <c r="C9" s="13" t="s">
        <v>438</v>
      </c>
      <c r="D9" s="15" t="str">
        <f aca="false">IFERROR(INDEX(Dim_Employee!$B$2:$B$76,MATCH(C9,Dim_Employee!$A$2:$A$76,0)),"")</f>
        <v>Segun Onyeka</v>
      </c>
      <c r="E9" s="12" t="s">
        <v>28</v>
      </c>
      <c r="F9" s="12" t="s">
        <v>1997</v>
      </c>
      <c r="G9" s="12" t="s">
        <v>1993</v>
      </c>
      <c r="H9" s="12" t="s">
        <v>1461</v>
      </c>
      <c r="I9" s="12" t="s">
        <v>1985</v>
      </c>
      <c r="J9" s="14"/>
    </row>
    <row r="10" customFormat="false" ht="15" hidden="false" customHeight="true" outlineLevel="0" collapsed="false">
      <c r="A10" s="12" t="s">
        <v>2000</v>
      </c>
      <c r="B10" s="14" t="n">
        <v>45997</v>
      </c>
      <c r="C10" s="13" t="s">
        <v>121</v>
      </c>
      <c r="D10" s="15" t="str">
        <f aca="false">IFERROR(INDEX(Dim_Employee!$B$2:$B$76,MATCH(C10,Dim_Employee!$A$2:$A$76,0)),"")</f>
        <v>Aisha Igwe</v>
      </c>
      <c r="E10" s="12" t="s">
        <v>19</v>
      </c>
      <c r="F10" s="12" t="s">
        <v>1989</v>
      </c>
      <c r="G10" s="12" t="s">
        <v>2001</v>
      </c>
      <c r="H10" s="12" t="s">
        <v>733</v>
      </c>
      <c r="I10" s="12" t="s">
        <v>739</v>
      </c>
      <c r="J10" s="14"/>
    </row>
    <row r="11" customFormat="false" ht="15" hidden="false" customHeight="true" outlineLevel="0" collapsed="false">
      <c r="A11" s="12" t="s">
        <v>2002</v>
      </c>
      <c r="B11" s="14" t="n">
        <v>45733</v>
      </c>
      <c r="C11" s="13" t="s">
        <v>121</v>
      </c>
      <c r="D11" s="15" t="str">
        <f aca="false">IFERROR(INDEX(Dim_Employee!$B$2:$B$76,MATCH(C11,Dim_Employee!$A$2:$A$76,0)),"")</f>
        <v>Aisha Igwe</v>
      </c>
      <c r="E11" s="12" t="s">
        <v>97</v>
      </c>
      <c r="F11" s="12" t="s">
        <v>1989</v>
      </c>
      <c r="G11" s="12" t="s">
        <v>2003</v>
      </c>
      <c r="H11" s="12" t="s">
        <v>1461</v>
      </c>
      <c r="I11" s="12" t="s">
        <v>739</v>
      </c>
      <c r="J11" s="14"/>
    </row>
    <row r="12" customFormat="false" ht="15" hidden="false" customHeight="true" outlineLevel="0" collapsed="false">
      <c r="A12" s="12" t="s">
        <v>2004</v>
      </c>
      <c r="B12" s="14" t="n">
        <v>45711</v>
      </c>
      <c r="C12" s="13" t="s">
        <v>433</v>
      </c>
      <c r="D12" s="15" t="str">
        <f aca="false">IFERROR(INDEX(Dim_Employee!$B$2:$B$76,MATCH(C12,Dim_Employee!$A$2:$A$76,0)),"")</f>
        <v>Tobi Okonkwo</v>
      </c>
      <c r="E12" s="12" t="s">
        <v>115</v>
      </c>
      <c r="F12" s="12" t="s">
        <v>1992</v>
      </c>
      <c r="G12" s="12" t="s">
        <v>1990</v>
      </c>
      <c r="H12" s="12" t="s">
        <v>733</v>
      </c>
      <c r="I12" s="12" t="s">
        <v>741</v>
      </c>
      <c r="J12" s="14" t="n">
        <v>45786</v>
      </c>
    </row>
    <row r="13" customFormat="false" ht="15" hidden="false" customHeight="true" outlineLevel="0" collapsed="false">
      <c r="A13" s="12" t="s">
        <v>2005</v>
      </c>
      <c r="B13" s="14" t="n">
        <v>45765</v>
      </c>
      <c r="C13" s="13" t="s">
        <v>438</v>
      </c>
      <c r="D13" s="15" t="str">
        <f aca="false">IFERROR(INDEX(Dim_Employee!$B$2:$B$76,MATCH(C13,Dim_Employee!$A$2:$A$76,0)),"")</f>
        <v>Segun Onyeka</v>
      </c>
      <c r="E13" s="12" t="s">
        <v>104</v>
      </c>
      <c r="F13" s="12" t="s">
        <v>1983</v>
      </c>
      <c r="G13" s="12" t="s">
        <v>1993</v>
      </c>
      <c r="H13" s="12" t="s">
        <v>753</v>
      </c>
      <c r="I13" s="12" t="s">
        <v>1985</v>
      </c>
      <c r="J13" s="14"/>
    </row>
    <row r="14" customFormat="false" ht="15" hidden="false" customHeight="true" outlineLevel="0" collapsed="false">
      <c r="A14" s="12" t="s">
        <v>2006</v>
      </c>
      <c r="B14" s="14" t="n">
        <v>45790</v>
      </c>
      <c r="C14" s="13" t="s">
        <v>442</v>
      </c>
      <c r="D14" s="15" t="str">
        <f aca="false">IFERROR(INDEX(Dim_Employee!$B$2:$B$76,MATCH(C14,Dim_Employee!$A$2:$A$76,0)),"")</f>
        <v>Segun Okafor</v>
      </c>
      <c r="E14" s="12" t="s">
        <v>104</v>
      </c>
      <c r="F14" s="12" t="s">
        <v>1987</v>
      </c>
      <c r="G14" s="12" t="s">
        <v>1993</v>
      </c>
      <c r="H14" s="12" t="s">
        <v>1461</v>
      </c>
      <c r="I14" s="12" t="s">
        <v>1985</v>
      </c>
      <c r="J14" s="14"/>
    </row>
    <row r="15" customFormat="false" ht="15" hidden="false" customHeight="true" outlineLevel="0" collapsed="false">
      <c r="A15" s="12" t="s">
        <v>2007</v>
      </c>
      <c r="B15" s="14" t="n">
        <v>45809</v>
      </c>
      <c r="C15" s="13" t="s">
        <v>428</v>
      </c>
      <c r="D15" s="15" t="str">
        <f aca="false">IFERROR(INDEX(Dim_Employee!$B$2:$B$76,MATCH(C15,Dim_Employee!$A$2:$A$76,0)),"")</f>
        <v>Aisha Aliyu</v>
      </c>
      <c r="E15" s="12" t="s">
        <v>104</v>
      </c>
      <c r="F15" s="12" t="s">
        <v>1983</v>
      </c>
      <c r="G15" s="12" t="s">
        <v>2003</v>
      </c>
      <c r="H15" s="12" t="s">
        <v>1461</v>
      </c>
      <c r="I15" s="12" t="s">
        <v>741</v>
      </c>
      <c r="J15" s="14" t="n">
        <v>45889</v>
      </c>
    </row>
    <row r="16" customFormat="false" ht="15" hidden="false" customHeight="true" outlineLevel="0" collapsed="false">
      <c r="A16" s="12" t="s">
        <v>2008</v>
      </c>
      <c r="B16" s="14" t="n">
        <v>45776</v>
      </c>
      <c r="C16" s="13" t="s">
        <v>438</v>
      </c>
      <c r="D16" s="15" t="str">
        <f aca="false">IFERROR(INDEX(Dim_Employee!$B$2:$B$76,MATCH(C16,Dim_Employee!$A$2:$A$76,0)),"")</f>
        <v>Segun Onyeka</v>
      </c>
      <c r="E16" s="12" t="s">
        <v>104</v>
      </c>
      <c r="F16" s="12" t="s">
        <v>1997</v>
      </c>
      <c r="G16" s="12" t="s">
        <v>1993</v>
      </c>
      <c r="H16" s="12" t="s">
        <v>753</v>
      </c>
      <c r="I16" s="12" t="s">
        <v>1985</v>
      </c>
      <c r="J16" s="14"/>
    </row>
    <row r="17" customFormat="false" ht="15" hidden="false" customHeight="true" outlineLevel="0" collapsed="false">
      <c r="A17" s="12" t="s">
        <v>2009</v>
      </c>
      <c r="B17" s="14" t="n">
        <v>46014</v>
      </c>
      <c r="C17" s="13" t="s">
        <v>433</v>
      </c>
      <c r="D17" s="15" t="str">
        <f aca="false">IFERROR(INDEX(Dim_Employee!$B$2:$B$76,MATCH(C17,Dim_Employee!$A$2:$A$76,0)),"")</f>
        <v>Tobi Okonkwo</v>
      </c>
      <c r="E17" s="12" t="s">
        <v>111</v>
      </c>
      <c r="F17" s="12" t="s">
        <v>1997</v>
      </c>
      <c r="G17" s="12" t="s">
        <v>2010</v>
      </c>
      <c r="H17" s="12" t="s">
        <v>733</v>
      </c>
      <c r="I17" s="12" t="s">
        <v>1985</v>
      </c>
      <c r="J17" s="14"/>
    </row>
    <row r="18" customFormat="false" ht="15" hidden="false" customHeight="true" outlineLevel="0" collapsed="false">
      <c r="A18" s="12" t="s">
        <v>2011</v>
      </c>
      <c r="B18" s="14" t="n">
        <v>45937</v>
      </c>
      <c r="C18" s="13" t="s">
        <v>121</v>
      </c>
      <c r="D18" s="15" t="str">
        <f aca="false">IFERROR(INDEX(Dim_Employee!$B$2:$B$76,MATCH(C18,Dim_Employee!$A$2:$A$76,0)),"")</f>
        <v>Aisha Igwe</v>
      </c>
      <c r="E18" s="12" t="s">
        <v>97</v>
      </c>
      <c r="F18" s="12" t="s">
        <v>1983</v>
      </c>
      <c r="G18" s="12" t="s">
        <v>2003</v>
      </c>
      <c r="H18" s="12" t="s">
        <v>1461</v>
      </c>
      <c r="I18" s="12" t="s">
        <v>741</v>
      </c>
      <c r="J18" s="14" t="n">
        <v>45979</v>
      </c>
    </row>
    <row r="19" customFormat="false" ht="15" hidden="false" customHeight="true" outlineLevel="0" collapsed="false">
      <c r="A19" s="12" t="s">
        <v>2012</v>
      </c>
      <c r="B19" s="14" t="n">
        <v>45905</v>
      </c>
      <c r="C19" s="13" t="s">
        <v>121</v>
      </c>
      <c r="D19" s="15" t="str">
        <f aca="false">IFERROR(INDEX(Dim_Employee!$B$2:$B$76,MATCH(C19,Dim_Employee!$A$2:$A$76,0)),"")</f>
        <v>Aisha Igwe</v>
      </c>
      <c r="E19" s="12" t="s">
        <v>16</v>
      </c>
      <c r="F19" s="12" t="s">
        <v>1983</v>
      </c>
      <c r="G19" s="12" t="s">
        <v>2001</v>
      </c>
      <c r="H19" s="12" t="s">
        <v>753</v>
      </c>
      <c r="I19" s="12" t="s">
        <v>741</v>
      </c>
      <c r="J19" s="14" t="n">
        <v>45936</v>
      </c>
    </row>
    <row r="20" customFormat="false" ht="15" hidden="false" customHeight="true" outlineLevel="0" collapsed="false">
      <c r="A20" s="12" t="s">
        <v>2013</v>
      </c>
      <c r="B20" s="14" t="n">
        <v>45725</v>
      </c>
      <c r="C20" s="13" t="s">
        <v>428</v>
      </c>
      <c r="D20" s="15" t="str">
        <f aca="false">IFERROR(INDEX(Dim_Employee!$B$2:$B$76,MATCH(C20,Dim_Employee!$A$2:$A$76,0)),"")</f>
        <v>Aisha Aliyu</v>
      </c>
      <c r="E20" s="12" t="s">
        <v>28</v>
      </c>
      <c r="F20" s="12" t="s">
        <v>1997</v>
      </c>
      <c r="G20" s="12" t="s">
        <v>2003</v>
      </c>
      <c r="H20" s="12" t="s">
        <v>733</v>
      </c>
      <c r="I20" s="12" t="s">
        <v>1985</v>
      </c>
      <c r="J20" s="14"/>
    </row>
    <row r="21" customFormat="false" ht="15" hidden="false" customHeight="true" outlineLevel="0" collapsed="false">
      <c r="A21" s="12" t="s">
        <v>2014</v>
      </c>
      <c r="B21" s="14" t="n">
        <v>45914</v>
      </c>
      <c r="C21" s="13" t="s">
        <v>121</v>
      </c>
      <c r="D21" s="15" t="str">
        <f aca="false">IFERROR(INDEX(Dim_Employee!$B$2:$B$76,MATCH(C21,Dim_Employee!$A$2:$A$76,0)),"")</f>
        <v>Aisha Igwe</v>
      </c>
      <c r="E21" s="12" t="s">
        <v>104</v>
      </c>
      <c r="F21" s="12" t="s">
        <v>1983</v>
      </c>
      <c r="G21" s="12" t="s">
        <v>1993</v>
      </c>
      <c r="H21" s="12" t="s">
        <v>738</v>
      </c>
      <c r="I21" s="12" t="s">
        <v>739</v>
      </c>
      <c r="J21" s="14"/>
    </row>
    <row r="22" customFormat="false" ht="15" hidden="false" customHeight="true" outlineLevel="0" collapsed="false">
      <c r="A22" s="12" t="s">
        <v>2015</v>
      </c>
      <c r="B22" s="14" t="n">
        <v>45861</v>
      </c>
      <c r="C22" s="13" t="s">
        <v>433</v>
      </c>
      <c r="D22" s="15" t="str">
        <f aca="false">IFERROR(INDEX(Dim_Employee!$B$2:$B$76,MATCH(C22,Dim_Employee!$A$2:$A$76,0)),"")</f>
        <v>Tobi Okonkwo</v>
      </c>
      <c r="E22" s="12" t="s">
        <v>111</v>
      </c>
      <c r="F22" s="12" t="s">
        <v>1983</v>
      </c>
      <c r="G22" s="12" t="s">
        <v>1990</v>
      </c>
      <c r="H22" s="12" t="s">
        <v>738</v>
      </c>
      <c r="I22" s="12" t="s">
        <v>1985</v>
      </c>
      <c r="J22" s="14"/>
    </row>
    <row r="23" customFormat="false" ht="15" hidden="false" customHeight="true" outlineLevel="0" collapsed="false">
      <c r="A23" s="12" t="s">
        <v>2016</v>
      </c>
      <c r="B23" s="14" t="n">
        <v>45805</v>
      </c>
      <c r="C23" s="13" t="s">
        <v>438</v>
      </c>
      <c r="D23" s="15" t="str">
        <f aca="false">IFERROR(INDEX(Dim_Employee!$B$2:$B$76,MATCH(C23,Dim_Employee!$A$2:$A$76,0)),"")</f>
        <v>Segun Onyeka</v>
      </c>
      <c r="E23" s="12" t="s">
        <v>115</v>
      </c>
      <c r="F23" s="12" t="s">
        <v>1992</v>
      </c>
      <c r="G23" s="12" t="s">
        <v>1990</v>
      </c>
      <c r="H23" s="12" t="s">
        <v>733</v>
      </c>
      <c r="I23" s="12" t="s">
        <v>741</v>
      </c>
      <c r="J23" s="14" t="n">
        <v>45887</v>
      </c>
    </row>
    <row r="24" customFormat="false" ht="15" hidden="false" customHeight="true" outlineLevel="0" collapsed="false">
      <c r="A24" s="12" t="s">
        <v>2017</v>
      </c>
      <c r="B24" s="14" t="n">
        <v>45967</v>
      </c>
      <c r="C24" s="13" t="s">
        <v>438</v>
      </c>
      <c r="D24" s="15" t="str">
        <f aca="false">IFERROR(INDEX(Dim_Employee!$B$2:$B$76,MATCH(C24,Dim_Employee!$A$2:$A$76,0)),"")</f>
        <v>Segun Onyeka</v>
      </c>
      <c r="E24" s="12" t="s">
        <v>16</v>
      </c>
      <c r="F24" s="12" t="s">
        <v>1997</v>
      </c>
      <c r="G24" s="12" t="s">
        <v>1990</v>
      </c>
      <c r="H24" s="12" t="s">
        <v>1461</v>
      </c>
      <c r="I24" s="12" t="s">
        <v>1985</v>
      </c>
      <c r="J24" s="14"/>
    </row>
    <row r="25" customFormat="false" ht="15" hidden="false" customHeight="true" outlineLevel="0" collapsed="false">
      <c r="A25" s="12" t="s">
        <v>2018</v>
      </c>
      <c r="B25" s="14" t="n">
        <v>45919</v>
      </c>
      <c r="C25" s="13" t="s">
        <v>428</v>
      </c>
      <c r="D25" s="15" t="str">
        <f aca="false">IFERROR(INDEX(Dim_Employee!$B$2:$B$76,MATCH(C25,Dim_Employee!$A$2:$A$76,0)),"")</f>
        <v>Aisha Aliyu</v>
      </c>
      <c r="E25" s="12" t="s">
        <v>97</v>
      </c>
      <c r="F25" s="12" t="s">
        <v>1983</v>
      </c>
      <c r="G25" s="12" t="s">
        <v>2003</v>
      </c>
      <c r="H25" s="12" t="s">
        <v>1461</v>
      </c>
      <c r="I25" s="12" t="s">
        <v>741</v>
      </c>
      <c r="J25" s="14" t="n">
        <v>45978</v>
      </c>
    </row>
    <row r="26" customFormat="false" ht="15" hidden="false" customHeight="true" outlineLevel="0" collapsed="false">
      <c r="A26" s="12" t="s">
        <v>2019</v>
      </c>
      <c r="B26" s="14" t="n">
        <v>45738</v>
      </c>
      <c r="C26" s="13" t="s">
        <v>433</v>
      </c>
      <c r="D26" s="15" t="str">
        <f aca="false">IFERROR(INDEX(Dim_Employee!$B$2:$B$76,MATCH(C26,Dim_Employee!$A$2:$A$76,0)),"")</f>
        <v>Tobi Okonkwo</v>
      </c>
      <c r="E26" s="12" t="s">
        <v>19</v>
      </c>
      <c r="F26" s="12" t="s">
        <v>1989</v>
      </c>
      <c r="G26" s="12" t="s">
        <v>1995</v>
      </c>
      <c r="H26" s="12" t="s">
        <v>1461</v>
      </c>
      <c r="I26" s="12" t="s">
        <v>741</v>
      </c>
      <c r="J26" s="14" t="n">
        <v>45782</v>
      </c>
    </row>
    <row r="27" customFormat="false" ht="15" hidden="false" customHeight="true" outlineLevel="0" collapsed="false">
      <c r="A27" s="12" t="s">
        <v>2020</v>
      </c>
      <c r="B27" s="14" t="n">
        <v>45902</v>
      </c>
      <c r="C27" s="13" t="s">
        <v>121</v>
      </c>
      <c r="D27" s="15" t="str">
        <f aca="false">IFERROR(INDEX(Dim_Employee!$B$2:$B$76,MATCH(C27,Dim_Employee!$A$2:$A$76,0)),"")</f>
        <v>Aisha Igwe</v>
      </c>
      <c r="E27" s="12" t="s">
        <v>104</v>
      </c>
      <c r="F27" s="12" t="s">
        <v>1992</v>
      </c>
      <c r="G27" s="12" t="s">
        <v>1995</v>
      </c>
      <c r="H27" s="12" t="s">
        <v>738</v>
      </c>
      <c r="I27" s="12" t="s">
        <v>1985</v>
      </c>
      <c r="J27" s="14"/>
    </row>
    <row r="28" customFormat="false" ht="15" hidden="false" customHeight="true" outlineLevel="0" collapsed="false">
      <c r="A28" s="12" t="s">
        <v>2021</v>
      </c>
      <c r="B28" s="14" t="n">
        <v>45813</v>
      </c>
      <c r="C28" s="13" t="s">
        <v>121</v>
      </c>
      <c r="D28" s="15" t="str">
        <f aca="false">IFERROR(INDEX(Dim_Employee!$B$2:$B$76,MATCH(C28,Dim_Employee!$A$2:$A$76,0)),"")</f>
        <v>Aisha Igwe</v>
      </c>
      <c r="E28" s="12" t="s">
        <v>115</v>
      </c>
      <c r="F28" s="12" t="s">
        <v>1983</v>
      </c>
      <c r="G28" s="12" t="s">
        <v>1995</v>
      </c>
      <c r="H28" s="12" t="s">
        <v>738</v>
      </c>
      <c r="I28" s="12" t="s">
        <v>1985</v>
      </c>
      <c r="J28" s="14"/>
    </row>
    <row r="29" customFormat="false" ht="15" hidden="false" customHeight="true" outlineLevel="0" collapsed="false">
      <c r="A29" s="12" t="s">
        <v>2022</v>
      </c>
      <c r="B29" s="14" t="n">
        <v>45781</v>
      </c>
      <c r="C29" s="13" t="s">
        <v>428</v>
      </c>
      <c r="D29" s="15" t="str">
        <f aca="false">IFERROR(INDEX(Dim_Employee!$B$2:$B$76,MATCH(C29,Dim_Employee!$A$2:$A$76,0)),"")</f>
        <v>Aisha Aliyu</v>
      </c>
      <c r="E29" s="12" t="s">
        <v>104</v>
      </c>
      <c r="F29" s="12" t="s">
        <v>1989</v>
      </c>
      <c r="G29" s="12" t="s">
        <v>1995</v>
      </c>
      <c r="H29" s="12" t="s">
        <v>1461</v>
      </c>
      <c r="I29" s="12" t="s">
        <v>1985</v>
      </c>
      <c r="J29" s="14"/>
    </row>
    <row r="30" customFormat="false" ht="15" hidden="false" customHeight="true" outlineLevel="0" collapsed="false">
      <c r="A30" s="12" t="s">
        <v>2023</v>
      </c>
      <c r="B30" s="14" t="n">
        <v>45876</v>
      </c>
      <c r="C30" s="13" t="s">
        <v>442</v>
      </c>
      <c r="D30" s="15" t="str">
        <f aca="false">IFERROR(INDEX(Dim_Employee!$B$2:$B$76,MATCH(C30,Dim_Employee!$A$2:$A$76,0)),"")</f>
        <v>Segun Okafor</v>
      </c>
      <c r="E30" s="12" t="s">
        <v>111</v>
      </c>
      <c r="F30" s="12" t="s">
        <v>1992</v>
      </c>
      <c r="G30" s="12" t="s">
        <v>1993</v>
      </c>
      <c r="H30" s="12" t="s">
        <v>733</v>
      </c>
      <c r="I30" s="12" t="s">
        <v>1985</v>
      </c>
      <c r="J30" s="14"/>
    </row>
    <row r="31" customFormat="false" ht="15" hidden="false" customHeight="true" outlineLevel="0" collapsed="false">
      <c r="A31" s="12" t="s">
        <v>2024</v>
      </c>
      <c r="B31" s="14" t="n">
        <v>46010</v>
      </c>
      <c r="C31" s="13" t="s">
        <v>121</v>
      </c>
      <c r="D31" s="15" t="str">
        <f aca="false">IFERROR(INDEX(Dim_Employee!$B$2:$B$76,MATCH(C31,Dim_Employee!$A$2:$A$76,0)),"")</f>
        <v>Aisha Igwe</v>
      </c>
      <c r="E31" s="12" t="s">
        <v>104</v>
      </c>
      <c r="F31" s="12" t="s">
        <v>1997</v>
      </c>
      <c r="G31" s="12" t="s">
        <v>2010</v>
      </c>
      <c r="H31" s="12" t="s">
        <v>738</v>
      </c>
      <c r="I31" s="12" t="s">
        <v>1985</v>
      </c>
      <c r="J31" s="14"/>
    </row>
    <row r="32" customFormat="false" ht="15" hidden="false" customHeight="true" outlineLevel="0" collapsed="false">
      <c r="A32" s="12" t="s">
        <v>2025</v>
      </c>
      <c r="B32" s="14" t="n">
        <v>46022</v>
      </c>
      <c r="C32" s="13" t="s">
        <v>442</v>
      </c>
      <c r="D32" s="15" t="str">
        <f aca="false">IFERROR(INDEX(Dim_Employee!$B$2:$B$76,MATCH(C32,Dim_Employee!$A$2:$A$76,0)),"")</f>
        <v>Segun Okafor</v>
      </c>
      <c r="E32" s="12" t="s">
        <v>97</v>
      </c>
      <c r="F32" s="12" t="s">
        <v>1987</v>
      </c>
      <c r="G32" s="12" t="s">
        <v>1995</v>
      </c>
      <c r="H32" s="12" t="s">
        <v>1461</v>
      </c>
      <c r="I32" s="12" t="s">
        <v>1985</v>
      </c>
      <c r="J32" s="14"/>
    </row>
    <row r="33" customFormat="false" ht="15" hidden="false" customHeight="true" outlineLevel="0" collapsed="false">
      <c r="A33" s="12" t="s">
        <v>2026</v>
      </c>
      <c r="B33" s="14" t="n">
        <v>45741</v>
      </c>
      <c r="C33" s="13" t="s">
        <v>428</v>
      </c>
      <c r="D33" s="15" t="str">
        <f aca="false">IFERROR(INDEX(Dim_Employee!$B$2:$B$76,MATCH(C33,Dim_Employee!$A$2:$A$76,0)),"")</f>
        <v>Aisha Aliyu</v>
      </c>
      <c r="E33" s="12" t="s">
        <v>16</v>
      </c>
      <c r="F33" s="12" t="s">
        <v>1987</v>
      </c>
      <c r="G33" s="12" t="s">
        <v>1990</v>
      </c>
      <c r="H33" s="12" t="s">
        <v>1461</v>
      </c>
      <c r="I33" s="12" t="s">
        <v>739</v>
      </c>
      <c r="J33" s="14"/>
    </row>
    <row r="34" customFormat="false" ht="15" hidden="false" customHeight="true" outlineLevel="0" collapsed="false">
      <c r="A34" s="12" t="s">
        <v>2027</v>
      </c>
      <c r="B34" s="14" t="n">
        <v>45980</v>
      </c>
      <c r="C34" s="13" t="s">
        <v>428</v>
      </c>
      <c r="D34" s="15" t="str">
        <f aca="false">IFERROR(INDEX(Dim_Employee!$B$2:$B$76,MATCH(C34,Dim_Employee!$A$2:$A$76,0)),"")</f>
        <v>Aisha Aliyu</v>
      </c>
      <c r="E34" s="12" t="s">
        <v>97</v>
      </c>
      <c r="F34" s="12" t="s">
        <v>1997</v>
      </c>
      <c r="G34" s="12" t="s">
        <v>2001</v>
      </c>
      <c r="H34" s="12" t="s">
        <v>738</v>
      </c>
      <c r="I34" s="12" t="s">
        <v>1985</v>
      </c>
      <c r="J34" s="14"/>
    </row>
    <row r="35" customFormat="false" ht="15" hidden="false" customHeight="true" outlineLevel="0" collapsed="false">
      <c r="A35" s="12" t="s">
        <v>2028</v>
      </c>
      <c r="B35" s="14" t="n">
        <v>45926</v>
      </c>
      <c r="C35" s="13" t="s">
        <v>442</v>
      </c>
      <c r="D35" s="15" t="str">
        <f aca="false">IFERROR(INDEX(Dim_Employee!$B$2:$B$76,MATCH(C35,Dim_Employee!$A$2:$A$76,0)),"")</f>
        <v>Segun Okafor</v>
      </c>
      <c r="E35" s="12" t="s">
        <v>16</v>
      </c>
      <c r="F35" s="12" t="s">
        <v>1989</v>
      </c>
      <c r="G35" s="12" t="s">
        <v>1984</v>
      </c>
      <c r="H35" s="12" t="s">
        <v>738</v>
      </c>
      <c r="I35" s="12" t="s">
        <v>1985</v>
      </c>
      <c r="J35" s="14"/>
    </row>
    <row r="36" customFormat="false" ht="15" hidden="false" customHeight="true" outlineLevel="0" collapsed="false">
      <c r="A36" s="12" t="s">
        <v>2029</v>
      </c>
      <c r="B36" s="14" t="n">
        <v>45816</v>
      </c>
      <c r="C36" s="13" t="s">
        <v>121</v>
      </c>
      <c r="D36" s="15" t="str">
        <f aca="false">IFERROR(INDEX(Dim_Employee!$B$2:$B$76,MATCH(C36,Dim_Employee!$A$2:$A$76,0)),"")</f>
        <v>Aisha Igwe</v>
      </c>
      <c r="E36" s="12" t="s">
        <v>24</v>
      </c>
      <c r="F36" s="12" t="s">
        <v>1992</v>
      </c>
      <c r="G36" s="12" t="s">
        <v>1990</v>
      </c>
      <c r="H36" s="12" t="s">
        <v>1461</v>
      </c>
      <c r="I36" s="12" t="s">
        <v>739</v>
      </c>
      <c r="J36" s="14"/>
    </row>
    <row r="37" customFormat="false" ht="15" hidden="false" customHeight="true" outlineLevel="0" collapsed="false">
      <c r="A37" s="12" t="s">
        <v>2030</v>
      </c>
      <c r="B37" s="14" t="n">
        <v>45725</v>
      </c>
      <c r="C37" s="13" t="s">
        <v>438</v>
      </c>
      <c r="D37" s="15" t="str">
        <f aca="false">IFERROR(INDEX(Dim_Employee!$B$2:$B$76,MATCH(C37,Dim_Employee!$A$2:$A$76,0)),"")</f>
        <v>Segun Onyeka</v>
      </c>
      <c r="E37" s="12" t="s">
        <v>115</v>
      </c>
      <c r="F37" s="12" t="s">
        <v>1997</v>
      </c>
      <c r="G37" s="12" t="s">
        <v>1990</v>
      </c>
      <c r="H37" s="12" t="s">
        <v>753</v>
      </c>
      <c r="I37" s="12" t="s">
        <v>741</v>
      </c>
      <c r="J37" s="14" t="n">
        <v>45776</v>
      </c>
    </row>
    <row r="38" customFormat="false" ht="15" hidden="false" customHeight="true" outlineLevel="0" collapsed="false">
      <c r="A38" s="12" t="s">
        <v>2031</v>
      </c>
      <c r="B38" s="14" t="n">
        <v>45876</v>
      </c>
      <c r="C38" s="13" t="s">
        <v>428</v>
      </c>
      <c r="D38" s="15" t="str">
        <f aca="false">IFERROR(INDEX(Dim_Employee!$B$2:$B$76,MATCH(C38,Dim_Employee!$A$2:$A$76,0)),"")</f>
        <v>Aisha Aliyu</v>
      </c>
      <c r="E38" s="12" t="s">
        <v>97</v>
      </c>
      <c r="F38" s="12" t="s">
        <v>1987</v>
      </c>
      <c r="G38" s="12" t="s">
        <v>2003</v>
      </c>
      <c r="H38" s="12" t="s">
        <v>738</v>
      </c>
      <c r="I38" s="12" t="s">
        <v>1985</v>
      </c>
      <c r="J38" s="14"/>
    </row>
    <row r="39" customFormat="false" ht="15" hidden="false" customHeight="true" outlineLevel="0" collapsed="false">
      <c r="A39" s="12" t="s">
        <v>2032</v>
      </c>
      <c r="B39" s="14" t="n">
        <v>45948</v>
      </c>
      <c r="C39" s="13" t="s">
        <v>121</v>
      </c>
      <c r="D39" s="15" t="str">
        <f aca="false">IFERROR(INDEX(Dim_Employee!$B$2:$B$76,MATCH(C39,Dim_Employee!$A$2:$A$76,0)),"")</f>
        <v>Aisha Igwe</v>
      </c>
      <c r="E39" s="12" t="s">
        <v>28</v>
      </c>
      <c r="F39" s="12" t="s">
        <v>1997</v>
      </c>
      <c r="G39" s="12" t="s">
        <v>1993</v>
      </c>
      <c r="H39" s="12" t="s">
        <v>1461</v>
      </c>
      <c r="I39" s="12" t="s">
        <v>1985</v>
      </c>
      <c r="J39" s="14"/>
    </row>
    <row r="40" customFormat="false" ht="15" hidden="false" customHeight="true" outlineLevel="0" collapsed="false">
      <c r="A40" s="12" t="s">
        <v>2033</v>
      </c>
      <c r="B40" s="14" t="n">
        <v>45789</v>
      </c>
      <c r="C40" s="13" t="s">
        <v>433</v>
      </c>
      <c r="D40" s="15" t="str">
        <f aca="false">IFERROR(INDEX(Dim_Employee!$B$2:$B$76,MATCH(C40,Dim_Employee!$A$2:$A$76,0)),"")</f>
        <v>Tobi Okonkwo</v>
      </c>
      <c r="E40" s="12" t="s">
        <v>97</v>
      </c>
      <c r="F40" s="12" t="s">
        <v>1983</v>
      </c>
      <c r="G40" s="12" t="s">
        <v>1990</v>
      </c>
      <c r="H40" s="12" t="s">
        <v>738</v>
      </c>
      <c r="I40" s="12" t="s">
        <v>741</v>
      </c>
      <c r="J40" s="14" t="n">
        <v>45862</v>
      </c>
    </row>
    <row r="41" customFormat="false" ht="15" hidden="false" customHeight="true" outlineLevel="0" collapsed="false">
      <c r="A41" s="12" t="s">
        <v>2034</v>
      </c>
      <c r="B41" s="14" t="n">
        <v>45673</v>
      </c>
      <c r="C41" s="13" t="s">
        <v>428</v>
      </c>
      <c r="D41" s="15" t="str">
        <f aca="false">IFERROR(INDEX(Dim_Employee!$B$2:$B$76,MATCH(C41,Dim_Employee!$A$2:$A$76,0)),"")</f>
        <v>Aisha Aliyu</v>
      </c>
      <c r="E41" s="12" t="s">
        <v>115</v>
      </c>
      <c r="F41" s="12" t="s">
        <v>1983</v>
      </c>
      <c r="G41" s="12" t="s">
        <v>2003</v>
      </c>
      <c r="H41" s="12" t="s">
        <v>733</v>
      </c>
      <c r="I41" s="12" t="s">
        <v>741</v>
      </c>
      <c r="J41" s="14" t="n">
        <v>45707</v>
      </c>
    </row>
    <row r="42" customFormat="false" ht="15" hidden="false" customHeight="true" outlineLevel="0" collapsed="false">
      <c r="A42" s="12" t="s">
        <v>2035</v>
      </c>
      <c r="B42" s="14" t="n">
        <v>45949</v>
      </c>
      <c r="C42" s="13" t="s">
        <v>433</v>
      </c>
      <c r="D42" s="15" t="str">
        <f aca="false">IFERROR(INDEX(Dim_Employee!$B$2:$B$76,MATCH(C42,Dim_Employee!$A$2:$A$76,0)),"")</f>
        <v>Tobi Okonkwo</v>
      </c>
      <c r="E42" s="12" t="s">
        <v>24</v>
      </c>
      <c r="F42" s="12" t="s">
        <v>1983</v>
      </c>
      <c r="G42" s="12" t="s">
        <v>2003</v>
      </c>
      <c r="H42" s="12" t="s">
        <v>753</v>
      </c>
      <c r="I42" s="12" t="s">
        <v>1985</v>
      </c>
      <c r="J42" s="14"/>
    </row>
    <row r="43" customFormat="false" ht="15" hidden="false" customHeight="true" outlineLevel="0" collapsed="false">
      <c r="A43" s="12" t="s">
        <v>2036</v>
      </c>
      <c r="B43" s="14" t="n">
        <v>46005</v>
      </c>
      <c r="C43" s="13" t="s">
        <v>442</v>
      </c>
      <c r="D43" s="15" t="str">
        <f aca="false">IFERROR(INDEX(Dim_Employee!$B$2:$B$76,MATCH(C43,Dim_Employee!$A$2:$A$76,0)),"")</f>
        <v>Segun Okafor</v>
      </c>
      <c r="E43" s="12" t="s">
        <v>19</v>
      </c>
      <c r="F43" s="12" t="s">
        <v>1992</v>
      </c>
      <c r="G43" s="12" t="s">
        <v>2001</v>
      </c>
      <c r="H43" s="12" t="s">
        <v>1461</v>
      </c>
      <c r="I43" s="12" t="s">
        <v>1985</v>
      </c>
      <c r="J43" s="14"/>
    </row>
    <row r="44" customFormat="false" ht="15" hidden="false" customHeight="true" outlineLevel="0" collapsed="false">
      <c r="A44" s="12" t="s">
        <v>2037</v>
      </c>
      <c r="B44" s="14" t="n">
        <v>45674</v>
      </c>
      <c r="C44" s="13" t="s">
        <v>433</v>
      </c>
      <c r="D44" s="15" t="str">
        <f aca="false">IFERROR(INDEX(Dim_Employee!$B$2:$B$76,MATCH(C44,Dim_Employee!$A$2:$A$76,0)),"")</f>
        <v>Tobi Okonkwo</v>
      </c>
      <c r="E44" s="12" t="s">
        <v>24</v>
      </c>
      <c r="F44" s="12" t="s">
        <v>1983</v>
      </c>
      <c r="G44" s="12" t="s">
        <v>2003</v>
      </c>
      <c r="H44" s="12" t="s">
        <v>753</v>
      </c>
      <c r="I44" s="12" t="s">
        <v>1985</v>
      </c>
      <c r="J44" s="14"/>
    </row>
    <row r="45" customFormat="false" ht="15" hidden="false" customHeight="true" outlineLevel="0" collapsed="false">
      <c r="A45" s="12" t="s">
        <v>2038</v>
      </c>
      <c r="B45" s="14" t="n">
        <v>45800</v>
      </c>
      <c r="C45" s="13" t="s">
        <v>442</v>
      </c>
      <c r="D45" s="15" t="str">
        <f aca="false">IFERROR(INDEX(Dim_Employee!$B$2:$B$76,MATCH(C45,Dim_Employee!$A$2:$A$76,0)),"")</f>
        <v>Segun Okafor</v>
      </c>
      <c r="E45" s="12" t="s">
        <v>16</v>
      </c>
      <c r="F45" s="12" t="s">
        <v>1992</v>
      </c>
      <c r="G45" s="12" t="s">
        <v>1990</v>
      </c>
      <c r="H45" s="12" t="s">
        <v>1461</v>
      </c>
      <c r="I45" s="12" t="s">
        <v>739</v>
      </c>
      <c r="J45" s="14"/>
    </row>
    <row r="46" customFormat="false" ht="15" hidden="false" customHeight="true" outlineLevel="0" collapsed="false">
      <c r="A46" s="12" t="s">
        <v>2039</v>
      </c>
      <c r="B46" s="14" t="n">
        <v>45951</v>
      </c>
      <c r="C46" s="13" t="s">
        <v>121</v>
      </c>
      <c r="D46" s="15" t="str">
        <f aca="false">IFERROR(INDEX(Dim_Employee!$B$2:$B$76,MATCH(C46,Dim_Employee!$A$2:$A$76,0)),"")</f>
        <v>Aisha Igwe</v>
      </c>
      <c r="E46" s="12" t="s">
        <v>104</v>
      </c>
      <c r="F46" s="12" t="s">
        <v>1992</v>
      </c>
      <c r="G46" s="12" t="s">
        <v>1993</v>
      </c>
      <c r="H46" s="12" t="s">
        <v>1461</v>
      </c>
      <c r="I46" s="12" t="s">
        <v>741</v>
      </c>
      <c r="J46" s="14" t="n">
        <v>45968</v>
      </c>
    </row>
    <row r="47" customFormat="false" ht="15" hidden="false" customHeight="true" outlineLevel="0" collapsed="false">
      <c r="A47" s="12" t="s">
        <v>2040</v>
      </c>
      <c r="B47" s="14" t="n">
        <v>45904</v>
      </c>
      <c r="C47" s="13" t="s">
        <v>438</v>
      </c>
      <c r="D47" s="15" t="str">
        <f aca="false">IFERROR(INDEX(Dim_Employee!$B$2:$B$76,MATCH(C47,Dim_Employee!$A$2:$A$76,0)),"")</f>
        <v>Segun Onyeka</v>
      </c>
      <c r="E47" s="12" t="s">
        <v>97</v>
      </c>
      <c r="F47" s="12" t="s">
        <v>1989</v>
      </c>
      <c r="G47" s="12" t="s">
        <v>2003</v>
      </c>
      <c r="H47" s="12" t="s">
        <v>753</v>
      </c>
      <c r="I47" s="12" t="s">
        <v>739</v>
      </c>
      <c r="J47" s="14"/>
    </row>
    <row r="48" customFormat="false" ht="15" hidden="false" customHeight="true" outlineLevel="0" collapsed="false">
      <c r="A48" s="12" t="s">
        <v>2041</v>
      </c>
      <c r="B48" s="14" t="n">
        <v>45671</v>
      </c>
      <c r="C48" s="13" t="s">
        <v>438</v>
      </c>
      <c r="D48" s="15" t="str">
        <f aca="false">IFERROR(INDEX(Dim_Employee!$B$2:$B$76,MATCH(C48,Dim_Employee!$A$2:$A$76,0)),"")</f>
        <v>Segun Onyeka</v>
      </c>
      <c r="E48" s="12" t="s">
        <v>104</v>
      </c>
      <c r="F48" s="12" t="s">
        <v>1989</v>
      </c>
      <c r="G48" s="12" t="s">
        <v>2001</v>
      </c>
      <c r="H48" s="12" t="s">
        <v>738</v>
      </c>
      <c r="I48" s="12" t="s">
        <v>739</v>
      </c>
      <c r="J48" s="14"/>
    </row>
    <row r="49" customFormat="false" ht="15" hidden="false" customHeight="true" outlineLevel="0" collapsed="false">
      <c r="A49" s="12" t="s">
        <v>2042</v>
      </c>
      <c r="B49" s="14" t="n">
        <v>45772</v>
      </c>
      <c r="C49" s="13" t="s">
        <v>433</v>
      </c>
      <c r="D49" s="15" t="str">
        <f aca="false">IFERROR(INDEX(Dim_Employee!$B$2:$B$76,MATCH(C49,Dim_Employee!$A$2:$A$76,0)),"")</f>
        <v>Tobi Okonkwo</v>
      </c>
      <c r="E49" s="12" t="s">
        <v>104</v>
      </c>
      <c r="F49" s="12" t="s">
        <v>1987</v>
      </c>
      <c r="G49" s="12" t="s">
        <v>1995</v>
      </c>
      <c r="H49" s="12" t="s">
        <v>753</v>
      </c>
      <c r="I49" s="12" t="s">
        <v>739</v>
      </c>
      <c r="J49" s="14"/>
    </row>
    <row r="50" customFormat="false" ht="15" hidden="false" customHeight="true" outlineLevel="0" collapsed="false">
      <c r="A50" s="12" t="s">
        <v>2043</v>
      </c>
      <c r="B50" s="14" t="n">
        <v>45933</v>
      </c>
      <c r="C50" s="13" t="s">
        <v>428</v>
      </c>
      <c r="D50" s="15" t="str">
        <f aca="false">IFERROR(INDEX(Dim_Employee!$B$2:$B$76,MATCH(C50,Dim_Employee!$A$2:$A$76,0)),"")</f>
        <v>Aisha Aliyu</v>
      </c>
      <c r="E50" s="12" t="s">
        <v>16</v>
      </c>
      <c r="F50" s="12" t="s">
        <v>1989</v>
      </c>
      <c r="G50" s="12" t="s">
        <v>1995</v>
      </c>
      <c r="H50" s="12" t="s">
        <v>733</v>
      </c>
      <c r="I50" s="12" t="s">
        <v>1985</v>
      </c>
      <c r="J50" s="14"/>
    </row>
    <row r="51" customFormat="false" ht="15" hidden="false" customHeight="true" outlineLevel="0" collapsed="false">
      <c r="A51" s="12" t="s">
        <v>2044</v>
      </c>
      <c r="B51" s="14" t="n">
        <v>45743</v>
      </c>
      <c r="C51" s="13" t="s">
        <v>438</v>
      </c>
      <c r="D51" s="15" t="str">
        <f aca="false">IFERROR(INDEX(Dim_Employee!$B$2:$B$76,MATCH(C51,Dim_Employee!$A$2:$A$76,0)),"")</f>
        <v>Segun Onyeka</v>
      </c>
      <c r="E51" s="12" t="s">
        <v>97</v>
      </c>
      <c r="F51" s="12" t="s">
        <v>1997</v>
      </c>
      <c r="G51" s="12" t="s">
        <v>2001</v>
      </c>
      <c r="H51" s="12" t="s">
        <v>1461</v>
      </c>
      <c r="I51" s="12" t="s">
        <v>739</v>
      </c>
      <c r="J51" s="14"/>
    </row>
    <row r="52" customFormat="false" ht="15" hidden="false" customHeight="true" outlineLevel="0" collapsed="false">
      <c r="A52" s="12" t="s">
        <v>2045</v>
      </c>
      <c r="B52" s="14" t="n">
        <v>45873</v>
      </c>
      <c r="C52" s="13" t="s">
        <v>428</v>
      </c>
      <c r="D52" s="15" t="str">
        <f aca="false">IFERROR(INDEX(Dim_Employee!$B$2:$B$76,MATCH(C52,Dim_Employee!$A$2:$A$76,0)),"")</f>
        <v>Aisha Aliyu</v>
      </c>
      <c r="E52" s="12" t="s">
        <v>115</v>
      </c>
      <c r="F52" s="12" t="s">
        <v>1983</v>
      </c>
      <c r="G52" s="12" t="s">
        <v>1990</v>
      </c>
      <c r="H52" s="12" t="s">
        <v>1461</v>
      </c>
      <c r="I52" s="12" t="s">
        <v>739</v>
      </c>
      <c r="J52" s="14"/>
    </row>
    <row r="53" customFormat="false" ht="15" hidden="false" customHeight="true" outlineLevel="0" collapsed="false">
      <c r="A53" s="12" t="s">
        <v>2046</v>
      </c>
      <c r="B53" s="14" t="n">
        <v>45898</v>
      </c>
      <c r="C53" s="13" t="s">
        <v>438</v>
      </c>
      <c r="D53" s="15" t="str">
        <f aca="false">IFERROR(INDEX(Dim_Employee!$B$2:$B$76,MATCH(C53,Dim_Employee!$A$2:$A$76,0)),"")</f>
        <v>Segun Onyeka</v>
      </c>
      <c r="E53" s="12" t="s">
        <v>16</v>
      </c>
      <c r="F53" s="12" t="s">
        <v>1997</v>
      </c>
      <c r="G53" s="12" t="s">
        <v>1993</v>
      </c>
      <c r="H53" s="12" t="s">
        <v>1461</v>
      </c>
      <c r="I53" s="12" t="s">
        <v>739</v>
      </c>
      <c r="J53" s="14"/>
    </row>
    <row r="54" customFormat="false" ht="15" hidden="false" customHeight="true" outlineLevel="0" collapsed="false">
      <c r="A54" s="12" t="s">
        <v>2047</v>
      </c>
      <c r="B54" s="14" t="n">
        <v>45782</v>
      </c>
      <c r="C54" s="13" t="s">
        <v>433</v>
      </c>
      <c r="D54" s="15" t="str">
        <f aca="false">IFERROR(INDEX(Dim_Employee!$B$2:$B$76,MATCH(C54,Dim_Employee!$A$2:$A$76,0)),"")</f>
        <v>Tobi Okonkwo</v>
      </c>
      <c r="E54" s="12" t="s">
        <v>19</v>
      </c>
      <c r="F54" s="12" t="s">
        <v>1997</v>
      </c>
      <c r="G54" s="12" t="s">
        <v>1993</v>
      </c>
      <c r="H54" s="12" t="s">
        <v>733</v>
      </c>
      <c r="I54" s="12" t="s">
        <v>741</v>
      </c>
      <c r="J54" s="14" t="n">
        <v>45830</v>
      </c>
    </row>
    <row r="55" customFormat="false" ht="15" hidden="false" customHeight="true" outlineLevel="0" collapsed="false">
      <c r="A55" s="12" t="s">
        <v>2048</v>
      </c>
      <c r="B55" s="14" t="n">
        <v>45748</v>
      </c>
      <c r="C55" s="13" t="s">
        <v>442</v>
      </c>
      <c r="D55" s="15" t="str">
        <f aca="false">IFERROR(INDEX(Dim_Employee!$B$2:$B$76,MATCH(C55,Dim_Employee!$A$2:$A$76,0)),"")</f>
        <v>Segun Okafor</v>
      </c>
      <c r="E55" s="12" t="s">
        <v>28</v>
      </c>
      <c r="F55" s="12" t="s">
        <v>1992</v>
      </c>
      <c r="G55" s="12" t="s">
        <v>1984</v>
      </c>
      <c r="H55" s="12" t="s">
        <v>753</v>
      </c>
      <c r="I55" s="12" t="s">
        <v>741</v>
      </c>
      <c r="J55" s="14" t="n">
        <v>45767</v>
      </c>
    </row>
    <row r="56" customFormat="false" ht="15" hidden="false" customHeight="true" outlineLevel="0" collapsed="false">
      <c r="A56" s="12" t="s">
        <v>2049</v>
      </c>
      <c r="B56" s="14" t="n">
        <v>45687</v>
      </c>
      <c r="C56" s="13" t="s">
        <v>438</v>
      </c>
      <c r="D56" s="15" t="str">
        <f aca="false">IFERROR(INDEX(Dim_Employee!$B$2:$B$76,MATCH(C56,Dim_Employee!$A$2:$A$76,0)),"")</f>
        <v>Segun Onyeka</v>
      </c>
      <c r="E56" s="12" t="s">
        <v>111</v>
      </c>
      <c r="F56" s="12" t="s">
        <v>1983</v>
      </c>
      <c r="G56" s="12" t="s">
        <v>1990</v>
      </c>
      <c r="H56" s="12" t="s">
        <v>753</v>
      </c>
      <c r="I56" s="12" t="s">
        <v>739</v>
      </c>
      <c r="J56" s="14"/>
    </row>
    <row r="57" customFormat="false" ht="15" hidden="false" customHeight="true" outlineLevel="0" collapsed="false">
      <c r="A57" s="12" t="s">
        <v>2050</v>
      </c>
      <c r="B57" s="14" t="n">
        <v>45852</v>
      </c>
      <c r="C57" s="13" t="s">
        <v>433</v>
      </c>
      <c r="D57" s="15" t="str">
        <f aca="false">IFERROR(INDEX(Dim_Employee!$B$2:$B$76,MATCH(C57,Dim_Employee!$A$2:$A$76,0)),"")</f>
        <v>Tobi Okonkwo</v>
      </c>
      <c r="E57" s="12" t="s">
        <v>16</v>
      </c>
      <c r="F57" s="12" t="s">
        <v>1992</v>
      </c>
      <c r="G57" s="12" t="s">
        <v>2001</v>
      </c>
      <c r="H57" s="12" t="s">
        <v>1461</v>
      </c>
      <c r="I57" s="12" t="s">
        <v>739</v>
      </c>
      <c r="J57" s="14"/>
    </row>
    <row r="58" customFormat="false" ht="15" hidden="false" customHeight="true" outlineLevel="0" collapsed="false">
      <c r="A58" s="12" t="s">
        <v>2051</v>
      </c>
      <c r="B58" s="14" t="n">
        <v>45671</v>
      </c>
      <c r="C58" s="13" t="s">
        <v>428</v>
      </c>
      <c r="D58" s="15" t="str">
        <f aca="false">IFERROR(INDEX(Dim_Employee!$B$2:$B$76,MATCH(C58,Dim_Employee!$A$2:$A$76,0)),"")</f>
        <v>Aisha Aliyu</v>
      </c>
      <c r="E58" s="12" t="s">
        <v>19</v>
      </c>
      <c r="F58" s="12" t="s">
        <v>1992</v>
      </c>
      <c r="G58" s="12" t="s">
        <v>1984</v>
      </c>
      <c r="H58" s="12" t="s">
        <v>738</v>
      </c>
      <c r="I58" s="12" t="s">
        <v>741</v>
      </c>
      <c r="J58" s="14" t="n">
        <v>45758</v>
      </c>
    </row>
    <row r="59" customFormat="false" ht="15" hidden="false" customHeight="true" outlineLevel="0" collapsed="false">
      <c r="A59" s="12" t="s">
        <v>2052</v>
      </c>
      <c r="B59" s="14" t="n">
        <v>46010</v>
      </c>
      <c r="C59" s="13" t="s">
        <v>442</v>
      </c>
      <c r="D59" s="15" t="str">
        <f aca="false">IFERROR(INDEX(Dim_Employee!$B$2:$B$76,MATCH(C59,Dim_Employee!$A$2:$A$76,0)),"")</f>
        <v>Segun Okafor</v>
      </c>
      <c r="E59" s="12" t="s">
        <v>16</v>
      </c>
      <c r="F59" s="12" t="s">
        <v>1983</v>
      </c>
      <c r="G59" s="12" t="s">
        <v>1995</v>
      </c>
      <c r="H59" s="12" t="s">
        <v>1461</v>
      </c>
      <c r="I59" s="12" t="s">
        <v>1985</v>
      </c>
      <c r="J59" s="14"/>
    </row>
    <row r="60" customFormat="false" ht="15" hidden="false" customHeight="true" outlineLevel="0" collapsed="false">
      <c r="A60" s="12" t="s">
        <v>2053</v>
      </c>
      <c r="B60" s="14" t="n">
        <v>45710</v>
      </c>
      <c r="C60" s="13" t="s">
        <v>121</v>
      </c>
      <c r="D60" s="15" t="str">
        <f aca="false">IFERROR(INDEX(Dim_Employee!$B$2:$B$76,MATCH(C60,Dim_Employee!$A$2:$A$76,0)),"")</f>
        <v>Aisha Igwe</v>
      </c>
      <c r="E60" s="12" t="s">
        <v>16</v>
      </c>
      <c r="F60" s="12" t="s">
        <v>1983</v>
      </c>
      <c r="G60" s="12" t="s">
        <v>2003</v>
      </c>
      <c r="H60" s="12" t="s">
        <v>753</v>
      </c>
      <c r="I60" s="12" t="s">
        <v>739</v>
      </c>
      <c r="J60" s="14"/>
    </row>
    <row r="61" customFormat="false" ht="15" hidden="false" customHeight="true" outlineLevel="0" collapsed="false">
      <c r="A61" s="12" t="s">
        <v>2054</v>
      </c>
      <c r="B61" s="14" t="n">
        <v>45672</v>
      </c>
      <c r="C61" s="13" t="s">
        <v>438</v>
      </c>
      <c r="D61" s="15" t="str">
        <f aca="false">IFERROR(INDEX(Dim_Employee!$B$2:$B$76,MATCH(C61,Dim_Employee!$A$2:$A$76,0)),"")</f>
        <v>Segun Onyeka</v>
      </c>
      <c r="E61" s="12" t="s">
        <v>16</v>
      </c>
      <c r="F61" s="12" t="s">
        <v>1983</v>
      </c>
      <c r="G61" s="12" t="s">
        <v>1984</v>
      </c>
      <c r="H61" s="12" t="s">
        <v>1461</v>
      </c>
      <c r="I61" s="12" t="s">
        <v>739</v>
      </c>
      <c r="J61" s="14"/>
    </row>
    <row r="62" customFormat="false" ht="15" hidden="false" customHeight="true" outlineLevel="0" collapsed="false">
      <c r="A62" s="12" t="s">
        <v>2055</v>
      </c>
      <c r="B62" s="14" t="n">
        <v>45702</v>
      </c>
      <c r="C62" s="13" t="s">
        <v>438</v>
      </c>
      <c r="D62" s="15" t="str">
        <f aca="false">IFERROR(INDEX(Dim_Employee!$B$2:$B$76,MATCH(C62,Dim_Employee!$A$2:$A$76,0)),"")</f>
        <v>Segun Onyeka</v>
      </c>
      <c r="E62" s="12" t="s">
        <v>19</v>
      </c>
      <c r="F62" s="12" t="s">
        <v>1997</v>
      </c>
      <c r="G62" s="12" t="s">
        <v>1990</v>
      </c>
      <c r="H62" s="12" t="s">
        <v>738</v>
      </c>
      <c r="I62" s="12" t="s">
        <v>1985</v>
      </c>
      <c r="J62" s="14"/>
    </row>
    <row r="63" customFormat="false" ht="15" hidden="false" customHeight="true" outlineLevel="0" collapsed="false">
      <c r="A63" s="12" t="s">
        <v>2056</v>
      </c>
      <c r="B63" s="14" t="n">
        <v>46021</v>
      </c>
      <c r="C63" s="13" t="s">
        <v>428</v>
      </c>
      <c r="D63" s="15" t="str">
        <f aca="false">IFERROR(INDEX(Dim_Employee!$B$2:$B$76,MATCH(C63,Dim_Employee!$A$2:$A$76,0)),"")</f>
        <v>Aisha Aliyu</v>
      </c>
      <c r="E63" s="12" t="s">
        <v>115</v>
      </c>
      <c r="F63" s="12" t="s">
        <v>1987</v>
      </c>
      <c r="G63" s="12" t="s">
        <v>1993</v>
      </c>
      <c r="H63" s="12" t="s">
        <v>1461</v>
      </c>
      <c r="I63" s="12" t="s">
        <v>741</v>
      </c>
      <c r="J63" s="14" t="n">
        <v>46073</v>
      </c>
    </row>
    <row r="64" customFormat="false" ht="15" hidden="false" customHeight="true" outlineLevel="0" collapsed="false">
      <c r="A64" s="12" t="s">
        <v>2057</v>
      </c>
      <c r="B64" s="14" t="n">
        <v>45913</v>
      </c>
      <c r="C64" s="13" t="s">
        <v>428</v>
      </c>
      <c r="D64" s="15" t="str">
        <f aca="false">IFERROR(INDEX(Dim_Employee!$B$2:$B$76,MATCH(C64,Dim_Employee!$A$2:$A$76,0)),"")</f>
        <v>Aisha Aliyu</v>
      </c>
      <c r="E64" s="12" t="s">
        <v>115</v>
      </c>
      <c r="F64" s="12" t="s">
        <v>1997</v>
      </c>
      <c r="G64" s="12" t="s">
        <v>1990</v>
      </c>
      <c r="H64" s="12" t="s">
        <v>733</v>
      </c>
      <c r="I64" s="12" t="s">
        <v>739</v>
      </c>
      <c r="J64" s="14"/>
    </row>
    <row r="65" customFormat="false" ht="15" hidden="false" customHeight="true" outlineLevel="0" collapsed="false">
      <c r="A65" s="12" t="s">
        <v>2058</v>
      </c>
      <c r="B65" s="14" t="n">
        <v>45776</v>
      </c>
      <c r="C65" s="13" t="s">
        <v>428</v>
      </c>
      <c r="D65" s="15" t="str">
        <f aca="false">IFERROR(INDEX(Dim_Employee!$B$2:$B$76,MATCH(C65,Dim_Employee!$A$2:$A$76,0)),"")</f>
        <v>Aisha Aliyu</v>
      </c>
      <c r="E65" s="12" t="s">
        <v>104</v>
      </c>
      <c r="F65" s="12" t="s">
        <v>1992</v>
      </c>
      <c r="G65" s="12" t="s">
        <v>1995</v>
      </c>
      <c r="H65" s="12" t="s">
        <v>738</v>
      </c>
      <c r="I65" s="12" t="s">
        <v>1985</v>
      </c>
      <c r="J65" s="14"/>
    </row>
    <row r="66" customFormat="false" ht="15" hidden="false" customHeight="true" outlineLevel="0" collapsed="false">
      <c r="A66" s="12" t="s">
        <v>2059</v>
      </c>
      <c r="B66" s="14" t="n">
        <v>45703</v>
      </c>
      <c r="C66" s="13" t="s">
        <v>438</v>
      </c>
      <c r="D66" s="15" t="str">
        <f aca="false">IFERROR(INDEX(Dim_Employee!$B$2:$B$76,MATCH(C66,Dim_Employee!$A$2:$A$76,0)),"")</f>
        <v>Segun Onyeka</v>
      </c>
      <c r="E66" s="12" t="s">
        <v>115</v>
      </c>
      <c r="F66" s="12" t="s">
        <v>1992</v>
      </c>
      <c r="G66" s="12" t="s">
        <v>1984</v>
      </c>
      <c r="H66" s="12" t="s">
        <v>738</v>
      </c>
      <c r="I66" s="12" t="s">
        <v>741</v>
      </c>
      <c r="J66" s="14" t="n">
        <v>45738</v>
      </c>
    </row>
    <row r="67" customFormat="false" ht="15" hidden="false" customHeight="true" outlineLevel="0" collapsed="false">
      <c r="A67" s="12" t="s">
        <v>2060</v>
      </c>
      <c r="B67" s="14" t="n">
        <v>45687</v>
      </c>
      <c r="C67" s="13" t="s">
        <v>428</v>
      </c>
      <c r="D67" s="15" t="str">
        <f aca="false">IFERROR(INDEX(Dim_Employee!$B$2:$B$76,MATCH(C67,Dim_Employee!$A$2:$A$76,0)),"")</f>
        <v>Aisha Aliyu</v>
      </c>
      <c r="E67" s="12" t="s">
        <v>115</v>
      </c>
      <c r="F67" s="12" t="s">
        <v>1989</v>
      </c>
      <c r="G67" s="12" t="s">
        <v>2003</v>
      </c>
      <c r="H67" s="12" t="s">
        <v>753</v>
      </c>
      <c r="I67" s="12" t="s">
        <v>739</v>
      </c>
      <c r="J67" s="14"/>
    </row>
    <row r="68" customFormat="false" ht="15" hidden="false" customHeight="true" outlineLevel="0" collapsed="false">
      <c r="A68" s="12" t="s">
        <v>2061</v>
      </c>
      <c r="B68" s="14" t="n">
        <v>45939</v>
      </c>
      <c r="C68" s="13" t="s">
        <v>121</v>
      </c>
      <c r="D68" s="15" t="str">
        <f aca="false">IFERROR(INDEX(Dim_Employee!$B$2:$B$76,MATCH(C68,Dim_Employee!$A$2:$A$76,0)),"")</f>
        <v>Aisha Igwe</v>
      </c>
      <c r="E68" s="12" t="s">
        <v>24</v>
      </c>
      <c r="F68" s="12" t="s">
        <v>1983</v>
      </c>
      <c r="G68" s="12" t="s">
        <v>1995</v>
      </c>
      <c r="H68" s="12" t="s">
        <v>738</v>
      </c>
      <c r="I68" s="12" t="s">
        <v>739</v>
      </c>
      <c r="J68" s="14"/>
    </row>
    <row r="69" customFormat="false" ht="15" hidden="false" customHeight="true" outlineLevel="0" collapsed="false">
      <c r="A69" s="12" t="s">
        <v>2062</v>
      </c>
      <c r="B69" s="14" t="n">
        <v>45814</v>
      </c>
      <c r="C69" s="13" t="s">
        <v>121</v>
      </c>
      <c r="D69" s="15" t="str">
        <f aca="false">IFERROR(INDEX(Dim_Employee!$B$2:$B$76,MATCH(C69,Dim_Employee!$A$2:$A$76,0)),"")</f>
        <v>Aisha Igwe</v>
      </c>
      <c r="E69" s="12" t="s">
        <v>97</v>
      </c>
      <c r="F69" s="12" t="s">
        <v>1997</v>
      </c>
      <c r="G69" s="12" t="s">
        <v>1993</v>
      </c>
      <c r="H69" s="12" t="s">
        <v>733</v>
      </c>
      <c r="I69" s="12" t="s">
        <v>739</v>
      </c>
      <c r="J69" s="14"/>
    </row>
    <row r="70" customFormat="false" ht="15" hidden="false" customHeight="true" outlineLevel="0" collapsed="false">
      <c r="A70" s="12" t="s">
        <v>2063</v>
      </c>
      <c r="B70" s="14" t="n">
        <v>45738</v>
      </c>
      <c r="C70" s="13" t="s">
        <v>428</v>
      </c>
      <c r="D70" s="15" t="str">
        <f aca="false">IFERROR(INDEX(Dim_Employee!$B$2:$B$76,MATCH(C70,Dim_Employee!$A$2:$A$76,0)),"")</f>
        <v>Aisha Aliyu</v>
      </c>
      <c r="E70" s="12" t="s">
        <v>24</v>
      </c>
      <c r="F70" s="12" t="s">
        <v>1997</v>
      </c>
      <c r="G70" s="12" t="s">
        <v>1990</v>
      </c>
      <c r="H70" s="12" t="s">
        <v>753</v>
      </c>
      <c r="I70" s="12" t="s">
        <v>739</v>
      </c>
      <c r="J70" s="14"/>
    </row>
    <row r="71" customFormat="false" ht="15" hidden="false" customHeight="true" outlineLevel="0" collapsed="false">
      <c r="A71" s="12" t="s">
        <v>2064</v>
      </c>
      <c r="B71" s="14" t="n">
        <v>45754</v>
      </c>
      <c r="C71" s="13" t="s">
        <v>121</v>
      </c>
      <c r="D71" s="15" t="str">
        <f aca="false">IFERROR(INDEX(Dim_Employee!$B$2:$B$76,MATCH(C71,Dim_Employee!$A$2:$A$76,0)),"")</f>
        <v>Aisha Igwe</v>
      </c>
      <c r="E71" s="12" t="s">
        <v>97</v>
      </c>
      <c r="F71" s="12" t="s">
        <v>1997</v>
      </c>
      <c r="G71" s="12" t="s">
        <v>1990</v>
      </c>
      <c r="H71" s="12" t="s">
        <v>1461</v>
      </c>
      <c r="I71" s="12" t="s">
        <v>741</v>
      </c>
      <c r="J71" s="14" t="n">
        <v>45805</v>
      </c>
    </row>
    <row r="72" customFormat="false" ht="15" hidden="false" customHeight="true" outlineLevel="0" collapsed="false">
      <c r="A72" s="12" t="s">
        <v>2065</v>
      </c>
      <c r="B72" s="14" t="n">
        <v>45661</v>
      </c>
      <c r="C72" s="13" t="s">
        <v>442</v>
      </c>
      <c r="D72" s="15" t="str">
        <f aca="false">IFERROR(INDEX(Dim_Employee!$B$2:$B$76,MATCH(C72,Dim_Employee!$A$2:$A$76,0)),"")</f>
        <v>Segun Okafor</v>
      </c>
      <c r="E72" s="12" t="s">
        <v>115</v>
      </c>
      <c r="F72" s="12" t="s">
        <v>1997</v>
      </c>
      <c r="G72" s="12" t="s">
        <v>2003</v>
      </c>
      <c r="H72" s="12" t="s">
        <v>753</v>
      </c>
      <c r="I72" s="12" t="s">
        <v>741</v>
      </c>
      <c r="J72" s="14" t="n">
        <v>45740</v>
      </c>
    </row>
    <row r="73" customFormat="false" ht="15" hidden="false" customHeight="true" outlineLevel="0" collapsed="false">
      <c r="A73" s="12" t="s">
        <v>2066</v>
      </c>
      <c r="B73" s="14" t="n">
        <v>45953</v>
      </c>
      <c r="C73" s="13" t="s">
        <v>121</v>
      </c>
      <c r="D73" s="15" t="str">
        <f aca="false">IFERROR(INDEX(Dim_Employee!$B$2:$B$76,MATCH(C73,Dim_Employee!$A$2:$A$76,0)),"")</f>
        <v>Aisha Igwe</v>
      </c>
      <c r="E73" s="12" t="s">
        <v>97</v>
      </c>
      <c r="F73" s="12" t="s">
        <v>1987</v>
      </c>
      <c r="G73" s="12" t="s">
        <v>2001</v>
      </c>
      <c r="H73" s="12" t="s">
        <v>1461</v>
      </c>
      <c r="I73" s="12" t="s">
        <v>741</v>
      </c>
      <c r="J73" s="14" t="n">
        <v>46032</v>
      </c>
    </row>
    <row r="74" customFormat="false" ht="15" hidden="false" customHeight="true" outlineLevel="0" collapsed="false">
      <c r="A74" s="12" t="s">
        <v>2067</v>
      </c>
      <c r="B74" s="14" t="n">
        <v>45936</v>
      </c>
      <c r="C74" s="13" t="s">
        <v>121</v>
      </c>
      <c r="D74" s="15" t="str">
        <f aca="false">IFERROR(INDEX(Dim_Employee!$B$2:$B$76,MATCH(C74,Dim_Employee!$A$2:$A$76,0)),"")</f>
        <v>Aisha Igwe</v>
      </c>
      <c r="E74" s="12" t="s">
        <v>19</v>
      </c>
      <c r="F74" s="12" t="s">
        <v>1997</v>
      </c>
      <c r="G74" s="12" t="s">
        <v>1990</v>
      </c>
      <c r="H74" s="12" t="s">
        <v>738</v>
      </c>
      <c r="I74" s="12" t="s">
        <v>741</v>
      </c>
      <c r="J74" s="14" t="n">
        <v>46017</v>
      </c>
    </row>
    <row r="75" customFormat="false" ht="15" hidden="false" customHeight="true" outlineLevel="0" collapsed="false">
      <c r="A75" s="12" t="s">
        <v>2068</v>
      </c>
      <c r="B75" s="14" t="n">
        <v>45714</v>
      </c>
      <c r="C75" s="13" t="s">
        <v>442</v>
      </c>
      <c r="D75" s="15" t="str">
        <f aca="false">IFERROR(INDEX(Dim_Employee!$B$2:$B$76,MATCH(C75,Dim_Employee!$A$2:$A$76,0)),"")</f>
        <v>Segun Okafor</v>
      </c>
      <c r="E75" s="12" t="s">
        <v>97</v>
      </c>
      <c r="F75" s="12" t="s">
        <v>1992</v>
      </c>
      <c r="G75" s="12" t="s">
        <v>2003</v>
      </c>
      <c r="H75" s="12" t="s">
        <v>733</v>
      </c>
      <c r="I75" s="12" t="s">
        <v>1985</v>
      </c>
      <c r="J75" s="14"/>
    </row>
    <row r="76" customFormat="false" ht="15" hidden="false" customHeight="true" outlineLevel="0" collapsed="false">
      <c r="A76" s="12" t="s">
        <v>2069</v>
      </c>
      <c r="B76" s="14" t="n">
        <v>45699</v>
      </c>
      <c r="C76" s="13" t="s">
        <v>121</v>
      </c>
      <c r="D76" s="15" t="str">
        <f aca="false">IFERROR(INDEX(Dim_Employee!$B$2:$B$76,MATCH(C76,Dim_Employee!$A$2:$A$76,0)),"")</f>
        <v>Aisha Igwe</v>
      </c>
      <c r="E76" s="12" t="s">
        <v>19</v>
      </c>
      <c r="F76" s="12" t="s">
        <v>1987</v>
      </c>
      <c r="G76" s="12" t="s">
        <v>2010</v>
      </c>
      <c r="H76" s="12" t="s">
        <v>753</v>
      </c>
      <c r="I76" s="12" t="s">
        <v>1985</v>
      </c>
      <c r="J76" s="14"/>
    </row>
    <row r="77" customFormat="false" ht="15" hidden="false" customHeight="true" outlineLevel="0" collapsed="false">
      <c r="A77" s="12" t="s">
        <v>2070</v>
      </c>
      <c r="B77" s="14" t="n">
        <v>46016</v>
      </c>
      <c r="C77" s="13" t="s">
        <v>438</v>
      </c>
      <c r="D77" s="15" t="str">
        <f aca="false">IFERROR(INDEX(Dim_Employee!$B$2:$B$76,MATCH(C77,Dim_Employee!$A$2:$A$76,0)),"")</f>
        <v>Segun Onyeka</v>
      </c>
      <c r="E77" s="12" t="s">
        <v>97</v>
      </c>
      <c r="F77" s="12" t="s">
        <v>1983</v>
      </c>
      <c r="G77" s="12" t="s">
        <v>1995</v>
      </c>
      <c r="H77" s="12" t="s">
        <v>1461</v>
      </c>
      <c r="I77" s="12" t="s">
        <v>741</v>
      </c>
      <c r="J77" s="14" t="n">
        <v>46048</v>
      </c>
    </row>
    <row r="78" customFormat="false" ht="15" hidden="false" customHeight="true" outlineLevel="0" collapsed="false">
      <c r="A78" s="12" t="s">
        <v>2071</v>
      </c>
      <c r="B78" s="14" t="n">
        <v>45785</v>
      </c>
      <c r="C78" s="13" t="s">
        <v>433</v>
      </c>
      <c r="D78" s="15" t="str">
        <f aca="false">IFERROR(INDEX(Dim_Employee!$B$2:$B$76,MATCH(C78,Dim_Employee!$A$2:$A$76,0)),"")</f>
        <v>Tobi Okonkwo</v>
      </c>
      <c r="E78" s="12" t="s">
        <v>16</v>
      </c>
      <c r="F78" s="12" t="s">
        <v>1992</v>
      </c>
      <c r="G78" s="12" t="s">
        <v>2001</v>
      </c>
      <c r="H78" s="12" t="s">
        <v>738</v>
      </c>
      <c r="I78" s="12" t="s">
        <v>1985</v>
      </c>
      <c r="J78" s="14"/>
    </row>
    <row r="79" customFormat="false" ht="15" hidden="false" customHeight="true" outlineLevel="0" collapsed="false">
      <c r="A79" s="12" t="s">
        <v>2072</v>
      </c>
      <c r="B79" s="14" t="n">
        <v>45705</v>
      </c>
      <c r="C79" s="13" t="s">
        <v>428</v>
      </c>
      <c r="D79" s="15" t="str">
        <f aca="false">IFERROR(INDEX(Dim_Employee!$B$2:$B$76,MATCH(C79,Dim_Employee!$A$2:$A$76,0)),"")</f>
        <v>Aisha Aliyu</v>
      </c>
      <c r="E79" s="12" t="s">
        <v>97</v>
      </c>
      <c r="F79" s="12" t="s">
        <v>1997</v>
      </c>
      <c r="G79" s="12" t="s">
        <v>2003</v>
      </c>
      <c r="H79" s="12" t="s">
        <v>1461</v>
      </c>
      <c r="I79" s="12" t="s">
        <v>741</v>
      </c>
      <c r="J79" s="14" t="n">
        <v>45747</v>
      </c>
    </row>
    <row r="80" customFormat="false" ht="15" hidden="false" customHeight="true" outlineLevel="0" collapsed="false">
      <c r="A80" s="12" t="s">
        <v>2073</v>
      </c>
      <c r="B80" s="14" t="n">
        <v>45953</v>
      </c>
      <c r="C80" s="13" t="s">
        <v>433</v>
      </c>
      <c r="D80" s="15" t="str">
        <f aca="false">IFERROR(INDEX(Dim_Employee!$B$2:$B$76,MATCH(C80,Dim_Employee!$A$2:$A$76,0)),"")</f>
        <v>Tobi Okonkwo</v>
      </c>
      <c r="E80" s="12" t="s">
        <v>111</v>
      </c>
      <c r="F80" s="12" t="s">
        <v>1997</v>
      </c>
      <c r="G80" s="12" t="s">
        <v>1993</v>
      </c>
      <c r="H80" s="12" t="s">
        <v>738</v>
      </c>
      <c r="I80" s="12" t="s">
        <v>741</v>
      </c>
      <c r="J80" s="14" t="n">
        <v>46006</v>
      </c>
    </row>
    <row r="81" customFormat="false" ht="15" hidden="false" customHeight="true" outlineLevel="0" collapsed="false">
      <c r="A81" s="12" t="s">
        <v>2074</v>
      </c>
      <c r="B81" s="14" t="n">
        <v>45681</v>
      </c>
      <c r="C81" s="13" t="s">
        <v>438</v>
      </c>
      <c r="D81" s="15" t="str">
        <f aca="false">IFERROR(INDEX(Dim_Employee!$B$2:$B$76,MATCH(C81,Dim_Employee!$A$2:$A$76,0)),"")</f>
        <v>Segun Onyeka</v>
      </c>
      <c r="E81" s="12" t="s">
        <v>97</v>
      </c>
      <c r="F81" s="12" t="s">
        <v>1989</v>
      </c>
      <c r="G81" s="12" t="s">
        <v>2010</v>
      </c>
      <c r="H81" s="12" t="s">
        <v>753</v>
      </c>
      <c r="I81" s="12" t="s">
        <v>1985</v>
      </c>
      <c r="J8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26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30"/>
    <col collapsed="false" customWidth="true" hidden="false" outlineLevel="0" max="12" min="12" style="1" width="13"/>
  </cols>
  <sheetData>
    <row r="1" customFormat="false" ht="26.25" hidden="false" customHeight="true" outlineLevel="0" collapsed="false">
      <c r="A1" s="10" t="s">
        <v>2075</v>
      </c>
      <c r="B1" s="10" t="s">
        <v>2076</v>
      </c>
      <c r="C1" s="10" t="s">
        <v>126</v>
      </c>
      <c r="D1" s="10" t="s">
        <v>127</v>
      </c>
      <c r="E1" s="10" t="s">
        <v>723</v>
      </c>
      <c r="F1" s="10" t="s">
        <v>2077</v>
      </c>
      <c r="G1" s="10" t="s">
        <v>2078</v>
      </c>
      <c r="H1" s="10" t="s">
        <v>2079</v>
      </c>
      <c r="I1" s="10" t="s">
        <v>2080</v>
      </c>
      <c r="J1" s="10" t="s">
        <v>2081</v>
      </c>
      <c r="K1" s="10" t="s">
        <v>2082</v>
      </c>
      <c r="L1" s="10" t="s">
        <v>1043</v>
      </c>
    </row>
    <row r="2" customFormat="false" ht="15" hidden="false" customHeight="true" outlineLevel="0" collapsed="false">
      <c r="A2" s="12" t="s">
        <v>2083</v>
      </c>
      <c r="B2" s="14" t="n">
        <v>45758</v>
      </c>
      <c r="C2" s="13" t="s">
        <v>458</v>
      </c>
      <c r="D2" s="15" t="str">
        <f aca="false">IFERROR(INDEX(Dim_Employee!$B$2:$B$76,MATCH(C2,Dim_Employee!$A$2:$A$76,0)),"")</f>
        <v>Grace Chukwu</v>
      </c>
      <c r="E2" s="12" t="s">
        <v>16</v>
      </c>
      <c r="F2" s="12" t="s">
        <v>2084</v>
      </c>
      <c r="G2" s="12" t="s">
        <v>2085</v>
      </c>
      <c r="H2" s="12" t="n">
        <v>3</v>
      </c>
      <c r="I2" s="12" t="n">
        <v>5</v>
      </c>
      <c r="J2" s="15" t="n">
        <f aca="false">H2*I2</f>
        <v>15</v>
      </c>
      <c r="K2" s="12" t="s">
        <v>2086</v>
      </c>
      <c r="L2" s="12" t="s">
        <v>741</v>
      </c>
    </row>
    <row r="3" customFormat="false" ht="15" hidden="false" customHeight="true" outlineLevel="0" collapsed="false">
      <c r="A3" s="12" t="s">
        <v>2087</v>
      </c>
      <c r="B3" s="14" t="n">
        <v>45894</v>
      </c>
      <c r="C3" s="13" t="s">
        <v>463</v>
      </c>
      <c r="D3" s="15" t="str">
        <f aca="false">IFERROR(INDEX(Dim_Employee!$B$2:$B$76,MATCH(C3,Dim_Employee!$A$2:$A$76,0)),"")</f>
        <v>Tobi Danjuma</v>
      </c>
      <c r="E3" s="12" t="s">
        <v>28</v>
      </c>
      <c r="F3" s="12" t="s">
        <v>2088</v>
      </c>
      <c r="G3" s="12" t="s">
        <v>2085</v>
      </c>
      <c r="H3" s="12" t="n">
        <v>2</v>
      </c>
      <c r="I3" s="12" t="n">
        <v>5</v>
      </c>
      <c r="J3" s="15" t="n">
        <f aca="false">H3*I3</f>
        <v>10</v>
      </c>
      <c r="K3" s="12" t="s">
        <v>2086</v>
      </c>
      <c r="L3" s="12" t="s">
        <v>741</v>
      </c>
    </row>
    <row r="4" customFormat="false" ht="15" hidden="false" customHeight="true" outlineLevel="0" collapsed="false">
      <c r="A4" s="12" t="s">
        <v>2089</v>
      </c>
      <c r="B4" s="14" t="n">
        <v>45970</v>
      </c>
      <c r="C4" s="13" t="s">
        <v>467</v>
      </c>
      <c r="D4" s="15" t="str">
        <f aca="false">IFERROR(INDEX(Dim_Employee!$B$2:$B$76,MATCH(C4,Dim_Employee!$A$2:$A$76,0)),"")</f>
        <v>Halima Okafor</v>
      </c>
      <c r="E4" s="12" t="s">
        <v>19</v>
      </c>
      <c r="F4" s="12" t="s">
        <v>2090</v>
      </c>
      <c r="G4" s="12" t="s">
        <v>2091</v>
      </c>
      <c r="H4" s="12" t="n">
        <v>2</v>
      </c>
      <c r="I4" s="12" t="n">
        <v>2</v>
      </c>
      <c r="J4" s="15" t="n">
        <f aca="false">H4*I4</f>
        <v>4</v>
      </c>
      <c r="K4" s="12" t="s">
        <v>2092</v>
      </c>
      <c r="L4" s="12" t="s">
        <v>739</v>
      </c>
    </row>
    <row r="5" customFormat="false" ht="15" hidden="false" customHeight="true" outlineLevel="0" collapsed="false">
      <c r="A5" s="12" t="s">
        <v>2093</v>
      </c>
      <c r="B5" s="14" t="n">
        <v>45743</v>
      </c>
      <c r="C5" s="13" t="s">
        <v>448</v>
      </c>
      <c r="D5" s="15" t="str">
        <f aca="false">IFERROR(INDEX(Dim_Employee!$B$2:$B$76,MATCH(C5,Dim_Employee!$A$2:$A$76,0)),"")</f>
        <v>Bola Bakare</v>
      </c>
      <c r="E5" s="12" t="s">
        <v>115</v>
      </c>
      <c r="F5" s="12" t="s">
        <v>2084</v>
      </c>
      <c r="G5" s="12" t="s">
        <v>2094</v>
      </c>
      <c r="H5" s="12" t="n">
        <v>1</v>
      </c>
      <c r="I5" s="12" t="n">
        <v>2</v>
      </c>
      <c r="J5" s="15" t="n">
        <f aca="false">H5*I5</f>
        <v>2</v>
      </c>
      <c r="K5" s="12" t="s">
        <v>2095</v>
      </c>
      <c r="L5" s="12" t="s">
        <v>739</v>
      </c>
    </row>
    <row r="6" customFormat="false" ht="15" hidden="false" customHeight="true" outlineLevel="0" collapsed="false">
      <c r="A6" s="12" t="s">
        <v>2096</v>
      </c>
      <c r="B6" s="14" t="n">
        <v>45794</v>
      </c>
      <c r="C6" s="13" t="s">
        <v>453</v>
      </c>
      <c r="D6" s="15" t="str">
        <f aca="false">IFERROR(INDEX(Dim_Employee!$B$2:$B$76,MATCH(C6,Dim_Employee!$A$2:$A$76,0)),"")</f>
        <v>Tobi Adebayo</v>
      </c>
      <c r="E6" s="12" t="s">
        <v>97</v>
      </c>
      <c r="F6" s="12" t="s">
        <v>2097</v>
      </c>
      <c r="G6" s="12" t="s">
        <v>2098</v>
      </c>
      <c r="H6" s="12" t="n">
        <v>1</v>
      </c>
      <c r="I6" s="12" t="n">
        <v>5</v>
      </c>
      <c r="J6" s="15" t="n">
        <f aca="false">H6*I6</f>
        <v>5</v>
      </c>
      <c r="K6" s="12" t="s">
        <v>2099</v>
      </c>
      <c r="L6" s="12" t="s">
        <v>2100</v>
      </c>
    </row>
    <row r="7" customFormat="false" ht="15" hidden="false" customHeight="true" outlineLevel="0" collapsed="false">
      <c r="A7" s="12" t="s">
        <v>2101</v>
      </c>
      <c r="B7" s="14" t="n">
        <v>45710</v>
      </c>
      <c r="C7" s="13" t="s">
        <v>458</v>
      </c>
      <c r="D7" s="15" t="str">
        <f aca="false">IFERROR(INDEX(Dim_Employee!$B$2:$B$76,MATCH(C7,Dim_Employee!$A$2:$A$76,0)),"")</f>
        <v>Grace Chukwu</v>
      </c>
      <c r="E7" s="12" t="s">
        <v>19</v>
      </c>
      <c r="F7" s="12" t="s">
        <v>2088</v>
      </c>
      <c r="G7" s="12" t="s">
        <v>2102</v>
      </c>
      <c r="H7" s="12" t="n">
        <v>4</v>
      </c>
      <c r="I7" s="12" t="n">
        <v>2</v>
      </c>
      <c r="J7" s="15" t="n">
        <f aca="false">H7*I7</f>
        <v>8</v>
      </c>
      <c r="K7" s="12" t="s">
        <v>2103</v>
      </c>
      <c r="L7" s="12" t="s">
        <v>2100</v>
      </c>
    </row>
    <row r="8" customFormat="false" ht="15" hidden="false" customHeight="true" outlineLevel="0" collapsed="false">
      <c r="A8" s="12" t="s">
        <v>2104</v>
      </c>
      <c r="B8" s="14" t="n">
        <v>45961</v>
      </c>
      <c r="C8" s="13" t="s">
        <v>453</v>
      </c>
      <c r="D8" s="15" t="str">
        <f aca="false">IFERROR(INDEX(Dim_Employee!$B$2:$B$76,MATCH(C8,Dim_Employee!$A$2:$A$76,0)),"")</f>
        <v>Tobi Adebayo</v>
      </c>
      <c r="E8" s="12" t="s">
        <v>24</v>
      </c>
      <c r="F8" s="12" t="s">
        <v>2105</v>
      </c>
      <c r="G8" s="12" t="s">
        <v>2085</v>
      </c>
      <c r="H8" s="12" t="n">
        <v>1</v>
      </c>
      <c r="I8" s="12" t="n">
        <v>2</v>
      </c>
      <c r="J8" s="15" t="n">
        <f aca="false">H8*I8</f>
        <v>2</v>
      </c>
      <c r="K8" s="12" t="s">
        <v>2086</v>
      </c>
      <c r="L8" s="12" t="s">
        <v>2100</v>
      </c>
    </row>
    <row r="9" customFormat="false" ht="15" hidden="false" customHeight="true" outlineLevel="0" collapsed="false">
      <c r="A9" s="12" t="s">
        <v>2106</v>
      </c>
      <c r="B9" s="14" t="n">
        <v>45982</v>
      </c>
      <c r="C9" s="13" t="s">
        <v>125</v>
      </c>
      <c r="D9" s="15" t="str">
        <f aca="false">IFERROR(INDEX(Dim_Employee!$B$2:$B$76,MATCH(C9,Dim_Employee!$A$2:$A$76,0)),"")</f>
        <v>Chukwudi Yakubu</v>
      </c>
      <c r="E9" s="12" t="s">
        <v>115</v>
      </c>
      <c r="F9" s="12" t="s">
        <v>2090</v>
      </c>
      <c r="G9" s="12" t="s">
        <v>2094</v>
      </c>
      <c r="H9" s="12" t="n">
        <v>2</v>
      </c>
      <c r="I9" s="12" t="n">
        <v>5</v>
      </c>
      <c r="J9" s="15" t="n">
        <f aca="false">H9*I9</f>
        <v>10</v>
      </c>
      <c r="K9" s="12" t="s">
        <v>2095</v>
      </c>
      <c r="L9" s="12" t="s">
        <v>741</v>
      </c>
    </row>
    <row r="10" customFormat="false" ht="15" hidden="false" customHeight="true" outlineLevel="0" collapsed="false">
      <c r="A10" s="12" t="s">
        <v>2107</v>
      </c>
      <c r="B10" s="14" t="n">
        <v>45754</v>
      </c>
      <c r="C10" s="13" t="s">
        <v>453</v>
      </c>
      <c r="D10" s="15" t="str">
        <f aca="false">IFERROR(INDEX(Dim_Employee!$B$2:$B$76,MATCH(C10,Dim_Employee!$A$2:$A$76,0)),"")</f>
        <v>Tobi Adebayo</v>
      </c>
      <c r="E10" s="12" t="s">
        <v>28</v>
      </c>
      <c r="F10" s="12" t="s">
        <v>2090</v>
      </c>
      <c r="G10" s="12" t="s">
        <v>2098</v>
      </c>
      <c r="H10" s="12" t="n">
        <v>1</v>
      </c>
      <c r="I10" s="12" t="n">
        <v>5</v>
      </c>
      <c r="J10" s="15" t="n">
        <f aca="false">H10*I10</f>
        <v>5</v>
      </c>
      <c r="K10" s="12" t="s">
        <v>2099</v>
      </c>
      <c r="L10" s="12" t="s">
        <v>2108</v>
      </c>
    </row>
    <row r="11" customFormat="false" ht="15" hidden="false" customHeight="true" outlineLevel="0" collapsed="false">
      <c r="A11" s="12" t="s">
        <v>2109</v>
      </c>
      <c r="B11" s="14" t="n">
        <v>46021</v>
      </c>
      <c r="C11" s="13" t="s">
        <v>453</v>
      </c>
      <c r="D11" s="15" t="str">
        <f aca="false">IFERROR(INDEX(Dim_Employee!$B$2:$B$76,MATCH(C11,Dim_Employee!$A$2:$A$76,0)),"")</f>
        <v>Tobi Adebayo</v>
      </c>
      <c r="E11" s="12" t="s">
        <v>115</v>
      </c>
      <c r="F11" s="12" t="s">
        <v>2084</v>
      </c>
      <c r="G11" s="12" t="s">
        <v>2110</v>
      </c>
      <c r="H11" s="12" t="n">
        <v>1</v>
      </c>
      <c r="I11" s="12" t="n">
        <v>2</v>
      </c>
      <c r="J11" s="15" t="n">
        <f aca="false">H11*I11</f>
        <v>2</v>
      </c>
      <c r="K11" s="12" t="s">
        <v>2111</v>
      </c>
      <c r="L11" s="12" t="s">
        <v>739</v>
      </c>
    </row>
    <row r="12" customFormat="false" ht="15" hidden="false" customHeight="true" outlineLevel="0" collapsed="false">
      <c r="A12" s="12" t="s">
        <v>2112</v>
      </c>
      <c r="B12" s="14" t="n">
        <v>45875</v>
      </c>
      <c r="C12" s="13" t="s">
        <v>125</v>
      </c>
      <c r="D12" s="15" t="str">
        <f aca="false">IFERROR(INDEX(Dim_Employee!$B$2:$B$76,MATCH(C12,Dim_Employee!$A$2:$A$76,0)),"")</f>
        <v>Chukwudi Yakubu</v>
      </c>
      <c r="E12" s="12" t="s">
        <v>28</v>
      </c>
      <c r="F12" s="12" t="s">
        <v>2105</v>
      </c>
      <c r="G12" s="12" t="s">
        <v>2113</v>
      </c>
      <c r="H12" s="12" t="n">
        <v>2</v>
      </c>
      <c r="I12" s="12" t="n">
        <v>3</v>
      </c>
      <c r="J12" s="15" t="n">
        <f aca="false">H12*I12</f>
        <v>6</v>
      </c>
      <c r="K12" s="12" t="s">
        <v>2114</v>
      </c>
      <c r="L12" s="12" t="s">
        <v>741</v>
      </c>
    </row>
    <row r="13" customFormat="false" ht="15" hidden="false" customHeight="true" outlineLevel="0" collapsed="false">
      <c r="A13" s="12" t="s">
        <v>2115</v>
      </c>
      <c r="B13" s="14" t="n">
        <v>45976</v>
      </c>
      <c r="C13" s="13" t="s">
        <v>125</v>
      </c>
      <c r="D13" s="15" t="str">
        <f aca="false">IFERROR(INDEX(Dim_Employee!$B$2:$B$76,MATCH(C13,Dim_Employee!$A$2:$A$76,0)),"")</f>
        <v>Chukwudi Yakubu</v>
      </c>
      <c r="E13" s="12" t="s">
        <v>19</v>
      </c>
      <c r="F13" s="12" t="s">
        <v>2088</v>
      </c>
      <c r="G13" s="12" t="s">
        <v>2098</v>
      </c>
      <c r="H13" s="12" t="n">
        <v>4</v>
      </c>
      <c r="I13" s="12" t="n">
        <v>4</v>
      </c>
      <c r="J13" s="15" t="n">
        <f aca="false">H13*I13</f>
        <v>16</v>
      </c>
      <c r="K13" s="12" t="s">
        <v>2099</v>
      </c>
      <c r="L13" s="12" t="s">
        <v>2108</v>
      </c>
    </row>
    <row r="14" customFormat="false" ht="15" hidden="false" customHeight="true" outlineLevel="0" collapsed="false">
      <c r="A14" s="12" t="s">
        <v>2116</v>
      </c>
      <c r="B14" s="14" t="n">
        <v>45678</v>
      </c>
      <c r="C14" s="13" t="s">
        <v>448</v>
      </c>
      <c r="D14" s="15" t="str">
        <f aca="false">IFERROR(INDEX(Dim_Employee!$B$2:$B$76,MATCH(C14,Dim_Employee!$A$2:$A$76,0)),"")</f>
        <v>Bola Bakare</v>
      </c>
      <c r="E14" s="12" t="s">
        <v>111</v>
      </c>
      <c r="F14" s="12" t="s">
        <v>2097</v>
      </c>
      <c r="G14" s="12" t="s">
        <v>2091</v>
      </c>
      <c r="H14" s="12" t="n">
        <v>2</v>
      </c>
      <c r="I14" s="12" t="n">
        <v>5</v>
      </c>
      <c r="J14" s="15" t="n">
        <f aca="false">H14*I14</f>
        <v>10</v>
      </c>
      <c r="K14" s="12" t="s">
        <v>2092</v>
      </c>
      <c r="L14" s="12" t="s">
        <v>739</v>
      </c>
    </row>
    <row r="15" customFormat="false" ht="15" hidden="false" customHeight="true" outlineLevel="0" collapsed="false">
      <c r="A15" s="12" t="s">
        <v>2117</v>
      </c>
      <c r="B15" s="14" t="n">
        <v>45794</v>
      </c>
      <c r="C15" s="13" t="s">
        <v>463</v>
      </c>
      <c r="D15" s="15" t="str">
        <f aca="false">IFERROR(INDEX(Dim_Employee!$B$2:$B$76,MATCH(C15,Dim_Employee!$A$2:$A$76,0)),"")</f>
        <v>Tobi Danjuma</v>
      </c>
      <c r="E15" s="12" t="s">
        <v>97</v>
      </c>
      <c r="F15" s="12" t="s">
        <v>2088</v>
      </c>
      <c r="G15" s="12" t="s">
        <v>2091</v>
      </c>
      <c r="H15" s="12" t="n">
        <v>2</v>
      </c>
      <c r="I15" s="12" t="n">
        <v>5</v>
      </c>
      <c r="J15" s="15" t="n">
        <f aca="false">H15*I15</f>
        <v>10</v>
      </c>
      <c r="K15" s="12" t="s">
        <v>2092</v>
      </c>
      <c r="L15" s="12" t="s">
        <v>739</v>
      </c>
    </row>
    <row r="16" customFormat="false" ht="15" hidden="false" customHeight="true" outlineLevel="0" collapsed="false">
      <c r="A16" s="12" t="s">
        <v>2118</v>
      </c>
      <c r="B16" s="14" t="n">
        <v>45996</v>
      </c>
      <c r="C16" s="13" t="s">
        <v>463</v>
      </c>
      <c r="D16" s="15" t="str">
        <f aca="false">IFERROR(INDEX(Dim_Employee!$B$2:$B$76,MATCH(C16,Dim_Employee!$A$2:$A$76,0)),"")</f>
        <v>Tobi Danjuma</v>
      </c>
      <c r="E16" s="12" t="s">
        <v>97</v>
      </c>
      <c r="F16" s="12" t="s">
        <v>2105</v>
      </c>
      <c r="G16" s="12" t="s">
        <v>2119</v>
      </c>
      <c r="H16" s="12" t="n">
        <v>4</v>
      </c>
      <c r="I16" s="12" t="n">
        <v>3</v>
      </c>
      <c r="J16" s="15" t="n">
        <f aca="false">H16*I16</f>
        <v>12</v>
      </c>
      <c r="K16" s="12" t="s">
        <v>2120</v>
      </c>
      <c r="L16" s="12" t="s">
        <v>2108</v>
      </c>
    </row>
    <row r="17" customFormat="false" ht="15" hidden="false" customHeight="true" outlineLevel="0" collapsed="false">
      <c r="A17" s="12" t="s">
        <v>2121</v>
      </c>
      <c r="B17" s="14" t="n">
        <v>45888</v>
      </c>
      <c r="C17" s="13" t="s">
        <v>458</v>
      </c>
      <c r="D17" s="15" t="str">
        <f aca="false">IFERROR(INDEX(Dim_Employee!$B$2:$B$76,MATCH(C17,Dim_Employee!$A$2:$A$76,0)),"")</f>
        <v>Grace Chukwu</v>
      </c>
      <c r="E17" s="12" t="s">
        <v>111</v>
      </c>
      <c r="F17" s="12" t="s">
        <v>2084</v>
      </c>
      <c r="G17" s="12" t="s">
        <v>2102</v>
      </c>
      <c r="H17" s="12" t="n">
        <v>2</v>
      </c>
      <c r="I17" s="12" t="n">
        <v>2</v>
      </c>
      <c r="J17" s="15" t="n">
        <f aca="false">H17*I17</f>
        <v>4</v>
      </c>
      <c r="K17" s="12" t="s">
        <v>2103</v>
      </c>
      <c r="L17" s="12" t="s">
        <v>2108</v>
      </c>
    </row>
    <row r="18" customFormat="false" ht="15" hidden="false" customHeight="true" outlineLevel="0" collapsed="false">
      <c r="A18" s="12" t="s">
        <v>2122</v>
      </c>
      <c r="B18" s="14" t="n">
        <v>45734</v>
      </c>
      <c r="C18" s="13" t="s">
        <v>458</v>
      </c>
      <c r="D18" s="15" t="str">
        <f aca="false">IFERROR(INDEX(Dim_Employee!$B$2:$B$76,MATCH(C18,Dim_Employee!$A$2:$A$76,0)),"")</f>
        <v>Grace Chukwu</v>
      </c>
      <c r="E18" s="12" t="s">
        <v>28</v>
      </c>
      <c r="F18" s="12" t="s">
        <v>2123</v>
      </c>
      <c r="G18" s="12" t="s">
        <v>2091</v>
      </c>
      <c r="H18" s="12" t="n">
        <v>5</v>
      </c>
      <c r="I18" s="12" t="n">
        <v>4</v>
      </c>
      <c r="J18" s="15" t="n">
        <f aca="false">H18*I18</f>
        <v>20</v>
      </c>
      <c r="K18" s="12" t="s">
        <v>2092</v>
      </c>
      <c r="L18" s="12" t="s">
        <v>2108</v>
      </c>
    </row>
    <row r="19" customFormat="false" ht="15" hidden="false" customHeight="true" outlineLevel="0" collapsed="false">
      <c r="A19" s="12" t="s">
        <v>2124</v>
      </c>
      <c r="B19" s="14" t="n">
        <v>45753</v>
      </c>
      <c r="C19" s="13" t="s">
        <v>448</v>
      </c>
      <c r="D19" s="15" t="str">
        <f aca="false">IFERROR(INDEX(Dim_Employee!$B$2:$B$76,MATCH(C19,Dim_Employee!$A$2:$A$76,0)),"")</f>
        <v>Bola Bakare</v>
      </c>
      <c r="E19" s="12" t="s">
        <v>24</v>
      </c>
      <c r="F19" s="12" t="s">
        <v>2090</v>
      </c>
      <c r="G19" s="12" t="s">
        <v>2113</v>
      </c>
      <c r="H19" s="12" t="n">
        <v>5</v>
      </c>
      <c r="I19" s="12" t="n">
        <v>1</v>
      </c>
      <c r="J19" s="15" t="n">
        <f aca="false">H19*I19</f>
        <v>5</v>
      </c>
      <c r="K19" s="12" t="s">
        <v>2114</v>
      </c>
      <c r="L19" s="12" t="s">
        <v>2100</v>
      </c>
    </row>
    <row r="20" customFormat="false" ht="15" hidden="false" customHeight="true" outlineLevel="0" collapsed="false">
      <c r="A20" s="12" t="s">
        <v>2125</v>
      </c>
      <c r="B20" s="14" t="n">
        <v>45734</v>
      </c>
      <c r="C20" s="13" t="s">
        <v>448</v>
      </c>
      <c r="D20" s="15" t="str">
        <f aca="false">IFERROR(INDEX(Dim_Employee!$B$2:$B$76,MATCH(C20,Dim_Employee!$A$2:$A$76,0)),"")</f>
        <v>Bola Bakare</v>
      </c>
      <c r="E20" s="12" t="s">
        <v>97</v>
      </c>
      <c r="F20" s="12" t="s">
        <v>2088</v>
      </c>
      <c r="G20" s="12" t="s">
        <v>2098</v>
      </c>
      <c r="H20" s="12" t="n">
        <v>3</v>
      </c>
      <c r="I20" s="12" t="n">
        <v>1</v>
      </c>
      <c r="J20" s="15" t="n">
        <f aca="false">H20*I20</f>
        <v>3</v>
      </c>
      <c r="K20" s="12" t="s">
        <v>2099</v>
      </c>
      <c r="L20" s="12" t="s">
        <v>739</v>
      </c>
    </row>
    <row r="21" customFormat="false" ht="15" hidden="false" customHeight="true" outlineLevel="0" collapsed="false">
      <c r="A21" s="12" t="s">
        <v>2126</v>
      </c>
      <c r="B21" s="14" t="n">
        <v>45819</v>
      </c>
      <c r="C21" s="13" t="s">
        <v>453</v>
      </c>
      <c r="D21" s="15" t="str">
        <f aca="false">IFERROR(INDEX(Dim_Employee!$B$2:$B$76,MATCH(C21,Dim_Employee!$A$2:$A$76,0)),"")</f>
        <v>Tobi Adebayo</v>
      </c>
      <c r="E21" s="12" t="s">
        <v>111</v>
      </c>
      <c r="F21" s="12" t="s">
        <v>2088</v>
      </c>
      <c r="G21" s="12" t="s">
        <v>2113</v>
      </c>
      <c r="H21" s="12" t="n">
        <v>2</v>
      </c>
      <c r="I21" s="12" t="n">
        <v>4</v>
      </c>
      <c r="J21" s="15" t="n">
        <f aca="false">H21*I21</f>
        <v>8</v>
      </c>
      <c r="K21" s="12" t="s">
        <v>2114</v>
      </c>
      <c r="L21" s="12" t="s">
        <v>2108</v>
      </c>
    </row>
    <row r="22" customFormat="false" ht="15" hidden="false" customHeight="true" outlineLevel="0" collapsed="false">
      <c r="A22" s="12" t="s">
        <v>2127</v>
      </c>
      <c r="B22" s="14" t="n">
        <v>45912</v>
      </c>
      <c r="C22" s="13" t="s">
        <v>463</v>
      </c>
      <c r="D22" s="15" t="str">
        <f aca="false">IFERROR(INDEX(Dim_Employee!$B$2:$B$76,MATCH(C22,Dim_Employee!$A$2:$A$76,0)),"")</f>
        <v>Tobi Danjuma</v>
      </c>
      <c r="E22" s="12" t="s">
        <v>24</v>
      </c>
      <c r="F22" s="12" t="s">
        <v>2123</v>
      </c>
      <c r="G22" s="12" t="s">
        <v>2119</v>
      </c>
      <c r="H22" s="12" t="n">
        <v>3</v>
      </c>
      <c r="I22" s="12" t="n">
        <v>2</v>
      </c>
      <c r="J22" s="15" t="n">
        <f aca="false">H22*I22</f>
        <v>6</v>
      </c>
      <c r="K22" s="12" t="s">
        <v>2120</v>
      </c>
      <c r="L22" s="12" t="s">
        <v>2100</v>
      </c>
    </row>
    <row r="23" customFormat="false" ht="15" hidden="false" customHeight="true" outlineLevel="0" collapsed="false">
      <c r="A23" s="12" t="s">
        <v>2128</v>
      </c>
      <c r="B23" s="14" t="n">
        <v>45986</v>
      </c>
      <c r="C23" s="13" t="s">
        <v>448</v>
      </c>
      <c r="D23" s="15" t="str">
        <f aca="false">IFERROR(INDEX(Dim_Employee!$B$2:$B$76,MATCH(C23,Dim_Employee!$A$2:$A$76,0)),"")</f>
        <v>Bola Bakare</v>
      </c>
      <c r="E23" s="12" t="s">
        <v>115</v>
      </c>
      <c r="F23" s="12" t="s">
        <v>2090</v>
      </c>
      <c r="G23" s="12" t="s">
        <v>2098</v>
      </c>
      <c r="H23" s="12" t="n">
        <v>4</v>
      </c>
      <c r="I23" s="12" t="n">
        <v>5</v>
      </c>
      <c r="J23" s="15" t="n">
        <f aca="false">H23*I23</f>
        <v>20</v>
      </c>
      <c r="K23" s="12" t="s">
        <v>2099</v>
      </c>
      <c r="L23" s="12" t="s">
        <v>2100</v>
      </c>
    </row>
    <row r="24" customFormat="false" ht="15" hidden="false" customHeight="true" outlineLevel="0" collapsed="false">
      <c r="A24" s="12" t="s">
        <v>2129</v>
      </c>
      <c r="B24" s="14" t="n">
        <v>45945</v>
      </c>
      <c r="C24" s="13" t="s">
        <v>125</v>
      </c>
      <c r="D24" s="15" t="str">
        <f aca="false">IFERROR(INDEX(Dim_Employee!$B$2:$B$76,MATCH(C24,Dim_Employee!$A$2:$A$76,0)),"")</f>
        <v>Chukwudi Yakubu</v>
      </c>
      <c r="E24" s="12" t="s">
        <v>28</v>
      </c>
      <c r="F24" s="12" t="s">
        <v>2084</v>
      </c>
      <c r="G24" s="12" t="s">
        <v>2094</v>
      </c>
      <c r="H24" s="12" t="n">
        <v>1</v>
      </c>
      <c r="I24" s="12" t="n">
        <v>5</v>
      </c>
      <c r="J24" s="15" t="n">
        <f aca="false">H24*I24</f>
        <v>5</v>
      </c>
      <c r="K24" s="12" t="s">
        <v>2095</v>
      </c>
      <c r="L24" s="12" t="s">
        <v>2108</v>
      </c>
    </row>
    <row r="25" customFormat="false" ht="15" hidden="false" customHeight="true" outlineLevel="0" collapsed="false">
      <c r="A25" s="12" t="s">
        <v>2130</v>
      </c>
      <c r="B25" s="14" t="n">
        <v>45785</v>
      </c>
      <c r="C25" s="13" t="s">
        <v>453</v>
      </c>
      <c r="D25" s="15" t="str">
        <f aca="false">IFERROR(INDEX(Dim_Employee!$B$2:$B$76,MATCH(C25,Dim_Employee!$A$2:$A$76,0)),"")</f>
        <v>Tobi Adebayo</v>
      </c>
      <c r="E25" s="12" t="s">
        <v>24</v>
      </c>
      <c r="F25" s="12" t="s">
        <v>2097</v>
      </c>
      <c r="G25" s="12" t="s">
        <v>2113</v>
      </c>
      <c r="H25" s="12" t="n">
        <v>3</v>
      </c>
      <c r="I25" s="12" t="n">
        <v>1</v>
      </c>
      <c r="J25" s="15" t="n">
        <f aca="false">H25*I25</f>
        <v>3</v>
      </c>
      <c r="K25" s="12" t="s">
        <v>2114</v>
      </c>
      <c r="L25" s="12" t="s">
        <v>739</v>
      </c>
    </row>
    <row r="26" customFormat="false" ht="15" hidden="false" customHeight="true" outlineLevel="0" collapsed="false">
      <c r="A26" s="12" t="s">
        <v>2131</v>
      </c>
      <c r="B26" s="14" t="n">
        <v>45670</v>
      </c>
      <c r="C26" s="13" t="s">
        <v>125</v>
      </c>
      <c r="D26" s="15" t="str">
        <f aca="false">IFERROR(INDEX(Dim_Employee!$B$2:$B$76,MATCH(C26,Dim_Employee!$A$2:$A$76,0)),"")</f>
        <v>Chukwudi Yakubu</v>
      </c>
      <c r="E26" s="12" t="s">
        <v>115</v>
      </c>
      <c r="F26" s="12" t="s">
        <v>2090</v>
      </c>
      <c r="G26" s="12" t="s">
        <v>2102</v>
      </c>
      <c r="H26" s="12" t="n">
        <v>5</v>
      </c>
      <c r="I26" s="12" t="n">
        <v>4</v>
      </c>
      <c r="J26" s="15" t="n">
        <f aca="false">H26*I26</f>
        <v>20</v>
      </c>
      <c r="K26" s="12" t="s">
        <v>2103</v>
      </c>
      <c r="L26" s="12" t="s">
        <v>2108</v>
      </c>
    </row>
    <row r="27" customFormat="false" ht="15" hidden="false" customHeight="true" outlineLevel="0" collapsed="false">
      <c r="A27" s="12" t="s">
        <v>2132</v>
      </c>
      <c r="B27" s="14" t="n">
        <v>45827</v>
      </c>
      <c r="C27" s="13" t="s">
        <v>458</v>
      </c>
      <c r="D27" s="15" t="str">
        <f aca="false">IFERROR(INDEX(Dim_Employee!$B$2:$B$76,MATCH(C27,Dim_Employee!$A$2:$A$76,0)),"")</f>
        <v>Grace Chukwu</v>
      </c>
      <c r="E27" s="12" t="s">
        <v>24</v>
      </c>
      <c r="F27" s="12" t="s">
        <v>2090</v>
      </c>
      <c r="G27" s="12" t="s">
        <v>2113</v>
      </c>
      <c r="H27" s="12" t="n">
        <v>5</v>
      </c>
      <c r="I27" s="12" t="n">
        <v>2</v>
      </c>
      <c r="J27" s="15" t="n">
        <f aca="false">H27*I27</f>
        <v>10</v>
      </c>
      <c r="K27" s="12" t="s">
        <v>2114</v>
      </c>
      <c r="L27" s="12" t="s">
        <v>2100</v>
      </c>
    </row>
    <row r="28" customFormat="false" ht="15" hidden="false" customHeight="true" outlineLevel="0" collapsed="false">
      <c r="A28" s="12" t="s">
        <v>2133</v>
      </c>
      <c r="B28" s="14" t="n">
        <v>45915</v>
      </c>
      <c r="C28" s="13" t="s">
        <v>458</v>
      </c>
      <c r="D28" s="15" t="str">
        <f aca="false">IFERROR(INDEX(Dim_Employee!$B$2:$B$76,MATCH(C28,Dim_Employee!$A$2:$A$76,0)),"")</f>
        <v>Grace Chukwu</v>
      </c>
      <c r="E28" s="12" t="s">
        <v>28</v>
      </c>
      <c r="F28" s="12" t="s">
        <v>2088</v>
      </c>
      <c r="G28" s="12" t="s">
        <v>2094</v>
      </c>
      <c r="H28" s="12" t="n">
        <v>5</v>
      </c>
      <c r="I28" s="12" t="n">
        <v>3</v>
      </c>
      <c r="J28" s="15" t="n">
        <f aca="false">H28*I28</f>
        <v>15</v>
      </c>
      <c r="K28" s="12" t="s">
        <v>2095</v>
      </c>
      <c r="L28" s="12" t="s">
        <v>2108</v>
      </c>
    </row>
    <row r="29" customFormat="false" ht="15" hidden="false" customHeight="true" outlineLevel="0" collapsed="false">
      <c r="A29" s="12" t="s">
        <v>2134</v>
      </c>
      <c r="B29" s="14" t="n">
        <v>45734</v>
      </c>
      <c r="C29" s="13" t="s">
        <v>448</v>
      </c>
      <c r="D29" s="15" t="str">
        <f aca="false">IFERROR(INDEX(Dim_Employee!$B$2:$B$76,MATCH(C29,Dim_Employee!$A$2:$A$76,0)),"")</f>
        <v>Bola Bakare</v>
      </c>
      <c r="E29" s="12" t="s">
        <v>97</v>
      </c>
      <c r="F29" s="12" t="s">
        <v>2088</v>
      </c>
      <c r="G29" s="12" t="s">
        <v>2085</v>
      </c>
      <c r="H29" s="12" t="n">
        <v>3</v>
      </c>
      <c r="I29" s="12" t="n">
        <v>3</v>
      </c>
      <c r="J29" s="15" t="n">
        <f aca="false">H29*I29</f>
        <v>9</v>
      </c>
      <c r="K29" s="12" t="s">
        <v>2086</v>
      </c>
      <c r="L29" s="12" t="s">
        <v>2100</v>
      </c>
    </row>
    <row r="30" customFormat="false" ht="15" hidden="false" customHeight="true" outlineLevel="0" collapsed="false">
      <c r="A30" s="12" t="s">
        <v>2135</v>
      </c>
      <c r="B30" s="14" t="n">
        <v>45705</v>
      </c>
      <c r="C30" s="13" t="s">
        <v>463</v>
      </c>
      <c r="D30" s="15" t="str">
        <f aca="false">IFERROR(INDEX(Dim_Employee!$B$2:$B$76,MATCH(C30,Dim_Employee!$A$2:$A$76,0)),"")</f>
        <v>Tobi Danjuma</v>
      </c>
      <c r="E30" s="12" t="s">
        <v>19</v>
      </c>
      <c r="F30" s="12" t="s">
        <v>2123</v>
      </c>
      <c r="G30" s="12" t="s">
        <v>2119</v>
      </c>
      <c r="H30" s="12" t="n">
        <v>2</v>
      </c>
      <c r="I30" s="12" t="n">
        <v>2</v>
      </c>
      <c r="J30" s="15" t="n">
        <f aca="false">H30*I30</f>
        <v>4</v>
      </c>
      <c r="K30" s="12" t="s">
        <v>2120</v>
      </c>
      <c r="L30" s="12" t="s">
        <v>2108</v>
      </c>
    </row>
    <row r="31" customFormat="false" ht="15" hidden="false" customHeight="true" outlineLevel="0" collapsed="false">
      <c r="A31" s="12" t="s">
        <v>2136</v>
      </c>
      <c r="B31" s="14" t="n">
        <v>45915</v>
      </c>
      <c r="C31" s="13" t="s">
        <v>453</v>
      </c>
      <c r="D31" s="15" t="str">
        <f aca="false">IFERROR(INDEX(Dim_Employee!$B$2:$B$76,MATCH(C31,Dim_Employee!$A$2:$A$76,0)),"")</f>
        <v>Tobi Adebayo</v>
      </c>
      <c r="E31" s="12" t="s">
        <v>16</v>
      </c>
      <c r="F31" s="12" t="s">
        <v>2088</v>
      </c>
      <c r="G31" s="12" t="s">
        <v>2094</v>
      </c>
      <c r="H31" s="12" t="n">
        <v>2</v>
      </c>
      <c r="I31" s="12" t="n">
        <v>2</v>
      </c>
      <c r="J31" s="15" t="n">
        <f aca="false">H31*I31</f>
        <v>4</v>
      </c>
      <c r="K31" s="12" t="s">
        <v>2095</v>
      </c>
      <c r="L31" s="12" t="s">
        <v>739</v>
      </c>
    </row>
    <row r="32" customFormat="false" ht="15" hidden="false" customHeight="true" outlineLevel="0" collapsed="false">
      <c r="A32" s="12" t="s">
        <v>2137</v>
      </c>
      <c r="B32" s="14" t="n">
        <v>45981</v>
      </c>
      <c r="C32" s="13" t="s">
        <v>125</v>
      </c>
      <c r="D32" s="15" t="str">
        <f aca="false">IFERROR(INDEX(Dim_Employee!$B$2:$B$76,MATCH(C32,Dim_Employee!$A$2:$A$76,0)),"")</f>
        <v>Chukwudi Yakubu</v>
      </c>
      <c r="E32" s="12" t="s">
        <v>16</v>
      </c>
      <c r="F32" s="12" t="s">
        <v>2088</v>
      </c>
      <c r="G32" s="12" t="s">
        <v>2110</v>
      </c>
      <c r="H32" s="12" t="n">
        <v>4</v>
      </c>
      <c r="I32" s="12" t="n">
        <v>2</v>
      </c>
      <c r="J32" s="15" t="n">
        <f aca="false">H32*I32</f>
        <v>8</v>
      </c>
      <c r="K32" s="12" t="s">
        <v>2111</v>
      </c>
      <c r="L32" s="12" t="s">
        <v>2108</v>
      </c>
    </row>
    <row r="33" customFormat="false" ht="15" hidden="false" customHeight="true" outlineLevel="0" collapsed="false">
      <c r="A33" s="12" t="s">
        <v>2138</v>
      </c>
      <c r="B33" s="14" t="n">
        <v>45812</v>
      </c>
      <c r="C33" s="13" t="s">
        <v>125</v>
      </c>
      <c r="D33" s="15" t="str">
        <f aca="false">IFERROR(INDEX(Dim_Employee!$B$2:$B$76,MATCH(C33,Dim_Employee!$A$2:$A$76,0)),"")</f>
        <v>Chukwudi Yakubu</v>
      </c>
      <c r="E33" s="12" t="s">
        <v>115</v>
      </c>
      <c r="F33" s="12" t="s">
        <v>2090</v>
      </c>
      <c r="G33" s="12" t="s">
        <v>2119</v>
      </c>
      <c r="H33" s="12" t="n">
        <v>2</v>
      </c>
      <c r="I33" s="12" t="n">
        <v>1</v>
      </c>
      <c r="J33" s="15" t="n">
        <f aca="false">H33*I33</f>
        <v>2</v>
      </c>
      <c r="K33" s="12" t="s">
        <v>2120</v>
      </c>
      <c r="L33" s="12" t="s">
        <v>2108</v>
      </c>
    </row>
    <row r="34" customFormat="false" ht="15" hidden="false" customHeight="true" outlineLevel="0" collapsed="false">
      <c r="A34" s="12" t="s">
        <v>2139</v>
      </c>
      <c r="B34" s="14" t="n">
        <v>45914</v>
      </c>
      <c r="C34" s="13" t="s">
        <v>453</v>
      </c>
      <c r="D34" s="15" t="str">
        <f aca="false">IFERROR(INDEX(Dim_Employee!$B$2:$B$76,MATCH(C34,Dim_Employee!$A$2:$A$76,0)),"")</f>
        <v>Tobi Adebayo</v>
      </c>
      <c r="E34" s="12" t="s">
        <v>111</v>
      </c>
      <c r="F34" s="12" t="s">
        <v>2088</v>
      </c>
      <c r="G34" s="12" t="s">
        <v>2091</v>
      </c>
      <c r="H34" s="12" t="n">
        <v>3</v>
      </c>
      <c r="I34" s="12" t="n">
        <v>3</v>
      </c>
      <c r="J34" s="15" t="n">
        <f aca="false">H34*I34</f>
        <v>9</v>
      </c>
      <c r="K34" s="12" t="s">
        <v>2092</v>
      </c>
      <c r="L34" s="12" t="s">
        <v>739</v>
      </c>
    </row>
    <row r="35" customFormat="false" ht="15" hidden="false" customHeight="true" outlineLevel="0" collapsed="false">
      <c r="A35" s="12" t="s">
        <v>2140</v>
      </c>
      <c r="B35" s="14" t="n">
        <v>45671</v>
      </c>
      <c r="C35" s="13" t="s">
        <v>448</v>
      </c>
      <c r="D35" s="15" t="str">
        <f aca="false">IFERROR(INDEX(Dim_Employee!$B$2:$B$76,MATCH(C35,Dim_Employee!$A$2:$A$76,0)),"")</f>
        <v>Bola Bakare</v>
      </c>
      <c r="E35" s="12" t="s">
        <v>111</v>
      </c>
      <c r="F35" s="12" t="s">
        <v>2084</v>
      </c>
      <c r="G35" s="12" t="s">
        <v>2119</v>
      </c>
      <c r="H35" s="12" t="n">
        <v>3</v>
      </c>
      <c r="I35" s="12" t="n">
        <v>2</v>
      </c>
      <c r="J35" s="15" t="n">
        <f aca="false">H35*I35</f>
        <v>6</v>
      </c>
      <c r="K35" s="12" t="s">
        <v>2120</v>
      </c>
      <c r="L35" s="12" t="s">
        <v>739</v>
      </c>
    </row>
    <row r="36" customFormat="false" ht="15" hidden="false" customHeight="true" outlineLevel="0" collapsed="false">
      <c r="A36" s="12" t="s">
        <v>2141</v>
      </c>
      <c r="B36" s="14" t="n">
        <v>45662</v>
      </c>
      <c r="C36" s="13" t="s">
        <v>467</v>
      </c>
      <c r="D36" s="15" t="str">
        <f aca="false">IFERROR(INDEX(Dim_Employee!$B$2:$B$76,MATCH(C36,Dim_Employee!$A$2:$A$76,0)),"")</f>
        <v>Halima Okafor</v>
      </c>
      <c r="E36" s="12" t="s">
        <v>28</v>
      </c>
      <c r="F36" s="12" t="s">
        <v>2088</v>
      </c>
      <c r="G36" s="12" t="s">
        <v>2110</v>
      </c>
      <c r="H36" s="12" t="n">
        <v>2</v>
      </c>
      <c r="I36" s="12" t="n">
        <v>3</v>
      </c>
      <c r="J36" s="15" t="n">
        <f aca="false">H36*I36</f>
        <v>6</v>
      </c>
      <c r="K36" s="12" t="s">
        <v>2111</v>
      </c>
      <c r="L36" s="12" t="s">
        <v>2100</v>
      </c>
    </row>
    <row r="37" customFormat="false" ht="15" hidden="false" customHeight="true" outlineLevel="0" collapsed="false">
      <c r="A37" s="12" t="s">
        <v>2142</v>
      </c>
      <c r="B37" s="14" t="n">
        <v>45731</v>
      </c>
      <c r="C37" s="13" t="s">
        <v>467</v>
      </c>
      <c r="D37" s="15" t="str">
        <f aca="false">IFERROR(INDEX(Dim_Employee!$B$2:$B$76,MATCH(C37,Dim_Employee!$A$2:$A$76,0)),"")</f>
        <v>Halima Okafor</v>
      </c>
      <c r="E37" s="12" t="s">
        <v>19</v>
      </c>
      <c r="F37" s="12" t="s">
        <v>2088</v>
      </c>
      <c r="G37" s="12" t="s">
        <v>2113</v>
      </c>
      <c r="H37" s="12" t="n">
        <v>3</v>
      </c>
      <c r="I37" s="12" t="n">
        <v>3</v>
      </c>
      <c r="J37" s="15" t="n">
        <f aca="false">H37*I37</f>
        <v>9</v>
      </c>
      <c r="K37" s="12" t="s">
        <v>2114</v>
      </c>
      <c r="L37" s="12" t="s">
        <v>2108</v>
      </c>
    </row>
    <row r="38" customFormat="false" ht="15" hidden="false" customHeight="true" outlineLevel="0" collapsed="false">
      <c r="A38" s="12" t="s">
        <v>2143</v>
      </c>
      <c r="B38" s="14" t="n">
        <v>45788</v>
      </c>
      <c r="C38" s="13" t="s">
        <v>448</v>
      </c>
      <c r="D38" s="15" t="str">
        <f aca="false">IFERROR(INDEX(Dim_Employee!$B$2:$B$76,MATCH(C38,Dim_Employee!$A$2:$A$76,0)),"")</f>
        <v>Bola Bakare</v>
      </c>
      <c r="E38" s="12" t="s">
        <v>97</v>
      </c>
      <c r="F38" s="12" t="s">
        <v>2090</v>
      </c>
      <c r="G38" s="12" t="s">
        <v>2110</v>
      </c>
      <c r="H38" s="12" t="n">
        <v>2</v>
      </c>
      <c r="I38" s="12" t="n">
        <v>5</v>
      </c>
      <c r="J38" s="15" t="n">
        <f aca="false">H38*I38</f>
        <v>10</v>
      </c>
      <c r="K38" s="12" t="s">
        <v>2111</v>
      </c>
      <c r="L38" s="12" t="s">
        <v>2100</v>
      </c>
    </row>
    <row r="39" customFormat="false" ht="15" hidden="false" customHeight="true" outlineLevel="0" collapsed="false">
      <c r="A39" s="12" t="s">
        <v>2144</v>
      </c>
      <c r="B39" s="14" t="n">
        <v>46021</v>
      </c>
      <c r="C39" s="13" t="s">
        <v>448</v>
      </c>
      <c r="D39" s="15" t="str">
        <f aca="false">IFERROR(INDEX(Dim_Employee!$B$2:$B$76,MATCH(C39,Dim_Employee!$A$2:$A$76,0)),"")</f>
        <v>Bola Bakare</v>
      </c>
      <c r="E39" s="12" t="s">
        <v>28</v>
      </c>
      <c r="F39" s="12" t="s">
        <v>2088</v>
      </c>
      <c r="G39" s="12" t="s">
        <v>2110</v>
      </c>
      <c r="H39" s="12" t="n">
        <v>4</v>
      </c>
      <c r="I39" s="12" t="n">
        <v>5</v>
      </c>
      <c r="J39" s="15" t="n">
        <f aca="false">H39*I39</f>
        <v>20</v>
      </c>
      <c r="K39" s="12" t="s">
        <v>2111</v>
      </c>
      <c r="L39" s="12" t="s">
        <v>2100</v>
      </c>
    </row>
    <row r="40" customFormat="false" ht="15" hidden="false" customHeight="true" outlineLevel="0" collapsed="false">
      <c r="A40" s="12" t="s">
        <v>2145</v>
      </c>
      <c r="B40" s="14" t="n">
        <v>45969</v>
      </c>
      <c r="C40" s="13" t="s">
        <v>448</v>
      </c>
      <c r="D40" s="15" t="str">
        <f aca="false">IFERROR(INDEX(Dim_Employee!$B$2:$B$76,MATCH(C40,Dim_Employee!$A$2:$A$76,0)),"")</f>
        <v>Bola Bakare</v>
      </c>
      <c r="E40" s="12" t="s">
        <v>24</v>
      </c>
      <c r="F40" s="12" t="s">
        <v>2123</v>
      </c>
      <c r="G40" s="12" t="s">
        <v>2098</v>
      </c>
      <c r="H40" s="12" t="n">
        <v>5</v>
      </c>
      <c r="I40" s="12" t="n">
        <v>4</v>
      </c>
      <c r="J40" s="15" t="n">
        <f aca="false">H40*I40</f>
        <v>20</v>
      </c>
      <c r="K40" s="12" t="s">
        <v>2099</v>
      </c>
      <c r="L40" s="12" t="s">
        <v>741</v>
      </c>
    </row>
    <row r="41" customFormat="false" ht="15" hidden="false" customHeight="true" outlineLevel="0" collapsed="false">
      <c r="A41" s="12" t="s">
        <v>2146</v>
      </c>
      <c r="B41" s="14" t="n">
        <v>45718</v>
      </c>
      <c r="C41" s="13" t="s">
        <v>458</v>
      </c>
      <c r="D41" s="15" t="str">
        <f aca="false">IFERROR(INDEX(Dim_Employee!$B$2:$B$76,MATCH(C41,Dim_Employee!$A$2:$A$76,0)),"")</f>
        <v>Grace Chukwu</v>
      </c>
      <c r="E41" s="12" t="s">
        <v>24</v>
      </c>
      <c r="F41" s="12" t="s">
        <v>2084</v>
      </c>
      <c r="G41" s="12" t="s">
        <v>2110</v>
      </c>
      <c r="H41" s="12" t="n">
        <v>4</v>
      </c>
      <c r="I41" s="12" t="n">
        <v>1</v>
      </c>
      <c r="J41" s="15" t="n">
        <f aca="false">H41*I41</f>
        <v>4</v>
      </c>
      <c r="K41" s="12" t="s">
        <v>2111</v>
      </c>
      <c r="L41" s="12" t="s">
        <v>2100</v>
      </c>
    </row>
    <row r="42" customFormat="false" ht="15" hidden="false" customHeight="true" outlineLevel="0" collapsed="false">
      <c r="A42" s="12" t="s">
        <v>2147</v>
      </c>
      <c r="B42" s="14" t="n">
        <v>45710</v>
      </c>
      <c r="C42" s="13" t="s">
        <v>458</v>
      </c>
      <c r="D42" s="15" t="str">
        <f aca="false">IFERROR(INDEX(Dim_Employee!$B$2:$B$76,MATCH(C42,Dim_Employee!$A$2:$A$76,0)),"")</f>
        <v>Grace Chukwu</v>
      </c>
      <c r="E42" s="12" t="s">
        <v>28</v>
      </c>
      <c r="F42" s="12" t="s">
        <v>2097</v>
      </c>
      <c r="G42" s="12" t="s">
        <v>2085</v>
      </c>
      <c r="H42" s="12" t="n">
        <v>5</v>
      </c>
      <c r="I42" s="12" t="n">
        <v>2</v>
      </c>
      <c r="J42" s="15" t="n">
        <f aca="false">H42*I42</f>
        <v>10</v>
      </c>
      <c r="K42" s="12" t="s">
        <v>2086</v>
      </c>
      <c r="L42" s="12" t="s">
        <v>2108</v>
      </c>
    </row>
    <row r="43" customFormat="false" ht="15" hidden="false" customHeight="true" outlineLevel="0" collapsed="false">
      <c r="A43" s="12" t="s">
        <v>2148</v>
      </c>
      <c r="B43" s="14" t="n">
        <v>45895</v>
      </c>
      <c r="C43" s="13" t="s">
        <v>458</v>
      </c>
      <c r="D43" s="15" t="str">
        <f aca="false">IFERROR(INDEX(Dim_Employee!$B$2:$B$76,MATCH(C43,Dim_Employee!$A$2:$A$76,0)),"")</f>
        <v>Grace Chukwu</v>
      </c>
      <c r="E43" s="12" t="s">
        <v>97</v>
      </c>
      <c r="F43" s="12" t="s">
        <v>2090</v>
      </c>
      <c r="G43" s="12" t="s">
        <v>2113</v>
      </c>
      <c r="H43" s="12" t="n">
        <v>5</v>
      </c>
      <c r="I43" s="12" t="n">
        <v>3</v>
      </c>
      <c r="J43" s="15" t="n">
        <f aca="false">H43*I43</f>
        <v>15</v>
      </c>
      <c r="K43" s="12" t="s">
        <v>2114</v>
      </c>
      <c r="L43" s="12" t="s">
        <v>739</v>
      </c>
    </row>
    <row r="44" customFormat="false" ht="15" hidden="false" customHeight="true" outlineLevel="0" collapsed="false">
      <c r="A44" s="12" t="s">
        <v>2149</v>
      </c>
      <c r="B44" s="14" t="n">
        <v>45719</v>
      </c>
      <c r="C44" s="13" t="s">
        <v>448</v>
      </c>
      <c r="D44" s="15" t="str">
        <f aca="false">IFERROR(INDEX(Dim_Employee!$B$2:$B$76,MATCH(C44,Dim_Employee!$A$2:$A$76,0)),"")</f>
        <v>Bola Bakare</v>
      </c>
      <c r="E44" s="12" t="s">
        <v>19</v>
      </c>
      <c r="F44" s="12" t="s">
        <v>2105</v>
      </c>
      <c r="G44" s="12" t="s">
        <v>2091</v>
      </c>
      <c r="H44" s="12" t="n">
        <v>5</v>
      </c>
      <c r="I44" s="12" t="n">
        <v>5</v>
      </c>
      <c r="J44" s="15" t="n">
        <f aca="false">H44*I44</f>
        <v>25</v>
      </c>
      <c r="K44" s="12" t="s">
        <v>2092</v>
      </c>
      <c r="L44" s="12" t="s">
        <v>741</v>
      </c>
    </row>
    <row r="45" customFormat="false" ht="15" hidden="false" customHeight="true" outlineLevel="0" collapsed="false">
      <c r="A45" s="12" t="s">
        <v>2150</v>
      </c>
      <c r="B45" s="14" t="n">
        <v>45849</v>
      </c>
      <c r="C45" s="13" t="s">
        <v>463</v>
      </c>
      <c r="D45" s="15" t="str">
        <f aca="false">IFERROR(INDEX(Dim_Employee!$B$2:$B$76,MATCH(C45,Dim_Employee!$A$2:$A$76,0)),"")</f>
        <v>Tobi Danjuma</v>
      </c>
      <c r="E45" s="12" t="s">
        <v>24</v>
      </c>
      <c r="F45" s="12" t="s">
        <v>2088</v>
      </c>
      <c r="G45" s="12" t="s">
        <v>2098</v>
      </c>
      <c r="H45" s="12" t="n">
        <v>4</v>
      </c>
      <c r="I45" s="12" t="n">
        <v>1</v>
      </c>
      <c r="J45" s="15" t="n">
        <f aca="false">H45*I45</f>
        <v>4</v>
      </c>
      <c r="K45" s="12" t="s">
        <v>2099</v>
      </c>
      <c r="L45" s="12" t="s">
        <v>741</v>
      </c>
    </row>
    <row r="46" customFormat="false" ht="15" hidden="false" customHeight="true" outlineLevel="0" collapsed="false">
      <c r="A46" s="12" t="s">
        <v>2151</v>
      </c>
      <c r="B46" s="14" t="n">
        <v>45659</v>
      </c>
      <c r="C46" s="13" t="s">
        <v>467</v>
      </c>
      <c r="D46" s="15" t="str">
        <f aca="false">IFERROR(INDEX(Dim_Employee!$B$2:$B$76,MATCH(C46,Dim_Employee!$A$2:$A$76,0)),"")</f>
        <v>Halima Okafor</v>
      </c>
      <c r="E46" s="12" t="s">
        <v>111</v>
      </c>
      <c r="F46" s="12" t="s">
        <v>2084</v>
      </c>
      <c r="G46" s="12" t="s">
        <v>2119</v>
      </c>
      <c r="H46" s="12" t="n">
        <v>1</v>
      </c>
      <c r="I46" s="12" t="n">
        <v>5</v>
      </c>
      <c r="J46" s="15" t="n">
        <f aca="false">H46*I46</f>
        <v>5</v>
      </c>
      <c r="K46" s="12" t="s">
        <v>2120</v>
      </c>
      <c r="L46" s="12" t="s">
        <v>2108</v>
      </c>
    </row>
    <row r="47" customFormat="false" ht="15" hidden="false" customHeight="true" outlineLevel="0" collapsed="false">
      <c r="A47" s="12" t="s">
        <v>2152</v>
      </c>
      <c r="B47" s="14" t="n">
        <v>45818</v>
      </c>
      <c r="C47" s="13" t="s">
        <v>448</v>
      </c>
      <c r="D47" s="15" t="str">
        <f aca="false">IFERROR(INDEX(Dim_Employee!$B$2:$B$76,MATCH(C47,Dim_Employee!$A$2:$A$76,0)),"")</f>
        <v>Bola Bakare</v>
      </c>
      <c r="E47" s="12" t="s">
        <v>111</v>
      </c>
      <c r="F47" s="12" t="s">
        <v>2084</v>
      </c>
      <c r="G47" s="12" t="s">
        <v>2094</v>
      </c>
      <c r="H47" s="12" t="n">
        <v>2</v>
      </c>
      <c r="I47" s="12" t="n">
        <v>2</v>
      </c>
      <c r="J47" s="15" t="n">
        <f aca="false">H47*I47</f>
        <v>4</v>
      </c>
      <c r="K47" s="12" t="s">
        <v>2095</v>
      </c>
      <c r="L47" s="12" t="s">
        <v>2100</v>
      </c>
    </row>
    <row r="48" customFormat="false" ht="15" hidden="false" customHeight="true" outlineLevel="0" collapsed="false">
      <c r="A48" s="12" t="s">
        <v>2153</v>
      </c>
      <c r="B48" s="14" t="n">
        <v>45761</v>
      </c>
      <c r="C48" s="13" t="s">
        <v>448</v>
      </c>
      <c r="D48" s="15" t="str">
        <f aca="false">IFERROR(INDEX(Dim_Employee!$B$2:$B$76,MATCH(C48,Dim_Employee!$A$2:$A$76,0)),"")</f>
        <v>Bola Bakare</v>
      </c>
      <c r="E48" s="12" t="s">
        <v>111</v>
      </c>
      <c r="F48" s="12" t="s">
        <v>2084</v>
      </c>
      <c r="G48" s="12" t="s">
        <v>2113</v>
      </c>
      <c r="H48" s="12" t="n">
        <v>1</v>
      </c>
      <c r="I48" s="12" t="n">
        <v>3</v>
      </c>
      <c r="J48" s="15" t="n">
        <f aca="false">H48*I48</f>
        <v>3</v>
      </c>
      <c r="K48" s="12" t="s">
        <v>2114</v>
      </c>
      <c r="L48" s="12" t="s">
        <v>2108</v>
      </c>
    </row>
    <row r="49" customFormat="false" ht="15" hidden="false" customHeight="true" outlineLevel="0" collapsed="false">
      <c r="A49" s="12" t="s">
        <v>2154</v>
      </c>
      <c r="B49" s="14" t="n">
        <v>45992</v>
      </c>
      <c r="C49" s="13" t="s">
        <v>125</v>
      </c>
      <c r="D49" s="15" t="str">
        <f aca="false">IFERROR(INDEX(Dim_Employee!$B$2:$B$76,MATCH(C49,Dim_Employee!$A$2:$A$76,0)),"")</f>
        <v>Chukwudi Yakubu</v>
      </c>
      <c r="E49" s="12" t="s">
        <v>28</v>
      </c>
      <c r="F49" s="12" t="s">
        <v>2090</v>
      </c>
      <c r="G49" s="12" t="s">
        <v>2113</v>
      </c>
      <c r="H49" s="12" t="n">
        <v>5</v>
      </c>
      <c r="I49" s="12" t="n">
        <v>5</v>
      </c>
      <c r="J49" s="15" t="n">
        <f aca="false">H49*I49</f>
        <v>25</v>
      </c>
      <c r="K49" s="12" t="s">
        <v>2114</v>
      </c>
      <c r="L49" s="12" t="s">
        <v>739</v>
      </c>
    </row>
    <row r="50" customFormat="false" ht="15" hidden="false" customHeight="true" outlineLevel="0" collapsed="false">
      <c r="A50" s="12" t="s">
        <v>2155</v>
      </c>
      <c r="B50" s="14" t="n">
        <v>45706</v>
      </c>
      <c r="C50" s="13" t="s">
        <v>463</v>
      </c>
      <c r="D50" s="15" t="str">
        <f aca="false">IFERROR(INDEX(Dim_Employee!$B$2:$B$76,MATCH(C50,Dim_Employee!$A$2:$A$76,0)),"")</f>
        <v>Tobi Danjuma</v>
      </c>
      <c r="E50" s="12" t="s">
        <v>111</v>
      </c>
      <c r="F50" s="12" t="s">
        <v>2090</v>
      </c>
      <c r="G50" s="12" t="s">
        <v>2102</v>
      </c>
      <c r="H50" s="12" t="n">
        <v>3</v>
      </c>
      <c r="I50" s="12" t="n">
        <v>3</v>
      </c>
      <c r="J50" s="15" t="n">
        <f aca="false">H50*I50</f>
        <v>9</v>
      </c>
      <c r="K50" s="12" t="s">
        <v>2103</v>
      </c>
      <c r="L50" s="12" t="s">
        <v>2108</v>
      </c>
    </row>
    <row r="51" customFormat="false" ht="15" hidden="false" customHeight="true" outlineLevel="0" collapsed="false">
      <c r="A51" s="12" t="s">
        <v>2156</v>
      </c>
      <c r="B51" s="14" t="n">
        <v>45804</v>
      </c>
      <c r="C51" s="13" t="s">
        <v>467</v>
      </c>
      <c r="D51" s="15" t="str">
        <f aca="false">IFERROR(INDEX(Dim_Employee!$B$2:$B$76,MATCH(C51,Dim_Employee!$A$2:$A$76,0)),"")</f>
        <v>Halima Okafor</v>
      </c>
      <c r="E51" s="12" t="s">
        <v>16</v>
      </c>
      <c r="F51" s="12" t="s">
        <v>2084</v>
      </c>
      <c r="G51" s="12" t="s">
        <v>2094</v>
      </c>
      <c r="H51" s="12" t="n">
        <v>1</v>
      </c>
      <c r="I51" s="12" t="n">
        <v>4</v>
      </c>
      <c r="J51" s="15" t="n">
        <f aca="false">H51*I51</f>
        <v>4</v>
      </c>
      <c r="K51" s="12" t="s">
        <v>2095</v>
      </c>
      <c r="L51" s="12" t="s">
        <v>2108</v>
      </c>
    </row>
    <row r="52" customFormat="false" ht="15" hidden="false" customHeight="true" outlineLevel="0" collapsed="false">
      <c r="A52" s="12" t="s">
        <v>2157</v>
      </c>
      <c r="B52" s="14" t="n">
        <v>45920</v>
      </c>
      <c r="C52" s="13" t="s">
        <v>458</v>
      </c>
      <c r="D52" s="15" t="str">
        <f aca="false">IFERROR(INDEX(Dim_Employee!$B$2:$B$76,MATCH(C52,Dim_Employee!$A$2:$A$76,0)),"")</f>
        <v>Grace Chukwu</v>
      </c>
      <c r="E52" s="12" t="s">
        <v>19</v>
      </c>
      <c r="F52" s="12" t="s">
        <v>2084</v>
      </c>
      <c r="G52" s="12" t="s">
        <v>2119</v>
      </c>
      <c r="H52" s="12" t="n">
        <v>1</v>
      </c>
      <c r="I52" s="12" t="n">
        <v>4</v>
      </c>
      <c r="J52" s="15" t="n">
        <f aca="false">H52*I52</f>
        <v>4</v>
      </c>
      <c r="K52" s="12" t="s">
        <v>2120</v>
      </c>
      <c r="L52" s="12" t="s">
        <v>2100</v>
      </c>
    </row>
    <row r="53" customFormat="false" ht="15" hidden="false" customHeight="true" outlineLevel="0" collapsed="false">
      <c r="A53" s="12" t="s">
        <v>2158</v>
      </c>
      <c r="B53" s="14" t="n">
        <v>46010</v>
      </c>
      <c r="C53" s="13" t="s">
        <v>458</v>
      </c>
      <c r="D53" s="15" t="str">
        <f aca="false">IFERROR(INDEX(Dim_Employee!$B$2:$B$76,MATCH(C53,Dim_Employee!$A$2:$A$76,0)),"")</f>
        <v>Grace Chukwu</v>
      </c>
      <c r="E53" s="12" t="s">
        <v>16</v>
      </c>
      <c r="F53" s="12" t="s">
        <v>2090</v>
      </c>
      <c r="G53" s="12" t="s">
        <v>2098</v>
      </c>
      <c r="H53" s="12" t="n">
        <v>4</v>
      </c>
      <c r="I53" s="12" t="n">
        <v>3</v>
      </c>
      <c r="J53" s="15" t="n">
        <f aca="false">H53*I53</f>
        <v>12</v>
      </c>
      <c r="K53" s="12" t="s">
        <v>2099</v>
      </c>
      <c r="L53" s="12" t="s">
        <v>2108</v>
      </c>
    </row>
    <row r="54" customFormat="false" ht="15" hidden="false" customHeight="true" outlineLevel="0" collapsed="false">
      <c r="A54" s="12" t="s">
        <v>2159</v>
      </c>
      <c r="B54" s="14" t="n">
        <v>45914</v>
      </c>
      <c r="C54" s="13" t="s">
        <v>453</v>
      </c>
      <c r="D54" s="15" t="str">
        <f aca="false">IFERROR(INDEX(Dim_Employee!$B$2:$B$76,MATCH(C54,Dim_Employee!$A$2:$A$76,0)),"")</f>
        <v>Tobi Adebayo</v>
      </c>
      <c r="E54" s="12" t="s">
        <v>19</v>
      </c>
      <c r="F54" s="12" t="s">
        <v>2090</v>
      </c>
      <c r="G54" s="12" t="s">
        <v>2085</v>
      </c>
      <c r="H54" s="12" t="n">
        <v>4</v>
      </c>
      <c r="I54" s="12" t="n">
        <v>4</v>
      </c>
      <c r="J54" s="15" t="n">
        <f aca="false">H54*I54</f>
        <v>16</v>
      </c>
      <c r="K54" s="12" t="s">
        <v>2086</v>
      </c>
      <c r="L54" s="12" t="s">
        <v>739</v>
      </c>
    </row>
    <row r="55" customFormat="false" ht="15" hidden="false" customHeight="true" outlineLevel="0" collapsed="false">
      <c r="A55" s="12" t="s">
        <v>2160</v>
      </c>
      <c r="B55" s="14" t="n">
        <v>46017</v>
      </c>
      <c r="C55" s="13" t="s">
        <v>458</v>
      </c>
      <c r="D55" s="15" t="str">
        <f aca="false">IFERROR(INDEX(Dim_Employee!$B$2:$B$76,MATCH(C55,Dim_Employee!$A$2:$A$76,0)),"")</f>
        <v>Grace Chukwu</v>
      </c>
      <c r="E55" s="12" t="s">
        <v>111</v>
      </c>
      <c r="F55" s="12" t="s">
        <v>2123</v>
      </c>
      <c r="G55" s="12" t="s">
        <v>2098</v>
      </c>
      <c r="H55" s="12" t="n">
        <v>4</v>
      </c>
      <c r="I55" s="12" t="n">
        <v>4</v>
      </c>
      <c r="J55" s="15" t="n">
        <f aca="false">H55*I55</f>
        <v>16</v>
      </c>
      <c r="K55" s="12" t="s">
        <v>2099</v>
      </c>
      <c r="L55" s="12" t="s">
        <v>2108</v>
      </c>
    </row>
    <row r="56" customFormat="false" ht="15" hidden="false" customHeight="true" outlineLevel="0" collapsed="false">
      <c r="A56" s="12" t="s">
        <v>2161</v>
      </c>
      <c r="B56" s="14" t="n">
        <v>45942</v>
      </c>
      <c r="C56" s="13" t="s">
        <v>458</v>
      </c>
      <c r="D56" s="15" t="str">
        <f aca="false">IFERROR(INDEX(Dim_Employee!$B$2:$B$76,MATCH(C56,Dim_Employee!$A$2:$A$76,0)),"")</f>
        <v>Grace Chukwu</v>
      </c>
      <c r="E56" s="12" t="s">
        <v>28</v>
      </c>
      <c r="F56" s="12" t="s">
        <v>2105</v>
      </c>
      <c r="G56" s="12" t="s">
        <v>2094</v>
      </c>
      <c r="H56" s="12" t="n">
        <v>5</v>
      </c>
      <c r="I56" s="12" t="n">
        <v>5</v>
      </c>
      <c r="J56" s="15" t="n">
        <f aca="false">H56*I56</f>
        <v>25</v>
      </c>
      <c r="K56" s="12" t="s">
        <v>2095</v>
      </c>
      <c r="L56" s="12" t="s">
        <v>2100</v>
      </c>
    </row>
    <row r="57" customFormat="false" ht="15" hidden="false" customHeight="true" outlineLevel="0" collapsed="false">
      <c r="A57" s="12" t="s">
        <v>2162</v>
      </c>
      <c r="B57" s="14" t="n">
        <v>45984</v>
      </c>
      <c r="C57" s="13" t="s">
        <v>125</v>
      </c>
      <c r="D57" s="15" t="str">
        <f aca="false">IFERROR(INDEX(Dim_Employee!$B$2:$B$76,MATCH(C57,Dim_Employee!$A$2:$A$76,0)),"")</f>
        <v>Chukwudi Yakubu</v>
      </c>
      <c r="E57" s="12" t="s">
        <v>16</v>
      </c>
      <c r="F57" s="12" t="s">
        <v>2105</v>
      </c>
      <c r="G57" s="12" t="s">
        <v>2119</v>
      </c>
      <c r="H57" s="12" t="n">
        <v>2</v>
      </c>
      <c r="I57" s="12" t="n">
        <v>4</v>
      </c>
      <c r="J57" s="15" t="n">
        <f aca="false">H57*I57</f>
        <v>8</v>
      </c>
      <c r="K57" s="12" t="s">
        <v>2120</v>
      </c>
      <c r="L57" s="12" t="s">
        <v>739</v>
      </c>
    </row>
    <row r="58" customFormat="false" ht="15" hidden="false" customHeight="true" outlineLevel="0" collapsed="false">
      <c r="A58" s="12" t="s">
        <v>2163</v>
      </c>
      <c r="B58" s="14" t="n">
        <v>45690</v>
      </c>
      <c r="C58" s="13" t="s">
        <v>467</v>
      </c>
      <c r="D58" s="15" t="str">
        <f aca="false">IFERROR(INDEX(Dim_Employee!$B$2:$B$76,MATCH(C58,Dim_Employee!$A$2:$A$76,0)),"")</f>
        <v>Halima Okafor</v>
      </c>
      <c r="E58" s="12" t="s">
        <v>16</v>
      </c>
      <c r="F58" s="12" t="s">
        <v>2088</v>
      </c>
      <c r="G58" s="12" t="s">
        <v>2094</v>
      </c>
      <c r="H58" s="12" t="n">
        <v>4</v>
      </c>
      <c r="I58" s="12" t="n">
        <v>1</v>
      </c>
      <c r="J58" s="15" t="n">
        <f aca="false">H58*I58</f>
        <v>4</v>
      </c>
      <c r="K58" s="12" t="s">
        <v>2095</v>
      </c>
      <c r="L58" s="12" t="s">
        <v>2100</v>
      </c>
    </row>
    <row r="59" customFormat="false" ht="15" hidden="false" customHeight="true" outlineLevel="0" collapsed="false">
      <c r="A59" s="12" t="s">
        <v>2164</v>
      </c>
      <c r="B59" s="14" t="n">
        <v>45701</v>
      </c>
      <c r="C59" s="13" t="s">
        <v>453</v>
      </c>
      <c r="D59" s="15" t="str">
        <f aca="false">IFERROR(INDEX(Dim_Employee!$B$2:$B$76,MATCH(C59,Dim_Employee!$A$2:$A$76,0)),"")</f>
        <v>Tobi Adebayo</v>
      </c>
      <c r="E59" s="12" t="s">
        <v>97</v>
      </c>
      <c r="F59" s="12" t="s">
        <v>2084</v>
      </c>
      <c r="G59" s="12" t="s">
        <v>2113</v>
      </c>
      <c r="H59" s="12" t="n">
        <v>5</v>
      </c>
      <c r="I59" s="12" t="n">
        <v>1</v>
      </c>
      <c r="J59" s="15" t="n">
        <f aca="false">H59*I59</f>
        <v>5</v>
      </c>
      <c r="K59" s="12" t="s">
        <v>2114</v>
      </c>
      <c r="L59" s="12" t="s">
        <v>741</v>
      </c>
    </row>
    <row r="60" customFormat="false" ht="15" hidden="false" customHeight="true" outlineLevel="0" collapsed="false">
      <c r="A60" s="12" t="s">
        <v>2165</v>
      </c>
      <c r="B60" s="14" t="n">
        <v>45747</v>
      </c>
      <c r="C60" s="13" t="s">
        <v>467</v>
      </c>
      <c r="D60" s="15" t="str">
        <f aca="false">IFERROR(INDEX(Dim_Employee!$B$2:$B$76,MATCH(C60,Dim_Employee!$A$2:$A$76,0)),"")</f>
        <v>Halima Okafor</v>
      </c>
      <c r="E60" s="12" t="s">
        <v>19</v>
      </c>
      <c r="F60" s="12" t="s">
        <v>2090</v>
      </c>
      <c r="G60" s="12" t="s">
        <v>2119</v>
      </c>
      <c r="H60" s="12" t="n">
        <v>2</v>
      </c>
      <c r="I60" s="12" t="n">
        <v>1</v>
      </c>
      <c r="J60" s="15" t="n">
        <f aca="false">H60*I60</f>
        <v>2</v>
      </c>
      <c r="K60" s="12" t="s">
        <v>2120</v>
      </c>
      <c r="L60" s="12" t="s">
        <v>739</v>
      </c>
    </row>
    <row r="61" customFormat="false" ht="15" hidden="false" customHeight="true" outlineLevel="0" collapsed="false">
      <c r="A61" s="12" t="s">
        <v>2166</v>
      </c>
      <c r="B61" s="14" t="n">
        <v>45932</v>
      </c>
      <c r="C61" s="13" t="s">
        <v>125</v>
      </c>
      <c r="D61" s="15" t="str">
        <f aca="false">IFERROR(INDEX(Dim_Employee!$B$2:$B$76,MATCH(C61,Dim_Employee!$A$2:$A$76,0)),"")</f>
        <v>Chukwudi Yakubu</v>
      </c>
      <c r="E61" s="12" t="s">
        <v>28</v>
      </c>
      <c r="F61" s="12" t="s">
        <v>2084</v>
      </c>
      <c r="G61" s="12" t="s">
        <v>2119</v>
      </c>
      <c r="H61" s="12" t="n">
        <v>4</v>
      </c>
      <c r="I61" s="12" t="n">
        <v>1</v>
      </c>
      <c r="J61" s="15" t="n">
        <f aca="false">H61*I61</f>
        <v>4</v>
      </c>
      <c r="K61" s="12" t="s">
        <v>2120</v>
      </c>
      <c r="L61" s="12" t="s">
        <v>2108</v>
      </c>
    </row>
    <row r="62" customFormat="false" ht="15" hidden="false" customHeight="true" outlineLevel="0" collapsed="false">
      <c r="A62" s="12" t="s">
        <v>2167</v>
      </c>
      <c r="B62" s="14" t="n">
        <v>45809</v>
      </c>
      <c r="C62" s="13" t="s">
        <v>463</v>
      </c>
      <c r="D62" s="15" t="str">
        <f aca="false">IFERROR(INDEX(Dim_Employee!$B$2:$B$76,MATCH(C62,Dim_Employee!$A$2:$A$76,0)),"")</f>
        <v>Tobi Danjuma</v>
      </c>
      <c r="E62" s="12" t="s">
        <v>111</v>
      </c>
      <c r="F62" s="12" t="s">
        <v>2084</v>
      </c>
      <c r="G62" s="12" t="s">
        <v>2085</v>
      </c>
      <c r="H62" s="12" t="n">
        <v>4</v>
      </c>
      <c r="I62" s="12" t="n">
        <v>2</v>
      </c>
      <c r="J62" s="15" t="n">
        <f aca="false">H62*I62</f>
        <v>8</v>
      </c>
      <c r="K62" s="12" t="s">
        <v>2086</v>
      </c>
      <c r="L62" s="12" t="s">
        <v>2108</v>
      </c>
    </row>
    <row r="63" customFormat="false" ht="15" hidden="false" customHeight="true" outlineLevel="0" collapsed="false">
      <c r="A63" s="12" t="s">
        <v>2168</v>
      </c>
      <c r="B63" s="14" t="n">
        <v>45895</v>
      </c>
      <c r="C63" s="13" t="s">
        <v>463</v>
      </c>
      <c r="D63" s="15" t="str">
        <f aca="false">IFERROR(INDEX(Dim_Employee!$B$2:$B$76,MATCH(C63,Dim_Employee!$A$2:$A$76,0)),"")</f>
        <v>Tobi Danjuma</v>
      </c>
      <c r="E63" s="12" t="s">
        <v>16</v>
      </c>
      <c r="F63" s="12" t="s">
        <v>2105</v>
      </c>
      <c r="G63" s="12" t="s">
        <v>2091</v>
      </c>
      <c r="H63" s="12" t="n">
        <v>3</v>
      </c>
      <c r="I63" s="12" t="n">
        <v>5</v>
      </c>
      <c r="J63" s="15" t="n">
        <f aca="false">H63*I63</f>
        <v>15</v>
      </c>
      <c r="K63" s="12" t="s">
        <v>2092</v>
      </c>
      <c r="L63" s="12" t="s">
        <v>739</v>
      </c>
    </row>
    <row r="64" customFormat="false" ht="15" hidden="false" customHeight="true" outlineLevel="0" collapsed="false">
      <c r="A64" s="12" t="s">
        <v>2169</v>
      </c>
      <c r="B64" s="14" t="n">
        <v>45986</v>
      </c>
      <c r="C64" s="13" t="s">
        <v>463</v>
      </c>
      <c r="D64" s="15" t="str">
        <f aca="false">IFERROR(INDEX(Dim_Employee!$B$2:$B$76,MATCH(C64,Dim_Employee!$A$2:$A$76,0)),"")</f>
        <v>Tobi Danjuma</v>
      </c>
      <c r="E64" s="12" t="s">
        <v>115</v>
      </c>
      <c r="F64" s="12" t="s">
        <v>2105</v>
      </c>
      <c r="G64" s="12" t="s">
        <v>2113</v>
      </c>
      <c r="H64" s="12" t="n">
        <v>1</v>
      </c>
      <c r="I64" s="12" t="n">
        <v>5</v>
      </c>
      <c r="J64" s="15" t="n">
        <f aca="false">H64*I64</f>
        <v>5</v>
      </c>
      <c r="K64" s="12" t="s">
        <v>2114</v>
      </c>
      <c r="L64" s="12" t="s">
        <v>2100</v>
      </c>
    </row>
    <row r="65" customFormat="false" ht="15" hidden="false" customHeight="true" outlineLevel="0" collapsed="false">
      <c r="A65" s="12" t="s">
        <v>2170</v>
      </c>
      <c r="B65" s="14" t="n">
        <v>45866</v>
      </c>
      <c r="C65" s="13" t="s">
        <v>467</v>
      </c>
      <c r="D65" s="15" t="str">
        <f aca="false">IFERROR(INDEX(Dim_Employee!$B$2:$B$76,MATCH(C65,Dim_Employee!$A$2:$A$76,0)),"")</f>
        <v>Halima Okafor</v>
      </c>
      <c r="E65" s="12" t="s">
        <v>111</v>
      </c>
      <c r="F65" s="12" t="s">
        <v>2088</v>
      </c>
      <c r="G65" s="12" t="s">
        <v>2102</v>
      </c>
      <c r="H65" s="12" t="n">
        <v>3</v>
      </c>
      <c r="I65" s="12" t="n">
        <v>4</v>
      </c>
      <c r="J65" s="15" t="n">
        <f aca="false">H65*I65</f>
        <v>12</v>
      </c>
      <c r="K65" s="12" t="s">
        <v>2103</v>
      </c>
      <c r="L65" s="12" t="s">
        <v>739</v>
      </c>
    </row>
    <row r="66" customFormat="false" ht="15" hidden="false" customHeight="true" outlineLevel="0" collapsed="false">
      <c r="A66" s="12" t="s">
        <v>2171</v>
      </c>
      <c r="B66" s="14" t="n">
        <v>45908</v>
      </c>
      <c r="C66" s="13" t="s">
        <v>448</v>
      </c>
      <c r="D66" s="15" t="str">
        <f aca="false">IFERROR(INDEX(Dim_Employee!$B$2:$B$76,MATCH(C66,Dim_Employee!$A$2:$A$76,0)),"")</f>
        <v>Bola Bakare</v>
      </c>
      <c r="E66" s="12" t="s">
        <v>115</v>
      </c>
      <c r="F66" s="12" t="s">
        <v>2084</v>
      </c>
      <c r="G66" s="12" t="s">
        <v>2102</v>
      </c>
      <c r="H66" s="12" t="n">
        <v>4</v>
      </c>
      <c r="I66" s="12" t="n">
        <v>3</v>
      </c>
      <c r="J66" s="15" t="n">
        <f aca="false">H66*I66</f>
        <v>12</v>
      </c>
      <c r="K66" s="12" t="s">
        <v>2103</v>
      </c>
      <c r="L66" s="12" t="s">
        <v>2108</v>
      </c>
    </row>
    <row r="67" customFormat="false" ht="15" hidden="false" customHeight="true" outlineLevel="0" collapsed="false">
      <c r="A67" s="12" t="s">
        <v>2172</v>
      </c>
      <c r="B67" s="14" t="n">
        <v>45773</v>
      </c>
      <c r="C67" s="13" t="s">
        <v>458</v>
      </c>
      <c r="D67" s="15" t="str">
        <f aca="false">IFERROR(INDEX(Dim_Employee!$B$2:$B$76,MATCH(C67,Dim_Employee!$A$2:$A$76,0)),"")</f>
        <v>Grace Chukwu</v>
      </c>
      <c r="E67" s="12" t="s">
        <v>115</v>
      </c>
      <c r="F67" s="12" t="s">
        <v>2090</v>
      </c>
      <c r="G67" s="12" t="s">
        <v>2098</v>
      </c>
      <c r="H67" s="12" t="n">
        <v>5</v>
      </c>
      <c r="I67" s="12" t="n">
        <v>5</v>
      </c>
      <c r="J67" s="15" t="n">
        <f aca="false">H67*I67</f>
        <v>25</v>
      </c>
      <c r="K67" s="12" t="s">
        <v>2099</v>
      </c>
      <c r="L67" s="12" t="s">
        <v>2108</v>
      </c>
    </row>
    <row r="68" customFormat="false" ht="15" hidden="false" customHeight="true" outlineLevel="0" collapsed="false">
      <c r="A68" s="12" t="s">
        <v>2173</v>
      </c>
      <c r="B68" s="14" t="n">
        <v>45843</v>
      </c>
      <c r="C68" s="13" t="s">
        <v>448</v>
      </c>
      <c r="D68" s="15" t="str">
        <f aca="false">IFERROR(INDEX(Dim_Employee!$B$2:$B$76,MATCH(C68,Dim_Employee!$A$2:$A$76,0)),"")</f>
        <v>Bola Bakare</v>
      </c>
      <c r="E68" s="12" t="s">
        <v>97</v>
      </c>
      <c r="F68" s="12" t="s">
        <v>2084</v>
      </c>
      <c r="G68" s="12" t="s">
        <v>2085</v>
      </c>
      <c r="H68" s="12" t="n">
        <v>5</v>
      </c>
      <c r="I68" s="12" t="n">
        <v>3</v>
      </c>
      <c r="J68" s="15" t="n">
        <f aca="false">H68*I68</f>
        <v>15</v>
      </c>
      <c r="K68" s="12" t="s">
        <v>2086</v>
      </c>
      <c r="L68" s="12" t="s">
        <v>2108</v>
      </c>
    </row>
    <row r="69" customFormat="false" ht="15" hidden="false" customHeight="true" outlineLevel="0" collapsed="false">
      <c r="A69" s="12" t="s">
        <v>2174</v>
      </c>
      <c r="B69" s="14" t="n">
        <v>45690</v>
      </c>
      <c r="C69" s="13" t="s">
        <v>453</v>
      </c>
      <c r="D69" s="15" t="str">
        <f aca="false">IFERROR(INDEX(Dim_Employee!$B$2:$B$76,MATCH(C69,Dim_Employee!$A$2:$A$76,0)),"")</f>
        <v>Tobi Adebayo</v>
      </c>
      <c r="E69" s="12" t="s">
        <v>115</v>
      </c>
      <c r="F69" s="12" t="s">
        <v>2090</v>
      </c>
      <c r="G69" s="12" t="s">
        <v>2102</v>
      </c>
      <c r="H69" s="12" t="n">
        <v>3</v>
      </c>
      <c r="I69" s="12" t="n">
        <v>1</v>
      </c>
      <c r="J69" s="15" t="n">
        <f aca="false">H69*I69</f>
        <v>3</v>
      </c>
      <c r="K69" s="12" t="s">
        <v>2103</v>
      </c>
      <c r="L69" s="12" t="s">
        <v>739</v>
      </c>
    </row>
    <row r="70" customFormat="false" ht="15" hidden="false" customHeight="true" outlineLevel="0" collapsed="false">
      <c r="A70" s="12" t="s">
        <v>2175</v>
      </c>
      <c r="B70" s="14" t="n">
        <v>46010</v>
      </c>
      <c r="C70" s="13" t="s">
        <v>453</v>
      </c>
      <c r="D70" s="15" t="str">
        <f aca="false">IFERROR(INDEX(Dim_Employee!$B$2:$B$76,MATCH(C70,Dim_Employee!$A$2:$A$76,0)),"")</f>
        <v>Tobi Adebayo</v>
      </c>
      <c r="E70" s="12" t="s">
        <v>97</v>
      </c>
      <c r="F70" s="12" t="s">
        <v>2088</v>
      </c>
      <c r="G70" s="12" t="s">
        <v>2113</v>
      </c>
      <c r="H70" s="12" t="n">
        <v>5</v>
      </c>
      <c r="I70" s="12" t="n">
        <v>3</v>
      </c>
      <c r="J70" s="15" t="n">
        <f aca="false">H70*I70</f>
        <v>15</v>
      </c>
      <c r="K70" s="12" t="s">
        <v>2114</v>
      </c>
      <c r="L70" s="12" t="s">
        <v>2108</v>
      </c>
    </row>
    <row r="71" customFormat="false" ht="15" hidden="false" customHeight="true" outlineLevel="0" collapsed="false">
      <c r="A71" s="12" t="s">
        <v>2176</v>
      </c>
      <c r="B71" s="14" t="n">
        <v>45718</v>
      </c>
      <c r="C71" s="13" t="s">
        <v>463</v>
      </c>
      <c r="D71" s="15" t="str">
        <f aca="false">IFERROR(INDEX(Dim_Employee!$B$2:$B$76,MATCH(C71,Dim_Employee!$A$2:$A$76,0)),"")</f>
        <v>Tobi Danjuma</v>
      </c>
      <c r="E71" s="12" t="s">
        <v>115</v>
      </c>
      <c r="F71" s="12" t="s">
        <v>2088</v>
      </c>
      <c r="G71" s="12" t="s">
        <v>2098</v>
      </c>
      <c r="H71" s="12" t="n">
        <v>2</v>
      </c>
      <c r="I71" s="12" t="n">
        <v>5</v>
      </c>
      <c r="J71" s="15" t="n">
        <f aca="false">H71*I71</f>
        <v>10</v>
      </c>
      <c r="K71" s="12" t="s">
        <v>2099</v>
      </c>
      <c r="L71" s="12" t="s">
        <v>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2026-07-28T13:18:46Z</dcterms:created>
  <dc:creator>openpyxl</dc:creator>
  <dc:description/>
  <dc:language>en-US</dc:language>
  <cp:lastModifiedBy/>
  <dcterms:modified xsi:type="dcterms:W3CDTF">2026-07-28T18:47:08Z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