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Q&amp;A Bank" sheetId="2" state="visible" r:id="rId4"/>
    <sheet name="Live Formula Demo" sheetId="3" state="visible" r:id="rId5"/>
    <sheet name="Quiz (Self-Test)" sheetId="4" state="visible" r:id="rId6"/>
    <sheet name="Answer Key" sheetId="5" state="visible" r:id="rId7"/>
  </sheets>
  <definedNames>
    <definedName function="false" hidden="true" localSheetId="1" name="_xlnm._FilterDatabase" vbProcedure="false">'Q&amp;A Bank'!$A$1:$F$113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<sst xmlns="http://schemas.openxmlformats.org/spreadsheetml/2006/main" count="883" uniqueCount="484">
  <si>
    <t xml:space="preserve">Microsoft Excel Functions</t>
  </si>
  <si>
    <t xml:space="preserve">Comprehensive Questions &amp; Answers Workbook</t>
  </si>
  <si>
    <t xml:space="preserve">Prepared for training and self-study use</t>
  </si>
  <si>
    <t xml:space="preserve">What this workbook contains:</t>
  </si>
  <si>
    <t xml:space="preserve">1. Q&amp;A Bank - Over 140 interview-style and study questions on Excel functions,</t>
  </si>
  <si>
    <t xml:space="preserve">     organized by category, with difficulty ratings and full answers.</t>
  </si>
  <si>
    <t xml:space="preserve">2. Live Formula Demo - A working sample dataset with real, calculating formulas</t>
  </si>
  <si>
    <t xml:space="preserve">     for the most important functions, so you can see exactly how each one behaves.</t>
  </si>
  <si>
    <t xml:space="preserve">3. Quiz (Self-Test) - A shuffled practice sheet where you write your own answer</t>
  </si>
  <si>
    <t xml:space="preserve">     before checking the key, useful for exam or interview preparation.</t>
  </si>
  <si>
    <t xml:space="preserve">4. Answer Key - The scoring reference for the Quiz sheet.</t>
  </si>
  <si>
    <t xml:space="preserve">How to use it:</t>
  </si>
  <si>
    <t xml:space="preserve">  - Study the Q&amp;A Bank sheet by category, or filter by Difficulty (use the</t>
  </si>
  <si>
    <t xml:space="preserve">    AutoFilter arrows on the header row).</t>
  </si>
  <si>
    <t xml:space="preserve">  - Open the Live Formula Demo sheet and click on any formula cell to see the</t>
  </si>
  <si>
    <t xml:space="preserve">    actual formula in the formula bar, then compare it with its result.</t>
  </si>
  <si>
    <t xml:space="preserve">  - Use the Quiz sheet to test yourself, then check the Answer Key.</t>
  </si>
  <si>
    <t xml:space="preserve">Categories covered:</t>
  </si>
  <si>
    <t xml:space="preserve">  Math &amp; Trig | Statistical | Logical | Text | Date &amp; Time |</t>
  </si>
  <si>
    <t xml:space="preserve">  Lookup &amp; Reference | Financial | Information &amp; Error-Handling | Database &amp; Array/Misc</t>
  </si>
  <si>
    <t xml:space="preserve">No</t>
  </si>
  <si>
    <t xml:space="preserve">Category</t>
  </si>
  <si>
    <t xml:space="preserve">Function(s)</t>
  </si>
  <si>
    <t xml:space="preserve">Difficulty</t>
  </si>
  <si>
    <t xml:space="preserve">Question</t>
  </si>
  <si>
    <t xml:space="preserve">Answer</t>
  </si>
  <si>
    <t xml:space="preserve">Math &amp; Trig</t>
  </si>
  <si>
    <t xml:space="preserve">SUM</t>
  </si>
  <si>
    <t xml:space="preserve">Basic</t>
  </si>
  <si>
    <t xml:space="preserve">What does the SUM function do?</t>
  </si>
  <si>
    <t xml:space="preserve">SUM adds up all the numbers in a range or list of arguments. Example: =SUM(A1:A10) adds every value from A1 through A10.</t>
  </si>
  <si>
    <t xml:space="preserve">Can SUM handle non-contiguous ranges?</t>
  </si>
  <si>
    <t xml:space="preserve">Yes. You can add multiple ranges or cells separated by commas, e.g. =SUM(A1:A5,C1:C5,10).</t>
  </si>
  <si>
    <t xml:space="preserve">SUMIF</t>
  </si>
  <si>
    <t xml:space="preserve">Intermediate</t>
  </si>
  <si>
    <t xml:space="preserve">What is the difference between SUM and SUMIF?</t>
  </si>
  <si>
    <t xml:space="preserve">SUM totals every value in a range unconditionally. SUMIF totals only the values that meet one condition, e.g. =SUMIF(B2:B10,"East",C2:C10) sums column C where column B equals East.</t>
  </si>
  <si>
    <t xml:space="preserve">SUMIFS</t>
  </si>
  <si>
    <t xml:space="preserve">How does SUMIFS differ from SUMIF?</t>
  </si>
  <si>
    <t xml:space="preserve">SUMIFS supports multiple conditions across multiple ranges, while SUMIF supports only a single condition. Syntax: =SUMIFS(sum_range,criteria_range1,criteria1,criteria_range2,criteria2,...).</t>
  </si>
  <si>
    <t xml:space="preserve">SUMPRODUCT</t>
  </si>
  <si>
    <t xml:space="preserve">Advanced</t>
  </si>
  <si>
    <t xml:space="preserve">What does SUMPRODUCT do and when is it useful?</t>
  </si>
  <si>
    <t xml:space="preserve">SUMPRODUCT multiplies corresponding array elements together and returns the sum of those products, e.g. =SUMPRODUCT(A2:A10,B2:B10) sums quantity*price pairs. It is also used to build multi-condition counts and sums without array-entering formulas.</t>
  </si>
  <si>
    <t xml:space="preserve">PRODUCT</t>
  </si>
  <si>
    <t xml:space="preserve">What does the PRODUCT function return?</t>
  </si>
  <si>
    <t xml:space="preserve">PRODUCT multiplies all the numbers supplied to it together. =PRODUCT(A1:A3) is equivalent to A1*A2*A3.</t>
  </si>
  <si>
    <t xml:space="preserve">ROUND</t>
  </si>
  <si>
    <t xml:space="preserve">How does ROUND work?</t>
  </si>
  <si>
    <t xml:space="preserve">ROUND rounds a number to a specified number of digits. =ROUND(23.456,2) returns 23.46. A negative number of digits rounds to the left of the decimal point, e.g. =ROUND(1250,-2) returns 1300.</t>
  </si>
  <si>
    <t xml:space="preserve">ROUNDUP / ROUNDDOWN</t>
  </si>
  <si>
    <t xml:space="preserve">What is the difference between ROUND, ROUNDUP and ROUNDDOWN?</t>
  </si>
  <si>
    <t xml:space="preserve">ROUND rounds to the nearest value based on standard rounding rules. ROUNDUP always rounds away from zero regardless of the digit that follows, and ROUNDDOWN always rounds toward zero (truncates), e.g. =ROUNDUP(4.12,1) returns 4.2 while =ROUNDDOWN(4.19,1) returns 4.1.</t>
  </si>
  <si>
    <t xml:space="preserve">ABS</t>
  </si>
  <si>
    <t xml:space="preserve">What does ABS do?</t>
  </si>
  <si>
    <t xml:space="preserve">ABS returns the absolute (non-negative) value of a number, removing its sign. =ABS(-15) returns 15.</t>
  </si>
  <si>
    <t xml:space="preserve">SQRT / POWER</t>
  </si>
  <si>
    <t xml:space="preserve">How do you calculate a square root and raise a number to a power in Excel?</t>
  </si>
  <si>
    <t xml:space="preserve">SQRT returns a square root, e.g. =SQRT(81) returns 9. POWER raises a number to any exponent, e.g. =POWER(2,5) returns 32; the caret operator (2^5) does the same thing.</t>
  </si>
  <si>
    <t xml:space="preserve">MOD</t>
  </si>
  <si>
    <t xml:space="preserve">What does the MOD function calculate?</t>
  </si>
  <si>
    <t xml:space="preserve">MOD returns the remainder after dividing one number by another. =MOD(10,3) returns 1. It is commonly used to test whether a number is even or odd, e.g. =MOD(A1,2)=0.</t>
  </si>
  <si>
    <t xml:space="preserve">INT vs TRUNC</t>
  </si>
  <si>
    <t xml:space="preserve">What is the difference between INT and TRUNC?</t>
  </si>
  <si>
    <t xml:space="preserve">INT rounds a number down to the nearest integer, always moving toward negative infinity, e.g. =INT(-4.7) returns -5. TRUNC simply removes the decimal portion without rounding, so =TRUNC(-4.7) returns -4.</t>
  </si>
  <si>
    <t xml:space="preserve">CEILING / FLOOR</t>
  </si>
  <si>
    <t xml:space="preserve">What do CEILING and FLOOR do?</t>
  </si>
  <si>
    <t xml:space="preserve">CEILING.MATH rounds a number up to the nearest multiple of a given significance, and FLOOR.MATH rounds it down. For example, =CEILING.MATH(23,5) returns 25, and =FLOOR.MATH(23,5) returns 20. They are useful for rounding prices or quantities to fixed increments.</t>
  </si>
  <si>
    <t xml:space="preserve">RAND / RANDBETWEEN</t>
  </si>
  <si>
    <t xml:space="preserve">How do you generate random numbers in Excel?</t>
  </si>
  <si>
    <t xml:space="preserve">RAND() returns a random decimal between 0 and 1, and recalculates every time the sheet changes. RANDBETWEEN(bottom,top) returns a random whole number within a range, e.g. =RANDBETWEEN(1,100).</t>
  </si>
  <si>
    <t xml:space="preserve">SIGN</t>
  </si>
  <si>
    <t xml:space="preserve">What does the SIGN function return?</t>
  </si>
  <si>
    <t xml:space="preserve">SIGN returns 1 if a number is positive, -1 if it is negative, and 0 if it is zero, which is useful for flagging direction of change.</t>
  </si>
  <si>
    <t xml:space="preserve">SUMSQ</t>
  </si>
  <si>
    <t xml:space="preserve">What does SUMSQ do?</t>
  </si>
  <si>
    <t xml:space="preserve">SUMSQ returns the sum of the squares of the supplied numbers, e.g. =SUMSQ(3,4) returns 25 (9+16). It is used in statistics such as calculating sums of squared deviations.</t>
  </si>
  <si>
    <t xml:space="preserve">QUOTIENT</t>
  </si>
  <si>
    <t xml:space="preserve">How does QUOTIENT differ from normal division?</t>
  </si>
  <si>
    <t xml:space="preserve">QUOTIENT returns only the integer portion of a division, discarding the remainder, e.g. =QUOTIENT(17,5) returns 3, whereas 17/5 returns 3.4.</t>
  </si>
  <si>
    <t xml:space="preserve">Statistical</t>
  </si>
  <si>
    <t xml:space="preserve">COUNT</t>
  </si>
  <si>
    <t xml:space="preserve">What does COUNT do, and how is it different from COUNTA?</t>
  </si>
  <si>
    <t xml:space="preserve">COUNT counts only the cells in a range that contain numeric values. COUNTA counts every non-blank cell, whether it contains numbers, text, or logical values.</t>
  </si>
  <si>
    <t xml:space="preserve">COUNTBLANK</t>
  </si>
  <si>
    <t xml:space="preserve">What does COUNTBLANK count?</t>
  </si>
  <si>
    <t xml:space="preserve">COUNTBLANK counts the number of empty cells within a specified range, which is useful for spotting missing data.</t>
  </si>
  <si>
    <t xml:space="preserve">COUNTIF</t>
  </si>
  <si>
    <t xml:space="preserve">How do you count cells that meet a single condition?</t>
  </si>
  <si>
    <t xml:space="preserve">Use COUNTIF, e.g. =COUNTIF(A2:A20,"Lagos") counts how many cells in the range equal Lagos. Wildcards and comparison operators are also supported, e.g. =COUNTIF(B2:B20,"&gt;100").</t>
  </si>
  <si>
    <t xml:space="preserve">COUNTIFS</t>
  </si>
  <si>
    <t xml:space="preserve">How do you count records that satisfy several conditions at once?</t>
  </si>
  <si>
    <t xml:space="preserve">Use COUNTIFS with paired range/criteria arguments, e.g. =COUNTIFS(B2:B20,"East",C2:C20,"&gt;1000") counts rows where region is East and sales exceed 1000.</t>
  </si>
  <si>
    <t xml:space="preserve">AVERAGEIF / AVERAGEIFS</t>
  </si>
  <si>
    <t xml:space="preserve">How do you average values that meet a condition?</t>
  </si>
  <si>
    <t xml:space="preserve">AVERAGEIF averages a range based on one condition, e.g. =AVERAGEIF(B2:B20,"East",C2:C20). AVERAGEIFS extends this to multiple conditions, following the same argument order as SUMIFS.</t>
  </si>
  <si>
    <t xml:space="preserve">MAX / MIN</t>
  </si>
  <si>
    <t xml:space="preserve">What do MAX and MIN return?</t>
  </si>
  <si>
    <t xml:space="preserve">MAX returns the largest value in a range or set of arguments, and MIN returns the smallest. Both ignore text and empty cells, e.g. =MAX(A2:A10).</t>
  </si>
  <si>
    <t xml:space="preserve">MAXIFS / MINIFS</t>
  </si>
  <si>
    <t xml:space="preserve">How do you find the highest value that meets a condition?</t>
  </si>
  <si>
    <t xml:space="preserve">MAXIFS and MINIFS return the maximum or minimum value within a range subject to one or more criteria, e.g. =MAXIFS(C2:C20,B2:B20,"East") finds the highest sales figure for the East region.</t>
  </si>
  <si>
    <t xml:space="preserve">MEDIAN</t>
  </si>
  <si>
    <t xml:space="preserve">What does MEDIAN calculate and why use it instead of AVERAGE?</t>
  </si>
  <si>
    <t xml:space="preserve">MEDIAN returns the middle value of a data set when sorted. It is less sensitive to outliers than AVERAGE, so it can better represent a typical value in skewed data such as salaries.</t>
  </si>
  <si>
    <t xml:space="preserve">MODE.SNGL</t>
  </si>
  <si>
    <t xml:space="preserve">What does MODE.SNGL return?</t>
  </si>
  <si>
    <t xml:space="preserve">MODE.SNGL returns the most frequently occurring value in a data set. If several values tie for most frequent, it returns the first one encountered.</t>
  </si>
  <si>
    <t xml:space="preserve">STDEV.S vs STDEV.P</t>
  </si>
  <si>
    <t xml:space="preserve">What is the difference between STDEV.S and STDEV.P?</t>
  </si>
  <si>
    <t xml:space="preserve">STDEV.S estimates standard deviation based on a sample of the population (divides by n-1), while STDEV.P calculates it for an entire population (divides by n). Use STDEV.S when your data is a sample, and STDEV.P when it is the complete population.</t>
  </si>
  <si>
    <t xml:space="preserve">VAR.S / VAR.P</t>
  </si>
  <si>
    <t xml:space="preserve">What do VAR.S and VAR.P measure?</t>
  </si>
  <si>
    <t xml:space="preserve">They measure variance, the average of squared deviations from the mean, for a sample (VAR.S) or an entire population (VAR.P). Standard deviation is simply the square root of variance.</t>
  </si>
  <si>
    <t xml:space="preserve">RANK.EQ</t>
  </si>
  <si>
    <t xml:space="preserve">How do you rank a value within a list?</t>
  </si>
  <si>
    <t xml:space="preserve">RANK.EQ(number,ref,[order]) returns the rank of a number within a list. By default it ranks in descending order (largest = rank 1); use order=1 to rank ascending. Tied values receive the same rank.</t>
  </si>
  <si>
    <t xml:space="preserve">LARGE / SMALL</t>
  </si>
  <si>
    <t xml:space="preserve">What do LARGE and SMALL do?</t>
  </si>
  <si>
    <t xml:space="preserve">LARGE(range,k) returns the k-th largest value in a range, and SMALL(range,k) returns the k-th smallest, e.g. =LARGE(A2:A20,2) returns the second-highest value.</t>
  </si>
  <si>
    <t xml:space="preserve">PERCENTILE / QUARTILE</t>
  </si>
  <si>
    <t xml:space="preserve">What do PERCENTILE.INC and QUARTILE.INC calculate?</t>
  </si>
  <si>
    <t xml:space="preserve">PERCENTILE.INC returns the value below which a given percentage of the data falls, e.g. =PERCENTILE.INC(A2:A50,0.9) returns the 90th percentile. QUARTILE.INC returns specific percentiles (0=min, 1=25th, 2=median, 3=75th, 4=max).</t>
  </si>
  <si>
    <t xml:space="preserve">COUNTUNIQUE (concept)</t>
  </si>
  <si>
    <t xml:space="preserve">How can you count unique values in a range without a dedicated function?</t>
  </si>
  <si>
    <t xml:space="preserve">A common approach is =SUMPRODUCT(1/COUNTIF(range,range)), which weights each value by the reciprocal of how many times it appears so duplicates only contribute once. Newer Excel versions can also do this simply with UNIQUE combined with COUNTA.</t>
  </si>
  <si>
    <t xml:space="preserve">FREQUENCY</t>
  </si>
  <si>
    <t xml:space="preserve">What does the FREQUENCY function do?</t>
  </si>
  <si>
    <t xml:space="preserve">FREQUENCY calculates how many values fall within specified bins and returns the result as an array, commonly used to build histograms, e.g. =FREQUENCY(A2:A50,B2:B6) entered as an array formula.</t>
  </si>
  <si>
    <t xml:space="preserve">Logical</t>
  </si>
  <si>
    <t xml:space="preserve">IF</t>
  </si>
  <si>
    <t xml:space="preserve">What is the syntax of the IF function and what does it do?</t>
  </si>
  <si>
    <t xml:space="preserve">IF(logical_test, value_if_true, value_if_false) evaluates a condition and returns one value if it is true and another if it is false, e.g. =IF(B2&gt;=50,"Pass","Fail").</t>
  </si>
  <si>
    <t xml:space="preserve">Nested IF</t>
  </si>
  <si>
    <t xml:space="preserve">How do you build a nested IF to handle more than two outcomes?</t>
  </si>
  <si>
    <t xml:space="preserve">Chain additional IF functions inside the value_if_false argument, e.g. =IF(A1&gt;=80,"A",IF(A1&gt;=70,"B",IF(A1&gt;=60,"C","F"))). Each condition is checked in order until one is true.</t>
  </si>
  <si>
    <t xml:space="preserve">AND</t>
  </si>
  <si>
    <t xml:space="preserve">What does the AND function do?</t>
  </si>
  <si>
    <t xml:space="preserve">AND returns TRUE only if every condition supplied to it is true, and FALSE if any one of them is false, e.g. =AND(B2&gt;50,C2="Yes").</t>
  </si>
  <si>
    <t xml:space="preserve">OR</t>
  </si>
  <si>
    <t xml:space="preserve">What does the OR function do?</t>
  </si>
  <si>
    <t xml:space="preserve">OR returns TRUE if at least one of the supplied conditions is true, and FALSE only when all of them are false, e.g. =OR(B2="Lagos",B2="Abuja").</t>
  </si>
  <si>
    <t xml:space="preserve">NOT</t>
  </si>
  <si>
    <t xml:space="preserve">What does NOT do?</t>
  </si>
  <si>
    <t xml:space="preserve">NOT reverses the logical value of its argument, turning TRUE into FALSE and vice versa, e.g. =NOT(B2="Closed") returns TRUE when B2 is anything other than Closed.</t>
  </si>
  <si>
    <t xml:space="preserve">IFERROR</t>
  </si>
  <si>
    <t xml:space="preserve">What problem does IFERROR solve?</t>
  </si>
  <si>
    <t xml:space="preserve">IFERROR(value, value_if_error) evaluates a formula and returns a fallback value if that formula produces any error such as #DIV/0! or #N/A, otherwise it returns the formula's normal result, e.g. =IFERROR(A2/B2,"N/A").</t>
  </si>
  <si>
    <t xml:space="preserve">IFNA</t>
  </si>
  <si>
    <t xml:space="preserve">How is IFNA different from IFERROR?</t>
  </si>
  <si>
    <t xml:space="preserve">IFNA only catches the #N/A error specifically, letting other error types (like #DIV/0! or #VALUE!) still display, whereas IFERROR suppresses every error type.</t>
  </si>
  <si>
    <t xml:space="preserve">IFS</t>
  </si>
  <si>
    <t xml:space="preserve">What advantage does IFS have over nested IF statements?</t>
  </si>
  <si>
    <t xml:space="preserve">IFS evaluates a series of conditions in order and returns the result for the first one that is true, without the deeply nested parentheses a chain of IFs requires, e.g. =IFS(A1&gt;=80,"A",A1&gt;=70,"B",A1&gt;=60,"C",TRUE,"F").</t>
  </si>
  <si>
    <t xml:space="preserve">SWITCH</t>
  </si>
  <si>
    <t xml:space="preserve">When would you use SWITCH instead of IFS?</t>
  </si>
  <si>
    <t xml:space="preserve">SWITCH compares one expression against a list of possible values and returns a matching result, which is cleaner than IFS when you are checking a single value against several exact matches, e.g. =SWITCH(B2,1,"Mon",2,"Tue",3,"Wed","Unknown").</t>
  </si>
  <si>
    <t xml:space="preserve">XOR</t>
  </si>
  <si>
    <t xml:space="preserve">What does the XOR function do?</t>
  </si>
  <si>
    <t xml:space="preserve">XOR returns TRUE if an odd number of the supplied conditions are true, and FALSE otherwise. With two arguments, it is TRUE only when exactly one of them is true.</t>
  </si>
  <si>
    <t xml:space="preserve">TRUE / FALSE</t>
  </si>
  <si>
    <t xml:space="preserve">What do the TRUE() and FALSE() functions return?</t>
  </si>
  <si>
    <t xml:space="preserve">They simply return the logical values TRUE and FALSE. They are rarely needed directly since typing TRUE or FALSE in a formula works the same way.</t>
  </si>
  <si>
    <t xml:space="preserve">IF with AND/OR</t>
  </si>
  <si>
    <t xml:space="preserve">How do you combine IF with AND or OR to test multiple conditions?</t>
  </si>
  <si>
    <t xml:space="preserve">Nest AND or OR inside the IF's logical_test argument, e.g. =IF(AND(B2&gt;=50,C2="Yes"),"Approved","Rejected") approves only when both conditions are met.</t>
  </si>
  <si>
    <t xml:space="preserve">Text</t>
  </si>
  <si>
    <t xml:space="preserve">CONCATENATE / CONCAT / &amp;</t>
  </si>
  <si>
    <t xml:space="preserve">What are the ways to join text strings in Excel?</t>
  </si>
  <si>
    <t xml:space="preserve">You can use the &amp; operator (e.g. =A2&amp;" "&amp;B2), the CONCATENATE function (e.g. =CONCATENATE(A2," ",B2)), or the newer CONCAT function which also accepts ranges. CONCATENATE is considered legacy but still works.</t>
  </si>
  <si>
    <t xml:space="preserve">TEXTJOIN</t>
  </si>
  <si>
    <t xml:space="preserve">What does TEXTJOIN do that CONCATENATE cannot?</t>
  </si>
  <si>
    <t xml:space="preserve">TEXTJOIN lets you specify a delimiter once and combine a whole range at a time, and it can optionally ignore empty cells, e.g. =TEXTJOIN(", ",TRUE,A2:A10) joins every non-blank cell in the range separated by commas.</t>
  </si>
  <si>
    <t xml:space="preserve">LEFT / RIGHT / MID</t>
  </si>
  <si>
    <t xml:space="preserve">How do LEFT, RIGHT and MID extract text?</t>
  </si>
  <si>
    <t xml:space="preserve">LEFT(text,n) returns the first n characters from the left, RIGHT(text,n) returns the last n characters, and MID(text,start,n) returns n characters beginning at a specified position, e.g. =MID("Prodigy",2,3) returns rod.</t>
  </si>
  <si>
    <t xml:space="preserve">LEN</t>
  </si>
  <si>
    <t xml:space="preserve">What does LEN return?</t>
  </si>
  <si>
    <t xml:space="preserve">LEN returns the number of characters in a text string, including spaces, e.g. =LEN("Excel") returns 5.</t>
  </si>
  <si>
    <t xml:space="preserve">FIND vs SEARCH</t>
  </si>
  <si>
    <t xml:space="preserve">What is the difference between FIND and SEARCH?</t>
  </si>
  <si>
    <t xml:space="preserve">FIND is case-sensitive and does not support wildcards; SEARCH is case-insensitive and does support wildcards (* and ?). Both return the starting position of one text string within another.</t>
  </si>
  <si>
    <t xml:space="preserve">SUBSTITUTE vs REPLACE</t>
  </si>
  <si>
    <t xml:space="preserve">How do SUBSTITUTE and REPLACE differ?</t>
  </si>
  <si>
    <t xml:space="preserve">SUBSTITUTE replaces specific text you know, based on matching characters, e.g. =SUBSTITUTE(A2,"Ltd","Limited"). REPLACE replaces characters based on a known starting position and length, e.g. =REPLACE(A2,1,3,"New").</t>
  </si>
  <si>
    <t xml:space="preserve">TRIM</t>
  </si>
  <si>
    <t xml:space="preserve">What does TRIM do?</t>
  </si>
  <si>
    <t xml:space="preserve">TRIM removes extra spaces from text, leaving single spaces between words and no leading or trailing spaces, which is useful for cleaning data imported from other systems.</t>
  </si>
  <si>
    <t xml:space="preserve">UPPER / LOWER / PROPER</t>
  </si>
  <si>
    <t xml:space="preserve">What do UPPER, LOWER and PROPER do?</t>
  </si>
  <si>
    <t xml:space="preserve">UPPER converts text to all capital letters, LOWER converts it to all lowercase, and PROPER capitalizes the first letter of each word, e.g. =PROPER("john doe") returns John Doe.</t>
  </si>
  <si>
    <t xml:space="preserve">TEXT function</t>
  </si>
  <si>
    <t xml:space="preserve">What does the TEXT function do and give an example?</t>
  </si>
  <si>
    <t xml:space="preserve">TEXT converts a number into text using a specified number format, e.g. =TEXT(1234.5,"#,##0.00") returns "1,234.50", and =TEXT(TODAY(),"dd-mmm-yyyy") formats a date as text. It is often used to embed formatted numbers inside a concatenated string.</t>
  </si>
  <si>
    <t xml:space="preserve">VALUE</t>
  </si>
  <si>
    <t xml:space="preserve">What does VALUE do?</t>
  </si>
  <si>
    <t xml:space="preserve">VALUE converts a text string that represents a number into an actual numeric value, e.g. =VALUE("250") returns the number 250, which can then be used in calculations.</t>
  </si>
  <si>
    <t xml:space="preserve">REPT</t>
  </si>
  <si>
    <t xml:space="preserve">What does REPT do?</t>
  </si>
  <si>
    <t xml:space="preserve">REPT repeats a text string a specified number of times, e.g. =REPT("*",5) returns *****. It is sometimes used to build simple in-cell bar charts.</t>
  </si>
  <si>
    <t xml:space="preserve">EXACT</t>
  </si>
  <si>
    <t xml:space="preserve">How does EXACT differ from using the = operator to compare text?</t>
  </si>
  <si>
    <t xml:space="preserve">EXACT performs a case-sensitive comparison and returns TRUE only if two strings match exactly, including letter case, whereas the = operator performs a case-insensitive comparison.</t>
  </si>
  <si>
    <t xml:space="preserve">TEXTSPLIT / delimiting (concept)</t>
  </si>
  <si>
    <t xml:space="preserve">Before dynamic array functions, how would you split a full name into first and last name?</t>
  </si>
  <si>
    <t xml:space="preserve">A common approach combines LEFT/RIGHT/MID with FIND, e.g. =LEFT(A2,FIND(" ",A2)-1) extracts the first name, and =RIGHT(A2,LEN(A2)-FIND(" ",A2)) extracts the last name, locating the space character as the split point.</t>
  </si>
  <si>
    <t xml:space="preserve">CLEAN</t>
  </si>
  <si>
    <t xml:space="preserve">What does the CLEAN function do?</t>
  </si>
  <si>
    <t xml:space="preserve">CLEAN removes non-printable characters from text, such as line breaks pasted in from other systems, which TRIM alone cannot remove.</t>
  </si>
  <si>
    <t xml:space="preserve">Date &amp; Time</t>
  </si>
  <si>
    <t xml:space="preserve">TODAY / NOW</t>
  </si>
  <si>
    <t xml:space="preserve">What is the difference between TODAY() and NOW()?</t>
  </si>
  <si>
    <t xml:space="preserve">TODAY() returns the current date with no time component, while NOW() returns the current date and time. Both update automatically whenever the workbook recalculates.</t>
  </si>
  <si>
    <t xml:space="preserve">DATE</t>
  </si>
  <si>
    <t xml:space="preserve">What does the DATE function do?</t>
  </si>
  <si>
    <t xml:space="preserve">DATE(year,month,day) builds a proper date value from three separate numbers, e.g. =DATE(2026,8,27) returns 27-Aug-2026. It is especially useful for assembling dates from separate columns.</t>
  </si>
  <si>
    <t xml:space="preserve">YEAR / MONTH / DAY</t>
  </si>
  <si>
    <t xml:space="preserve">How do you extract the year, month, or day from a date?</t>
  </si>
  <si>
    <t xml:space="preserve">YEAR(date), MONTH(date), and DAY(date) each pull out the corresponding numeric component, e.g. =MONTH(A2) returns 8 for any date in August.</t>
  </si>
  <si>
    <t xml:space="preserve">WEEKDAY</t>
  </si>
  <si>
    <t xml:space="preserve">What does WEEKDAY return?</t>
  </si>
  <si>
    <t xml:space="preserve">WEEKDAY returns a number representing the day of the week for a given date. With the default return type, 1 = Sunday through 7 = Saturday; other return-type arguments change the numbering scheme.</t>
  </si>
  <si>
    <t xml:space="preserve">DATEDIF</t>
  </si>
  <si>
    <t xml:space="preserve">What does DATEDIF calculate and what are its common unit codes?</t>
  </si>
  <si>
    <t xml:space="preserve">DATEDIF(start_date,end_date,unit) calculates the difference between two dates. Common units are "Y" for complete years, "M" for complete months, and "D" for total days, e.g. =DATEDIF(A2,TODAY(),"Y") gives someone's age in complete years.</t>
  </si>
  <si>
    <t xml:space="preserve">EDATE</t>
  </si>
  <si>
    <t xml:space="preserve">What does EDATE do?</t>
  </si>
  <si>
    <t xml:space="preserve">EDATE returns a date that is a specified number of months before or after a start date, e.g. =EDATE(A2,3) adds three months to the date in A2, and a negative number subtracts months.</t>
  </si>
  <si>
    <t xml:space="preserve">EOMONTH</t>
  </si>
  <si>
    <t xml:space="preserve">What does EOMONTH return?</t>
  </si>
  <si>
    <t xml:space="preserve">EOMONTH returns the last day of the month that is a specified number of months before or after a start date, e.g. =EOMONTH(A2,0) returns the last day of the current month, and =EOMONTH(A2,1) returns the last day of next month.</t>
  </si>
  <si>
    <t xml:space="preserve">NETWORKDAYS</t>
  </si>
  <si>
    <t xml:space="preserve">What does NETWORKDAYS calculate?</t>
  </si>
  <si>
    <t xml:space="preserve">NETWORKDAYS returns the number of whole working days between two dates, automatically excluding weekends and, optionally, a list of holiday dates, e.g. =NETWORKDAYS(A2,B2,HolidayList).</t>
  </si>
  <si>
    <t xml:space="preserve">WORKDAY</t>
  </si>
  <si>
    <t xml:space="preserve">What does WORKDAY do?</t>
  </si>
  <si>
    <t xml:space="preserve">WORKDAY returns a date that is a specified number of working days before or after a start date, skipping weekends and optional holidays, e.g. =WORKDAY(A2,10) finds the date 10 working days after A2.</t>
  </si>
  <si>
    <t xml:space="preserve">TIME / HOUR / MINUTE / SECOND</t>
  </si>
  <si>
    <t xml:space="preserve">How do you build and break down time values in Excel?</t>
  </si>
  <si>
    <t xml:space="preserve">TIME(hour,minute,second) assembles a time value. HOUR, MINUTE, and SECOND each extract that component from an existing time, e.g. =HOUR(A2) returns just the hour portion of a timestamp.</t>
  </si>
  <si>
    <t xml:space="preserve">DATEVALUE</t>
  </si>
  <si>
    <t xml:space="preserve">What does DATEVALUE do?</t>
  </si>
  <si>
    <t xml:space="preserve">DATEVALUE converts a date that is stored as text into a proper serial date value that Excel can calculate with, e.g. =DATEVALUE("27-Aug-2026").</t>
  </si>
  <si>
    <t xml:space="preserve">Excel date serial numbers</t>
  </si>
  <si>
    <t xml:space="preserve">Why can you subtract one date from another directly in Excel?</t>
  </si>
  <si>
    <t xml:space="preserve">Excel stores dates internally as sequential serial numbers, where day 1 is 1 January 1900. Because dates are really numbers, subtracting one date from another (e.g. =B2-A2) simply returns the number of days between them.</t>
  </si>
  <si>
    <t xml:space="preserve">Lookup &amp; Reference</t>
  </si>
  <si>
    <t xml:space="preserve">VLOOKUP</t>
  </si>
  <si>
    <t xml:space="preserve">What does VLOOKUP do and what is its syntax?</t>
  </si>
  <si>
    <t xml:space="preserve">VLOOKUP(lookup_value, table_array, col_index_num, [range_lookup]) searches for a value in the first column of a table and returns a value from a specified column in the same row, e.g. =VLOOKUP(A2,PriceList!A:C,3,FALSE) looks up an exact match.</t>
  </si>
  <si>
    <t xml:space="preserve">VLOOKUP exact vs approximate</t>
  </si>
  <si>
    <t xml:space="preserve">What is the difference between TRUE and FALSE in VLOOKUP's fourth argument?</t>
  </si>
  <si>
    <t xml:space="preserve">FALSE (or 0) forces an exact match and returns #N/A if none is found. TRUE (or omitted) allows an approximate match, which requires the first column to be sorted ascending and finds the largest value less than or equal to the lookup value, commonly used for tax brackets or grading scales.</t>
  </si>
  <si>
    <t xml:space="preserve">HLOOKUP</t>
  </si>
  <si>
    <t xml:space="preserve">How does HLOOKUP differ from VLOOKUP?</t>
  </si>
  <si>
    <t xml:space="preserve">HLOOKUP searches across the top row of a table and returns a value from a specified row number, whereas VLOOKUP searches down the first column and returns a value from a specified column. HLOOKUP is used when data is arranged horizontally.</t>
  </si>
  <si>
    <t xml:space="preserve">INDEX</t>
  </si>
  <si>
    <t xml:space="preserve">What does the INDEX function do?</t>
  </si>
  <si>
    <t xml:space="preserve">INDEX returns the value at a given row and column position within a range, e.g. =INDEX(A2:C20,5,2) returns the value in the 5th row, 2nd column of that range.</t>
  </si>
  <si>
    <t xml:space="preserve">MATCH</t>
  </si>
  <si>
    <t xml:space="preserve">What does the MATCH function do?</t>
  </si>
  <si>
    <t xml:space="preserve">MATCH returns the relative position of a value within a range, e.g. =MATCH("Lagos",A2:A20,0) returns the row position of Lagos within that range. The third argument 0 forces an exact match.</t>
  </si>
  <si>
    <t xml:space="preserve">INDEX + MATCH</t>
  </si>
  <si>
    <t xml:space="preserve">Why do many Excel users prefer INDEX and MATCH together over VLOOKUP?</t>
  </si>
  <si>
    <t xml:space="preserve">Combining them, e.g. =INDEX(C2:C20,MATCH(A2,B2:B20,0)), lets you look up a value in any column regardless of its position relative to the lookup column, unlike VLOOKUP which always searches the leftmost column. It is also generally faster on large data sets and less fragile when columns are inserted or deleted.</t>
  </si>
  <si>
    <t xml:space="preserve">CHOOSE</t>
  </si>
  <si>
    <t xml:space="preserve">What does the CHOOSE function do?</t>
  </si>
  <si>
    <t xml:space="preserve">CHOOSE(index_num, value1, value2, ...) returns one value from a list based on a position number, e.g. =CHOOSE(2,"Low","Medium","High") returns Medium.</t>
  </si>
  <si>
    <t xml:space="preserve">OFFSET</t>
  </si>
  <si>
    <t xml:space="preserve">What does OFFSET do and what is a common caution about it?</t>
  </si>
  <si>
    <t xml:space="preserve">OFFSET(reference,rows,cols,[height],[width]) returns a reference that is a specified number of rows and columns away from a starting cell, and can resize that reference too. It is powerful for building dynamic ranges but is a volatile function, meaning it recalculates on every worksheet change and can slow down large workbooks.</t>
  </si>
  <si>
    <t xml:space="preserve">INDIRECT</t>
  </si>
  <si>
    <t xml:space="preserve">What does INDIRECT do?</t>
  </si>
  <si>
    <t xml:space="preserve">INDIRECT converts a text string into an actual cell reference, e.g. =INDIRECT("A1") returns whatever is in cell A1, and =INDIRECT("'"&amp;B1&amp;"'!A1") can build a reference to a sheet named in cell B1. It is also volatile and should be used carefully in large workbooks.</t>
  </si>
  <si>
    <t xml:space="preserve">ROW / COLUMN</t>
  </si>
  <si>
    <t xml:space="preserve">What do ROW and COLUMN return?</t>
  </si>
  <si>
    <t xml:space="preserve">ROW() returns the row number of a reference, and COLUMN() returns its column number, e.g. =ROW(A5) returns 5. Used without an argument, each returns the position of the cell containing the formula itself.</t>
  </si>
  <si>
    <t xml:space="preserve">ROWS / COLUMNS</t>
  </si>
  <si>
    <t xml:space="preserve">What is the difference between ROW and ROWS, and COLUMN and COLUMNS?</t>
  </si>
  <si>
    <t xml:space="preserve">ROW and COLUMN return a single position number, while ROWS and COLUMNS count how many rows or columns are in a given range, e.g. =ROWS(A1:A10) returns 10.</t>
  </si>
  <si>
    <t xml:space="preserve">TRANSPOSE</t>
  </si>
  <si>
    <t xml:space="preserve">What does TRANSPOSE do?</t>
  </si>
  <si>
    <t xml:space="preserve">TRANSPOSE flips a range from rows to columns or columns to rows, e.g. converting a horizontal list into a vertical one. In older Excel versions it must be entered as an array formula across the destination range.</t>
  </si>
  <si>
    <t xml:space="preserve">XLOOKUP (concept)</t>
  </si>
  <si>
    <t xml:space="preserve">What advantages does XLOOKUP have over VLOOKUP, conceptually?</t>
  </si>
  <si>
    <t xml:space="preserve">XLOOKUP can look both left and right of the lookup column (not just rightward like VLOOKUP), defaults to an exact match instead of approximate, has a built-in if-not-found argument instead of requiring IFERROR, and does not break when columns are inserted or deleted between the lookup and return ranges.</t>
  </si>
  <si>
    <t xml:space="preserve">Named Ranges</t>
  </si>
  <si>
    <t xml:space="preserve">What is a named range and why use one?</t>
  </si>
  <si>
    <t xml:space="preserve">A named range assigns a readable name (e.g. TaxRate) to a cell or range, so formulas can reference =A2*TaxRate instead of =A2*$B$1. This makes formulas easier to read, less error-prone when copied, and easier to audit.</t>
  </si>
  <si>
    <t xml:space="preserve">Financial</t>
  </si>
  <si>
    <t xml:space="preserve">PMT</t>
  </si>
  <si>
    <t xml:space="preserve">What does the PMT function calculate?</t>
  </si>
  <si>
    <t xml:space="preserve">PMT(rate,nper,pv) calculates the fixed periodic payment required to pay off a loan (or reach a savings goal) given a constant interest rate and number of periods, e.g. =PMT(5%/12,60,-20000) returns the monthly payment on a 20,000 loan at 5% annual interest over 60 months.</t>
  </si>
  <si>
    <t xml:space="preserve">PV</t>
  </si>
  <si>
    <t xml:space="preserve">What does PV calculate?</t>
  </si>
  <si>
    <t xml:space="preserve">PV (present value) calculates what a series of future cash flows is worth today, given a discount rate, e.g. =PV(8%,10,-1000) tells you the current lump sum equivalent to receiving 1,000 per year for 10 years at an 8% rate.</t>
  </si>
  <si>
    <t xml:space="preserve">FV</t>
  </si>
  <si>
    <t xml:space="preserve">What does FV calculate?</t>
  </si>
  <si>
    <t xml:space="preserve">FV (future value) calculates how much a series of regular payments will grow to by a future date, given a fixed interest rate, e.g. =FV(6%/12,120,-200) shows the value after 10 years of saving 200 per month at 6% annual interest.</t>
  </si>
  <si>
    <t xml:space="preserve">NPV</t>
  </si>
  <si>
    <t xml:space="preserve">What does NPV calculate and what is a common mistake when using it?</t>
  </si>
  <si>
    <t xml:space="preserve">NPV (net present value) discounts a series of future cash flows back to today's value at a given rate, e.g. =NPV(10%,B2:B6). A common mistake is including the initial investment (time 0) inside the NPV range; that outlay should instead be added separately outside the NPV function, e.g. =NPV(10%,B3:B6)+B2.</t>
  </si>
  <si>
    <t xml:space="preserve">IRR</t>
  </si>
  <si>
    <t xml:space="preserve">What does IRR calculate?</t>
  </si>
  <si>
    <t xml:space="preserve">IRR (internal rate of return) finds the discount rate at which the net present value of a series of cash flows equals zero, essentially the effective annual return of an investment, e.g. =IRR(B2:B6) where B2 is a negative initial outlay followed by positive returns.</t>
  </si>
  <si>
    <t xml:space="preserve">RATE</t>
  </si>
  <si>
    <t xml:space="preserve">What does the RATE function calculate?</t>
  </si>
  <si>
    <t xml:space="preserve">RATE calculates the interest rate per period of a loan or annuity given the number of periods, payment, and present value, e.g. =RATE(60,-377,20000) solves for the monthly rate implied by a 60-month, 377 payment loan on 20,000 borrowed.</t>
  </si>
  <si>
    <t xml:space="preserve">NPER</t>
  </si>
  <si>
    <t xml:space="preserve">What does NPER calculate?</t>
  </si>
  <si>
    <t xml:space="preserve">NPER calculates the number of payment periods needed to pay off a loan or reach a savings goal, given a rate, payment amount, and present value, e.g. =NPER(5%/12,-400,20000) finds how many months it takes to pay off a 20,000 loan with 400 monthly payments.</t>
  </si>
  <si>
    <t xml:space="preserve">SLN</t>
  </si>
  <si>
    <t xml:space="preserve">What does the SLN function do?</t>
  </si>
  <si>
    <t xml:space="preserve">SLN calculates straight-line depreciation for an asset over one period, given its cost, salvage value, and useful life, e.g. =SLN(10000,1000,5) returns the annual depreciation of an asset that cost 10,000, has a 1,000 salvage value, and a 5-year life.</t>
  </si>
  <si>
    <t xml:space="preserve">Information &amp; Error-Handling</t>
  </si>
  <si>
    <t xml:space="preserve">ISBLANK</t>
  </si>
  <si>
    <t xml:space="preserve">What does ISBLANK check?</t>
  </si>
  <si>
    <t xml:space="preserve">ISBLANK returns TRUE if a referenced cell is completely empty, and FALSE otherwise, even if the cell contains an empty-looking string like "".</t>
  </si>
  <si>
    <t xml:space="preserve">ISNUMBER / ISTEXT</t>
  </si>
  <si>
    <t xml:space="preserve">What do ISNUMBER and ISTEXT check?</t>
  </si>
  <si>
    <t xml:space="preserve">ISNUMBER returns TRUE if a cell contains a numeric value, and ISTEXT returns TRUE if it contains text. They are often combined with IF to validate data before performing a calculation.</t>
  </si>
  <si>
    <t xml:space="preserve">ISERROR / ISNA</t>
  </si>
  <si>
    <t xml:space="preserve">What is the difference between ISERROR and ISNA?</t>
  </si>
  <si>
    <t xml:space="preserve">ISERROR returns TRUE for any error type (#N/A, #VALUE!, #DIV/0!, etc.), while ISNA returns TRUE only for the #N/A error specifically, which is useful when you want to catch missing lookups without hiding other genuine errors.</t>
  </si>
  <si>
    <t xml:space="preserve">ERROR.TYPE</t>
  </si>
  <si>
    <t xml:space="preserve">What does ERROR.TYPE do?</t>
  </si>
  <si>
    <t xml:space="preserve">ERROR.TYPE returns a number corresponding to a specific error value, for example 2 for #DIV/0! or 7 for #N/A, which can be used inside a formula to display a custom message describing which error occurred.</t>
  </si>
  <si>
    <t xml:space="preserve">TYPE</t>
  </si>
  <si>
    <t xml:space="preserve">What does the TYPE function return?</t>
  </si>
  <si>
    <t xml:space="preserve">TYPE returns a number indicating the data type of a value: 1 for number, 2 for text, 4 for logical, 16 for error, and 64 for an array.</t>
  </si>
  <si>
    <t xml:space="preserve">N / NA</t>
  </si>
  <si>
    <t xml:space="preserve">What do the N and NA functions do?</t>
  </si>
  <si>
    <t xml:space="preserve">N converts a value to a number (numbers stay the same, TRUE becomes 1, text becomes 0). NA() deliberately returns the #N/A error, which is useful for marking data that is intentionally not yet available so it is easy to filter or flag later.</t>
  </si>
  <si>
    <t xml:space="preserve">CELL</t>
  </si>
  <si>
    <t xml:space="preserve">What does the CELL function do?</t>
  </si>
  <si>
    <t xml:space="preserve">CELL returns information about the formatting, location, or contents of a cell, such as its address, filename, row number, or number format, e.g. =CELL("address",A1).</t>
  </si>
  <si>
    <t xml:space="preserve">ISFORMULA</t>
  </si>
  <si>
    <t xml:space="preserve">What does ISFORMULA check?</t>
  </si>
  <si>
    <t xml:space="preserve">ISFORMULA returns TRUE if a referenced cell contains a formula, and FALSE if it contains a hardcoded value, which is useful for auditing whether inputs have been overwritten.</t>
  </si>
  <si>
    <t xml:space="preserve">Database &amp; Array/Misc</t>
  </si>
  <si>
    <t xml:space="preserve">Array formulas (concept)</t>
  </si>
  <si>
    <t xml:space="preserve">What is an array formula and how do you enter one in older Excel?</t>
  </si>
  <si>
    <t xml:space="preserve">An array formula performs a calculation on multiple values at once instead of a single value. In Excel versions before dynamic arrays, you had to press Ctrl+Shift+Enter instead of just Enter to confirm it, which wraps the formula in curly braces {} in the formula bar.</t>
  </si>
  <si>
    <t xml:space="preserve">Dynamic arrays (concept)</t>
  </si>
  <si>
    <t xml:space="preserve">How did dynamic array behavior change formulas in modern Excel?</t>
  </si>
  <si>
    <t xml:space="preserve">Modern Excel automatically spills an array result into neighboring cells without needing Ctrl+Shift+Enter. Functions like UNIQUE, SORT, FILTER, and SEQUENCE were introduced specifically to take advantage of this spilling behavior.</t>
  </si>
  <si>
    <t xml:space="preserve">UNIQUE (concept)</t>
  </si>
  <si>
    <t xml:space="preserve">What does the UNIQUE function do in modern Excel?</t>
  </si>
  <si>
    <t xml:space="preserve">UNIQUE extracts a list of distinct values from a range, removing duplicates automatically and spilling the results into adjacent cells, e.g. =UNIQUE(A2:A100).</t>
  </si>
  <si>
    <t xml:space="preserve">FILTER (concept)</t>
  </si>
  <si>
    <t xml:space="preserve">What does the FILTER function do in modern Excel?</t>
  </si>
  <si>
    <t xml:space="preserve">FILTER returns only the rows of a range that meet specified criteria, spilling the matching rows into the sheet automatically, e.g. =FILTER(A2:C100,B2:B100="East") returns every row where the region is East.</t>
  </si>
  <si>
    <t xml:space="preserve">SORT / SORTBY (concept)</t>
  </si>
  <si>
    <t xml:space="preserve">What do SORT and SORTBY do?</t>
  </si>
  <si>
    <t xml:space="preserve">SORT arranges a range in ascending or descending order based on a chosen column. SORTBY sorts one range based on the values in a different, corresponding range, e.g. sorting a product list by a separate sales figures column.</t>
  </si>
  <si>
    <t xml:space="preserve">DSUM / DCOUNT (concept)</t>
  </si>
  <si>
    <t xml:space="preserve">What do database functions like DSUM and DCOUNT do?</t>
  </si>
  <si>
    <t xml:space="preserve">Database functions such as DSUM, DCOUNT, and DAVERAGE work like their regular counterparts (SUM, COUNT, AVERAGE) but pull their criteria from a separate criteria range on the worksheet rather than from arguments typed inside the formula, which is useful for complex, changeable filter conditions.</t>
  </si>
  <si>
    <t xml:space="preserve">Data Validation (concept)</t>
  </si>
  <si>
    <t xml:space="preserve">What is Data Validation used for in Excel?</t>
  </si>
  <si>
    <t xml:space="preserve">Data Validation (Data tab &gt; Data Validation) restricts what can be entered into a cell, such as a dropdown list, a whole number within a range, or a date within a range, helping prevent data-entry errors before they happen.</t>
  </si>
  <si>
    <t xml:space="preserve">Conditional Formatting (concept)</t>
  </si>
  <si>
    <t xml:space="preserve">How does Conditional Formatting relate to formulas?</t>
  </si>
  <si>
    <t xml:space="preserve">Conditional Formatting can use a custom formula rule to decide when formatting is applied, e.g. a rule based on =$C2&lt;$D2 highlights any row where actual sales fall below target, without changing the underlying data.</t>
  </si>
  <si>
    <t xml:space="preserve">PivotTable (concept)</t>
  </si>
  <si>
    <t xml:space="preserve">What is a PivotTable used for?</t>
  </si>
  <si>
    <t xml:space="preserve">A PivotTable summarizes, groups, and aggregates large data sets interactively, letting you drag fields into rows, columns, values, and filters to quickly answer questions like total sales by region and month, without writing any formulas.</t>
  </si>
  <si>
    <t xml:space="preserve">Absolute vs Relative references</t>
  </si>
  <si>
    <t xml:space="preserve">What is the difference between a relative and an absolute cell reference?</t>
  </si>
  <si>
    <t xml:space="preserve">A relative reference like A1 shifts automatically when a formula is copied to another cell. An absolute reference like $A$1 stays fixed on that exact cell no matter where the formula is copied, which is essential when a formula needs to always point to the same constant, such as a tax rate.</t>
  </si>
  <si>
    <t xml:space="preserve">Mixed references</t>
  </si>
  <si>
    <t xml:space="preserve">What is a mixed cell reference?</t>
  </si>
  <si>
    <t xml:space="preserve">A mixed reference locks only the row or only the column, using a single dollar sign, e.g. $A1 locks the column but lets the row change, while A$1 locks the row but lets the column change. This is common when building formulas that will be copied both across and down, such as multiplication tables.</t>
  </si>
  <si>
    <t xml:space="preserve">Summary by Category</t>
  </si>
  <si>
    <t xml:space="preserve">Question Count</t>
  </si>
  <si>
    <t xml:space="preserve">Total</t>
  </si>
  <si>
    <t xml:space="preserve">Live Formula Demo — Sample Dataset &amp; Working Formulas</t>
  </si>
  <si>
    <t xml:space="preserve">Click any formula cell below to see the real formula in the formula bar. Blue text = sample input data.</t>
  </si>
  <si>
    <t xml:space="preserve">Employee</t>
  </si>
  <si>
    <t xml:space="preserve">Department</t>
  </si>
  <si>
    <t xml:space="preserve">Hire Date</t>
  </si>
  <si>
    <t xml:space="preserve">Monthly Salary (NGN)</t>
  </si>
  <si>
    <t xml:space="preserve">Units Sold</t>
  </si>
  <si>
    <t xml:space="preserve">Function</t>
  </si>
  <si>
    <t xml:space="preserve">Formula Used</t>
  </si>
  <si>
    <t xml:space="preserve">Live Result</t>
  </si>
  <si>
    <t xml:space="preserve">Ade Bello</t>
  </si>
  <si>
    <t xml:space="preserve">Sales</t>
  </si>
  <si>
    <t xml:space="preserve">2021-03-14</t>
  </si>
  <si>
    <t xml:space="preserve">=SUM(D5:D16)</t>
  </si>
  <si>
    <t xml:space="preserve">Chinwe Okafor</t>
  </si>
  <si>
    <t xml:space="preserve">2019-07-01</t>
  </si>
  <si>
    <t xml:space="preserve">AVERAGE</t>
  </si>
  <si>
    <t xml:space="preserve">=AVERAGE(D5:D16)</t>
  </si>
  <si>
    <t xml:space="preserve">Musa Ibrahim</t>
  </si>
  <si>
    <t xml:space="preserve">IT</t>
  </si>
  <si>
    <t xml:space="preserve">2022-01-20</t>
  </si>
  <si>
    <t xml:space="preserve">MAX</t>
  </si>
  <si>
    <t xml:space="preserve">=MAX(D5:D16)</t>
  </si>
  <si>
    <t xml:space="preserve">Ngozi Umeh</t>
  </si>
  <si>
    <t xml:space="preserve">Finance</t>
  </si>
  <si>
    <t xml:space="preserve">2018-11-05</t>
  </si>
  <si>
    <t xml:space="preserve">MIN</t>
  </si>
  <si>
    <t xml:space="preserve">=MIN(D5:D16)</t>
  </si>
  <si>
    <t xml:space="preserve">Tunde Alade</t>
  </si>
  <si>
    <t xml:space="preserve">2023-05-30</t>
  </si>
  <si>
    <t xml:space="preserve">=COUNT(D5:D16)</t>
  </si>
  <si>
    <t xml:space="preserve">Fatima Sule</t>
  </si>
  <si>
    <t xml:space="preserve">2020-09-12</t>
  </si>
  <si>
    <t xml:space="preserve">COUNTA</t>
  </si>
  <si>
    <t xml:space="preserve">=COUNTA(A5:A16)</t>
  </si>
  <si>
    <t xml:space="preserve">Emeka Nwosu</t>
  </si>
  <si>
    <t xml:space="preserve">2017-02-18</t>
  </si>
  <si>
    <t xml:space="preserve">=COUNTIF(B5:B16,"Sales")</t>
  </si>
  <si>
    <t xml:space="preserve">Bisi Adeyemi</t>
  </si>
  <si>
    <t xml:space="preserve">2022-08-08</t>
  </si>
  <si>
    <t xml:space="preserve">=COUNTIFS(B5:B16,"Sales",D5:D16,"&gt;180000")</t>
  </si>
  <si>
    <t xml:space="preserve">Yusuf Danjuma</t>
  </si>
  <si>
    <t xml:space="preserve">2021-12-01</t>
  </si>
  <si>
    <t xml:space="preserve">=SUMIF(B5:B16,"IT",D5:D16)</t>
  </si>
  <si>
    <t xml:space="preserve">Grace Effiong</t>
  </si>
  <si>
    <t xml:space="preserve">2019-04-23</t>
  </si>
  <si>
    <t xml:space="preserve">=SUMIFS(D5:D16,B5:B16,"Sales",E5:E16,"&gt;35")</t>
  </si>
  <si>
    <t xml:space="preserve">Kelechi Obi</t>
  </si>
  <si>
    <t xml:space="preserve">2020-06-17</t>
  </si>
  <si>
    <t xml:space="preserve">AVERAGEIF</t>
  </si>
  <si>
    <t xml:space="preserve">=AVERAGEIF(B5:B16,"Finance",D5:D16)</t>
  </si>
  <si>
    <t xml:space="preserve">Amaka Eze</t>
  </si>
  <si>
    <t xml:space="preserve">2023-02-09</t>
  </si>
  <si>
    <t xml:space="preserve">MAXIFS</t>
  </si>
  <si>
    <t xml:space="preserve">=MAXIFS(D5:D16,B5:B16,"Sales")</t>
  </si>
  <si>
    <t xml:space="preserve">=MEDIAN(D5:D16)</t>
  </si>
  <si>
    <t xml:space="preserve">STDEV.S</t>
  </si>
  <si>
    <t xml:space="preserve">=STDEV.S(D5:D16)</t>
  </si>
  <si>
    <t xml:space="preserve">=RANK.EQ(D5,D5:D16)</t>
  </si>
  <si>
    <t xml:space="preserve">LARGE (2nd highest)</t>
  </si>
  <si>
    <t xml:space="preserve">=LARGE(D5:D16,2)</t>
  </si>
  <si>
    <t xml:space="preserve">=ROUND(AVERAGE(D5:D16),0)</t>
  </si>
  <si>
    <t xml:space="preserve">=IF(D5&gt;200000,"Above Avg Band","Standard Band")</t>
  </si>
  <si>
    <t xml:space="preserve">=IFS(D5&gt;=300000,"Senior",D5&gt;=200000,"Mid",TRUE,"Junior")</t>
  </si>
  <si>
    <t xml:space="preserve">AND / OR combo</t>
  </si>
  <si>
    <t xml:space="preserve">=IF(AND(B5="Sales",E5&gt;40),"Top Seller","-")</t>
  </si>
  <si>
    <t xml:space="preserve">=IFERROR(D5/0,"Error avoided")</t>
  </si>
  <si>
    <t xml:space="preserve">CONCATENATE / &amp;</t>
  </si>
  <si>
    <t xml:space="preserve">=A5&amp;" — "&amp;B5&amp;" Dept."</t>
  </si>
  <si>
    <t xml:space="preserve">=TEXTJOIN(", ",TRUE,A5:A16)</t>
  </si>
  <si>
    <t xml:space="preserve">UPPER</t>
  </si>
  <si>
    <t xml:space="preserve">=UPPER(B5)</t>
  </si>
  <si>
    <t xml:space="preserve">PROPER</t>
  </si>
  <si>
    <t xml:space="preserve">=PROPER("lagos state, nigeria")</t>
  </si>
  <si>
    <t xml:space="preserve">=LEFT(A5,3)&amp;"-"&amp;RIGHT(A5,3)</t>
  </si>
  <si>
    <t xml:space="preserve">=LEN(A5)</t>
  </si>
  <si>
    <t xml:space="preserve">TEXT (number format)</t>
  </si>
  <si>
    <t xml:space="preserve">=TEXT(D5,"#,##0.00")&amp;" NGN"</t>
  </si>
  <si>
    <t xml:space="preserve">TODAY</t>
  </si>
  <si>
    <t xml:space="preserve">=TODAY()</t>
  </si>
  <si>
    <t xml:space="preserve">=YEAR(C5)&amp;"/"&amp;MONTH(C5)&amp;"/"&amp;DAY(C5)</t>
  </si>
  <si>
    <t xml:space="preserve">DATEDIF (years of service)</t>
  </si>
  <si>
    <t xml:space="preserve">=DATEDIF(C5,TODAY(),"y")&amp;" years"</t>
  </si>
  <si>
    <t xml:space="preserve">=EOMONTH(C5,0)</t>
  </si>
  <si>
    <t xml:space="preserve">=NETWORKDAYS(C5,TODAY())</t>
  </si>
  <si>
    <t xml:space="preserve">=VLOOKUP("Ngozi Umeh",A5:D16,4,FALSE)</t>
  </si>
  <si>
    <t xml:space="preserve">=INDEX(A5:A16,3)</t>
  </si>
  <si>
    <t xml:space="preserve">=MATCH("IT",B5:B16,0)</t>
  </si>
  <si>
    <t xml:space="preserve">=INDEX(D5:D16,MATCH("Amaka Eze",A5:A16,0))</t>
  </si>
  <si>
    <t xml:space="preserve">=CHOOSE(2,"Low","Medium","High")</t>
  </si>
  <si>
    <t xml:space="preserve">=SUMPRODUCT((B5:B16="Sales")*E5:E16)</t>
  </si>
  <si>
    <t xml:space="preserve">=ISBLANK(E7)</t>
  </si>
  <si>
    <t xml:space="preserve">ISNUMBER</t>
  </si>
  <si>
    <t xml:space="preserve">=ISNUMBER(D5)</t>
  </si>
  <si>
    <t xml:space="preserve">PMT (loan payment)</t>
  </si>
  <si>
    <t xml:space="preserve">=PMT(18%/12,24,-500000)</t>
  </si>
  <si>
    <t xml:space="preserve">FV (savings growth)</t>
  </si>
  <si>
    <t xml:space="preserve">=FV(10%/12,60,-20000)</t>
  </si>
  <si>
    <t xml:space="preserve">=NPV(12%,150000,180000,200000,220000)</t>
  </si>
  <si>
    <t xml:space="preserve">Legend:</t>
  </si>
  <si>
    <t xml:space="preserve">Blue text = sample input data (edit these to see formulas recalculate)</t>
  </si>
  <si>
    <t xml:space="preserve">Yellow-filled cells in the Formula Demo table = live calculated results</t>
  </si>
  <si>
    <t xml:space="preserve">Excel Functions Self-Test Quiz (27 Questions)</t>
  </si>
  <si>
    <t xml:space="preserve">Read each question, write your own answer in the 'Your Answer' column, then check the Answer Key sheet to score yourself.</t>
  </si>
  <si>
    <t xml:space="preserve">Your Answer (write here)</t>
  </si>
  <si>
    <t xml:space="preserve">Answer Key — Quiz (Self-Test)</t>
  </si>
  <si>
    <t xml:space="preserve">Matches the 27 questions on the Quiz (Self-Test) sheet, in the same order.</t>
  </si>
  <si>
    <t xml:space="preserve">Correct Answer</t>
  </si>
</sst>
</file>

<file path=xl/styles.xml><?xml version="1.0" encoding="utf-8"?>
<styleSheet xmlns="http://schemas.openxmlformats.org/spreadsheetml/2006/main">
  <numFmts count="5">
    <numFmt numFmtId="164" formatCode="General"/>
    <numFmt numFmtId="165" formatCode="dd\-mmm\-yyyy"/>
    <numFmt numFmtId="166" formatCode="#,##0"/>
    <numFmt numFmtId="167" formatCode="General"/>
    <numFmt numFmtId="168" formatCode="#,##0.00"/>
  </numFmts>
  <fonts count="24">
    <font>
      <sz val="11"/>
      <color theme="1"/>
      <name val="Calibri"/>
      <family val="2"/>
      <charset val="1"/>
    </font>
    <font>
      <sz val="10"/>
      <name val="Arial"/>
      <family val="0"/>
    </font>
    <font>
      <sz val="10"/>
      <name val="Arial"/>
      <family val="0"/>
    </font>
    <font>
      <sz val="10"/>
      <name val="Arial"/>
      <family val="0"/>
    </font>
    <font>
      <b val="true"/>
      <sz val="20"/>
      <color rgb="FF1F4E78"/>
      <name val="Arial"/>
      <family val="0"/>
      <charset val="1"/>
    </font>
    <font>
      <b val="true"/>
      <sz val="16"/>
      <color rgb="FF404040"/>
      <name val="Arial"/>
      <family val="0"/>
      <charset val="1"/>
    </font>
    <font>
      <i val="true"/>
      <sz val="12"/>
      <color rgb="FF595959"/>
      <name val="Arial"/>
      <family val="0"/>
      <charset val="1"/>
    </font>
    <font>
      <sz val="11"/>
      <color rgb="FF404040"/>
      <name val="Arial"/>
      <family val="0"/>
      <charset val="1"/>
    </font>
    <font>
      <b val="true"/>
      <sz val="12"/>
      <color rgb="FF404040"/>
      <name val="Arial"/>
      <family val="0"/>
      <charset val="1"/>
    </font>
    <font>
      <b val="true"/>
      <sz val="11"/>
      <color rgb="FF1F4E78"/>
      <name val="Arial"/>
      <family val="0"/>
      <charset val="1"/>
    </font>
    <font>
      <b val="true"/>
      <sz val="11"/>
      <color rgb="FFFFFFFF"/>
      <name val="Arial"/>
      <family val="0"/>
      <charset val="1"/>
    </font>
    <font>
      <sz val="10"/>
      <name val="Arial"/>
      <family val="0"/>
      <charset val="1"/>
    </font>
    <font>
      <b val="true"/>
      <sz val="10"/>
      <color rgb="FF2E7D32"/>
      <name val="Arial"/>
      <family val="0"/>
      <charset val="1"/>
    </font>
    <font>
      <b val="true"/>
      <sz val="10"/>
      <color rgb="FFB45309"/>
      <name val="Arial"/>
      <family val="0"/>
      <charset val="1"/>
    </font>
    <font>
      <b val="true"/>
      <sz val="10"/>
      <color rgb="FFC62828"/>
      <name val="Arial"/>
      <family val="0"/>
      <charset val="1"/>
    </font>
    <font>
      <b val="true"/>
      <sz val="12"/>
      <name val="Arial"/>
      <family val="0"/>
      <charset val="1"/>
    </font>
    <font>
      <b val="true"/>
      <sz val="11"/>
      <name val="Arial"/>
      <family val="0"/>
      <charset val="1"/>
    </font>
    <font>
      <b val="true"/>
      <sz val="16"/>
      <color rgb="FF1F4E78"/>
      <name val="Arial"/>
      <family val="0"/>
      <charset val="1"/>
    </font>
    <font>
      <i val="true"/>
      <sz val="10"/>
      <color rgb="FF595959"/>
      <name val="Arial"/>
      <family val="0"/>
      <charset val="1"/>
    </font>
    <font>
      <sz val="10"/>
      <color rgb="FF0000FF"/>
      <name val="Arial"/>
      <family val="0"/>
      <charset val="1"/>
    </font>
    <font>
      <b val="true"/>
      <sz val="10"/>
      <name val="Arial"/>
      <family val="0"/>
      <charset val="1"/>
    </font>
    <font>
      <sz val="9"/>
      <color rgb="FF595959"/>
      <name val="Arial"/>
      <family val="0"/>
      <charset val="1"/>
    </font>
    <font>
      <sz val="10"/>
      <color rgb="FF000000"/>
      <name val="Arial"/>
      <family val="0"/>
      <charset val="1"/>
    </font>
    <font>
      <sz val="10"/>
      <color rgb="FF808000"/>
      <name val="Arial"/>
      <family val="0"/>
      <charset val="1"/>
    </font>
  </fonts>
  <fills count="14">
    <fill>
      <patternFill patternType="none"/>
    </fill>
    <fill>
      <patternFill patternType="gray125"/>
    </fill>
    <fill>
      <patternFill patternType="solid">
        <fgColor rgb="FF1F1F1F"/>
        <bgColor rgb="FF003300"/>
      </patternFill>
    </fill>
    <fill>
      <patternFill patternType="solid">
        <fgColor rgb="FFDDEBF7"/>
        <bgColor rgb="FFE1E6E9"/>
      </patternFill>
    </fill>
    <fill>
      <patternFill patternType="solid">
        <fgColor rgb="FFE2EFDA"/>
        <bgColor rgb="FFE7E9EB"/>
      </patternFill>
    </fill>
    <fill>
      <patternFill patternType="solid">
        <fgColor rgb="FFFFF2CC"/>
        <bgColor rgb="FFFFF9DB"/>
      </patternFill>
    </fill>
    <fill>
      <patternFill patternType="solid">
        <fgColor rgb="FFEAD1F2"/>
        <bgColor rgb="FFD9D9D9"/>
      </patternFill>
    </fill>
    <fill>
      <patternFill patternType="solid">
        <fgColor rgb="FFFCE4EC"/>
        <bgColor rgb="FFF2E4D8"/>
      </patternFill>
    </fill>
    <fill>
      <patternFill patternType="solid">
        <fgColor rgb="FFD9F2EC"/>
        <bgColor rgb="FFDDEBF7"/>
      </patternFill>
    </fill>
    <fill>
      <patternFill patternType="solid">
        <fgColor rgb="FFF2E4D8"/>
        <bgColor rgb="FFFCE4EC"/>
      </patternFill>
    </fill>
    <fill>
      <patternFill patternType="solid">
        <fgColor rgb="FFE7E9EB"/>
        <bgColor rgb="FFE1E6E9"/>
      </patternFill>
    </fill>
    <fill>
      <patternFill patternType="solid">
        <fgColor rgb="FFE1E6E9"/>
        <bgColor rgb="FFE7E9EB"/>
      </patternFill>
    </fill>
    <fill>
      <patternFill patternType="solid">
        <fgColor rgb="FFFFF9DB"/>
        <bgColor rgb="FFFFFDE7"/>
      </patternFill>
    </fill>
    <fill>
      <patternFill patternType="solid">
        <fgColor rgb="FFFFFDE7"/>
        <bgColor rgb="FFFFF9DB"/>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center" vertical="top" textRotation="0" wrapText="false" indent="0" shrinkToFit="false"/>
      <protection locked="true" hidden="false"/>
    </xf>
    <xf numFmtId="164" fontId="11" fillId="3" borderId="1" xfId="0" applyFont="true" applyBorder="true" applyAlignment="true" applyProtection="false">
      <alignment horizontal="left" vertical="top" textRotation="0" wrapText="false" indent="0" shrinkToFit="false"/>
      <protection locked="true" hidden="false"/>
    </xf>
    <xf numFmtId="164" fontId="12" fillId="3" borderId="1" xfId="0" applyFont="true" applyBorder="true" applyAlignment="true" applyProtection="false">
      <alignment horizontal="center" vertical="top" textRotation="0" wrapText="false" indent="0" shrinkToFit="false"/>
      <protection locked="true" hidden="false"/>
    </xf>
    <xf numFmtId="164" fontId="11" fillId="3" borderId="1" xfId="0" applyFont="true" applyBorder="true" applyAlignment="true" applyProtection="false">
      <alignment horizontal="left" vertical="top" textRotation="0" wrapText="true" indent="0" shrinkToFit="false"/>
      <protection locked="true" hidden="false"/>
    </xf>
    <xf numFmtId="164" fontId="13" fillId="3" borderId="1" xfId="0" applyFont="true" applyBorder="true" applyAlignment="true" applyProtection="false">
      <alignment horizontal="center" vertical="top" textRotation="0" wrapText="false" indent="0" shrinkToFit="false"/>
      <protection locked="true" hidden="false"/>
    </xf>
    <xf numFmtId="164" fontId="14" fillId="3" borderId="1" xfId="0" applyFont="true" applyBorder="true" applyAlignment="true" applyProtection="false">
      <alignment horizontal="center" vertical="top" textRotation="0" wrapText="false" indent="0" shrinkToFit="false"/>
      <protection locked="true" hidden="false"/>
    </xf>
    <xf numFmtId="164" fontId="11" fillId="4" borderId="1" xfId="0" applyFont="true" applyBorder="true" applyAlignment="true" applyProtection="false">
      <alignment horizontal="center" vertical="top" textRotation="0" wrapText="false" indent="0" shrinkToFit="false"/>
      <protection locked="true" hidden="false"/>
    </xf>
    <xf numFmtId="164" fontId="11" fillId="4" borderId="1" xfId="0" applyFont="true" applyBorder="true" applyAlignment="true" applyProtection="false">
      <alignment horizontal="left" vertical="top" textRotation="0" wrapText="false" indent="0" shrinkToFit="false"/>
      <protection locked="true" hidden="false"/>
    </xf>
    <xf numFmtId="164" fontId="12" fillId="4" borderId="1" xfId="0" applyFont="true" applyBorder="true" applyAlignment="true" applyProtection="false">
      <alignment horizontal="center" vertical="top" textRotation="0" wrapText="false" indent="0" shrinkToFit="false"/>
      <protection locked="true" hidden="false"/>
    </xf>
    <xf numFmtId="164" fontId="11" fillId="4" borderId="1" xfId="0" applyFont="true" applyBorder="true" applyAlignment="true" applyProtection="false">
      <alignment horizontal="left" vertical="top" textRotation="0" wrapText="true" indent="0" shrinkToFit="false"/>
      <protection locked="true" hidden="false"/>
    </xf>
    <xf numFmtId="164" fontId="13" fillId="4" borderId="1" xfId="0" applyFont="true" applyBorder="true" applyAlignment="true" applyProtection="false">
      <alignment horizontal="center" vertical="top" textRotation="0" wrapText="false" indent="0" shrinkToFit="false"/>
      <protection locked="true" hidden="false"/>
    </xf>
    <xf numFmtId="164" fontId="14" fillId="4" borderId="1" xfId="0" applyFont="true" applyBorder="true" applyAlignment="true" applyProtection="false">
      <alignment horizontal="center" vertical="top" textRotation="0" wrapText="false" indent="0" shrinkToFit="false"/>
      <protection locked="true" hidden="false"/>
    </xf>
    <xf numFmtId="164" fontId="11" fillId="5" borderId="1" xfId="0" applyFont="true" applyBorder="true" applyAlignment="true" applyProtection="false">
      <alignment horizontal="center" vertical="top" textRotation="0" wrapText="false" indent="0" shrinkToFit="false"/>
      <protection locked="true" hidden="false"/>
    </xf>
    <xf numFmtId="164" fontId="11" fillId="5" borderId="1" xfId="0" applyFont="true" applyBorder="true" applyAlignment="true" applyProtection="false">
      <alignment horizontal="left" vertical="top" textRotation="0" wrapText="false" indent="0" shrinkToFit="false"/>
      <protection locked="true" hidden="false"/>
    </xf>
    <xf numFmtId="164" fontId="12" fillId="5" borderId="1" xfId="0" applyFont="true" applyBorder="true" applyAlignment="true" applyProtection="false">
      <alignment horizontal="center" vertical="top" textRotation="0" wrapText="false" indent="0" shrinkToFit="false"/>
      <protection locked="true" hidden="false"/>
    </xf>
    <xf numFmtId="164" fontId="11" fillId="5" borderId="1" xfId="0" applyFont="true" applyBorder="true" applyAlignment="true" applyProtection="false">
      <alignment horizontal="left" vertical="top" textRotation="0" wrapText="true" indent="0" shrinkToFit="false"/>
      <protection locked="true" hidden="false"/>
    </xf>
    <xf numFmtId="164" fontId="13" fillId="5" borderId="1" xfId="0" applyFont="true" applyBorder="true" applyAlignment="true" applyProtection="false">
      <alignment horizontal="center" vertical="top" textRotation="0" wrapText="false" indent="0" shrinkToFit="false"/>
      <protection locked="true" hidden="false"/>
    </xf>
    <xf numFmtId="164" fontId="14" fillId="5" borderId="1" xfId="0" applyFont="true" applyBorder="true" applyAlignment="true" applyProtection="false">
      <alignment horizontal="center" vertical="top" textRotation="0" wrapText="false" indent="0" shrinkToFit="false"/>
      <protection locked="true" hidden="false"/>
    </xf>
    <xf numFmtId="164" fontId="11" fillId="6" borderId="1" xfId="0" applyFont="true" applyBorder="true" applyAlignment="true" applyProtection="false">
      <alignment horizontal="center" vertical="top" textRotation="0" wrapText="false" indent="0" shrinkToFit="false"/>
      <protection locked="true" hidden="false"/>
    </xf>
    <xf numFmtId="164" fontId="11" fillId="6" borderId="1" xfId="0" applyFont="true" applyBorder="true" applyAlignment="true" applyProtection="false">
      <alignment horizontal="left" vertical="top" textRotation="0" wrapText="false" indent="0" shrinkToFit="false"/>
      <protection locked="true" hidden="false"/>
    </xf>
    <xf numFmtId="164" fontId="12" fillId="6" borderId="1" xfId="0" applyFont="true" applyBorder="true" applyAlignment="true" applyProtection="false">
      <alignment horizontal="center" vertical="top" textRotation="0" wrapText="false" indent="0" shrinkToFit="false"/>
      <protection locked="true" hidden="false"/>
    </xf>
    <xf numFmtId="164" fontId="11" fillId="6" borderId="1" xfId="0" applyFont="true" applyBorder="true" applyAlignment="true" applyProtection="false">
      <alignment horizontal="left" vertical="top" textRotation="0" wrapText="true" indent="0" shrinkToFit="false"/>
      <protection locked="true" hidden="false"/>
    </xf>
    <xf numFmtId="164" fontId="13" fillId="6" borderId="1" xfId="0" applyFont="true" applyBorder="true" applyAlignment="true" applyProtection="false">
      <alignment horizontal="center" vertical="top" textRotation="0" wrapText="false" indent="0" shrinkToFit="false"/>
      <protection locked="true" hidden="false"/>
    </xf>
    <xf numFmtId="164" fontId="14" fillId="6" borderId="1" xfId="0" applyFont="true" applyBorder="true" applyAlignment="true" applyProtection="false">
      <alignment horizontal="center" vertical="top" textRotation="0" wrapText="false" indent="0" shrinkToFit="false"/>
      <protection locked="true" hidden="false"/>
    </xf>
    <xf numFmtId="164" fontId="11" fillId="7" borderId="1" xfId="0" applyFont="true" applyBorder="true" applyAlignment="true" applyProtection="false">
      <alignment horizontal="center" vertical="top" textRotation="0" wrapText="false" indent="0" shrinkToFit="false"/>
      <protection locked="true" hidden="false"/>
    </xf>
    <xf numFmtId="164" fontId="11" fillId="7" borderId="1" xfId="0" applyFont="true" applyBorder="true" applyAlignment="true" applyProtection="false">
      <alignment horizontal="left" vertical="top" textRotation="0" wrapText="false" indent="0" shrinkToFit="false"/>
      <protection locked="true" hidden="false"/>
    </xf>
    <xf numFmtId="164" fontId="12" fillId="7" borderId="1" xfId="0" applyFont="true" applyBorder="true" applyAlignment="true" applyProtection="false">
      <alignment horizontal="center" vertical="top" textRotation="0" wrapText="false" indent="0" shrinkToFit="false"/>
      <protection locked="true" hidden="false"/>
    </xf>
    <xf numFmtId="164" fontId="11" fillId="7" borderId="1" xfId="0" applyFont="true" applyBorder="true" applyAlignment="true" applyProtection="false">
      <alignment horizontal="left" vertical="top" textRotation="0" wrapText="true" indent="0" shrinkToFit="false"/>
      <protection locked="true" hidden="false"/>
    </xf>
    <xf numFmtId="164" fontId="13" fillId="7" borderId="1" xfId="0" applyFont="true" applyBorder="true" applyAlignment="true" applyProtection="false">
      <alignment horizontal="center" vertical="top" textRotation="0" wrapText="false" indent="0" shrinkToFit="false"/>
      <protection locked="true" hidden="false"/>
    </xf>
    <xf numFmtId="164" fontId="14" fillId="7" borderId="1" xfId="0" applyFont="true" applyBorder="true" applyAlignment="true" applyProtection="false">
      <alignment horizontal="center" vertical="top" textRotation="0" wrapText="false" indent="0" shrinkToFit="false"/>
      <protection locked="true" hidden="false"/>
    </xf>
    <xf numFmtId="164" fontId="11" fillId="8" borderId="1" xfId="0" applyFont="true" applyBorder="true" applyAlignment="true" applyProtection="false">
      <alignment horizontal="center" vertical="top" textRotation="0" wrapText="false" indent="0" shrinkToFit="false"/>
      <protection locked="true" hidden="false"/>
    </xf>
    <xf numFmtId="164" fontId="11" fillId="8" borderId="1" xfId="0" applyFont="true" applyBorder="true" applyAlignment="true" applyProtection="false">
      <alignment horizontal="left" vertical="top" textRotation="0" wrapText="false" indent="0" shrinkToFit="false"/>
      <protection locked="true" hidden="false"/>
    </xf>
    <xf numFmtId="164" fontId="12" fillId="8" borderId="1" xfId="0" applyFont="true" applyBorder="true" applyAlignment="true" applyProtection="false">
      <alignment horizontal="center" vertical="top" textRotation="0" wrapText="false" indent="0" shrinkToFit="false"/>
      <protection locked="true" hidden="false"/>
    </xf>
    <xf numFmtId="164" fontId="11" fillId="8" borderId="1" xfId="0" applyFont="true" applyBorder="true" applyAlignment="true" applyProtection="false">
      <alignment horizontal="left" vertical="top" textRotation="0" wrapText="true" indent="0" shrinkToFit="false"/>
      <protection locked="true" hidden="false"/>
    </xf>
    <xf numFmtId="164" fontId="13" fillId="8" borderId="1" xfId="0" applyFont="true" applyBorder="true" applyAlignment="true" applyProtection="false">
      <alignment horizontal="center" vertical="top" textRotation="0" wrapText="false" indent="0" shrinkToFit="false"/>
      <protection locked="true" hidden="false"/>
    </xf>
    <xf numFmtId="164" fontId="14" fillId="8" borderId="1" xfId="0" applyFont="true" applyBorder="true" applyAlignment="true" applyProtection="false">
      <alignment horizontal="center" vertical="top" textRotation="0" wrapText="false" indent="0" shrinkToFit="false"/>
      <protection locked="true" hidden="false"/>
    </xf>
    <xf numFmtId="164" fontId="11" fillId="9" borderId="1" xfId="0" applyFont="true" applyBorder="true" applyAlignment="true" applyProtection="false">
      <alignment horizontal="center" vertical="top" textRotation="0" wrapText="false" indent="0" shrinkToFit="false"/>
      <protection locked="true" hidden="false"/>
    </xf>
    <xf numFmtId="164" fontId="11" fillId="9" borderId="1" xfId="0" applyFont="true" applyBorder="true" applyAlignment="true" applyProtection="false">
      <alignment horizontal="left" vertical="top" textRotation="0" wrapText="false" indent="0" shrinkToFit="false"/>
      <protection locked="true" hidden="false"/>
    </xf>
    <xf numFmtId="164" fontId="13" fillId="9" borderId="1" xfId="0" applyFont="true" applyBorder="true" applyAlignment="true" applyProtection="false">
      <alignment horizontal="center" vertical="top" textRotation="0" wrapText="false" indent="0" shrinkToFit="false"/>
      <protection locked="true" hidden="false"/>
    </xf>
    <xf numFmtId="164" fontId="11" fillId="9" borderId="1" xfId="0" applyFont="true" applyBorder="true" applyAlignment="true" applyProtection="false">
      <alignment horizontal="left" vertical="top" textRotation="0" wrapText="true" indent="0" shrinkToFit="false"/>
      <protection locked="true" hidden="false"/>
    </xf>
    <xf numFmtId="164" fontId="14" fillId="9" borderId="1" xfId="0" applyFont="true" applyBorder="true" applyAlignment="true" applyProtection="false">
      <alignment horizontal="center" vertical="top" textRotation="0" wrapText="false" indent="0" shrinkToFit="false"/>
      <protection locked="true" hidden="false"/>
    </xf>
    <xf numFmtId="164" fontId="11" fillId="10" borderId="1" xfId="0" applyFont="true" applyBorder="true" applyAlignment="true" applyProtection="false">
      <alignment horizontal="center" vertical="top" textRotation="0" wrapText="false" indent="0" shrinkToFit="false"/>
      <protection locked="true" hidden="false"/>
    </xf>
    <xf numFmtId="164" fontId="11" fillId="10" borderId="1" xfId="0" applyFont="true" applyBorder="true" applyAlignment="true" applyProtection="false">
      <alignment horizontal="left" vertical="top" textRotation="0" wrapText="false" indent="0" shrinkToFit="false"/>
      <protection locked="true" hidden="false"/>
    </xf>
    <xf numFmtId="164" fontId="12" fillId="10" borderId="1" xfId="0" applyFont="true" applyBorder="true" applyAlignment="true" applyProtection="false">
      <alignment horizontal="center" vertical="top" textRotation="0" wrapText="false" indent="0" shrinkToFit="false"/>
      <protection locked="true" hidden="false"/>
    </xf>
    <xf numFmtId="164" fontId="11" fillId="10" borderId="1" xfId="0" applyFont="true" applyBorder="true" applyAlignment="true" applyProtection="false">
      <alignment horizontal="left" vertical="top" textRotation="0" wrapText="true" indent="0" shrinkToFit="false"/>
      <protection locked="true" hidden="false"/>
    </xf>
    <xf numFmtId="164" fontId="13" fillId="10" borderId="1" xfId="0" applyFont="true" applyBorder="true" applyAlignment="true" applyProtection="false">
      <alignment horizontal="center" vertical="top" textRotation="0" wrapText="false" indent="0" shrinkToFit="false"/>
      <protection locked="true" hidden="false"/>
    </xf>
    <xf numFmtId="164" fontId="14" fillId="10" borderId="1" xfId="0" applyFont="true" applyBorder="true" applyAlignment="true" applyProtection="false">
      <alignment horizontal="center" vertical="top" textRotation="0" wrapText="false" indent="0" shrinkToFit="false"/>
      <protection locked="true" hidden="false"/>
    </xf>
    <xf numFmtId="164" fontId="11" fillId="11" borderId="1" xfId="0" applyFont="true" applyBorder="true" applyAlignment="true" applyProtection="false">
      <alignment horizontal="center" vertical="top" textRotation="0" wrapText="false" indent="0" shrinkToFit="false"/>
      <protection locked="true" hidden="false"/>
    </xf>
    <xf numFmtId="164" fontId="11" fillId="11" borderId="1" xfId="0" applyFont="true" applyBorder="true" applyAlignment="true" applyProtection="false">
      <alignment horizontal="left" vertical="top" textRotation="0" wrapText="false" indent="0" shrinkToFit="false"/>
      <protection locked="true" hidden="false"/>
    </xf>
    <xf numFmtId="164" fontId="14" fillId="11" borderId="1" xfId="0" applyFont="true" applyBorder="true" applyAlignment="true" applyProtection="false">
      <alignment horizontal="center" vertical="top" textRotation="0" wrapText="false" indent="0" shrinkToFit="false"/>
      <protection locked="true" hidden="false"/>
    </xf>
    <xf numFmtId="164" fontId="11" fillId="11" borderId="1" xfId="0" applyFont="true" applyBorder="true" applyAlignment="true" applyProtection="false">
      <alignment horizontal="left" vertical="top" textRotation="0" wrapText="true" indent="0" shrinkToFit="false"/>
      <protection locked="true" hidden="false"/>
    </xf>
    <xf numFmtId="164" fontId="13" fillId="11" borderId="1" xfId="0" applyFont="true" applyBorder="true" applyAlignment="true" applyProtection="false">
      <alignment horizontal="center" vertical="top" textRotation="0" wrapText="false" indent="0" shrinkToFit="false"/>
      <protection locked="true" hidden="false"/>
    </xf>
    <xf numFmtId="164" fontId="12" fillId="11" borderId="1" xfId="0" applyFont="true" applyBorder="true" applyAlignment="true" applyProtection="false">
      <alignment horizontal="center" vertical="top"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0" borderId="1" xfId="0" applyFont="true" applyBorder="true" applyAlignment="true" applyProtection="false">
      <alignment horizontal="left" vertical="bottom" textRotation="0" wrapText="false" indent="0" shrinkToFit="false"/>
      <protection locked="true" hidden="false"/>
    </xf>
    <xf numFmtId="165" fontId="19" fillId="0" borderId="1" xfId="0" applyFont="true" applyBorder="true" applyAlignment="true" applyProtection="false">
      <alignment horizontal="center" vertical="bottom" textRotation="0" wrapText="false" indent="0" shrinkToFit="false"/>
      <protection locked="true" hidden="false"/>
    </xf>
    <xf numFmtId="166" fontId="19" fillId="0" borderId="1"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true" applyProtection="false">
      <alignment horizontal="center" vertical="bottom" textRotation="0" wrapText="false" indent="0" shrinkToFit="false"/>
      <protection locked="true" hidden="false"/>
    </xf>
    <xf numFmtId="164" fontId="20" fillId="0" borderId="1" xfId="0" applyFont="true" applyBorder="true" applyAlignment="false" applyProtection="false">
      <alignment horizontal="general" vertical="bottom" textRotation="0" wrapText="false" indent="0" shrinkToFit="false"/>
      <protection locked="true" hidden="false"/>
    </xf>
    <xf numFmtId="164" fontId="21" fillId="0" borderId="1" xfId="0" applyFont="true" applyBorder="true" applyAlignment="false" applyProtection="false">
      <alignment horizontal="general" vertical="bottom" textRotation="0" wrapText="false" indent="0" shrinkToFit="false"/>
      <protection locked="true" hidden="false"/>
    </xf>
    <xf numFmtId="167" fontId="22" fillId="12" borderId="1" xfId="0" applyFont="true" applyBorder="true" applyAlignment="true" applyProtection="false">
      <alignment horizontal="center" vertical="bottom" textRotation="0" wrapText="false" indent="0" shrinkToFit="false"/>
      <protection locked="true" hidden="false"/>
    </xf>
    <xf numFmtId="168" fontId="22" fillId="12" borderId="1" xfId="0" applyFont="true" applyBorder="true" applyAlignment="true" applyProtection="false">
      <alignment horizontal="center" vertical="bottom" textRotation="0" wrapText="false" indent="0" shrinkToFit="false"/>
      <protection locked="true" hidden="false"/>
    </xf>
    <xf numFmtId="165" fontId="22" fillId="12" borderId="1" xfId="0" applyFont="true" applyBorder="true" applyAlignment="true" applyProtection="false">
      <alignment horizontal="center" vertical="bottom" textRotation="0" wrapText="false" indent="0" shrinkToFit="false"/>
      <protection locked="true" hidden="false"/>
    </xf>
    <xf numFmtId="166" fontId="22" fillId="12" borderId="1" xfId="0" applyFont="true" applyBorder="true" applyAlignment="true" applyProtection="false">
      <alignment horizontal="center" vertical="bottom" textRotation="0" wrapText="false" indent="0" shrinkToFit="false"/>
      <protection locked="true" hidden="false"/>
    </xf>
    <xf numFmtId="167" fontId="22" fillId="12" borderId="1" xfId="0" applyFont="true" applyBorder="true" applyAlignment="true" applyProtection="false">
      <alignment horizontal="center"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1" fillId="1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1F1F1F"/>
          <bgColor rgb="FF000000"/>
        </patternFill>
      </fill>
    </dxf>
    <dxf>
      <fill>
        <patternFill patternType="solid">
          <fgColor rgb="FFD9F2EC"/>
          <bgColor rgb="FF000000"/>
        </patternFill>
      </fill>
    </dxf>
    <dxf>
      <fill>
        <patternFill patternType="solid">
          <fgColor rgb="FFDDEBF7"/>
          <bgColor rgb="FF000000"/>
        </patternFill>
      </fill>
    </dxf>
    <dxf>
      <fill>
        <patternFill patternType="solid">
          <fgColor rgb="FFE1E6E9"/>
          <bgColor rgb="FF000000"/>
        </patternFill>
      </fill>
    </dxf>
    <dxf>
      <fill>
        <patternFill patternType="solid">
          <fgColor rgb="FFE2EFDA"/>
          <bgColor rgb="FF000000"/>
        </patternFill>
      </fill>
    </dxf>
    <dxf>
      <fill>
        <patternFill patternType="solid">
          <fgColor rgb="FFE7E9EB"/>
          <bgColor rgb="FF000000"/>
        </patternFill>
      </fill>
    </dxf>
    <dxf>
      <fill>
        <patternFill patternType="solid">
          <fgColor rgb="FFEAD1F2"/>
          <bgColor rgb="FF000000"/>
        </patternFill>
      </fill>
    </dxf>
    <dxf>
      <fill>
        <patternFill patternType="solid">
          <fgColor rgb="FFF2E4D8"/>
          <bgColor rgb="FF000000"/>
        </patternFill>
      </fill>
    </dxf>
    <dxf>
      <fill>
        <patternFill patternType="solid">
          <fgColor rgb="FFFCE4EC"/>
          <bgColor rgb="FF000000"/>
        </patternFill>
      </fill>
    </dxf>
    <dxf>
      <fill>
        <patternFill patternType="solid">
          <fgColor rgb="FFFFF2CC"/>
          <bgColor rgb="FF000000"/>
        </patternFill>
      </fill>
    </dxf>
    <dxf>
      <fill>
        <patternFill patternType="solid">
          <fgColor rgb="FFFFFFFF"/>
          <bgColor rgb="FF000000"/>
        </patternFill>
      </fill>
    </dxf>
    <dxf>
      <fill>
        <patternFill patternType="solid">
          <bgColor rgb="FF000000"/>
        </patternFill>
      </fill>
    </dxf>
    <dxf>
      <fill>
        <patternFill patternType="solid">
          <fgColor rgb="FF2E7D32"/>
          <bgColor rgb="FF000000"/>
        </patternFill>
      </fill>
    </dxf>
    <dxf>
      <fill>
        <patternFill patternType="solid">
          <fgColor rgb="FFB45309"/>
          <bgColor rgb="FF000000"/>
        </patternFill>
      </fill>
    </dxf>
    <dxf>
      <fill>
        <patternFill patternType="solid">
          <fgColor rgb="FFC62828"/>
          <bgColor rgb="FF000000"/>
        </patternFill>
      </fill>
    </dxf>
  </dxfs>
  <colors>
    <indexedColors>
      <rgbColor rgb="FF000000"/>
      <rgbColor rgb="FFFFFFFF"/>
      <rgbColor rgb="FFFF0000"/>
      <rgbColor rgb="FF00FF00"/>
      <rgbColor rgb="FF0000FF"/>
      <rgbColor rgb="FFFFFDE7"/>
      <rgbColor rgb="FFFF00FF"/>
      <rgbColor rgb="FF00FFFF"/>
      <rgbColor rgb="FF800000"/>
      <rgbColor rgb="FF008000"/>
      <rgbColor rgb="FF000080"/>
      <rgbColor rgb="FF808000"/>
      <rgbColor rgb="FF6A1B9A"/>
      <rgbColor rgb="FF008080"/>
      <rgbColor rgb="FFD9D9D9"/>
      <rgbColor rgb="FF455A64"/>
      <rgbColor rgb="FF9999FF"/>
      <rgbColor rgb="FFC62828"/>
      <rgbColor rgb="FFFFF9DB"/>
      <rgbColor rgb="FFD9F2EC"/>
      <rgbColor rgb="FF660066"/>
      <rgbColor rgb="FFFF8080"/>
      <rgbColor rgb="FF0066CC"/>
      <rgbColor rgb="FFEAD1F2"/>
      <rgbColor rgb="FF000080"/>
      <rgbColor rgb="FFFF00FF"/>
      <rgbColor rgb="FFFFFF00"/>
      <rgbColor rgb="FF00FFFF"/>
      <rgbColor rgb="FF800080"/>
      <rgbColor rgb="FF800000"/>
      <rgbColor rgb="FF008080"/>
      <rgbColor rgb="FF0000FF"/>
      <rgbColor rgb="FF00CCFF"/>
      <rgbColor rgb="FFDDEBF7"/>
      <rgbColor rgb="FFE2EFDA"/>
      <rgbColor rgb="FFFFF2CC"/>
      <rgbColor rgb="FFE1E6E9"/>
      <rgbColor rgb="FFFCE4EC"/>
      <rgbColor rgb="FFE7E9EB"/>
      <rgbColor rgb="FFF2E4D8"/>
      <rgbColor rgb="FF3366FF"/>
      <rgbColor rgb="FF33CCCC"/>
      <rgbColor rgb="FF99CC00"/>
      <rgbColor rgb="FFFFCC00"/>
      <rgbColor rgb="FFFF9900"/>
      <rgbColor rgb="FFFF6600"/>
      <rgbColor rgb="FF595959"/>
      <rgbColor rgb="FF969696"/>
      <rgbColor rgb="FF003366"/>
      <rgbColor rgb="FF2E7D32"/>
      <rgbColor rgb="FF003300"/>
      <rgbColor rgb="FF1F1F1F"/>
      <rgbColor rgb="FFB45309"/>
      <rgbColor rgb="FF993366"/>
      <rgbColor rgb="FF1F4E78"/>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false"/>
  </sheetPr>
  <dimension ref="B2:B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0"/>
  </cols>
  <sheetData>
    <row r="2" customFormat="false" ht="24.45" hidden="false" customHeight="false" outlineLevel="0" collapsed="false">
      <c r="B2" s="1" t="s">
        <v>0</v>
      </c>
    </row>
    <row r="3" customFormat="false" ht="19.7" hidden="false" customHeight="false" outlineLevel="0" collapsed="false">
      <c r="B3" s="2" t="s">
        <v>1</v>
      </c>
    </row>
    <row r="5" customFormat="false" ht="15" hidden="false" customHeight="false" outlineLevel="0" collapsed="false">
      <c r="B5" s="3" t="s">
        <v>2</v>
      </c>
    </row>
    <row r="7" customFormat="false" ht="15" hidden="false" customHeight="false" outlineLevel="0" collapsed="false">
      <c r="B7" s="4"/>
    </row>
    <row r="8" customFormat="false" ht="15" hidden="false" customHeight="false" outlineLevel="0" collapsed="false">
      <c r="B8" s="5" t="s">
        <v>3</v>
      </c>
    </row>
    <row r="9" customFormat="false" ht="15" hidden="false" customHeight="false" outlineLevel="0" collapsed="false">
      <c r="B9" s="4"/>
    </row>
    <row r="10" customFormat="false" ht="15" hidden="false" customHeight="false" outlineLevel="0" collapsed="false">
      <c r="B10" s="6" t="s">
        <v>4</v>
      </c>
    </row>
    <row r="11" customFormat="false" ht="15" hidden="false" customHeight="false" outlineLevel="0" collapsed="false">
      <c r="B11" s="4" t="s">
        <v>5</v>
      </c>
    </row>
    <row r="12" customFormat="false" ht="15" hidden="false" customHeight="false" outlineLevel="0" collapsed="false">
      <c r="B12" s="4"/>
    </row>
    <row r="13" customFormat="false" ht="15" hidden="false" customHeight="false" outlineLevel="0" collapsed="false">
      <c r="B13" s="6" t="s">
        <v>6</v>
      </c>
    </row>
    <row r="14" customFormat="false" ht="15" hidden="false" customHeight="false" outlineLevel="0" collapsed="false">
      <c r="B14" s="4" t="s">
        <v>7</v>
      </c>
    </row>
    <row r="15" customFormat="false" ht="15" hidden="false" customHeight="false" outlineLevel="0" collapsed="false">
      <c r="B15" s="4"/>
    </row>
    <row r="16" customFormat="false" ht="15" hidden="false" customHeight="false" outlineLevel="0" collapsed="false">
      <c r="B16" s="6" t="s">
        <v>8</v>
      </c>
    </row>
    <row r="17" customFormat="false" ht="15" hidden="false" customHeight="false" outlineLevel="0" collapsed="false">
      <c r="B17" s="4" t="s">
        <v>9</v>
      </c>
    </row>
    <row r="18" customFormat="false" ht="15" hidden="false" customHeight="false" outlineLevel="0" collapsed="false">
      <c r="B18" s="4"/>
    </row>
    <row r="19" customFormat="false" ht="15" hidden="false" customHeight="false" outlineLevel="0" collapsed="false">
      <c r="B19" s="6" t="s">
        <v>10</v>
      </c>
    </row>
    <row r="20" customFormat="false" ht="15" hidden="false" customHeight="false" outlineLevel="0" collapsed="false">
      <c r="B20" s="4"/>
    </row>
    <row r="21" customFormat="false" ht="15" hidden="false" customHeight="false" outlineLevel="0" collapsed="false">
      <c r="B21" s="5" t="s">
        <v>11</v>
      </c>
    </row>
    <row r="22" customFormat="false" ht="15" hidden="false" customHeight="false" outlineLevel="0" collapsed="false">
      <c r="B22" s="4" t="s">
        <v>12</v>
      </c>
    </row>
    <row r="23" customFormat="false" ht="15" hidden="false" customHeight="false" outlineLevel="0" collapsed="false">
      <c r="B23" s="4" t="s">
        <v>13</v>
      </c>
    </row>
    <row r="24" customFormat="false" ht="15" hidden="false" customHeight="false" outlineLevel="0" collapsed="false">
      <c r="B24" s="4" t="s">
        <v>14</v>
      </c>
    </row>
    <row r="25" customFormat="false" ht="15" hidden="false" customHeight="false" outlineLevel="0" collapsed="false">
      <c r="B25" s="4" t="s">
        <v>15</v>
      </c>
    </row>
    <row r="26" customFormat="false" ht="15" hidden="false" customHeight="false" outlineLevel="0" collapsed="false">
      <c r="B26" s="4" t="s">
        <v>16</v>
      </c>
    </row>
    <row r="27" customFormat="false" ht="15" hidden="false" customHeight="false" outlineLevel="0" collapsed="false">
      <c r="B27" s="4"/>
    </row>
    <row r="28" customFormat="false" ht="15" hidden="false" customHeight="false" outlineLevel="0" collapsed="false">
      <c r="B28" s="5" t="s">
        <v>17</v>
      </c>
    </row>
    <row r="29" customFormat="false" ht="15" hidden="false" customHeight="false" outlineLevel="0" collapsed="false">
      <c r="B29" s="4" t="s">
        <v>18</v>
      </c>
    </row>
    <row r="30" customFormat="false" ht="15" hidden="false" customHeight="false" outlineLevel="0" collapsed="false">
      <c r="B30" s="4"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A1:F1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0"/>
    <col collapsed="false" customWidth="true" hidden="false" outlineLevel="0" max="3" min="3" style="0" width="26"/>
    <col collapsed="false" customWidth="true" hidden="false" outlineLevel="0" max="4" min="4" style="0" width="13"/>
    <col collapsed="false" customWidth="true" hidden="false" outlineLevel="0" max="5" min="5" style="0" width="46"/>
    <col collapsed="false" customWidth="true" hidden="false" outlineLevel="0" max="6" min="6" style="0" width="70"/>
  </cols>
  <sheetData>
    <row r="1" customFormat="false" ht="30" hidden="false" customHeight="true" outlineLevel="0" collapsed="false">
      <c r="A1" s="7" t="s">
        <v>20</v>
      </c>
      <c r="B1" s="7" t="s">
        <v>21</v>
      </c>
      <c r="C1" s="7" t="s">
        <v>22</v>
      </c>
      <c r="D1" s="7" t="s">
        <v>23</v>
      </c>
      <c r="E1" s="7" t="s">
        <v>24</v>
      </c>
      <c r="F1" s="7" t="s">
        <v>25</v>
      </c>
    </row>
    <row r="2" customFormat="false" ht="45.75" hidden="false" customHeight="true" outlineLevel="0" collapsed="false">
      <c r="A2" s="8" t="n">
        <v>1</v>
      </c>
      <c r="B2" s="9" t="s">
        <v>26</v>
      </c>
      <c r="C2" s="9" t="s">
        <v>27</v>
      </c>
      <c r="D2" s="10" t="s">
        <v>28</v>
      </c>
      <c r="E2" s="11" t="s">
        <v>29</v>
      </c>
      <c r="F2" s="11" t="s">
        <v>30</v>
      </c>
    </row>
    <row r="3" customFormat="false" ht="45.75" hidden="false" customHeight="true" outlineLevel="0" collapsed="false">
      <c r="A3" s="8" t="n">
        <v>2</v>
      </c>
      <c r="B3" s="9" t="s">
        <v>26</v>
      </c>
      <c r="C3" s="9" t="s">
        <v>27</v>
      </c>
      <c r="D3" s="10" t="s">
        <v>28</v>
      </c>
      <c r="E3" s="11" t="s">
        <v>31</v>
      </c>
      <c r="F3" s="11" t="s">
        <v>32</v>
      </c>
    </row>
    <row r="4" customFormat="false" ht="45.75" hidden="false" customHeight="true" outlineLevel="0" collapsed="false">
      <c r="A4" s="8" t="n">
        <v>3</v>
      </c>
      <c r="B4" s="9" t="s">
        <v>26</v>
      </c>
      <c r="C4" s="9" t="s">
        <v>33</v>
      </c>
      <c r="D4" s="12" t="s">
        <v>34</v>
      </c>
      <c r="E4" s="11" t="s">
        <v>35</v>
      </c>
      <c r="F4" s="11" t="s">
        <v>36</v>
      </c>
    </row>
    <row r="5" customFormat="false" ht="45.75" hidden="false" customHeight="true" outlineLevel="0" collapsed="false">
      <c r="A5" s="8" t="n">
        <v>4</v>
      </c>
      <c r="B5" s="9" t="s">
        <v>26</v>
      </c>
      <c r="C5" s="9" t="s">
        <v>37</v>
      </c>
      <c r="D5" s="12" t="s">
        <v>34</v>
      </c>
      <c r="E5" s="11" t="s">
        <v>38</v>
      </c>
      <c r="F5" s="11" t="s">
        <v>39</v>
      </c>
    </row>
    <row r="6" customFormat="false" ht="45.75" hidden="false" customHeight="true" outlineLevel="0" collapsed="false">
      <c r="A6" s="8" t="n">
        <v>5</v>
      </c>
      <c r="B6" s="9" t="s">
        <v>26</v>
      </c>
      <c r="C6" s="9" t="s">
        <v>40</v>
      </c>
      <c r="D6" s="13" t="s">
        <v>41</v>
      </c>
      <c r="E6" s="11" t="s">
        <v>42</v>
      </c>
      <c r="F6" s="11" t="s">
        <v>43</v>
      </c>
    </row>
    <row r="7" customFormat="false" ht="45.75" hidden="false" customHeight="true" outlineLevel="0" collapsed="false">
      <c r="A7" s="8" t="n">
        <v>6</v>
      </c>
      <c r="B7" s="9" t="s">
        <v>26</v>
      </c>
      <c r="C7" s="9" t="s">
        <v>44</v>
      </c>
      <c r="D7" s="10" t="s">
        <v>28</v>
      </c>
      <c r="E7" s="11" t="s">
        <v>45</v>
      </c>
      <c r="F7" s="11" t="s">
        <v>46</v>
      </c>
    </row>
    <row r="8" customFormat="false" ht="45.75" hidden="false" customHeight="true" outlineLevel="0" collapsed="false">
      <c r="A8" s="8" t="n">
        <v>7</v>
      </c>
      <c r="B8" s="9" t="s">
        <v>26</v>
      </c>
      <c r="C8" s="9" t="s">
        <v>47</v>
      </c>
      <c r="D8" s="10" t="s">
        <v>28</v>
      </c>
      <c r="E8" s="11" t="s">
        <v>48</v>
      </c>
      <c r="F8" s="11" t="s">
        <v>49</v>
      </c>
    </row>
    <row r="9" customFormat="false" ht="45.75" hidden="false" customHeight="true" outlineLevel="0" collapsed="false">
      <c r="A9" s="8" t="n">
        <v>8</v>
      </c>
      <c r="B9" s="9" t="s">
        <v>26</v>
      </c>
      <c r="C9" s="9" t="s">
        <v>50</v>
      </c>
      <c r="D9" s="12" t="s">
        <v>34</v>
      </c>
      <c r="E9" s="11" t="s">
        <v>51</v>
      </c>
      <c r="F9" s="11" t="s">
        <v>52</v>
      </c>
    </row>
    <row r="10" customFormat="false" ht="45.75" hidden="false" customHeight="true" outlineLevel="0" collapsed="false">
      <c r="A10" s="8" t="n">
        <v>9</v>
      </c>
      <c r="B10" s="9" t="s">
        <v>26</v>
      </c>
      <c r="C10" s="9" t="s">
        <v>53</v>
      </c>
      <c r="D10" s="10" t="s">
        <v>28</v>
      </c>
      <c r="E10" s="11" t="s">
        <v>54</v>
      </c>
      <c r="F10" s="11" t="s">
        <v>55</v>
      </c>
    </row>
    <row r="11" customFormat="false" ht="45.75" hidden="false" customHeight="true" outlineLevel="0" collapsed="false">
      <c r="A11" s="8" t="n">
        <v>10</v>
      </c>
      <c r="B11" s="9" t="s">
        <v>26</v>
      </c>
      <c r="C11" s="9" t="s">
        <v>56</v>
      </c>
      <c r="D11" s="10" t="s">
        <v>28</v>
      </c>
      <c r="E11" s="11" t="s">
        <v>57</v>
      </c>
      <c r="F11" s="11" t="s">
        <v>58</v>
      </c>
    </row>
    <row r="12" customFormat="false" ht="45.75" hidden="false" customHeight="true" outlineLevel="0" collapsed="false">
      <c r="A12" s="8" t="n">
        <v>11</v>
      </c>
      <c r="B12" s="9" t="s">
        <v>26</v>
      </c>
      <c r="C12" s="9" t="s">
        <v>59</v>
      </c>
      <c r="D12" s="12" t="s">
        <v>34</v>
      </c>
      <c r="E12" s="11" t="s">
        <v>60</v>
      </c>
      <c r="F12" s="11" t="s">
        <v>61</v>
      </c>
    </row>
    <row r="13" customFormat="false" ht="45.75" hidden="false" customHeight="true" outlineLevel="0" collapsed="false">
      <c r="A13" s="8" t="n">
        <v>12</v>
      </c>
      <c r="B13" s="9" t="s">
        <v>26</v>
      </c>
      <c r="C13" s="9" t="s">
        <v>62</v>
      </c>
      <c r="D13" s="12" t="s">
        <v>34</v>
      </c>
      <c r="E13" s="11" t="s">
        <v>63</v>
      </c>
      <c r="F13" s="11" t="s">
        <v>64</v>
      </c>
    </row>
    <row r="14" customFormat="false" ht="45.75" hidden="false" customHeight="true" outlineLevel="0" collapsed="false">
      <c r="A14" s="8" t="n">
        <v>13</v>
      </c>
      <c r="B14" s="9" t="s">
        <v>26</v>
      </c>
      <c r="C14" s="9" t="s">
        <v>65</v>
      </c>
      <c r="D14" s="12" t="s">
        <v>34</v>
      </c>
      <c r="E14" s="11" t="s">
        <v>66</v>
      </c>
      <c r="F14" s="11" t="s">
        <v>67</v>
      </c>
    </row>
    <row r="15" customFormat="false" ht="45.75" hidden="false" customHeight="true" outlineLevel="0" collapsed="false">
      <c r="A15" s="8" t="n">
        <v>14</v>
      </c>
      <c r="B15" s="9" t="s">
        <v>26</v>
      </c>
      <c r="C15" s="9" t="s">
        <v>68</v>
      </c>
      <c r="D15" s="10" t="s">
        <v>28</v>
      </c>
      <c r="E15" s="11" t="s">
        <v>69</v>
      </c>
      <c r="F15" s="11" t="s">
        <v>70</v>
      </c>
    </row>
    <row r="16" customFormat="false" ht="45.75" hidden="false" customHeight="true" outlineLevel="0" collapsed="false">
      <c r="A16" s="8" t="n">
        <v>15</v>
      </c>
      <c r="B16" s="9" t="s">
        <v>26</v>
      </c>
      <c r="C16" s="9" t="s">
        <v>71</v>
      </c>
      <c r="D16" s="10" t="s">
        <v>28</v>
      </c>
      <c r="E16" s="11" t="s">
        <v>72</v>
      </c>
      <c r="F16" s="11" t="s">
        <v>73</v>
      </c>
    </row>
    <row r="17" customFormat="false" ht="45.75" hidden="false" customHeight="true" outlineLevel="0" collapsed="false">
      <c r="A17" s="8" t="n">
        <v>16</v>
      </c>
      <c r="B17" s="9" t="s">
        <v>26</v>
      </c>
      <c r="C17" s="9" t="s">
        <v>74</v>
      </c>
      <c r="D17" s="13" t="s">
        <v>41</v>
      </c>
      <c r="E17" s="11" t="s">
        <v>75</v>
      </c>
      <c r="F17" s="11" t="s">
        <v>76</v>
      </c>
    </row>
    <row r="18" customFormat="false" ht="45.75" hidden="false" customHeight="true" outlineLevel="0" collapsed="false">
      <c r="A18" s="8" t="n">
        <v>17</v>
      </c>
      <c r="B18" s="9" t="s">
        <v>26</v>
      </c>
      <c r="C18" s="9" t="s">
        <v>77</v>
      </c>
      <c r="D18" s="13" t="s">
        <v>41</v>
      </c>
      <c r="E18" s="11" t="s">
        <v>78</v>
      </c>
      <c r="F18" s="11" t="s">
        <v>79</v>
      </c>
    </row>
    <row r="19" customFormat="false" ht="45.75" hidden="false" customHeight="true" outlineLevel="0" collapsed="false">
      <c r="A19" s="14" t="n">
        <v>18</v>
      </c>
      <c r="B19" s="15" t="s">
        <v>80</v>
      </c>
      <c r="C19" s="15" t="s">
        <v>81</v>
      </c>
      <c r="D19" s="16" t="s">
        <v>28</v>
      </c>
      <c r="E19" s="17" t="s">
        <v>82</v>
      </c>
      <c r="F19" s="17" t="s">
        <v>83</v>
      </c>
    </row>
    <row r="20" customFormat="false" ht="45.75" hidden="false" customHeight="true" outlineLevel="0" collapsed="false">
      <c r="A20" s="14" t="n">
        <v>19</v>
      </c>
      <c r="B20" s="15" t="s">
        <v>80</v>
      </c>
      <c r="C20" s="15" t="s">
        <v>84</v>
      </c>
      <c r="D20" s="16" t="s">
        <v>28</v>
      </c>
      <c r="E20" s="17" t="s">
        <v>85</v>
      </c>
      <c r="F20" s="17" t="s">
        <v>86</v>
      </c>
    </row>
    <row r="21" customFormat="false" ht="45.75" hidden="false" customHeight="true" outlineLevel="0" collapsed="false">
      <c r="A21" s="14" t="n">
        <v>20</v>
      </c>
      <c r="B21" s="15" t="s">
        <v>80</v>
      </c>
      <c r="C21" s="15" t="s">
        <v>87</v>
      </c>
      <c r="D21" s="18" t="s">
        <v>34</v>
      </c>
      <c r="E21" s="17" t="s">
        <v>88</v>
      </c>
      <c r="F21" s="17" t="s">
        <v>89</v>
      </c>
    </row>
    <row r="22" customFormat="false" ht="45.75" hidden="false" customHeight="true" outlineLevel="0" collapsed="false">
      <c r="A22" s="14" t="n">
        <v>21</v>
      </c>
      <c r="B22" s="15" t="s">
        <v>80</v>
      </c>
      <c r="C22" s="15" t="s">
        <v>90</v>
      </c>
      <c r="D22" s="18" t="s">
        <v>34</v>
      </c>
      <c r="E22" s="17" t="s">
        <v>91</v>
      </c>
      <c r="F22" s="17" t="s">
        <v>92</v>
      </c>
    </row>
    <row r="23" customFormat="false" ht="45.75" hidden="false" customHeight="true" outlineLevel="0" collapsed="false">
      <c r="A23" s="14" t="n">
        <v>22</v>
      </c>
      <c r="B23" s="15" t="s">
        <v>80</v>
      </c>
      <c r="C23" s="15" t="s">
        <v>93</v>
      </c>
      <c r="D23" s="18" t="s">
        <v>34</v>
      </c>
      <c r="E23" s="17" t="s">
        <v>94</v>
      </c>
      <c r="F23" s="17" t="s">
        <v>95</v>
      </c>
    </row>
    <row r="24" customFormat="false" ht="45.75" hidden="false" customHeight="true" outlineLevel="0" collapsed="false">
      <c r="A24" s="14" t="n">
        <v>23</v>
      </c>
      <c r="B24" s="15" t="s">
        <v>80</v>
      </c>
      <c r="C24" s="15" t="s">
        <v>96</v>
      </c>
      <c r="D24" s="16" t="s">
        <v>28</v>
      </c>
      <c r="E24" s="17" t="s">
        <v>97</v>
      </c>
      <c r="F24" s="17" t="s">
        <v>98</v>
      </c>
    </row>
    <row r="25" customFormat="false" ht="45.75" hidden="false" customHeight="true" outlineLevel="0" collapsed="false">
      <c r="A25" s="14" t="n">
        <v>24</v>
      </c>
      <c r="B25" s="15" t="s">
        <v>80</v>
      </c>
      <c r="C25" s="15" t="s">
        <v>99</v>
      </c>
      <c r="D25" s="18" t="s">
        <v>34</v>
      </c>
      <c r="E25" s="17" t="s">
        <v>100</v>
      </c>
      <c r="F25" s="17" t="s">
        <v>101</v>
      </c>
    </row>
    <row r="26" customFormat="false" ht="45.75" hidden="false" customHeight="true" outlineLevel="0" collapsed="false">
      <c r="A26" s="14" t="n">
        <v>25</v>
      </c>
      <c r="B26" s="15" t="s">
        <v>80</v>
      </c>
      <c r="C26" s="15" t="s">
        <v>102</v>
      </c>
      <c r="D26" s="16" t="s">
        <v>28</v>
      </c>
      <c r="E26" s="17" t="s">
        <v>103</v>
      </c>
      <c r="F26" s="17" t="s">
        <v>104</v>
      </c>
    </row>
    <row r="27" customFormat="false" ht="45.75" hidden="false" customHeight="true" outlineLevel="0" collapsed="false">
      <c r="A27" s="14" t="n">
        <v>26</v>
      </c>
      <c r="B27" s="15" t="s">
        <v>80</v>
      </c>
      <c r="C27" s="15" t="s">
        <v>105</v>
      </c>
      <c r="D27" s="18" t="s">
        <v>34</v>
      </c>
      <c r="E27" s="17" t="s">
        <v>106</v>
      </c>
      <c r="F27" s="17" t="s">
        <v>107</v>
      </c>
    </row>
    <row r="28" customFormat="false" ht="45.75" hidden="false" customHeight="true" outlineLevel="0" collapsed="false">
      <c r="A28" s="14" t="n">
        <v>27</v>
      </c>
      <c r="B28" s="15" t="s">
        <v>80</v>
      </c>
      <c r="C28" s="15" t="s">
        <v>108</v>
      </c>
      <c r="D28" s="19" t="s">
        <v>41</v>
      </c>
      <c r="E28" s="17" t="s">
        <v>109</v>
      </c>
      <c r="F28" s="17" t="s">
        <v>110</v>
      </c>
    </row>
    <row r="29" customFormat="false" ht="45.75" hidden="false" customHeight="true" outlineLevel="0" collapsed="false">
      <c r="A29" s="14" t="n">
        <v>28</v>
      </c>
      <c r="B29" s="15" t="s">
        <v>80</v>
      </c>
      <c r="C29" s="15" t="s">
        <v>111</v>
      </c>
      <c r="D29" s="19" t="s">
        <v>41</v>
      </c>
      <c r="E29" s="17" t="s">
        <v>112</v>
      </c>
      <c r="F29" s="17" t="s">
        <v>113</v>
      </c>
    </row>
    <row r="30" customFormat="false" ht="45.75" hidden="false" customHeight="true" outlineLevel="0" collapsed="false">
      <c r="A30" s="14" t="n">
        <v>29</v>
      </c>
      <c r="B30" s="15" t="s">
        <v>80</v>
      </c>
      <c r="C30" s="15" t="s">
        <v>114</v>
      </c>
      <c r="D30" s="18" t="s">
        <v>34</v>
      </c>
      <c r="E30" s="17" t="s">
        <v>115</v>
      </c>
      <c r="F30" s="17" t="s">
        <v>116</v>
      </c>
    </row>
    <row r="31" customFormat="false" ht="45.75" hidden="false" customHeight="true" outlineLevel="0" collapsed="false">
      <c r="A31" s="14" t="n">
        <v>30</v>
      </c>
      <c r="B31" s="15" t="s">
        <v>80</v>
      </c>
      <c r="C31" s="15" t="s">
        <v>117</v>
      </c>
      <c r="D31" s="18" t="s">
        <v>34</v>
      </c>
      <c r="E31" s="17" t="s">
        <v>118</v>
      </c>
      <c r="F31" s="17" t="s">
        <v>119</v>
      </c>
    </row>
    <row r="32" customFormat="false" ht="45.75" hidden="false" customHeight="true" outlineLevel="0" collapsed="false">
      <c r="A32" s="14" t="n">
        <v>31</v>
      </c>
      <c r="B32" s="15" t="s">
        <v>80</v>
      </c>
      <c r="C32" s="15" t="s">
        <v>120</v>
      </c>
      <c r="D32" s="19" t="s">
        <v>41</v>
      </c>
      <c r="E32" s="17" t="s">
        <v>121</v>
      </c>
      <c r="F32" s="17" t="s">
        <v>122</v>
      </c>
    </row>
    <row r="33" customFormat="false" ht="45.75" hidden="false" customHeight="true" outlineLevel="0" collapsed="false">
      <c r="A33" s="14" t="n">
        <v>32</v>
      </c>
      <c r="B33" s="15" t="s">
        <v>80</v>
      </c>
      <c r="C33" s="15" t="s">
        <v>123</v>
      </c>
      <c r="D33" s="19" t="s">
        <v>41</v>
      </c>
      <c r="E33" s="17" t="s">
        <v>124</v>
      </c>
      <c r="F33" s="17" t="s">
        <v>125</v>
      </c>
    </row>
    <row r="34" customFormat="false" ht="45.75" hidden="false" customHeight="true" outlineLevel="0" collapsed="false">
      <c r="A34" s="14" t="n">
        <v>33</v>
      </c>
      <c r="B34" s="15" t="s">
        <v>80</v>
      </c>
      <c r="C34" s="15" t="s">
        <v>126</v>
      </c>
      <c r="D34" s="19" t="s">
        <v>41</v>
      </c>
      <c r="E34" s="17" t="s">
        <v>127</v>
      </c>
      <c r="F34" s="17" t="s">
        <v>128</v>
      </c>
    </row>
    <row r="35" customFormat="false" ht="45.75" hidden="false" customHeight="true" outlineLevel="0" collapsed="false">
      <c r="A35" s="20" t="n">
        <v>34</v>
      </c>
      <c r="B35" s="21" t="s">
        <v>129</v>
      </c>
      <c r="C35" s="21" t="s">
        <v>130</v>
      </c>
      <c r="D35" s="22" t="s">
        <v>28</v>
      </c>
      <c r="E35" s="23" t="s">
        <v>131</v>
      </c>
      <c r="F35" s="23" t="s">
        <v>132</v>
      </c>
    </row>
    <row r="36" customFormat="false" ht="45.75" hidden="false" customHeight="true" outlineLevel="0" collapsed="false">
      <c r="A36" s="20" t="n">
        <v>35</v>
      </c>
      <c r="B36" s="21" t="s">
        <v>129</v>
      </c>
      <c r="C36" s="21" t="s">
        <v>133</v>
      </c>
      <c r="D36" s="24" t="s">
        <v>34</v>
      </c>
      <c r="E36" s="23" t="s">
        <v>134</v>
      </c>
      <c r="F36" s="23" t="s">
        <v>135</v>
      </c>
    </row>
    <row r="37" customFormat="false" ht="45.75" hidden="false" customHeight="true" outlineLevel="0" collapsed="false">
      <c r="A37" s="20" t="n">
        <v>36</v>
      </c>
      <c r="B37" s="21" t="s">
        <v>129</v>
      </c>
      <c r="C37" s="21" t="s">
        <v>136</v>
      </c>
      <c r="D37" s="22" t="s">
        <v>28</v>
      </c>
      <c r="E37" s="23" t="s">
        <v>137</v>
      </c>
      <c r="F37" s="23" t="s">
        <v>138</v>
      </c>
    </row>
    <row r="38" customFormat="false" ht="45.75" hidden="false" customHeight="true" outlineLevel="0" collapsed="false">
      <c r="A38" s="20" t="n">
        <v>37</v>
      </c>
      <c r="B38" s="21" t="s">
        <v>129</v>
      </c>
      <c r="C38" s="21" t="s">
        <v>139</v>
      </c>
      <c r="D38" s="22" t="s">
        <v>28</v>
      </c>
      <c r="E38" s="23" t="s">
        <v>140</v>
      </c>
      <c r="F38" s="23" t="s">
        <v>141</v>
      </c>
    </row>
    <row r="39" customFormat="false" ht="45.75" hidden="false" customHeight="true" outlineLevel="0" collapsed="false">
      <c r="A39" s="20" t="n">
        <v>38</v>
      </c>
      <c r="B39" s="21" t="s">
        <v>129</v>
      </c>
      <c r="C39" s="21" t="s">
        <v>142</v>
      </c>
      <c r="D39" s="22" t="s">
        <v>28</v>
      </c>
      <c r="E39" s="23" t="s">
        <v>143</v>
      </c>
      <c r="F39" s="23" t="s">
        <v>144</v>
      </c>
    </row>
    <row r="40" customFormat="false" ht="45.75" hidden="false" customHeight="true" outlineLevel="0" collapsed="false">
      <c r="A40" s="20" t="n">
        <v>39</v>
      </c>
      <c r="B40" s="21" t="s">
        <v>129</v>
      </c>
      <c r="C40" s="21" t="s">
        <v>145</v>
      </c>
      <c r="D40" s="24" t="s">
        <v>34</v>
      </c>
      <c r="E40" s="23" t="s">
        <v>146</v>
      </c>
      <c r="F40" s="23" t="s">
        <v>147</v>
      </c>
    </row>
    <row r="41" customFormat="false" ht="45.75" hidden="false" customHeight="true" outlineLevel="0" collapsed="false">
      <c r="A41" s="20" t="n">
        <v>40</v>
      </c>
      <c r="B41" s="21" t="s">
        <v>129</v>
      </c>
      <c r="C41" s="21" t="s">
        <v>148</v>
      </c>
      <c r="D41" s="24" t="s">
        <v>34</v>
      </c>
      <c r="E41" s="23" t="s">
        <v>149</v>
      </c>
      <c r="F41" s="23" t="s">
        <v>150</v>
      </c>
    </row>
    <row r="42" customFormat="false" ht="45.75" hidden="false" customHeight="true" outlineLevel="0" collapsed="false">
      <c r="A42" s="20" t="n">
        <v>41</v>
      </c>
      <c r="B42" s="21" t="s">
        <v>129</v>
      </c>
      <c r="C42" s="21" t="s">
        <v>151</v>
      </c>
      <c r="D42" s="24" t="s">
        <v>34</v>
      </c>
      <c r="E42" s="23" t="s">
        <v>152</v>
      </c>
      <c r="F42" s="23" t="s">
        <v>153</v>
      </c>
    </row>
    <row r="43" customFormat="false" ht="45.75" hidden="false" customHeight="true" outlineLevel="0" collapsed="false">
      <c r="A43" s="20" t="n">
        <v>42</v>
      </c>
      <c r="B43" s="21" t="s">
        <v>129</v>
      </c>
      <c r="C43" s="21" t="s">
        <v>154</v>
      </c>
      <c r="D43" s="24" t="s">
        <v>34</v>
      </c>
      <c r="E43" s="23" t="s">
        <v>155</v>
      </c>
      <c r="F43" s="23" t="s">
        <v>156</v>
      </c>
    </row>
    <row r="44" customFormat="false" ht="45.75" hidden="false" customHeight="true" outlineLevel="0" collapsed="false">
      <c r="A44" s="20" t="n">
        <v>43</v>
      </c>
      <c r="B44" s="21" t="s">
        <v>129</v>
      </c>
      <c r="C44" s="21" t="s">
        <v>157</v>
      </c>
      <c r="D44" s="25" t="s">
        <v>41</v>
      </c>
      <c r="E44" s="23" t="s">
        <v>158</v>
      </c>
      <c r="F44" s="23" t="s">
        <v>159</v>
      </c>
    </row>
    <row r="45" customFormat="false" ht="45.75" hidden="false" customHeight="true" outlineLevel="0" collapsed="false">
      <c r="A45" s="20" t="n">
        <v>44</v>
      </c>
      <c r="B45" s="21" t="s">
        <v>129</v>
      </c>
      <c r="C45" s="21" t="s">
        <v>160</v>
      </c>
      <c r="D45" s="22" t="s">
        <v>28</v>
      </c>
      <c r="E45" s="23" t="s">
        <v>161</v>
      </c>
      <c r="F45" s="23" t="s">
        <v>162</v>
      </c>
    </row>
    <row r="46" customFormat="false" ht="45.75" hidden="false" customHeight="true" outlineLevel="0" collapsed="false">
      <c r="A46" s="20" t="n">
        <v>45</v>
      </c>
      <c r="B46" s="21" t="s">
        <v>129</v>
      </c>
      <c r="C46" s="21" t="s">
        <v>163</v>
      </c>
      <c r="D46" s="24" t="s">
        <v>34</v>
      </c>
      <c r="E46" s="23" t="s">
        <v>164</v>
      </c>
      <c r="F46" s="23" t="s">
        <v>165</v>
      </c>
    </row>
    <row r="47" customFormat="false" ht="45.75" hidden="false" customHeight="true" outlineLevel="0" collapsed="false">
      <c r="A47" s="26" t="n">
        <v>46</v>
      </c>
      <c r="B47" s="27" t="s">
        <v>166</v>
      </c>
      <c r="C47" s="27" t="s">
        <v>167</v>
      </c>
      <c r="D47" s="28" t="s">
        <v>28</v>
      </c>
      <c r="E47" s="29" t="s">
        <v>168</v>
      </c>
      <c r="F47" s="29" t="s">
        <v>169</v>
      </c>
    </row>
    <row r="48" customFormat="false" ht="45.75" hidden="false" customHeight="true" outlineLevel="0" collapsed="false">
      <c r="A48" s="26" t="n">
        <v>47</v>
      </c>
      <c r="B48" s="27" t="s">
        <v>166</v>
      </c>
      <c r="C48" s="27" t="s">
        <v>170</v>
      </c>
      <c r="D48" s="30" t="s">
        <v>34</v>
      </c>
      <c r="E48" s="29" t="s">
        <v>171</v>
      </c>
      <c r="F48" s="29" t="s">
        <v>172</v>
      </c>
    </row>
    <row r="49" customFormat="false" ht="45.75" hidden="false" customHeight="true" outlineLevel="0" collapsed="false">
      <c r="A49" s="26" t="n">
        <v>48</v>
      </c>
      <c r="B49" s="27" t="s">
        <v>166</v>
      </c>
      <c r="C49" s="27" t="s">
        <v>173</v>
      </c>
      <c r="D49" s="28" t="s">
        <v>28</v>
      </c>
      <c r="E49" s="29" t="s">
        <v>174</v>
      </c>
      <c r="F49" s="29" t="s">
        <v>175</v>
      </c>
    </row>
    <row r="50" customFormat="false" ht="45.75" hidden="false" customHeight="true" outlineLevel="0" collapsed="false">
      <c r="A50" s="26" t="n">
        <v>49</v>
      </c>
      <c r="B50" s="27" t="s">
        <v>166</v>
      </c>
      <c r="C50" s="27" t="s">
        <v>176</v>
      </c>
      <c r="D50" s="28" t="s">
        <v>28</v>
      </c>
      <c r="E50" s="29" t="s">
        <v>177</v>
      </c>
      <c r="F50" s="29" t="s">
        <v>178</v>
      </c>
    </row>
    <row r="51" customFormat="false" ht="45.75" hidden="false" customHeight="true" outlineLevel="0" collapsed="false">
      <c r="A51" s="26" t="n">
        <v>50</v>
      </c>
      <c r="B51" s="27" t="s">
        <v>166</v>
      </c>
      <c r="C51" s="27" t="s">
        <v>179</v>
      </c>
      <c r="D51" s="30" t="s">
        <v>34</v>
      </c>
      <c r="E51" s="29" t="s">
        <v>180</v>
      </c>
      <c r="F51" s="29" t="s">
        <v>181</v>
      </c>
    </row>
    <row r="52" customFormat="false" ht="45.75" hidden="false" customHeight="true" outlineLevel="0" collapsed="false">
      <c r="A52" s="26" t="n">
        <v>51</v>
      </c>
      <c r="B52" s="27" t="s">
        <v>166</v>
      </c>
      <c r="C52" s="27" t="s">
        <v>182</v>
      </c>
      <c r="D52" s="30" t="s">
        <v>34</v>
      </c>
      <c r="E52" s="29" t="s">
        <v>183</v>
      </c>
      <c r="F52" s="29" t="s">
        <v>184</v>
      </c>
    </row>
    <row r="53" customFormat="false" ht="45.75" hidden="false" customHeight="true" outlineLevel="0" collapsed="false">
      <c r="A53" s="26" t="n">
        <v>52</v>
      </c>
      <c r="B53" s="27" t="s">
        <v>166</v>
      </c>
      <c r="C53" s="27" t="s">
        <v>185</v>
      </c>
      <c r="D53" s="28" t="s">
        <v>28</v>
      </c>
      <c r="E53" s="29" t="s">
        <v>186</v>
      </c>
      <c r="F53" s="29" t="s">
        <v>187</v>
      </c>
    </row>
    <row r="54" customFormat="false" ht="45.75" hidden="false" customHeight="true" outlineLevel="0" collapsed="false">
      <c r="A54" s="26" t="n">
        <v>53</v>
      </c>
      <c r="B54" s="27" t="s">
        <v>166</v>
      </c>
      <c r="C54" s="27" t="s">
        <v>188</v>
      </c>
      <c r="D54" s="28" t="s">
        <v>28</v>
      </c>
      <c r="E54" s="29" t="s">
        <v>189</v>
      </c>
      <c r="F54" s="29" t="s">
        <v>190</v>
      </c>
    </row>
    <row r="55" customFormat="false" ht="45.75" hidden="false" customHeight="true" outlineLevel="0" collapsed="false">
      <c r="A55" s="26" t="n">
        <v>54</v>
      </c>
      <c r="B55" s="27" t="s">
        <v>166</v>
      </c>
      <c r="C55" s="27" t="s">
        <v>191</v>
      </c>
      <c r="D55" s="30" t="s">
        <v>34</v>
      </c>
      <c r="E55" s="29" t="s">
        <v>192</v>
      </c>
      <c r="F55" s="29" t="s">
        <v>193</v>
      </c>
    </row>
    <row r="56" customFormat="false" ht="45.75" hidden="false" customHeight="true" outlineLevel="0" collapsed="false">
      <c r="A56" s="26" t="n">
        <v>55</v>
      </c>
      <c r="B56" s="27" t="s">
        <v>166</v>
      </c>
      <c r="C56" s="27" t="s">
        <v>194</v>
      </c>
      <c r="D56" s="28" t="s">
        <v>28</v>
      </c>
      <c r="E56" s="29" t="s">
        <v>195</v>
      </c>
      <c r="F56" s="29" t="s">
        <v>196</v>
      </c>
    </row>
    <row r="57" customFormat="false" ht="45.75" hidden="false" customHeight="true" outlineLevel="0" collapsed="false">
      <c r="A57" s="26" t="n">
        <v>56</v>
      </c>
      <c r="B57" s="27" t="s">
        <v>166</v>
      </c>
      <c r="C57" s="27" t="s">
        <v>197</v>
      </c>
      <c r="D57" s="30" t="s">
        <v>34</v>
      </c>
      <c r="E57" s="29" t="s">
        <v>198</v>
      </c>
      <c r="F57" s="29" t="s">
        <v>199</v>
      </c>
    </row>
    <row r="58" customFormat="false" ht="45.75" hidden="false" customHeight="true" outlineLevel="0" collapsed="false">
      <c r="A58" s="26" t="n">
        <v>57</v>
      </c>
      <c r="B58" s="27" t="s">
        <v>166</v>
      </c>
      <c r="C58" s="27" t="s">
        <v>200</v>
      </c>
      <c r="D58" s="30" t="s">
        <v>34</v>
      </c>
      <c r="E58" s="29" t="s">
        <v>201</v>
      </c>
      <c r="F58" s="29" t="s">
        <v>202</v>
      </c>
    </row>
    <row r="59" customFormat="false" ht="45.75" hidden="false" customHeight="true" outlineLevel="0" collapsed="false">
      <c r="A59" s="26" t="n">
        <v>58</v>
      </c>
      <c r="B59" s="27" t="s">
        <v>166</v>
      </c>
      <c r="C59" s="27" t="s">
        <v>203</v>
      </c>
      <c r="D59" s="31" t="s">
        <v>41</v>
      </c>
      <c r="E59" s="29" t="s">
        <v>204</v>
      </c>
      <c r="F59" s="29" t="s">
        <v>205</v>
      </c>
    </row>
    <row r="60" customFormat="false" ht="45.75" hidden="false" customHeight="true" outlineLevel="0" collapsed="false">
      <c r="A60" s="26" t="n">
        <v>59</v>
      </c>
      <c r="B60" s="27" t="s">
        <v>166</v>
      </c>
      <c r="C60" s="27" t="s">
        <v>206</v>
      </c>
      <c r="D60" s="31" t="s">
        <v>41</v>
      </c>
      <c r="E60" s="29" t="s">
        <v>207</v>
      </c>
      <c r="F60" s="29" t="s">
        <v>208</v>
      </c>
    </row>
    <row r="61" customFormat="false" ht="45.75" hidden="false" customHeight="true" outlineLevel="0" collapsed="false">
      <c r="A61" s="32" t="n">
        <v>60</v>
      </c>
      <c r="B61" s="33" t="s">
        <v>209</v>
      </c>
      <c r="C61" s="33" t="s">
        <v>210</v>
      </c>
      <c r="D61" s="34" t="s">
        <v>28</v>
      </c>
      <c r="E61" s="35" t="s">
        <v>211</v>
      </c>
      <c r="F61" s="35" t="s">
        <v>212</v>
      </c>
    </row>
    <row r="62" customFormat="false" ht="45.75" hidden="false" customHeight="true" outlineLevel="0" collapsed="false">
      <c r="A62" s="32" t="n">
        <v>61</v>
      </c>
      <c r="B62" s="33" t="s">
        <v>209</v>
      </c>
      <c r="C62" s="33" t="s">
        <v>213</v>
      </c>
      <c r="D62" s="34" t="s">
        <v>28</v>
      </c>
      <c r="E62" s="35" t="s">
        <v>214</v>
      </c>
      <c r="F62" s="35" t="s">
        <v>215</v>
      </c>
    </row>
    <row r="63" customFormat="false" ht="45.75" hidden="false" customHeight="true" outlineLevel="0" collapsed="false">
      <c r="A63" s="32" t="n">
        <v>62</v>
      </c>
      <c r="B63" s="33" t="s">
        <v>209</v>
      </c>
      <c r="C63" s="33" t="s">
        <v>216</v>
      </c>
      <c r="D63" s="34" t="s">
        <v>28</v>
      </c>
      <c r="E63" s="35" t="s">
        <v>217</v>
      </c>
      <c r="F63" s="35" t="s">
        <v>218</v>
      </c>
    </row>
    <row r="64" customFormat="false" ht="45.75" hidden="false" customHeight="true" outlineLevel="0" collapsed="false">
      <c r="A64" s="32" t="n">
        <v>63</v>
      </c>
      <c r="B64" s="33" t="s">
        <v>209</v>
      </c>
      <c r="C64" s="33" t="s">
        <v>219</v>
      </c>
      <c r="D64" s="36" t="s">
        <v>34</v>
      </c>
      <c r="E64" s="35" t="s">
        <v>220</v>
      </c>
      <c r="F64" s="35" t="s">
        <v>221</v>
      </c>
    </row>
    <row r="65" customFormat="false" ht="45.75" hidden="false" customHeight="true" outlineLevel="0" collapsed="false">
      <c r="A65" s="32" t="n">
        <v>64</v>
      </c>
      <c r="B65" s="33" t="s">
        <v>209</v>
      </c>
      <c r="C65" s="33" t="s">
        <v>222</v>
      </c>
      <c r="D65" s="36" t="s">
        <v>34</v>
      </c>
      <c r="E65" s="35" t="s">
        <v>223</v>
      </c>
      <c r="F65" s="35" t="s">
        <v>224</v>
      </c>
    </row>
    <row r="66" customFormat="false" ht="45.75" hidden="false" customHeight="true" outlineLevel="0" collapsed="false">
      <c r="A66" s="32" t="n">
        <v>65</v>
      </c>
      <c r="B66" s="33" t="s">
        <v>209</v>
      </c>
      <c r="C66" s="33" t="s">
        <v>225</v>
      </c>
      <c r="D66" s="36" t="s">
        <v>34</v>
      </c>
      <c r="E66" s="35" t="s">
        <v>226</v>
      </c>
      <c r="F66" s="35" t="s">
        <v>227</v>
      </c>
    </row>
    <row r="67" customFormat="false" ht="45.75" hidden="false" customHeight="true" outlineLevel="0" collapsed="false">
      <c r="A67" s="32" t="n">
        <v>66</v>
      </c>
      <c r="B67" s="33" t="s">
        <v>209</v>
      </c>
      <c r="C67" s="33" t="s">
        <v>228</v>
      </c>
      <c r="D67" s="36" t="s">
        <v>34</v>
      </c>
      <c r="E67" s="35" t="s">
        <v>229</v>
      </c>
      <c r="F67" s="35" t="s">
        <v>230</v>
      </c>
    </row>
    <row r="68" customFormat="false" ht="45.75" hidden="false" customHeight="true" outlineLevel="0" collapsed="false">
      <c r="A68" s="32" t="n">
        <v>67</v>
      </c>
      <c r="B68" s="33" t="s">
        <v>209</v>
      </c>
      <c r="C68" s="33" t="s">
        <v>231</v>
      </c>
      <c r="D68" s="36" t="s">
        <v>34</v>
      </c>
      <c r="E68" s="35" t="s">
        <v>232</v>
      </c>
      <c r="F68" s="35" t="s">
        <v>233</v>
      </c>
    </row>
    <row r="69" customFormat="false" ht="45.75" hidden="false" customHeight="true" outlineLevel="0" collapsed="false">
      <c r="A69" s="32" t="n">
        <v>68</v>
      </c>
      <c r="B69" s="33" t="s">
        <v>209</v>
      </c>
      <c r="C69" s="33" t="s">
        <v>234</v>
      </c>
      <c r="D69" s="36" t="s">
        <v>34</v>
      </c>
      <c r="E69" s="35" t="s">
        <v>235</v>
      </c>
      <c r="F69" s="35" t="s">
        <v>236</v>
      </c>
    </row>
    <row r="70" customFormat="false" ht="45.75" hidden="false" customHeight="true" outlineLevel="0" collapsed="false">
      <c r="A70" s="32" t="n">
        <v>69</v>
      </c>
      <c r="B70" s="33" t="s">
        <v>209</v>
      </c>
      <c r="C70" s="33" t="s">
        <v>237</v>
      </c>
      <c r="D70" s="36" t="s">
        <v>34</v>
      </c>
      <c r="E70" s="35" t="s">
        <v>238</v>
      </c>
      <c r="F70" s="35" t="s">
        <v>239</v>
      </c>
    </row>
    <row r="71" customFormat="false" ht="45.75" hidden="false" customHeight="true" outlineLevel="0" collapsed="false">
      <c r="A71" s="32" t="n">
        <v>70</v>
      </c>
      <c r="B71" s="33" t="s">
        <v>209</v>
      </c>
      <c r="C71" s="33" t="s">
        <v>240</v>
      </c>
      <c r="D71" s="37" t="s">
        <v>41</v>
      </c>
      <c r="E71" s="35" t="s">
        <v>241</v>
      </c>
      <c r="F71" s="35" t="s">
        <v>242</v>
      </c>
    </row>
    <row r="72" customFormat="false" ht="45.75" hidden="false" customHeight="true" outlineLevel="0" collapsed="false">
      <c r="A72" s="32" t="n">
        <v>71</v>
      </c>
      <c r="B72" s="33" t="s">
        <v>209</v>
      </c>
      <c r="C72" s="33" t="s">
        <v>243</v>
      </c>
      <c r="D72" s="37" t="s">
        <v>41</v>
      </c>
      <c r="E72" s="35" t="s">
        <v>244</v>
      </c>
      <c r="F72" s="35" t="s">
        <v>245</v>
      </c>
    </row>
    <row r="73" customFormat="false" ht="45.75" hidden="false" customHeight="true" outlineLevel="0" collapsed="false">
      <c r="A73" s="38" t="n">
        <v>72</v>
      </c>
      <c r="B73" s="39" t="s">
        <v>246</v>
      </c>
      <c r="C73" s="39" t="s">
        <v>247</v>
      </c>
      <c r="D73" s="40" t="s">
        <v>28</v>
      </c>
      <c r="E73" s="41" t="s">
        <v>248</v>
      </c>
      <c r="F73" s="41" t="s">
        <v>249</v>
      </c>
    </row>
    <row r="74" customFormat="false" ht="45.75" hidden="false" customHeight="true" outlineLevel="0" collapsed="false">
      <c r="A74" s="38" t="n">
        <v>73</v>
      </c>
      <c r="B74" s="39" t="s">
        <v>246</v>
      </c>
      <c r="C74" s="39" t="s">
        <v>250</v>
      </c>
      <c r="D74" s="42" t="s">
        <v>34</v>
      </c>
      <c r="E74" s="41" t="s">
        <v>251</v>
      </c>
      <c r="F74" s="41" t="s">
        <v>252</v>
      </c>
    </row>
    <row r="75" customFormat="false" ht="45.75" hidden="false" customHeight="true" outlineLevel="0" collapsed="false">
      <c r="A75" s="38" t="n">
        <v>74</v>
      </c>
      <c r="B75" s="39" t="s">
        <v>246</v>
      </c>
      <c r="C75" s="39" t="s">
        <v>253</v>
      </c>
      <c r="D75" s="42" t="s">
        <v>34</v>
      </c>
      <c r="E75" s="41" t="s">
        <v>254</v>
      </c>
      <c r="F75" s="41" t="s">
        <v>255</v>
      </c>
    </row>
    <row r="76" customFormat="false" ht="45.75" hidden="false" customHeight="true" outlineLevel="0" collapsed="false">
      <c r="A76" s="38" t="n">
        <v>75</v>
      </c>
      <c r="B76" s="39" t="s">
        <v>246</v>
      </c>
      <c r="C76" s="39" t="s">
        <v>256</v>
      </c>
      <c r="D76" s="42" t="s">
        <v>34</v>
      </c>
      <c r="E76" s="41" t="s">
        <v>257</v>
      </c>
      <c r="F76" s="41" t="s">
        <v>258</v>
      </c>
    </row>
    <row r="77" customFormat="false" ht="45.75" hidden="false" customHeight="true" outlineLevel="0" collapsed="false">
      <c r="A77" s="38" t="n">
        <v>76</v>
      </c>
      <c r="B77" s="39" t="s">
        <v>246</v>
      </c>
      <c r="C77" s="39" t="s">
        <v>259</v>
      </c>
      <c r="D77" s="42" t="s">
        <v>34</v>
      </c>
      <c r="E77" s="41" t="s">
        <v>260</v>
      </c>
      <c r="F77" s="41" t="s">
        <v>261</v>
      </c>
    </row>
    <row r="78" customFormat="false" ht="45.75" hidden="false" customHeight="true" outlineLevel="0" collapsed="false">
      <c r="A78" s="38" t="n">
        <v>77</v>
      </c>
      <c r="B78" s="39" t="s">
        <v>246</v>
      </c>
      <c r="C78" s="39" t="s">
        <v>262</v>
      </c>
      <c r="D78" s="43" t="s">
        <v>41</v>
      </c>
      <c r="E78" s="41" t="s">
        <v>263</v>
      </c>
      <c r="F78" s="41" t="s">
        <v>264</v>
      </c>
    </row>
    <row r="79" customFormat="false" ht="45.75" hidden="false" customHeight="true" outlineLevel="0" collapsed="false">
      <c r="A79" s="38" t="n">
        <v>78</v>
      </c>
      <c r="B79" s="39" t="s">
        <v>246</v>
      </c>
      <c r="C79" s="39" t="s">
        <v>265</v>
      </c>
      <c r="D79" s="42" t="s">
        <v>34</v>
      </c>
      <c r="E79" s="41" t="s">
        <v>266</v>
      </c>
      <c r="F79" s="41" t="s">
        <v>267</v>
      </c>
    </row>
    <row r="80" customFormat="false" ht="45.75" hidden="false" customHeight="true" outlineLevel="0" collapsed="false">
      <c r="A80" s="38" t="n">
        <v>79</v>
      </c>
      <c r="B80" s="39" t="s">
        <v>246</v>
      </c>
      <c r="C80" s="39" t="s">
        <v>268</v>
      </c>
      <c r="D80" s="43" t="s">
        <v>41</v>
      </c>
      <c r="E80" s="41" t="s">
        <v>269</v>
      </c>
      <c r="F80" s="41" t="s">
        <v>270</v>
      </c>
    </row>
    <row r="81" customFormat="false" ht="45.75" hidden="false" customHeight="true" outlineLevel="0" collapsed="false">
      <c r="A81" s="38" t="n">
        <v>80</v>
      </c>
      <c r="B81" s="39" t="s">
        <v>246</v>
      </c>
      <c r="C81" s="39" t="s">
        <v>271</v>
      </c>
      <c r="D81" s="43" t="s">
        <v>41</v>
      </c>
      <c r="E81" s="41" t="s">
        <v>272</v>
      </c>
      <c r="F81" s="41" t="s">
        <v>273</v>
      </c>
    </row>
    <row r="82" customFormat="false" ht="45.75" hidden="false" customHeight="true" outlineLevel="0" collapsed="false">
      <c r="A82" s="38" t="n">
        <v>81</v>
      </c>
      <c r="B82" s="39" t="s">
        <v>246</v>
      </c>
      <c r="C82" s="39" t="s">
        <v>274</v>
      </c>
      <c r="D82" s="40" t="s">
        <v>28</v>
      </c>
      <c r="E82" s="41" t="s">
        <v>275</v>
      </c>
      <c r="F82" s="41" t="s">
        <v>276</v>
      </c>
    </row>
    <row r="83" customFormat="false" ht="45.75" hidden="false" customHeight="true" outlineLevel="0" collapsed="false">
      <c r="A83" s="38" t="n">
        <v>82</v>
      </c>
      <c r="B83" s="39" t="s">
        <v>246</v>
      </c>
      <c r="C83" s="39" t="s">
        <v>277</v>
      </c>
      <c r="D83" s="40" t="s">
        <v>28</v>
      </c>
      <c r="E83" s="41" t="s">
        <v>278</v>
      </c>
      <c r="F83" s="41" t="s">
        <v>279</v>
      </c>
    </row>
    <row r="84" customFormat="false" ht="45.75" hidden="false" customHeight="true" outlineLevel="0" collapsed="false">
      <c r="A84" s="38" t="n">
        <v>83</v>
      </c>
      <c r="B84" s="39" t="s">
        <v>246</v>
      </c>
      <c r="C84" s="39" t="s">
        <v>280</v>
      </c>
      <c r="D84" s="42" t="s">
        <v>34</v>
      </c>
      <c r="E84" s="41" t="s">
        <v>281</v>
      </c>
      <c r="F84" s="41" t="s">
        <v>282</v>
      </c>
    </row>
    <row r="85" customFormat="false" ht="45.75" hidden="false" customHeight="true" outlineLevel="0" collapsed="false">
      <c r="A85" s="38" t="n">
        <v>84</v>
      </c>
      <c r="B85" s="39" t="s">
        <v>246</v>
      </c>
      <c r="C85" s="39" t="s">
        <v>283</v>
      </c>
      <c r="D85" s="43" t="s">
        <v>41</v>
      </c>
      <c r="E85" s="41" t="s">
        <v>284</v>
      </c>
      <c r="F85" s="41" t="s">
        <v>285</v>
      </c>
    </row>
    <row r="86" customFormat="false" ht="45.75" hidden="false" customHeight="true" outlineLevel="0" collapsed="false">
      <c r="A86" s="38" t="n">
        <v>85</v>
      </c>
      <c r="B86" s="39" t="s">
        <v>246</v>
      </c>
      <c r="C86" s="39" t="s">
        <v>286</v>
      </c>
      <c r="D86" s="42" t="s">
        <v>34</v>
      </c>
      <c r="E86" s="41" t="s">
        <v>287</v>
      </c>
      <c r="F86" s="41" t="s">
        <v>288</v>
      </c>
    </row>
    <row r="87" customFormat="false" ht="45.75" hidden="false" customHeight="true" outlineLevel="0" collapsed="false">
      <c r="A87" s="44" t="n">
        <v>86</v>
      </c>
      <c r="B87" s="45" t="s">
        <v>289</v>
      </c>
      <c r="C87" s="45" t="s">
        <v>290</v>
      </c>
      <c r="D87" s="46" t="s">
        <v>34</v>
      </c>
      <c r="E87" s="47" t="s">
        <v>291</v>
      </c>
      <c r="F87" s="47" t="s">
        <v>292</v>
      </c>
    </row>
    <row r="88" customFormat="false" ht="45.75" hidden="false" customHeight="true" outlineLevel="0" collapsed="false">
      <c r="A88" s="44" t="n">
        <v>87</v>
      </c>
      <c r="B88" s="45" t="s">
        <v>289</v>
      </c>
      <c r="C88" s="45" t="s">
        <v>293</v>
      </c>
      <c r="D88" s="46" t="s">
        <v>34</v>
      </c>
      <c r="E88" s="47" t="s">
        <v>294</v>
      </c>
      <c r="F88" s="47" t="s">
        <v>295</v>
      </c>
    </row>
    <row r="89" customFormat="false" ht="45.75" hidden="false" customHeight="true" outlineLevel="0" collapsed="false">
      <c r="A89" s="44" t="n">
        <v>88</v>
      </c>
      <c r="B89" s="45" t="s">
        <v>289</v>
      </c>
      <c r="C89" s="45" t="s">
        <v>296</v>
      </c>
      <c r="D89" s="46" t="s">
        <v>34</v>
      </c>
      <c r="E89" s="47" t="s">
        <v>297</v>
      </c>
      <c r="F89" s="47" t="s">
        <v>298</v>
      </c>
    </row>
    <row r="90" customFormat="false" ht="45.75" hidden="false" customHeight="true" outlineLevel="0" collapsed="false">
      <c r="A90" s="44" t="n">
        <v>89</v>
      </c>
      <c r="B90" s="45" t="s">
        <v>289</v>
      </c>
      <c r="C90" s="45" t="s">
        <v>299</v>
      </c>
      <c r="D90" s="48" t="s">
        <v>41</v>
      </c>
      <c r="E90" s="47" t="s">
        <v>300</v>
      </c>
      <c r="F90" s="47" t="s">
        <v>301</v>
      </c>
    </row>
    <row r="91" customFormat="false" ht="45.75" hidden="false" customHeight="true" outlineLevel="0" collapsed="false">
      <c r="A91" s="44" t="n">
        <v>90</v>
      </c>
      <c r="B91" s="45" t="s">
        <v>289</v>
      </c>
      <c r="C91" s="45" t="s">
        <v>302</v>
      </c>
      <c r="D91" s="48" t="s">
        <v>41</v>
      </c>
      <c r="E91" s="47" t="s">
        <v>303</v>
      </c>
      <c r="F91" s="47" t="s">
        <v>304</v>
      </c>
    </row>
    <row r="92" customFormat="false" ht="45.75" hidden="false" customHeight="true" outlineLevel="0" collapsed="false">
      <c r="A92" s="44" t="n">
        <v>91</v>
      </c>
      <c r="B92" s="45" t="s">
        <v>289</v>
      </c>
      <c r="C92" s="45" t="s">
        <v>305</v>
      </c>
      <c r="D92" s="48" t="s">
        <v>41</v>
      </c>
      <c r="E92" s="47" t="s">
        <v>306</v>
      </c>
      <c r="F92" s="47" t="s">
        <v>307</v>
      </c>
    </row>
    <row r="93" customFormat="false" ht="45.75" hidden="false" customHeight="true" outlineLevel="0" collapsed="false">
      <c r="A93" s="44" t="n">
        <v>92</v>
      </c>
      <c r="B93" s="45" t="s">
        <v>289</v>
      </c>
      <c r="C93" s="45" t="s">
        <v>308</v>
      </c>
      <c r="D93" s="46" t="s">
        <v>34</v>
      </c>
      <c r="E93" s="47" t="s">
        <v>309</v>
      </c>
      <c r="F93" s="47" t="s">
        <v>310</v>
      </c>
    </row>
    <row r="94" customFormat="false" ht="45.75" hidden="false" customHeight="true" outlineLevel="0" collapsed="false">
      <c r="A94" s="44" t="n">
        <v>93</v>
      </c>
      <c r="B94" s="45" t="s">
        <v>289</v>
      </c>
      <c r="C94" s="45" t="s">
        <v>311</v>
      </c>
      <c r="D94" s="48" t="s">
        <v>41</v>
      </c>
      <c r="E94" s="47" t="s">
        <v>312</v>
      </c>
      <c r="F94" s="47" t="s">
        <v>313</v>
      </c>
    </row>
    <row r="95" customFormat="false" ht="45.75" hidden="false" customHeight="true" outlineLevel="0" collapsed="false">
      <c r="A95" s="49" t="n">
        <v>94</v>
      </c>
      <c r="B95" s="50" t="s">
        <v>314</v>
      </c>
      <c r="C95" s="50" t="s">
        <v>315</v>
      </c>
      <c r="D95" s="51" t="s">
        <v>28</v>
      </c>
      <c r="E95" s="52" t="s">
        <v>316</v>
      </c>
      <c r="F95" s="52" t="s">
        <v>317</v>
      </c>
    </row>
    <row r="96" customFormat="false" ht="45.75" hidden="false" customHeight="true" outlineLevel="0" collapsed="false">
      <c r="A96" s="49" t="n">
        <v>95</v>
      </c>
      <c r="B96" s="50" t="s">
        <v>314</v>
      </c>
      <c r="C96" s="50" t="s">
        <v>318</v>
      </c>
      <c r="D96" s="51" t="s">
        <v>28</v>
      </c>
      <c r="E96" s="52" t="s">
        <v>319</v>
      </c>
      <c r="F96" s="52" t="s">
        <v>320</v>
      </c>
    </row>
    <row r="97" customFormat="false" ht="45.75" hidden="false" customHeight="true" outlineLevel="0" collapsed="false">
      <c r="A97" s="49" t="n">
        <v>96</v>
      </c>
      <c r="B97" s="50" t="s">
        <v>314</v>
      </c>
      <c r="C97" s="50" t="s">
        <v>321</v>
      </c>
      <c r="D97" s="53" t="s">
        <v>34</v>
      </c>
      <c r="E97" s="52" t="s">
        <v>322</v>
      </c>
      <c r="F97" s="52" t="s">
        <v>323</v>
      </c>
    </row>
    <row r="98" customFormat="false" ht="45.75" hidden="false" customHeight="true" outlineLevel="0" collapsed="false">
      <c r="A98" s="49" t="n">
        <v>97</v>
      </c>
      <c r="B98" s="50" t="s">
        <v>314</v>
      </c>
      <c r="C98" s="50" t="s">
        <v>324</v>
      </c>
      <c r="D98" s="54" t="s">
        <v>41</v>
      </c>
      <c r="E98" s="52" t="s">
        <v>325</v>
      </c>
      <c r="F98" s="52" t="s">
        <v>326</v>
      </c>
    </row>
    <row r="99" customFormat="false" ht="45.75" hidden="false" customHeight="true" outlineLevel="0" collapsed="false">
      <c r="A99" s="49" t="n">
        <v>98</v>
      </c>
      <c r="B99" s="50" t="s">
        <v>314</v>
      </c>
      <c r="C99" s="50" t="s">
        <v>327</v>
      </c>
      <c r="D99" s="53" t="s">
        <v>34</v>
      </c>
      <c r="E99" s="52" t="s">
        <v>328</v>
      </c>
      <c r="F99" s="52" t="s">
        <v>329</v>
      </c>
    </row>
    <row r="100" customFormat="false" ht="45.75" hidden="false" customHeight="true" outlineLevel="0" collapsed="false">
      <c r="A100" s="49" t="n">
        <v>99</v>
      </c>
      <c r="B100" s="50" t="s">
        <v>314</v>
      </c>
      <c r="C100" s="50" t="s">
        <v>330</v>
      </c>
      <c r="D100" s="54" t="s">
        <v>41</v>
      </c>
      <c r="E100" s="52" t="s">
        <v>331</v>
      </c>
      <c r="F100" s="52" t="s">
        <v>332</v>
      </c>
    </row>
    <row r="101" customFormat="false" ht="45.75" hidden="false" customHeight="true" outlineLevel="0" collapsed="false">
      <c r="A101" s="49" t="n">
        <v>100</v>
      </c>
      <c r="B101" s="50" t="s">
        <v>314</v>
      </c>
      <c r="C101" s="50" t="s">
        <v>333</v>
      </c>
      <c r="D101" s="54" t="s">
        <v>41</v>
      </c>
      <c r="E101" s="52" t="s">
        <v>334</v>
      </c>
      <c r="F101" s="52" t="s">
        <v>335</v>
      </c>
    </row>
    <row r="102" customFormat="false" ht="45.75" hidden="false" customHeight="true" outlineLevel="0" collapsed="false">
      <c r="A102" s="49" t="n">
        <v>101</v>
      </c>
      <c r="B102" s="50" t="s">
        <v>314</v>
      </c>
      <c r="C102" s="50" t="s">
        <v>336</v>
      </c>
      <c r="D102" s="54" t="s">
        <v>41</v>
      </c>
      <c r="E102" s="52" t="s">
        <v>337</v>
      </c>
      <c r="F102" s="52" t="s">
        <v>338</v>
      </c>
    </row>
    <row r="103" customFormat="false" ht="45.75" hidden="false" customHeight="true" outlineLevel="0" collapsed="false">
      <c r="A103" s="55" t="n">
        <v>102</v>
      </c>
      <c r="B103" s="56" t="s">
        <v>339</v>
      </c>
      <c r="C103" s="56" t="s">
        <v>340</v>
      </c>
      <c r="D103" s="57" t="s">
        <v>41</v>
      </c>
      <c r="E103" s="58" t="s">
        <v>341</v>
      </c>
      <c r="F103" s="58" t="s">
        <v>342</v>
      </c>
    </row>
    <row r="104" customFormat="false" ht="45.75" hidden="false" customHeight="true" outlineLevel="0" collapsed="false">
      <c r="A104" s="55" t="n">
        <v>103</v>
      </c>
      <c r="B104" s="56" t="s">
        <v>339</v>
      </c>
      <c r="C104" s="56" t="s">
        <v>343</v>
      </c>
      <c r="D104" s="57" t="s">
        <v>41</v>
      </c>
      <c r="E104" s="58" t="s">
        <v>344</v>
      </c>
      <c r="F104" s="58" t="s">
        <v>345</v>
      </c>
    </row>
    <row r="105" customFormat="false" ht="45.75" hidden="false" customHeight="true" outlineLevel="0" collapsed="false">
      <c r="A105" s="55" t="n">
        <v>104</v>
      </c>
      <c r="B105" s="56" t="s">
        <v>339</v>
      </c>
      <c r="C105" s="56" t="s">
        <v>346</v>
      </c>
      <c r="D105" s="57" t="s">
        <v>41</v>
      </c>
      <c r="E105" s="58" t="s">
        <v>347</v>
      </c>
      <c r="F105" s="58" t="s">
        <v>348</v>
      </c>
    </row>
    <row r="106" customFormat="false" ht="45.75" hidden="false" customHeight="true" outlineLevel="0" collapsed="false">
      <c r="A106" s="55" t="n">
        <v>105</v>
      </c>
      <c r="B106" s="56" t="s">
        <v>339</v>
      </c>
      <c r="C106" s="56" t="s">
        <v>349</v>
      </c>
      <c r="D106" s="57" t="s">
        <v>41</v>
      </c>
      <c r="E106" s="58" t="s">
        <v>350</v>
      </c>
      <c r="F106" s="58" t="s">
        <v>351</v>
      </c>
    </row>
    <row r="107" customFormat="false" ht="45.75" hidden="false" customHeight="true" outlineLevel="0" collapsed="false">
      <c r="A107" s="55" t="n">
        <v>106</v>
      </c>
      <c r="B107" s="56" t="s">
        <v>339</v>
      </c>
      <c r="C107" s="56" t="s">
        <v>352</v>
      </c>
      <c r="D107" s="57" t="s">
        <v>41</v>
      </c>
      <c r="E107" s="58" t="s">
        <v>353</v>
      </c>
      <c r="F107" s="58" t="s">
        <v>354</v>
      </c>
    </row>
    <row r="108" customFormat="false" ht="45.75" hidden="false" customHeight="true" outlineLevel="0" collapsed="false">
      <c r="A108" s="55" t="n">
        <v>107</v>
      </c>
      <c r="B108" s="56" t="s">
        <v>339</v>
      </c>
      <c r="C108" s="56" t="s">
        <v>355</v>
      </c>
      <c r="D108" s="57" t="s">
        <v>41</v>
      </c>
      <c r="E108" s="58" t="s">
        <v>356</v>
      </c>
      <c r="F108" s="58" t="s">
        <v>357</v>
      </c>
    </row>
    <row r="109" customFormat="false" ht="45.75" hidden="false" customHeight="true" outlineLevel="0" collapsed="false">
      <c r="A109" s="55" t="n">
        <v>108</v>
      </c>
      <c r="B109" s="56" t="s">
        <v>339</v>
      </c>
      <c r="C109" s="56" t="s">
        <v>358</v>
      </c>
      <c r="D109" s="59" t="s">
        <v>34</v>
      </c>
      <c r="E109" s="58" t="s">
        <v>359</v>
      </c>
      <c r="F109" s="58" t="s">
        <v>360</v>
      </c>
    </row>
    <row r="110" customFormat="false" ht="45.75" hidden="false" customHeight="true" outlineLevel="0" collapsed="false">
      <c r="A110" s="55" t="n">
        <v>109</v>
      </c>
      <c r="B110" s="56" t="s">
        <v>339</v>
      </c>
      <c r="C110" s="56" t="s">
        <v>361</v>
      </c>
      <c r="D110" s="59" t="s">
        <v>34</v>
      </c>
      <c r="E110" s="58" t="s">
        <v>362</v>
      </c>
      <c r="F110" s="58" t="s">
        <v>363</v>
      </c>
    </row>
    <row r="111" customFormat="false" ht="45.75" hidden="false" customHeight="true" outlineLevel="0" collapsed="false">
      <c r="A111" s="55" t="n">
        <v>110</v>
      </c>
      <c r="B111" s="56" t="s">
        <v>339</v>
      </c>
      <c r="C111" s="56" t="s">
        <v>364</v>
      </c>
      <c r="D111" s="59" t="s">
        <v>34</v>
      </c>
      <c r="E111" s="58" t="s">
        <v>365</v>
      </c>
      <c r="F111" s="58" t="s">
        <v>366</v>
      </c>
    </row>
    <row r="112" customFormat="false" ht="45.75" hidden="false" customHeight="true" outlineLevel="0" collapsed="false">
      <c r="A112" s="55" t="n">
        <v>111</v>
      </c>
      <c r="B112" s="56" t="s">
        <v>339</v>
      </c>
      <c r="C112" s="56" t="s">
        <v>367</v>
      </c>
      <c r="D112" s="60" t="s">
        <v>28</v>
      </c>
      <c r="E112" s="58" t="s">
        <v>368</v>
      </c>
      <c r="F112" s="58" t="s">
        <v>369</v>
      </c>
    </row>
    <row r="113" customFormat="false" ht="45.75" hidden="false" customHeight="true" outlineLevel="0" collapsed="false">
      <c r="A113" s="55" t="n">
        <v>112</v>
      </c>
      <c r="B113" s="56" t="s">
        <v>339</v>
      </c>
      <c r="C113" s="56" t="s">
        <v>370</v>
      </c>
      <c r="D113" s="59" t="s">
        <v>34</v>
      </c>
      <c r="E113" s="58" t="s">
        <v>371</v>
      </c>
      <c r="F113" s="58" t="s">
        <v>372</v>
      </c>
    </row>
    <row r="116" customFormat="false" ht="15" hidden="false" customHeight="false" outlineLevel="0" collapsed="false">
      <c r="A116" s="61" t="s">
        <v>373</v>
      </c>
    </row>
    <row r="117" customFormat="false" ht="15" hidden="false" customHeight="false" outlineLevel="0" collapsed="false">
      <c r="A117" s="62" t="s">
        <v>21</v>
      </c>
      <c r="B117" s="62" t="s">
        <v>374</v>
      </c>
    </row>
    <row r="118" customFormat="false" ht="15" hidden="false" customHeight="false" outlineLevel="0" collapsed="false">
      <c r="A118" s="63" t="s">
        <v>26</v>
      </c>
      <c r="B118" s="63" t="n">
        <f aca="false">COUNTIF(B2:B113,A118)</f>
        <v>17</v>
      </c>
    </row>
    <row r="119" customFormat="false" ht="15" hidden="false" customHeight="false" outlineLevel="0" collapsed="false">
      <c r="A119" s="63" t="s">
        <v>80</v>
      </c>
      <c r="B119" s="63" t="n">
        <f aca="false">COUNTIF(B2:B113,A119)</f>
        <v>16</v>
      </c>
    </row>
    <row r="120" customFormat="false" ht="15" hidden="false" customHeight="false" outlineLevel="0" collapsed="false">
      <c r="A120" s="63" t="s">
        <v>129</v>
      </c>
      <c r="B120" s="63" t="n">
        <f aca="false">COUNTIF(B2:B113,A120)</f>
        <v>12</v>
      </c>
    </row>
    <row r="121" customFormat="false" ht="15" hidden="false" customHeight="false" outlineLevel="0" collapsed="false">
      <c r="A121" s="63" t="s">
        <v>166</v>
      </c>
      <c r="B121" s="63" t="n">
        <f aca="false">COUNTIF(B2:B113,A121)</f>
        <v>14</v>
      </c>
    </row>
    <row r="122" customFormat="false" ht="15" hidden="false" customHeight="false" outlineLevel="0" collapsed="false">
      <c r="A122" s="63" t="s">
        <v>209</v>
      </c>
      <c r="B122" s="63" t="n">
        <f aca="false">COUNTIF(B2:B113,A122)</f>
        <v>12</v>
      </c>
    </row>
    <row r="123" customFormat="false" ht="15" hidden="false" customHeight="false" outlineLevel="0" collapsed="false">
      <c r="A123" s="63" t="s">
        <v>246</v>
      </c>
      <c r="B123" s="63" t="n">
        <f aca="false">COUNTIF(B2:B113,A123)</f>
        <v>14</v>
      </c>
    </row>
    <row r="124" customFormat="false" ht="15" hidden="false" customHeight="false" outlineLevel="0" collapsed="false">
      <c r="A124" s="63" t="s">
        <v>289</v>
      </c>
      <c r="B124" s="63" t="n">
        <f aca="false">COUNTIF(B2:B113,A124)</f>
        <v>8</v>
      </c>
    </row>
    <row r="125" customFormat="false" ht="15" hidden="false" customHeight="false" outlineLevel="0" collapsed="false">
      <c r="A125" s="63" t="s">
        <v>314</v>
      </c>
      <c r="B125" s="63" t="n">
        <f aca="false">COUNTIF(B2:B113,A125)</f>
        <v>8</v>
      </c>
    </row>
    <row r="126" customFormat="false" ht="15" hidden="false" customHeight="false" outlineLevel="0" collapsed="false">
      <c r="A126" s="63" t="s">
        <v>339</v>
      </c>
      <c r="B126" s="63" t="n">
        <f aca="false">COUNTIF(B2:B113,A126)</f>
        <v>11</v>
      </c>
    </row>
    <row r="127" customFormat="false" ht="15" hidden="false" customHeight="false" outlineLevel="0" collapsed="false">
      <c r="A127" s="62" t="s">
        <v>375</v>
      </c>
      <c r="B127" s="62" t="n">
        <f aca="false">SUM(B118:B126)</f>
        <v>112</v>
      </c>
    </row>
  </sheetData>
  <autoFilter ref="A1:F1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5309"/>
    <pageSetUpPr fitToPage="false"/>
  </sheetPr>
  <dimension ref="A1:I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4"/>
    <col collapsed="false" customWidth="true" hidden="false" outlineLevel="0" max="4" min="3" style="0" width="12"/>
    <col collapsed="false" customWidth="true" hidden="false" outlineLevel="0" max="5" min="5" style="0" width="14"/>
    <col collapsed="false" customWidth="true" hidden="false" outlineLevel="0" max="6" min="6" style="0" width="4"/>
    <col collapsed="false" customWidth="true" hidden="false" outlineLevel="0" max="7" min="7" style="0" width="26"/>
    <col collapsed="false" customWidth="true" hidden="false" outlineLevel="0" max="8" min="8" style="0" width="40"/>
    <col collapsed="false" customWidth="true" hidden="false" outlineLevel="0" max="9" min="9" style="0" width="16"/>
    <col collapsed="false" customWidth="true" hidden="false" outlineLevel="0" max="10" min="10" style="0" width="4"/>
  </cols>
  <sheetData>
    <row r="1" customFormat="false" ht="19.7" hidden="false" customHeight="false" outlineLevel="0" collapsed="false">
      <c r="A1" s="64" t="s">
        <v>376</v>
      </c>
    </row>
    <row r="2" customFormat="false" ht="15" hidden="false" customHeight="false" outlineLevel="0" collapsed="false">
      <c r="A2" s="65" t="s">
        <v>377</v>
      </c>
    </row>
    <row r="4" customFormat="false" ht="24" hidden="false" customHeight="true" outlineLevel="0" collapsed="false">
      <c r="A4" s="7" t="s">
        <v>378</v>
      </c>
      <c r="B4" s="7" t="s">
        <v>379</v>
      </c>
      <c r="C4" s="7" t="s">
        <v>380</v>
      </c>
      <c r="D4" s="7" t="s">
        <v>381</v>
      </c>
      <c r="E4" s="7" t="s">
        <v>382</v>
      </c>
      <c r="G4" s="7" t="s">
        <v>383</v>
      </c>
      <c r="H4" s="7" t="s">
        <v>384</v>
      </c>
      <c r="I4" s="7" t="s">
        <v>385</v>
      </c>
    </row>
    <row r="5" customFormat="false" ht="15.75" hidden="false" customHeight="true" outlineLevel="0" collapsed="false">
      <c r="A5" s="66" t="s">
        <v>386</v>
      </c>
      <c r="B5" s="66" t="s">
        <v>387</v>
      </c>
      <c r="C5" s="67" t="s">
        <v>388</v>
      </c>
      <c r="D5" s="68" t="n">
        <v>185000</v>
      </c>
      <c r="E5" s="69" t="n">
        <v>42</v>
      </c>
      <c r="G5" s="70" t="s">
        <v>27</v>
      </c>
      <c r="H5" s="71" t="s">
        <v>389</v>
      </c>
      <c r="I5" s="72" t="n">
        <f aca="false">SUM(D5:D16)</f>
        <v>2880000</v>
      </c>
    </row>
    <row r="6" customFormat="false" ht="15.75" hidden="false" customHeight="true" outlineLevel="0" collapsed="false">
      <c r="A6" s="66" t="s">
        <v>390</v>
      </c>
      <c r="B6" s="66" t="s">
        <v>387</v>
      </c>
      <c r="C6" s="67" t="s">
        <v>391</v>
      </c>
      <c r="D6" s="68" t="n">
        <v>210000</v>
      </c>
      <c r="E6" s="69" t="n">
        <v>65</v>
      </c>
      <c r="G6" s="70" t="s">
        <v>392</v>
      </c>
      <c r="H6" s="71" t="s">
        <v>393</v>
      </c>
      <c r="I6" s="72" t="n">
        <f aca="false">AVERAGE(D5:D16)</f>
        <v>240000</v>
      </c>
    </row>
    <row r="7" customFormat="false" ht="15.75" hidden="false" customHeight="true" outlineLevel="0" collapsed="false">
      <c r="A7" s="66" t="s">
        <v>394</v>
      </c>
      <c r="B7" s="66" t="s">
        <v>395</v>
      </c>
      <c r="C7" s="67" t="s">
        <v>396</v>
      </c>
      <c r="D7" s="68" t="n">
        <v>260000</v>
      </c>
      <c r="E7" s="69" t="n">
        <v>0</v>
      </c>
      <c r="G7" s="70" t="s">
        <v>397</v>
      </c>
      <c r="H7" s="71" t="s">
        <v>398</v>
      </c>
      <c r="I7" s="72" t="n">
        <f aca="false">MAX(D5:D16)</f>
        <v>320000</v>
      </c>
    </row>
    <row r="8" customFormat="false" ht="15.75" hidden="false" customHeight="true" outlineLevel="0" collapsed="false">
      <c r="A8" s="66" t="s">
        <v>399</v>
      </c>
      <c r="B8" s="66" t="s">
        <v>400</v>
      </c>
      <c r="C8" s="67" t="s">
        <v>401</v>
      </c>
      <c r="D8" s="68" t="n">
        <v>300000</v>
      </c>
      <c r="E8" s="69" t="n">
        <v>0</v>
      </c>
      <c r="G8" s="70" t="s">
        <v>402</v>
      </c>
      <c r="H8" s="71" t="s">
        <v>403</v>
      </c>
      <c r="I8" s="72" t="n">
        <f aca="false">MIN(D5:D16)</f>
        <v>175000</v>
      </c>
    </row>
    <row r="9" customFormat="false" ht="15.75" hidden="false" customHeight="true" outlineLevel="0" collapsed="false">
      <c r="A9" s="66" t="s">
        <v>404</v>
      </c>
      <c r="B9" s="66" t="s">
        <v>387</v>
      </c>
      <c r="C9" s="67" t="s">
        <v>405</v>
      </c>
      <c r="D9" s="68" t="n">
        <v>175000</v>
      </c>
      <c r="E9" s="69" t="n">
        <v>30</v>
      </c>
      <c r="G9" s="70" t="s">
        <v>81</v>
      </c>
      <c r="H9" s="71" t="s">
        <v>406</v>
      </c>
      <c r="I9" s="72" t="n">
        <f aca="false">COUNT(D5:D16)</f>
        <v>12</v>
      </c>
    </row>
    <row r="10" customFormat="false" ht="15.75" hidden="false" customHeight="true" outlineLevel="0" collapsed="false">
      <c r="A10" s="66" t="s">
        <v>407</v>
      </c>
      <c r="B10" s="66" t="s">
        <v>395</v>
      </c>
      <c r="C10" s="67" t="s">
        <v>408</v>
      </c>
      <c r="D10" s="68" t="n">
        <v>245000</v>
      </c>
      <c r="E10" s="69" t="n">
        <v>0</v>
      </c>
      <c r="G10" s="70" t="s">
        <v>409</v>
      </c>
      <c r="H10" s="71" t="s">
        <v>410</v>
      </c>
      <c r="I10" s="72" t="n">
        <f aca="false">COUNTA(A5:A16)</f>
        <v>12</v>
      </c>
    </row>
    <row r="11" customFormat="false" ht="15.75" hidden="false" customHeight="true" outlineLevel="0" collapsed="false">
      <c r="A11" s="66" t="s">
        <v>411</v>
      </c>
      <c r="B11" s="66" t="s">
        <v>400</v>
      </c>
      <c r="C11" s="67" t="s">
        <v>412</v>
      </c>
      <c r="D11" s="68" t="n">
        <v>320000</v>
      </c>
      <c r="E11" s="69" t="n">
        <v>0</v>
      </c>
      <c r="G11" s="70" t="s">
        <v>87</v>
      </c>
      <c r="H11" s="71" t="s">
        <v>413</v>
      </c>
      <c r="I11" s="72" t="n">
        <f aca="false">COUNTIF(B5:B16,"Sales")</f>
        <v>5</v>
      </c>
    </row>
    <row r="12" customFormat="false" ht="15.75" hidden="false" customHeight="true" outlineLevel="0" collapsed="false">
      <c r="A12" s="66" t="s">
        <v>414</v>
      </c>
      <c r="B12" s="66" t="s">
        <v>387</v>
      </c>
      <c r="C12" s="67" t="s">
        <v>415</v>
      </c>
      <c r="D12" s="68" t="n">
        <v>190000</v>
      </c>
      <c r="E12" s="69" t="n">
        <v>51</v>
      </c>
      <c r="G12" s="70" t="s">
        <v>90</v>
      </c>
      <c r="H12" s="71" t="s">
        <v>416</v>
      </c>
      <c r="I12" s="72" t="n">
        <f aca="false">COUNTIFS(B5:B16,"Sales",D5:D16,"&gt;180000")</f>
        <v>4</v>
      </c>
    </row>
    <row r="13" customFormat="false" ht="15.75" hidden="false" customHeight="true" outlineLevel="0" collapsed="false">
      <c r="A13" s="66" t="s">
        <v>417</v>
      </c>
      <c r="B13" s="66" t="s">
        <v>395</v>
      </c>
      <c r="C13" s="67" t="s">
        <v>418</v>
      </c>
      <c r="D13" s="68" t="n">
        <v>255000</v>
      </c>
      <c r="E13" s="69" t="n">
        <v>0</v>
      </c>
      <c r="G13" s="70" t="s">
        <v>33</v>
      </c>
      <c r="H13" s="71" t="s">
        <v>419</v>
      </c>
      <c r="I13" s="72" t="n">
        <f aca="false">SUMIF(B5:B16,"IT",D5:D16)</f>
        <v>1000000</v>
      </c>
    </row>
    <row r="14" customFormat="false" ht="15.75" hidden="false" customHeight="true" outlineLevel="0" collapsed="false">
      <c r="A14" s="66" t="s">
        <v>420</v>
      </c>
      <c r="B14" s="66" t="s">
        <v>400</v>
      </c>
      <c r="C14" s="67" t="s">
        <v>421</v>
      </c>
      <c r="D14" s="68" t="n">
        <v>295000</v>
      </c>
      <c r="E14" s="69" t="n">
        <v>0</v>
      </c>
      <c r="G14" s="70" t="s">
        <v>37</v>
      </c>
      <c r="H14" s="71" t="s">
        <v>422</v>
      </c>
      <c r="I14" s="72" t="n">
        <f aca="false">SUMIFS(D5:D16,B5:B16,"Sales",E5:E16,"&gt;35")</f>
        <v>790000</v>
      </c>
    </row>
    <row r="15" customFormat="false" ht="15.75" hidden="false" customHeight="true" outlineLevel="0" collapsed="false">
      <c r="A15" s="66" t="s">
        <v>423</v>
      </c>
      <c r="B15" s="66" t="s">
        <v>387</v>
      </c>
      <c r="C15" s="67" t="s">
        <v>424</v>
      </c>
      <c r="D15" s="68" t="n">
        <v>205000</v>
      </c>
      <c r="E15" s="69" t="n">
        <v>38</v>
      </c>
      <c r="G15" s="70" t="s">
        <v>425</v>
      </c>
      <c r="H15" s="71" t="s">
        <v>426</v>
      </c>
      <c r="I15" s="72" t="n">
        <f aca="false">AVERAGEIF(B5:B16,"Finance",D5:D16)</f>
        <v>305000</v>
      </c>
    </row>
    <row r="16" customFormat="false" ht="15.75" hidden="false" customHeight="true" outlineLevel="0" collapsed="false">
      <c r="A16" s="66" t="s">
        <v>427</v>
      </c>
      <c r="B16" s="66" t="s">
        <v>395</v>
      </c>
      <c r="C16" s="67" t="s">
        <v>428</v>
      </c>
      <c r="D16" s="68" t="n">
        <v>240000</v>
      </c>
      <c r="E16" s="69" t="n">
        <v>0</v>
      </c>
      <c r="G16" s="70" t="s">
        <v>429</v>
      </c>
      <c r="H16" s="71" t="s">
        <v>430</v>
      </c>
      <c r="I16" s="72" t="n">
        <f aca="false">_xlfn.MAXIFS(D5:D16,B5:B16,"Sales")</f>
        <v>210000</v>
      </c>
    </row>
    <row r="17" customFormat="false" ht="15.75" hidden="false" customHeight="true" outlineLevel="0" collapsed="false">
      <c r="G17" s="70" t="s">
        <v>102</v>
      </c>
      <c r="H17" s="71" t="s">
        <v>431</v>
      </c>
      <c r="I17" s="72" t="n">
        <f aca="false">MEDIAN(D5:D16)</f>
        <v>242500</v>
      </c>
    </row>
    <row r="18" customFormat="false" ht="15.75" hidden="false" customHeight="true" outlineLevel="0" collapsed="false">
      <c r="G18" s="70" t="s">
        <v>432</v>
      </c>
      <c r="H18" s="71" t="s">
        <v>433</v>
      </c>
      <c r="I18" s="73" t="n">
        <f aca="false">_xlfn.STDEV.S(D5:D16)</f>
        <v>48194.6809588701</v>
      </c>
    </row>
    <row r="19" customFormat="false" ht="15.75" hidden="false" customHeight="true" outlineLevel="0" collapsed="false">
      <c r="G19" s="70" t="s">
        <v>114</v>
      </c>
      <c r="H19" s="71" t="s">
        <v>434</v>
      </c>
      <c r="I19" s="72" t="n">
        <f aca="false">_xlfn.RANK.EQ(D5,D5:D16)</f>
        <v>11</v>
      </c>
    </row>
    <row r="20" customFormat="false" ht="15.75" hidden="false" customHeight="true" outlineLevel="0" collapsed="false">
      <c r="G20" s="70" t="s">
        <v>435</v>
      </c>
      <c r="H20" s="71" t="s">
        <v>436</v>
      </c>
      <c r="I20" s="72" t="n">
        <f aca="false">LARGE(D5:D16,2)</f>
        <v>300000</v>
      </c>
    </row>
    <row r="21" customFormat="false" ht="15.75" hidden="false" customHeight="true" outlineLevel="0" collapsed="false">
      <c r="G21" s="70" t="s">
        <v>47</v>
      </c>
      <c r="H21" s="71" t="s">
        <v>437</v>
      </c>
      <c r="I21" s="72" t="n">
        <f aca="false">ROUND(AVERAGE(D5:D16),0)</f>
        <v>240000</v>
      </c>
    </row>
    <row r="22" customFormat="false" ht="15.75" hidden="false" customHeight="true" outlineLevel="0" collapsed="false">
      <c r="G22" s="70" t="s">
        <v>130</v>
      </c>
      <c r="H22" s="71" t="s">
        <v>438</v>
      </c>
      <c r="I22" s="72" t="str">
        <f aca="false">IF(D5&gt;200000,"Above Avg Band","Standard Band")</f>
        <v>Standard Band</v>
      </c>
    </row>
    <row r="23" customFormat="false" ht="15.75" hidden="false" customHeight="true" outlineLevel="0" collapsed="false">
      <c r="G23" s="70" t="s">
        <v>151</v>
      </c>
      <c r="H23" s="71" t="s">
        <v>439</v>
      </c>
      <c r="I23" s="72" t="str">
        <f aca="false">_xlfn.IFS(D5&gt;=300000,"Senior",D5&gt;=200000,"Mid",TRUE(),"Junior")</f>
        <v>Junior</v>
      </c>
    </row>
    <row r="24" customFormat="false" ht="15.75" hidden="false" customHeight="true" outlineLevel="0" collapsed="false">
      <c r="G24" s="70" t="s">
        <v>440</v>
      </c>
      <c r="H24" s="71" t="s">
        <v>441</v>
      </c>
      <c r="I24" s="72" t="str">
        <f aca="false">IF(AND(B5="Sales",E5&gt;40),"Top Seller","-")</f>
        <v>Top Seller</v>
      </c>
    </row>
    <row r="25" customFormat="false" ht="15.75" hidden="false" customHeight="true" outlineLevel="0" collapsed="false">
      <c r="G25" s="70" t="s">
        <v>145</v>
      </c>
      <c r="H25" s="71" t="s">
        <v>442</v>
      </c>
      <c r="I25" s="72" t="str">
        <f aca="false">IFERROR(D5/0,"Error avoided")</f>
        <v>Error avoided</v>
      </c>
    </row>
    <row r="26" customFormat="false" ht="15.75" hidden="false" customHeight="true" outlineLevel="0" collapsed="false">
      <c r="G26" s="70" t="s">
        <v>443</v>
      </c>
      <c r="H26" s="71" t="s">
        <v>444</v>
      </c>
      <c r="I26" s="72" t="str">
        <f aca="false">A5&amp;" — "&amp;B5&amp;" Dept."</f>
        <v>Ade Bello — Sales Dept.</v>
      </c>
    </row>
    <row r="27" customFormat="false" ht="15.75" hidden="false" customHeight="true" outlineLevel="0" collapsed="false">
      <c r="G27" s="70" t="s">
        <v>170</v>
      </c>
      <c r="H27" s="71" t="s">
        <v>445</v>
      </c>
      <c r="I27" s="72" t="str">
        <f aca="false">_xlfn.TEXTJOIN(", ",TRUE(),A5:A16)</f>
        <v>Ade Bello, Chinwe Okafor, Musa Ibrahim, Ngozi Umeh, Tunde Alade, Fatima Sule, Emeka Nwosu, Bisi Adeyemi, Yusuf Danjuma, Grace Effiong, Kelechi Obi, Amaka Eze</v>
      </c>
    </row>
    <row r="28" customFormat="false" ht="15.75" hidden="false" customHeight="true" outlineLevel="0" collapsed="false">
      <c r="G28" s="70" t="s">
        <v>446</v>
      </c>
      <c r="H28" s="71" t="s">
        <v>447</v>
      </c>
      <c r="I28" s="72" t="str">
        <f aca="false">UPPER(B5)</f>
        <v>SALES</v>
      </c>
    </row>
    <row r="29" customFormat="false" ht="15.75" hidden="false" customHeight="true" outlineLevel="0" collapsed="false">
      <c r="G29" s="70" t="s">
        <v>448</v>
      </c>
      <c r="H29" s="71" t="s">
        <v>449</v>
      </c>
      <c r="I29" s="72" t="str">
        <f aca="false">PROPER("lagos state, nigeria")</f>
        <v>Lagos State, Nigeria</v>
      </c>
    </row>
    <row r="30" customFormat="false" ht="15.75" hidden="false" customHeight="true" outlineLevel="0" collapsed="false">
      <c r="G30" s="70" t="s">
        <v>173</v>
      </c>
      <c r="H30" s="71" t="s">
        <v>450</v>
      </c>
      <c r="I30" s="72" t="str">
        <f aca="false">LEFT(A5,3)&amp;"-"&amp;RIGHT(A5,3)</f>
        <v>Ade-llo</v>
      </c>
    </row>
    <row r="31" customFormat="false" ht="15.75" hidden="false" customHeight="true" outlineLevel="0" collapsed="false">
      <c r="G31" s="70" t="s">
        <v>176</v>
      </c>
      <c r="H31" s="71" t="s">
        <v>451</v>
      </c>
      <c r="I31" s="72" t="n">
        <f aca="false">LEN(A5)</f>
        <v>9</v>
      </c>
    </row>
    <row r="32" customFormat="false" ht="15.75" hidden="false" customHeight="true" outlineLevel="0" collapsed="false">
      <c r="G32" s="70" t="s">
        <v>452</v>
      </c>
      <c r="H32" s="71" t="s">
        <v>453</v>
      </c>
      <c r="I32" s="72" t="str">
        <f aca="false">TEXT(D5,"#,##0.00")&amp;" NGN"</f>
        <v>185,000.00 NGN</v>
      </c>
    </row>
    <row r="33" customFormat="false" ht="15.75" hidden="false" customHeight="true" outlineLevel="0" collapsed="false">
      <c r="G33" s="70" t="s">
        <v>454</v>
      </c>
      <c r="H33" s="71" t="s">
        <v>455</v>
      </c>
      <c r="I33" s="74" t="n">
        <f aca="true">TODAY()</f>
        <v>46261</v>
      </c>
    </row>
    <row r="34" customFormat="false" ht="15.75" hidden="false" customHeight="true" outlineLevel="0" collapsed="false">
      <c r="G34" s="70" t="s">
        <v>216</v>
      </c>
      <c r="H34" s="71" t="s">
        <v>456</v>
      </c>
      <c r="I34" s="72" t="str">
        <f aca="false">YEAR(C5)&amp;"/"&amp;MONTH(C5)&amp;"/"&amp;DAY(C5)</f>
        <v>2021/3/14</v>
      </c>
    </row>
    <row r="35" customFormat="false" ht="15.75" hidden="false" customHeight="true" outlineLevel="0" collapsed="false">
      <c r="G35" s="70" t="s">
        <v>457</v>
      </c>
      <c r="H35" s="71" t="s">
        <v>458</v>
      </c>
      <c r="I35" s="72" t="str">
        <f aca="true">DATEDIF(C5,TODAY(),"y")&amp;" years"</f>
        <v>5 years</v>
      </c>
    </row>
    <row r="36" customFormat="false" ht="15.75" hidden="false" customHeight="true" outlineLevel="0" collapsed="false">
      <c r="G36" s="70" t="s">
        <v>228</v>
      </c>
      <c r="H36" s="71" t="s">
        <v>459</v>
      </c>
      <c r="I36" s="74" t="n">
        <f aca="false">EOMONTH(C5,0)</f>
        <v>44286</v>
      </c>
    </row>
    <row r="37" customFormat="false" ht="15.75" hidden="false" customHeight="true" outlineLevel="0" collapsed="false">
      <c r="G37" s="70" t="s">
        <v>231</v>
      </c>
      <c r="H37" s="71" t="s">
        <v>460</v>
      </c>
      <c r="I37" s="72" t="n">
        <f aca="true">NETWORKDAYS(C5,TODAY())</f>
        <v>1424</v>
      </c>
    </row>
    <row r="38" customFormat="false" ht="15.75" hidden="false" customHeight="true" outlineLevel="0" collapsed="false">
      <c r="G38" s="70" t="s">
        <v>247</v>
      </c>
      <c r="H38" s="71" t="s">
        <v>461</v>
      </c>
      <c r="I38" s="72" t="n">
        <f aca="false">VLOOKUP("Ngozi Umeh",A5:D16,4,FALSE())</f>
        <v>300000</v>
      </c>
    </row>
    <row r="39" customFormat="false" ht="15.75" hidden="false" customHeight="true" outlineLevel="0" collapsed="false">
      <c r="G39" s="70" t="s">
        <v>256</v>
      </c>
      <c r="H39" s="71" t="s">
        <v>462</v>
      </c>
      <c r="I39" s="72" t="str">
        <f aca="false">INDEX(A5:A16,3)</f>
        <v>Musa Ibrahim</v>
      </c>
    </row>
    <row r="40" customFormat="false" ht="15.75" hidden="false" customHeight="true" outlineLevel="0" collapsed="false">
      <c r="G40" s="70" t="s">
        <v>259</v>
      </c>
      <c r="H40" s="71" t="s">
        <v>463</v>
      </c>
      <c r="I40" s="72" t="n">
        <f aca="false">MATCH("IT",B5:B16,0)</f>
        <v>3</v>
      </c>
    </row>
    <row r="41" customFormat="false" ht="15.75" hidden="false" customHeight="true" outlineLevel="0" collapsed="false">
      <c r="G41" s="70" t="s">
        <v>262</v>
      </c>
      <c r="H41" s="71" t="s">
        <v>464</v>
      </c>
      <c r="I41" s="75" t="n">
        <f aca="false">INDEX(D5:D16,MATCH("Amaka Eze",A5:A16,0))</f>
        <v>240000</v>
      </c>
    </row>
    <row r="42" customFormat="false" ht="15.75" hidden="false" customHeight="true" outlineLevel="0" collapsed="false">
      <c r="G42" s="70" t="s">
        <v>265</v>
      </c>
      <c r="H42" s="71" t="s">
        <v>465</v>
      </c>
      <c r="I42" s="72" t="str">
        <f aca="false">CHOOSE(2,"Low","Medium","High")</f>
        <v>Medium</v>
      </c>
    </row>
    <row r="43" customFormat="false" ht="15.75" hidden="false" customHeight="true" outlineLevel="0" collapsed="false">
      <c r="G43" s="70" t="s">
        <v>40</v>
      </c>
      <c r="H43" s="71" t="s">
        <v>466</v>
      </c>
      <c r="I43" s="72" t="n">
        <f aca="false">SUMPRODUCT((B5:B16="Sales")*E5:E16)</f>
        <v>226</v>
      </c>
    </row>
    <row r="44" customFormat="false" ht="15.75" hidden="false" customHeight="true" outlineLevel="0" collapsed="false">
      <c r="G44" s="70" t="s">
        <v>315</v>
      </c>
      <c r="H44" s="71" t="s">
        <v>467</v>
      </c>
      <c r="I44" s="76" t="b">
        <f aca="false">ISBLANK(E7)</f>
        <v>0</v>
      </c>
    </row>
    <row r="45" customFormat="false" ht="15.75" hidden="false" customHeight="true" outlineLevel="0" collapsed="false">
      <c r="G45" s="70" t="s">
        <v>468</v>
      </c>
      <c r="H45" s="71" t="s">
        <v>469</v>
      </c>
      <c r="I45" s="76" t="b">
        <f aca="false">ISNUMBER(D5)</f>
        <v>1</v>
      </c>
    </row>
    <row r="46" customFormat="false" ht="15.75" hidden="false" customHeight="true" outlineLevel="0" collapsed="false">
      <c r="G46" s="70" t="s">
        <v>470</v>
      </c>
      <c r="H46" s="71" t="s">
        <v>471</v>
      </c>
      <c r="I46" s="73" t="n">
        <f aca="false">PMT(18%/12,24,-500000)</f>
        <v>24962.0509847544</v>
      </c>
    </row>
    <row r="47" customFormat="false" ht="15.75" hidden="false" customHeight="true" outlineLevel="0" collapsed="false">
      <c r="G47" s="70" t="s">
        <v>472</v>
      </c>
      <c r="H47" s="71" t="s">
        <v>473</v>
      </c>
      <c r="I47" s="73" t="n">
        <f aca="false">FV(10%/12,60,-20000)</f>
        <v>1548741.44346861</v>
      </c>
    </row>
    <row r="48" customFormat="false" ht="15.75" hidden="false" customHeight="true" outlineLevel="0" collapsed="false">
      <c r="G48" s="70" t="s">
        <v>299</v>
      </c>
      <c r="H48" s="71" t="s">
        <v>474</v>
      </c>
      <c r="I48" s="73" t="n">
        <f aca="false">NPV(12%,150000,180000,200000,220000)</f>
        <v>559593.4961995</v>
      </c>
    </row>
    <row r="51" customFormat="false" ht="15" hidden="false" customHeight="false" outlineLevel="0" collapsed="false">
      <c r="A51" s="77" t="s">
        <v>475</v>
      </c>
    </row>
    <row r="52" customFormat="false" ht="15" hidden="false" customHeight="false" outlineLevel="0" collapsed="false">
      <c r="A52" s="78" t="s">
        <v>476</v>
      </c>
    </row>
    <row r="53" customFormat="false" ht="15" hidden="false" customHeight="false" outlineLevel="0" collapsed="false">
      <c r="A53" s="79" t="s">
        <v>477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A1B9A"/>
    <pageSetUpPr fitToPage="false"/>
  </sheetPr>
  <dimension ref="A1:D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0"/>
    <col collapsed="false" customWidth="true" hidden="false" outlineLevel="0" max="3" min="3" style="0" width="60"/>
    <col collapsed="false" customWidth="true" hidden="false" outlineLevel="0" max="4" min="4" style="0" width="55"/>
  </cols>
  <sheetData>
    <row r="1" customFormat="false" ht="19.7" hidden="false" customHeight="false" outlineLevel="0" collapsed="false">
      <c r="A1" s="64" t="s">
        <v>478</v>
      </c>
    </row>
    <row r="2" customFormat="false" ht="15" hidden="false" customHeight="false" outlineLevel="0" collapsed="false">
      <c r="A2" s="65" t="s">
        <v>479</v>
      </c>
    </row>
    <row r="4" customFormat="false" ht="25.5" hidden="false" customHeight="true" outlineLevel="0" collapsed="false">
      <c r="A4" s="7" t="s">
        <v>20</v>
      </c>
      <c r="B4" s="7" t="s">
        <v>21</v>
      </c>
      <c r="C4" s="7" t="s">
        <v>24</v>
      </c>
      <c r="D4" s="7" t="s">
        <v>480</v>
      </c>
    </row>
    <row r="5" customFormat="false" ht="39.75" hidden="false" customHeight="true" outlineLevel="0" collapsed="false">
      <c r="A5" s="80" t="n">
        <v>1</v>
      </c>
      <c r="B5" s="81" t="s">
        <v>209</v>
      </c>
      <c r="C5" s="82" t="s">
        <v>214</v>
      </c>
      <c r="D5" s="83"/>
    </row>
    <row r="6" customFormat="false" ht="39.75" hidden="false" customHeight="true" outlineLevel="0" collapsed="false">
      <c r="A6" s="80" t="n">
        <v>2</v>
      </c>
      <c r="B6" s="81" t="s">
        <v>314</v>
      </c>
      <c r="C6" s="82" t="s">
        <v>325</v>
      </c>
      <c r="D6" s="83"/>
    </row>
    <row r="7" customFormat="false" ht="39.75" hidden="false" customHeight="true" outlineLevel="0" collapsed="false">
      <c r="A7" s="80" t="n">
        <v>3</v>
      </c>
      <c r="B7" s="81" t="s">
        <v>246</v>
      </c>
      <c r="C7" s="82" t="s">
        <v>257</v>
      </c>
      <c r="D7" s="83"/>
    </row>
    <row r="8" customFormat="false" ht="39.75" hidden="false" customHeight="true" outlineLevel="0" collapsed="false">
      <c r="A8" s="80" t="n">
        <v>4</v>
      </c>
      <c r="B8" s="81" t="s">
        <v>166</v>
      </c>
      <c r="C8" s="82" t="s">
        <v>186</v>
      </c>
      <c r="D8" s="83"/>
    </row>
    <row r="9" customFormat="false" ht="39.75" hidden="false" customHeight="true" outlineLevel="0" collapsed="false">
      <c r="A9" s="80" t="n">
        <v>5</v>
      </c>
      <c r="B9" s="81" t="s">
        <v>246</v>
      </c>
      <c r="C9" s="82" t="s">
        <v>287</v>
      </c>
      <c r="D9" s="83"/>
    </row>
    <row r="10" customFormat="false" ht="39.75" hidden="false" customHeight="true" outlineLevel="0" collapsed="false">
      <c r="A10" s="80" t="n">
        <v>6</v>
      </c>
      <c r="B10" s="81" t="s">
        <v>289</v>
      </c>
      <c r="C10" s="82" t="s">
        <v>294</v>
      </c>
      <c r="D10" s="83"/>
    </row>
    <row r="11" customFormat="false" ht="39.75" hidden="false" customHeight="true" outlineLevel="0" collapsed="false">
      <c r="A11" s="80" t="n">
        <v>7</v>
      </c>
      <c r="B11" s="81" t="s">
        <v>246</v>
      </c>
      <c r="C11" s="82" t="s">
        <v>272</v>
      </c>
      <c r="D11" s="83"/>
    </row>
    <row r="12" customFormat="false" ht="39.75" hidden="false" customHeight="true" outlineLevel="0" collapsed="false">
      <c r="A12" s="80" t="n">
        <v>8</v>
      </c>
      <c r="B12" s="81" t="s">
        <v>129</v>
      </c>
      <c r="C12" s="82" t="s">
        <v>134</v>
      </c>
      <c r="D12" s="83"/>
    </row>
    <row r="13" customFormat="false" ht="39.75" hidden="false" customHeight="true" outlineLevel="0" collapsed="false">
      <c r="A13" s="80" t="n">
        <v>9</v>
      </c>
      <c r="B13" s="81" t="s">
        <v>26</v>
      </c>
      <c r="C13" s="82" t="s">
        <v>38</v>
      </c>
      <c r="D13" s="83"/>
    </row>
    <row r="14" customFormat="false" ht="39.75" hidden="false" customHeight="true" outlineLevel="0" collapsed="false">
      <c r="A14" s="80" t="n">
        <v>10</v>
      </c>
      <c r="B14" s="81" t="s">
        <v>289</v>
      </c>
      <c r="C14" s="82" t="s">
        <v>303</v>
      </c>
      <c r="D14" s="83"/>
    </row>
    <row r="15" customFormat="false" ht="39.75" hidden="false" customHeight="true" outlineLevel="0" collapsed="false">
      <c r="A15" s="80" t="n">
        <v>11</v>
      </c>
      <c r="B15" s="81" t="s">
        <v>166</v>
      </c>
      <c r="C15" s="82" t="s">
        <v>171</v>
      </c>
      <c r="D15" s="83"/>
    </row>
    <row r="16" customFormat="false" ht="39.75" hidden="false" customHeight="true" outlineLevel="0" collapsed="false">
      <c r="A16" s="80" t="n">
        <v>12</v>
      </c>
      <c r="B16" s="81" t="s">
        <v>209</v>
      </c>
      <c r="C16" s="82" t="s">
        <v>211</v>
      </c>
      <c r="D16" s="83"/>
    </row>
    <row r="17" customFormat="false" ht="39.75" hidden="false" customHeight="true" outlineLevel="0" collapsed="false">
      <c r="A17" s="80" t="n">
        <v>13</v>
      </c>
      <c r="B17" s="81" t="s">
        <v>339</v>
      </c>
      <c r="C17" s="82" t="s">
        <v>341</v>
      </c>
      <c r="D17" s="83"/>
    </row>
    <row r="18" customFormat="false" ht="39.75" hidden="false" customHeight="true" outlineLevel="0" collapsed="false">
      <c r="A18" s="80" t="n">
        <v>14</v>
      </c>
      <c r="B18" s="81" t="s">
        <v>26</v>
      </c>
      <c r="C18" s="82" t="s">
        <v>29</v>
      </c>
      <c r="D18" s="83"/>
    </row>
    <row r="19" customFormat="false" ht="39.75" hidden="false" customHeight="true" outlineLevel="0" collapsed="false">
      <c r="A19" s="80" t="n">
        <v>15</v>
      </c>
      <c r="B19" s="81" t="s">
        <v>289</v>
      </c>
      <c r="C19" s="82" t="s">
        <v>291</v>
      </c>
      <c r="D19" s="83"/>
    </row>
    <row r="20" customFormat="false" ht="39.75" hidden="false" customHeight="true" outlineLevel="0" collapsed="false">
      <c r="A20" s="80" t="n">
        <v>16</v>
      </c>
      <c r="B20" s="81" t="s">
        <v>26</v>
      </c>
      <c r="C20" s="82" t="s">
        <v>63</v>
      </c>
      <c r="D20" s="83"/>
    </row>
    <row r="21" customFormat="false" ht="39.75" hidden="false" customHeight="true" outlineLevel="0" collapsed="false">
      <c r="A21" s="80" t="n">
        <v>17</v>
      </c>
      <c r="B21" s="81" t="s">
        <v>80</v>
      </c>
      <c r="C21" s="82" t="s">
        <v>106</v>
      </c>
      <c r="D21" s="83"/>
    </row>
    <row r="22" customFormat="false" ht="39.75" hidden="false" customHeight="true" outlineLevel="0" collapsed="false">
      <c r="A22" s="80" t="n">
        <v>18</v>
      </c>
      <c r="B22" s="81" t="s">
        <v>314</v>
      </c>
      <c r="C22" s="82" t="s">
        <v>334</v>
      </c>
      <c r="D22" s="83"/>
    </row>
    <row r="23" customFormat="false" ht="39.75" hidden="false" customHeight="true" outlineLevel="0" collapsed="false">
      <c r="A23" s="80" t="n">
        <v>19</v>
      </c>
      <c r="B23" s="81" t="s">
        <v>129</v>
      </c>
      <c r="C23" s="82" t="s">
        <v>137</v>
      </c>
      <c r="D23" s="83"/>
    </row>
    <row r="24" customFormat="false" ht="39.75" hidden="false" customHeight="true" outlineLevel="0" collapsed="false">
      <c r="A24" s="80" t="n">
        <v>20</v>
      </c>
      <c r="B24" s="81" t="s">
        <v>80</v>
      </c>
      <c r="C24" s="82" t="s">
        <v>91</v>
      </c>
      <c r="D24" s="83"/>
    </row>
    <row r="25" customFormat="false" ht="39.75" hidden="false" customHeight="true" outlineLevel="0" collapsed="false">
      <c r="A25" s="80" t="n">
        <v>21</v>
      </c>
      <c r="B25" s="81" t="s">
        <v>129</v>
      </c>
      <c r="C25" s="82" t="s">
        <v>155</v>
      </c>
      <c r="D25" s="83"/>
    </row>
    <row r="26" customFormat="false" ht="39.75" hidden="false" customHeight="true" outlineLevel="0" collapsed="false">
      <c r="A26" s="80" t="n">
        <v>22</v>
      </c>
      <c r="B26" s="81" t="s">
        <v>166</v>
      </c>
      <c r="C26" s="82" t="s">
        <v>195</v>
      </c>
      <c r="D26" s="83"/>
    </row>
    <row r="27" customFormat="false" ht="39.75" hidden="false" customHeight="true" outlineLevel="0" collapsed="false">
      <c r="A27" s="80" t="n">
        <v>23</v>
      </c>
      <c r="B27" s="81" t="s">
        <v>209</v>
      </c>
      <c r="C27" s="82" t="s">
        <v>244</v>
      </c>
      <c r="D27" s="83"/>
    </row>
    <row r="28" customFormat="false" ht="39.75" hidden="false" customHeight="true" outlineLevel="0" collapsed="false">
      <c r="A28" s="80" t="n">
        <v>24</v>
      </c>
      <c r="B28" s="81" t="s">
        <v>314</v>
      </c>
      <c r="C28" s="82" t="s">
        <v>319</v>
      </c>
      <c r="D28" s="83"/>
    </row>
    <row r="29" customFormat="false" ht="39.75" hidden="false" customHeight="true" outlineLevel="0" collapsed="false">
      <c r="A29" s="80" t="n">
        <v>25</v>
      </c>
      <c r="B29" s="81" t="s">
        <v>80</v>
      </c>
      <c r="C29" s="82" t="s">
        <v>124</v>
      </c>
      <c r="D29" s="83"/>
    </row>
    <row r="30" customFormat="false" ht="39.75" hidden="false" customHeight="true" outlineLevel="0" collapsed="false">
      <c r="A30" s="80" t="n">
        <v>26</v>
      </c>
      <c r="B30" s="81" t="s">
        <v>339</v>
      </c>
      <c r="C30" s="82" t="s">
        <v>353</v>
      </c>
      <c r="D30" s="83"/>
    </row>
    <row r="31" customFormat="false" ht="39.75" hidden="false" customHeight="true" outlineLevel="0" collapsed="false">
      <c r="A31" s="80" t="n">
        <v>27</v>
      </c>
      <c r="B31" s="81" t="s">
        <v>339</v>
      </c>
      <c r="C31" s="82" t="s">
        <v>368</v>
      </c>
      <c r="D31" s="8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55A64"/>
    <pageSetUpPr fitToPage="false"/>
  </sheetPr>
  <dimension ref="A1:D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0"/>
    <col collapsed="false" customWidth="true" hidden="false" outlineLevel="0" max="3" min="3" style="0" width="46"/>
    <col collapsed="false" customWidth="true" hidden="false" outlineLevel="0" max="4" min="4" style="0" width="65"/>
  </cols>
  <sheetData>
    <row r="1" customFormat="false" ht="19.7" hidden="false" customHeight="false" outlineLevel="0" collapsed="false">
      <c r="A1" s="64" t="s">
        <v>481</v>
      </c>
    </row>
    <row r="2" customFormat="false" ht="15" hidden="false" customHeight="false" outlineLevel="0" collapsed="false">
      <c r="A2" s="65" t="s">
        <v>482</v>
      </c>
    </row>
    <row r="4" customFormat="false" ht="25.5" hidden="false" customHeight="true" outlineLevel="0" collapsed="false">
      <c r="A4" s="7" t="s">
        <v>20</v>
      </c>
      <c r="B4" s="7" t="s">
        <v>21</v>
      </c>
      <c r="C4" s="7" t="s">
        <v>24</v>
      </c>
      <c r="D4" s="7" t="s">
        <v>483</v>
      </c>
    </row>
    <row r="5" customFormat="false" ht="45.75" hidden="false" customHeight="true" outlineLevel="0" collapsed="false">
      <c r="A5" s="80" t="n">
        <v>1</v>
      </c>
      <c r="B5" s="81" t="s">
        <v>209</v>
      </c>
      <c r="C5" s="82" t="s">
        <v>214</v>
      </c>
      <c r="D5" s="82" t="s">
        <v>215</v>
      </c>
    </row>
    <row r="6" customFormat="false" ht="45.75" hidden="false" customHeight="true" outlineLevel="0" collapsed="false">
      <c r="A6" s="80" t="n">
        <v>2</v>
      </c>
      <c r="B6" s="81" t="s">
        <v>314</v>
      </c>
      <c r="C6" s="82" t="s">
        <v>325</v>
      </c>
      <c r="D6" s="82" t="s">
        <v>326</v>
      </c>
    </row>
    <row r="7" customFormat="false" ht="45.75" hidden="false" customHeight="true" outlineLevel="0" collapsed="false">
      <c r="A7" s="80" t="n">
        <v>3</v>
      </c>
      <c r="B7" s="81" t="s">
        <v>246</v>
      </c>
      <c r="C7" s="82" t="s">
        <v>257</v>
      </c>
      <c r="D7" s="82" t="s">
        <v>258</v>
      </c>
    </row>
    <row r="8" customFormat="false" ht="45.75" hidden="false" customHeight="true" outlineLevel="0" collapsed="false">
      <c r="A8" s="80" t="n">
        <v>4</v>
      </c>
      <c r="B8" s="81" t="s">
        <v>166</v>
      </c>
      <c r="C8" s="82" t="s">
        <v>186</v>
      </c>
      <c r="D8" s="82" t="s">
        <v>187</v>
      </c>
    </row>
    <row r="9" customFormat="false" ht="45.75" hidden="false" customHeight="true" outlineLevel="0" collapsed="false">
      <c r="A9" s="80" t="n">
        <v>5</v>
      </c>
      <c r="B9" s="81" t="s">
        <v>246</v>
      </c>
      <c r="C9" s="82" t="s">
        <v>287</v>
      </c>
      <c r="D9" s="82" t="s">
        <v>288</v>
      </c>
    </row>
    <row r="10" customFormat="false" ht="45.75" hidden="false" customHeight="true" outlineLevel="0" collapsed="false">
      <c r="A10" s="80" t="n">
        <v>6</v>
      </c>
      <c r="B10" s="81" t="s">
        <v>289</v>
      </c>
      <c r="C10" s="82" t="s">
        <v>294</v>
      </c>
      <c r="D10" s="82" t="s">
        <v>295</v>
      </c>
    </row>
    <row r="11" customFormat="false" ht="45.75" hidden="false" customHeight="true" outlineLevel="0" collapsed="false">
      <c r="A11" s="80" t="n">
        <v>7</v>
      </c>
      <c r="B11" s="81" t="s">
        <v>246</v>
      </c>
      <c r="C11" s="82" t="s">
        <v>272</v>
      </c>
      <c r="D11" s="82" t="s">
        <v>273</v>
      </c>
    </row>
    <row r="12" customFormat="false" ht="45.75" hidden="false" customHeight="true" outlineLevel="0" collapsed="false">
      <c r="A12" s="80" t="n">
        <v>8</v>
      </c>
      <c r="B12" s="81" t="s">
        <v>129</v>
      </c>
      <c r="C12" s="82" t="s">
        <v>134</v>
      </c>
      <c r="D12" s="82" t="s">
        <v>135</v>
      </c>
    </row>
    <row r="13" customFormat="false" ht="45.75" hidden="false" customHeight="true" outlineLevel="0" collapsed="false">
      <c r="A13" s="80" t="n">
        <v>9</v>
      </c>
      <c r="B13" s="81" t="s">
        <v>26</v>
      </c>
      <c r="C13" s="82" t="s">
        <v>38</v>
      </c>
      <c r="D13" s="82" t="s">
        <v>39</v>
      </c>
    </row>
    <row r="14" customFormat="false" ht="45.75" hidden="false" customHeight="true" outlineLevel="0" collapsed="false">
      <c r="A14" s="80" t="n">
        <v>10</v>
      </c>
      <c r="B14" s="81" t="s">
        <v>289</v>
      </c>
      <c r="C14" s="82" t="s">
        <v>303</v>
      </c>
      <c r="D14" s="82" t="s">
        <v>304</v>
      </c>
    </row>
    <row r="15" customFormat="false" ht="45.75" hidden="false" customHeight="true" outlineLevel="0" collapsed="false">
      <c r="A15" s="80" t="n">
        <v>11</v>
      </c>
      <c r="B15" s="81" t="s">
        <v>166</v>
      </c>
      <c r="C15" s="82" t="s">
        <v>171</v>
      </c>
      <c r="D15" s="82" t="s">
        <v>172</v>
      </c>
    </row>
    <row r="16" customFormat="false" ht="45.75" hidden="false" customHeight="true" outlineLevel="0" collapsed="false">
      <c r="A16" s="80" t="n">
        <v>12</v>
      </c>
      <c r="B16" s="81" t="s">
        <v>209</v>
      </c>
      <c r="C16" s="82" t="s">
        <v>211</v>
      </c>
      <c r="D16" s="82" t="s">
        <v>212</v>
      </c>
    </row>
    <row r="17" customFormat="false" ht="45.75" hidden="false" customHeight="true" outlineLevel="0" collapsed="false">
      <c r="A17" s="80" t="n">
        <v>13</v>
      </c>
      <c r="B17" s="81" t="s">
        <v>339</v>
      </c>
      <c r="C17" s="82" t="s">
        <v>341</v>
      </c>
      <c r="D17" s="82" t="s">
        <v>342</v>
      </c>
    </row>
    <row r="18" customFormat="false" ht="45.75" hidden="false" customHeight="true" outlineLevel="0" collapsed="false">
      <c r="A18" s="80" t="n">
        <v>14</v>
      </c>
      <c r="B18" s="81" t="s">
        <v>26</v>
      </c>
      <c r="C18" s="82" t="s">
        <v>29</v>
      </c>
      <c r="D18" s="82" t="s">
        <v>30</v>
      </c>
    </row>
    <row r="19" customFormat="false" ht="45.75" hidden="false" customHeight="true" outlineLevel="0" collapsed="false">
      <c r="A19" s="80" t="n">
        <v>15</v>
      </c>
      <c r="B19" s="81" t="s">
        <v>289</v>
      </c>
      <c r="C19" s="82" t="s">
        <v>291</v>
      </c>
      <c r="D19" s="82" t="s">
        <v>292</v>
      </c>
    </row>
    <row r="20" customFormat="false" ht="45.75" hidden="false" customHeight="true" outlineLevel="0" collapsed="false">
      <c r="A20" s="80" t="n">
        <v>16</v>
      </c>
      <c r="B20" s="81" t="s">
        <v>26</v>
      </c>
      <c r="C20" s="82" t="s">
        <v>63</v>
      </c>
      <c r="D20" s="82" t="s">
        <v>64</v>
      </c>
    </row>
    <row r="21" customFormat="false" ht="45.75" hidden="false" customHeight="true" outlineLevel="0" collapsed="false">
      <c r="A21" s="80" t="n">
        <v>17</v>
      </c>
      <c r="B21" s="81" t="s">
        <v>80</v>
      </c>
      <c r="C21" s="82" t="s">
        <v>106</v>
      </c>
      <c r="D21" s="82" t="s">
        <v>107</v>
      </c>
    </row>
    <row r="22" customFormat="false" ht="45.75" hidden="false" customHeight="true" outlineLevel="0" collapsed="false">
      <c r="A22" s="80" t="n">
        <v>18</v>
      </c>
      <c r="B22" s="81" t="s">
        <v>314</v>
      </c>
      <c r="C22" s="82" t="s">
        <v>334</v>
      </c>
      <c r="D22" s="82" t="s">
        <v>335</v>
      </c>
    </row>
    <row r="23" customFormat="false" ht="45.75" hidden="false" customHeight="true" outlineLevel="0" collapsed="false">
      <c r="A23" s="80" t="n">
        <v>19</v>
      </c>
      <c r="B23" s="81" t="s">
        <v>129</v>
      </c>
      <c r="C23" s="82" t="s">
        <v>137</v>
      </c>
      <c r="D23" s="82" t="s">
        <v>138</v>
      </c>
    </row>
    <row r="24" customFormat="false" ht="45.75" hidden="false" customHeight="true" outlineLevel="0" collapsed="false">
      <c r="A24" s="80" t="n">
        <v>20</v>
      </c>
      <c r="B24" s="81" t="s">
        <v>80</v>
      </c>
      <c r="C24" s="82" t="s">
        <v>91</v>
      </c>
      <c r="D24" s="82" t="s">
        <v>92</v>
      </c>
    </row>
    <row r="25" customFormat="false" ht="45.75" hidden="false" customHeight="true" outlineLevel="0" collapsed="false">
      <c r="A25" s="80" t="n">
        <v>21</v>
      </c>
      <c r="B25" s="81" t="s">
        <v>129</v>
      </c>
      <c r="C25" s="82" t="s">
        <v>155</v>
      </c>
      <c r="D25" s="82" t="s">
        <v>156</v>
      </c>
    </row>
    <row r="26" customFormat="false" ht="45.75" hidden="false" customHeight="true" outlineLevel="0" collapsed="false">
      <c r="A26" s="80" t="n">
        <v>22</v>
      </c>
      <c r="B26" s="81" t="s">
        <v>166</v>
      </c>
      <c r="C26" s="82" t="s">
        <v>195</v>
      </c>
      <c r="D26" s="82" t="s">
        <v>196</v>
      </c>
    </row>
    <row r="27" customFormat="false" ht="45.75" hidden="false" customHeight="true" outlineLevel="0" collapsed="false">
      <c r="A27" s="80" t="n">
        <v>23</v>
      </c>
      <c r="B27" s="81" t="s">
        <v>209</v>
      </c>
      <c r="C27" s="82" t="s">
        <v>244</v>
      </c>
      <c r="D27" s="82" t="s">
        <v>245</v>
      </c>
    </row>
    <row r="28" customFormat="false" ht="45.75" hidden="false" customHeight="true" outlineLevel="0" collapsed="false">
      <c r="A28" s="80" t="n">
        <v>24</v>
      </c>
      <c r="B28" s="81" t="s">
        <v>314</v>
      </c>
      <c r="C28" s="82" t="s">
        <v>319</v>
      </c>
      <c r="D28" s="82" t="s">
        <v>320</v>
      </c>
    </row>
    <row r="29" customFormat="false" ht="45.75" hidden="false" customHeight="true" outlineLevel="0" collapsed="false">
      <c r="A29" s="80" t="n">
        <v>25</v>
      </c>
      <c r="B29" s="81" t="s">
        <v>80</v>
      </c>
      <c r="C29" s="82" t="s">
        <v>124</v>
      </c>
      <c r="D29" s="82" t="s">
        <v>125</v>
      </c>
    </row>
    <row r="30" customFormat="false" ht="45.75" hidden="false" customHeight="true" outlineLevel="0" collapsed="false">
      <c r="A30" s="80" t="n">
        <v>26</v>
      </c>
      <c r="B30" s="81" t="s">
        <v>339</v>
      </c>
      <c r="C30" s="82" t="s">
        <v>353</v>
      </c>
      <c r="D30" s="82" t="s">
        <v>354</v>
      </c>
    </row>
    <row r="31" customFormat="false" ht="45.75" hidden="false" customHeight="true" outlineLevel="0" collapsed="false">
      <c r="A31" s="80" t="n">
        <v>27</v>
      </c>
      <c r="B31" s="81" t="s">
        <v>339</v>
      </c>
      <c r="C31" s="82" t="s">
        <v>368</v>
      </c>
      <c r="D31" s="82" t="s">
        <v>369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2026-08-27T09:38:27Z</dcterms:created>
  <dc:creator>openpyxl</dc:creator>
  <dc:description/>
  <dc:language>en-US</dc:language>
  <cp:lastModifiedBy/>
  <dcterms:modified xsi:type="dcterms:W3CDTF">2026-08-27T09:38:28Z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