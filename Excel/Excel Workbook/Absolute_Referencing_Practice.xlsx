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1. Relative Reference" sheetId="2" state="visible" r:id="rId4"/>
    <sheet name="2. Column Lock" sheetId="3" state="visible" r:id="rId5"/>
    <sheet name="3. Row Lock" sheetId="4" state="visible" r:id="rId6"/>
    <sheet name="4. Absolute Reference" sheetId="5" state="visible" r:id="rId7"/>
    <sheet name="5. Practice-Mult Table" sheetId="6" state="visible" r:id="rId8"/>
    <sheet name="6. Practice-VAT Invoice" sheetId="7" state="visible" r:id="rId9"/>
    <sheet name="Answer Key"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<sst xmlns="http://schemas.openxmlformats.org/spreadsheetml/2006/main" count="240" uniqueCount="172">
  <si>
    <t xml:space="preserve">ABSOLUTE vs RELATIVE CELL REFERENCING IN EXCEL</t>
  </si>
  <si>
    <t xml:space="preserve">A Prodigy Training Hub Practice Workbook  |  Kajola Gbenga Adewale | Data Expert</t>
  </si>
  <si>
    <t xml:space="preserve">WHY THIS MATTERS
When you copy a formula to other cells, Excel automatically adjusts ("shifts") the cell references inside it. This is called a RELATIVE reference, and it is the default behaviour. Most of the time this is exactly what you want. But sometimes you need part of a formula to stay fixed on one cell no matter where you copy it to - for example, a single VAT rate, an exchange rate, or a bonus percentage. To stop a reference from shifting, you add a dollar sign ($) in front of the column letter, the row number, or both. This is called LOCKING the reference, and the result is called an ABSOLUTE or MIXED reference.</t>
  </si>
  <si>
    <t xml:space="preserve">THE 4 TYPES OF CELL REFERENCE</t>
  </si>
  <si>
    <t xml:space="preserve">Symbol</t>
  </si>
  <si>
    <t xml:space="preserve">Name</t>
  </si>
  <si>
    <t xml:space="preserve">What is Locked?</t>
  </si>
  <si>
    <t xml:space="preserve">What Moves When Copied?</t>
  </si>
  <si>
    <t xml:space="preserve">Shortcut Key</t>
  </si>
  <si>
    <t xml:space="preserve">A1</t>
  </si>
  <si>
    <t xml:space="preserve">Relative Reference</t>
  </si>
  <si>
    <t xml:space="preserve">Nothing is locked</t>
  </si>
  <si>
    <t xml:space="preserve">Both column and row shift freely</t>
  </si>
  <si>
    <t xml:space="preserve">Press F4 once to add $$</t>
  </si>
  <si>
    <t xml:space="preserve">$A1</t>
  </si>
  <si>
    <t xml:space="preserve">Mixed - Column Locked</t>
  </si>
  <si>
    <t xml:space="preserve">Column (A) is locked</t>
  </si>
  <si>
    <t xml:space="preserve">Column A stays fixed; row still shifts</t>
  </si>
  <si>
    <t xml:space="preserve">Press F4 twice</t>
  </si>
  <si>
    <t xml:space="preserve">A$1</t>
  </si>
  <si>
    <t xml:space="preserve">Mixed - Row Locked</t>
  </si>
  <si>
    <t xml:space="preserve">Row (1) is locked</t>
  </si>
  <si>
    <t xml:space="preserve">Row 1 stays fixed; column still shifts</t>
  </si>
  <si>
    <t xml:space="preserve">Press F4 three times</t>
  </si>
  <si>
    <t xml:space="preserve">$A$1</t>
  </si>
  <si>
    <t xml:space="preserve">Absolute Reference</t>
  </si>
  <si>
    <t xml:space="preserve">Column AND row locked</t>
  </si>
  <si>
    <t xml:space="preserve">Nothing shifts - stays on A1 always</t>
  </si>
  <si>
    <t xml:space="preserve">Press F4 four times (back to A1)</t>
  </si>
  <si>
    <t xml:space="preserve">HOW TO USE THIS WORKBOOK</t>
  </si>
  <si>
    <t xml:space="preserve">1. Relative Reference  -&gt;  see the PROBLEM that happens when a fixed value is copied without locking it.</t>
  </si>
  <si>
    <t xml:space="preserve">2. Column Lock ($A1)   -&gt;  practice locking a column when copying a formula ACROSS (left to right).</t>
  </si>
  <si>
    <t xml:space="preserve">3. Row Lock (A$1)      -&gt;  practice locking a row when copying a formula DOWN (top to bottom).</t>
  </si>
  <si>
    <t xml:space="preserve">4. Absolute Reference ($A$1) -&gt; practice locking both when a formula is copied in BOTH directions.</t>
  </si>
  <si>
    <t xml:space="preserve">5. Practice - Multiplication Table -&gt; apply column lock AND row lock together in one formula.</t>
  </si>
  <si>
    <t xml:space="preserve">6. Practice - VAT Invoice -&gt; apply a full absolute reference to a real Nigerian business scenario.</t>
  </si>
  <si>
    <t xml:space="preserve">Answer Key -&gt; check your work once you have attempted every yellow "Your Turn" section.</t>
  </si>
  <si>
    <t xml:space="preserve">PRO TIP: Click on a cell reference inside a formula (in the formula bar) and press F4 on your keyboard to cycle automatically through A1 -&gt; $A$1 -&gt; A$1 -&gt; $A1 -&gt; A1. On Mac, use Cmd + T.</t>
  </si>
  <si>
    <t xml:space="preserve">1. RELATIVE REFERENCE - SEE THE PROBLEM</t>
  </si>
  <si>
    <t xml:space="preserve">SCENARIO: Prodigy Retail gives every product the SAME discount rate, stored once in cell B4. In C7 we calculate Discount Amount with a plain (relative) formula =B7*B4 and then copy it down to C8:C11. Because the reference to B4 is relative, Excel shifts it down one row each time it is copied, so it starts pointing at B5, B6, B7... which contain PRICES, not the discount rate. The results below are wrong.</t>
  </si>
  <si>
    <t xml:space="preserve">Discount Rate -&gt;</t>
  </si>
  <si>
    <t xml:space="preserve">Product</t>
  </si>
  <si>
    <t xml:space="preserve">Unit Price (N)</t>
  </si>
  <si>
    <t xml:space="preserve">Discount Amount</t>
  </si>
  <si>
    <t xml:space="preserve">Formula Actually Used</t>
  </si>
  <si>
    <t xml:space="preserve">What Went Wrong</t>
  </si>
  <si>
    <t xml:space="preserve">Bag of Rice (50kg)</t>
  </si>
  <si>
    <t xml:space="preserve">Correct - points at the discount rate</t>
  </si>
  <si>
    <t xml:space="preserve">Carton of Noodles</t>
  </si>
  <si>
    <t xml:space="preserve">Wrong! Points at B6 (a price or blank cell), not B5 the discount rate</t>
  </si>
  <si>
    <t xml:space="preserve">Vegetable Oil (5L)</t>
  </si>
  <si>
    <t xml:space="preserve">Wrong! Points at B7 (a price or blank cell), not B5 the discount rate</t>
  </si>
  <si>
    <t xml:space="preserve">Bag of Sugar (50kg)</t>
  </si>
  <si>
    <t xml:space="preserve">Wrong! Points at B8 (a price or blank cell), not B5 the discount rate</t>
  </si>
  <si>
    <t xml:space="preserve">YOUR TURN</t>
  </si>
  <si>
    <t xml:space="preserve">Below is a fresh list of products and the same 10% discount rate in cell B19. In cell C21, type the plain relative formula  =B21*B19  and press Enter. Then copy C21 down to C22:C24. Watch the results change and become incorrect, just like above.</t>
  </si>
  <si>
    <t xml:space="preserve">Bag of Beans (50kg)</t>
  </si>
  <si>
    <t xml:space="preserve">Type formula here</t>
  </si>
  <si>
    <t xml:space="preserve">Bag of Garri (50kg)</t>
  </si>
  <si>
    <t xml:space="preserve">Carton of Milk</t>
  </si>
  <si>
    <t xml:space="preserve">Bag of Onions (50kg)</t>
  </si>
  <si>
    <t xml:space="preserve">2. COLUMN LOCK ($A1) - MIXED REFERENCE</t>
  </si>
  <si>
    <t xml:space="preserve">SCENARIO: Prodigy Training Hub tracks monthly sales for 5 months (columns B to F) against ONE fixed annual target stored in cell H6. Because we are copying the formula ACROSS (left to right), we lock the COLUMN letter of the target cell with a $ sign - $H6 - so it always points at column H, no matter which column the formula is copied into. The row number is left relative here since we are not copying downward, though locking it too ($H$6) would also be correct.</t>
  </si>
  <si>
    <t xml:space="preserve">Annual Target (N)</t>
  </si>
  <si>
    <t xml:space="preserve">Jan</t>
  </si>
  <si>
    <t xml:space="preserve">Feb</t>
  </si>
  <si>
    <t xml:space="preserve">Mar</t>
  </si>
  <si>
    <t xml:space="preserve">Apr</t>
  </si>
  <si>
    <t xml:space="preserve">May</t>
  </si>
  <si>
    <t xml:space="preserve">Sales (N)</t>
  </si>
  <si>
    <t xml:space="preserve">% of Target</t>
  </si>
  <si>
    <t xml:space="preserve">Formula used -&gt;</t>
  </si>
  <si>
    <t xml:space="preserve">Prodigy Tech Academy tracks enrolment for 5 cohorts (columns B to F) against ONE fixed enrolment target in cell H17. In cell B20, type  =B19/$H17  then copy it across to C20:F20. Because column H is locked with $, every copy keeps pointing at the target.</t>
  </si>
  <si>
    <t xml:space="preserve">Enrolment Target</t>
  </si>
  <si>
    <t xml:space="preserve">Cohort 1</t>
  </si>
  <si>
    <t xml:space="preserve">Cohort 2</t>
  </si>
  <si>
    <t xml:space="preserve">Cohort 3</t>
  </si>
  <si>
    <t xml:space="preserve">Cohort 4</t>
  </si>
  <si>
    <t xml:space="preserve">Cohort 5</t>
  </si>
  <si>
    <t xml:space="preserve">Enrolled</t>
  </si>
  <si>
    <t xml:space="preserve">3. ROW LOCK (A$1) - MIXED REFERENCE</t>
  </si>
  <si>
    <t xml:space="preserve">SCENARIO: Prodigy Training Hub pays every staff member the SAME annual bonus percentage, stored once in cell B5. This time we are copying the formula DOWN a column, so we lock the ROW number of the bonus cell with a $ sign - B$5 - so it always points at row 5, no matter which row the formula is copied into. This is the exact fix for the problem you saw in Sheet 1.</t>
  </si>
  <si>
    <t xml:space="preserve">Bonus Rate -&gt;</t>
  </si>
  <si>
    <t xml:space="preserve">Staff Name</t>
  </si>
  <si>
    <t xml:space="preserve">Salary (N)</t>
  </si>
  <si>
    <t xml:space="preserve">Bonus (N)</t>
  </si>
  <si>
    <t xml:space="preserve">Formula Used</t>
  </si>
  <si>
    <t xml:space="preserve">Adaeze Okafor</t>
  </si>
  <si>
    <t xml:space="preserve">Musa Ibrahim</t>
  </si>
  <si>
    <t xml:space="preserve">Chidinma Eze</t>
  </si>
  <si>
    <t xml:space="preserve">Tunde Bakare</t>
  </si>
  <si>
    <t xml:space="preserve">Ngozi Umeh</t>
  </si>
  <si>
    <t xml:space="preserve">Below, every student pays a fixed exam registration fee stored once in cell B17. In cell C19, type =B19+B$17  then copy it down to C20:C22. Because row 17 is locked with $, the fee stays correct all the way down.</t>
  </si>
  <si>
    <t xml:space="preserve">Exam Fee (N) -&gt;</t>
  </si>
  <si>
    <t xml:space="preserve">Student Name</t>
  </si>
  <si>
    <t xml:space="preserve">Course Fee (N)</t>
  </si>
  <si>
    <t xml:space="preserve">Total Payable (N)</t>
  </si>
  <si>
    <t xml:space="preserve">Bola Adeyemi</t>
  </si>
  <si>
    <t xml:space="preserve">Femi Alabi</t>
  </si>
  <si>
    <t xml:space="preserve">Grace Nwosu</t>
  </si>
  <si>
    <t xml:space="preserve">Hassan Yusuf</t>
  </si>
  <si>
    <t xml:space="preserve">4. ABSOLUTE REFERENCE ($A$1) - LOCK BOTH</t>
  </si>
  <si>
    <t xml:space="preserve">SCENARIO: Prodigy Training Hub charges 7.5% VAT (Nigeria's standard VAT rate) on every combination of Product and Region in the grid below. The VAT rate lives in ONE single cell, I5. This formula will be copied BOTH across the columns AND down the rows, so this time we lock BOTH the column and the row with two $ signs - $I$5 - so it always points at cell I5 no matter which direction it is copied in.</t>
  </si>
  <si>
    <t xml:space="preserve">VAT Rate</t>
  </si>
  <si>
    <t xml:space="preserve">Product (N per unit)</t>
  </si>
  <si>
    <t xml:space="preserve">Lagos</t>
  </si>
  <si>
    <t xml:space="preserve">Abuja</t>
  </si>
  <si>
    <t xml:space="preserve">Port Harcourt</t>
  </si>
  <si>
    <t xml:space="preserve">Kano</t>
  </si>
  <si>
    <t xml:space="preserve">Ibadan</t>
  </si>
  <si>
    <t xml:space="preserve">Laptop Bag</t>
  </si>
  <si>
    <t xml:space="preserve">Office Chair</t>
  </si>
  <si>
    <t xml:space="preserve">Whiteboard</t>
  </si>
  <si>
    <t xml:space="preserve">Printer Paper (Ream)</t>
  </si>
  <si>
    <t xml:space="preserve">Formula used (any cell) -&gt;</t>
  </si>
  <si>
    <t xml:space="preserve">Formula: $B8*(1+$I$5)  -  copied across AND down still always finds the VAT rate in I5</t>
  </si>
  <si>
    <t xml:space="preserve">Prodigy Tech Academy charges the SAME 5% early-bird discount on every course, in every cohort. The discount rate is in cell I18. In cell C20, type  =$B20*(1-$I$18)  then copy it across to D20:F20 AND down to C21:C23 (copy the whole C20 cell into the full D20:F23 block). Because both the column (I) and row (18) are locked, the formula keeps working in every direction.</t>
  </si>
  <si>
    <t xml:space="preserve">Discount Rate</t>
  </si>
  <si>
    <t xml:space="preserve">Course (N)</t>
  </si>
  <si>
    <t xml:space="preserve">Python for Data Science</t>
  </si>
  <si>
    <t xml:space="preserve">Type here</t>
  </si>
  <si>
    <t xml:space="preserve">Power BI Masterclass</t>
  </si>
  <si>
    <t xml:space="preserve">R Programming</t>
  </si>
  <si>
    <t xml:space="preserve">SPSS Statistics</t>
  </si>
  <si>
    <t xml:space="preserve">5. PRACTICE - MULTIPLICATION TABLE (BOTH LOCKS TOGETHER)</t>
  </si>
  <si>
    <t xml:space="preserve">This is the classic real-world case for mixed references: ONE formula copied in BOTH directions at once. Column A (rows 5-14) holds the numbers 1-10 going down. Row 4 (columns B-K) holds the numbers 1-10 going across. In cell B5, type:   =$A5*B$4   then copy that single cell across to K5, and then copy the whole row B5:K5 down to row 14. Notice: $A5 locks the COLUMN (A) so it keeps reading down column A as you copy across; B$4 locks the ROW (4) so it keeps reading across row 4 as you copy down. Compare with the completed answer key example in columns N-W.</t>
  </si>
  <si>
    <t xml:space="preserve">x</t>
  </si>
  <si>
    <t xml:space="preserve">Start here</t>
  </si>
  <si>
    <t xml:space="preserve">6. PRACTICE - PRODIGY TRAINING HUB VAT INVOICE</t>
  </si>
  <si>
    <t xml:space="preserve">Build a simple invoice calculator. The VAT rate (7.5%) is stored once in cell G4 and must be locked with $G$4 in every formula since the amount column will be copied straight down. For each row: Amount = Quantity x Unit Price, VAT = Amount x VAT rate, Total = Amount + VAT. Fill in the blank yellow cells using absolute references where the VAT rate is involved.</t>
  </si>
  <si>
    <t xml:space="preserve">Course / Item</t>
  </si>
  <si>
    <t xml:space="preserve">Quantity</t>
  </si>
  <si>
    <t xml:space="preserve">Amount (N)</t>
  </si>
  <si>
    <t xml:space="preserve">VAT (N)</t>
  </si>
  <si>
    <t xml:space="preserve">Total (N)</t>
  </si>
  <si>
    <t xml:space="preserve">Excel Fundamentals Training</t>
  </si>
  <si>
    <t xml:space="preserve">Power BI Dashboard Workshop</t>
  </si>
  <si>
    <t xml:space="preserve">R Programming Bootcamp</t>
  </si>
  <si>
    <t xml:space="preserve">Certificate Printing</t>
  </si>
  <si>
    <t xml:space="preserve">GRAND TOTAL</t>
  </si>
  <si>
    <t xml:space="preserve">Hint: D7 = B7*C7 (relative). E7 = D7*$G$4 (absolute, locked because G4 is a single fixed VAT rate). F7 = D7+E7 (relative). Copy D7:F7 down to row 10.</t>
  </si>
  <si>
    <t xml:space="preserve">ANSWER KEY</t>
  </si>
  <si>
    <t xml:space="preserve">Try every 'Your Turn' section yourself first, then check your formulas against this sheet.</t>
  </si>
  <si>
    <t xml:space="preserve">Sheet 1 - Relative Reference (Your Turn)</t>
  </si>
  <si>
    <t xml:space="preserve">Correct Formula (Sheet 1, rows 19-22)</t>
  </si>
  <si>
    <t xml:space="preserve">Formula: B21*B19  (correct)</t>
  </si>
  <si>
    <t xml:space="preserve">Formula: B22*B20  (drifted - wrong on purpose)</t>
  </si>
  <si>
    <t xml:space="preserve">Formula: B23*B21  (drifted - wrong on purpose)</t>
  </si>
  <si>
    <t xml:space="preserve">Formula: B24*B22  (drifted - wrong on purpose)</t>
  </si>
  <si>
    <t xml:space="preserve">Only the first row (B21*B19) is correct; rows below drift onto price cells instead of the discount rate - that is the problem this sheet is teaching. To fix it permanently, lock the discount rate reference: B21*B$19.</t>
  </si>
  <si>
    <t xml:space="preserve">Sheet 2 - Column Lock (Your Turn)</t>
  </si>
  <si>
    <t xml:space="preserve">Formula</t>
  </si>
  <si>
    <t xml:space="preserve">B19/$H17</t>
  </si>
  <si>
    <t xml:space="preserve">C19/$H17</t>
  </si>
  <si>
    <t xml:space="preserve">D19/$H17</t>
  </si>
  <si>
    <t xml:space="preserve">E19/$H17</t>
  </si>
  <si>
    <t xml:space="preserve">F19/$H17</t>
  </si>
  <si>
    <t xml:space="preserve">Sheet 3 - Row Lock (Your Turn)</t>
  </si>
  <si>
    <t xml:space="preserve">B19+B$17</t>
  </si>
  <si>
    <t xml:space="preserve">B20+B$17</t>
  </si>
  <si>
    <t xml:space="preserve">B21+B$17</t>
  </si>
  <si>
    <t xml:space="preserve">B22+B$17</t>
  </si>
  <si>
    <t xml:space="preserve">Sheet 4 - Absolute Reference (Your Turn)</t>
  </si>
  <si>
    <t xml:space="preserve">$B27*(1-$I$18)</t>
  </si>
  <si>
    <t xml:space="preserve">$B28*(1-$I$18)</t>
  </si>
  <si>
    <t xml:space="preserve">$B29*(1-$I$18)</t>
  </si>
  <si>
    <t xml:space="preserve">$B30*(1-$I$18)</t>
  </si>
  <si>
    <t xml:space="preserve">Sheet 5 - Multiplication Table (single formula, copied both ways)</t>
  </si>
  <si>
    <t xml:space="preserve">Formula in B5, then copy across to K5 and down to row 14:</t>
  </si>
  <si>
    <t xml:space="preserve">$A5*B$4</t>
  </si>
  <si>
    <t xml:space="preserve">Sheet 6 - VAT Invoice (Your Turn)</t>
  </si>
  <si>
    <t xml:space="preserve">VAT Rate -&gt;</t>
  </si>
</sst>
</file>

<file path=xl/styles.xml><?xml version="1.0" encoding="utf-8"?>
<styleSheet xmlns="http://schemas.openxmlformats.org/spreadsheetml/2006/main">
  <numFmts count="5">
    <numFmt numFmtId="164" formatCode="General"/>
    <numFmt numFmtId="165" formatCode="0%"/>
    <numFmt numFmtId="166" formatCode="#,##0"/>
    <numFmt numFmtId="167" formatCode="General"/>
    <numFmt numFmtId="168" formatCode="0.0%"/>
  </numFmts>
  <fonts count="18">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sz val="10"/>
      <color rgb="FF000000"/>
      <name val="Arial"/>
      <family val="0"/>
      <charset val="1"/>
    </font>
    <font>
      <b val="true"/>
      <sz val="12"/>
      <color rgb="FFFFFFFF"/>
      <name val="Arial"/>
      <family val="0"/>
      <charset val="1"/>
    </font>
    <font>
      <b val="true"/>
      <sz val="10"/>
      <color rgb="FFFFFFFF"/>
      <name val="Arial"/>
      <family val="0"/>
      <charset val="1"/>
    </font>
    <font>
      <b val="true"/>
      <sz val="11"/>
      <color rgb="FF1F4E78"/>
      <name val="Arial"/>
      <family val="0"/>
      <charset val="1"/>
    </font>
    <font>
      <b val="true"/>
      <i val="true"/>
      <sz val="10"/>
      <color rgb="FFC00000"/>
      <name val="Arial"/>
      <family val="0"/>
      <charset val="1"/>
    </font>
    <font>
      <b val="true"/>
      <sz val="10"/>
      <name val="Arial"/>
      <family val="0"/>
      <charset val="1"/>
    </font>
    <font>
      <b val="true"/>
      <sz val="10"/>
      <color rgb="FF0000FF"/>
      <name val="Arial"/>
      <family val="0"/>
      <charset val="1"/>
    </font>
    <font>
      <sz val="10"/>
      <color rgb="FF9C0006"/>
      <name val="Arial"/>
      <family val="0"/>
      <charset val="1"/>
    </font>
    <font>
      <i val="true"/>
      <sz val="10"/>
      <color rgb="FF7F7F7F"/>
      <name val="Arial"/>
      <family val="0"/>
      <charset val="1"/>
    </font>
    <font>
      <i val="true"/>
      <sz val="10"/>
      <color rgb="FFBF8F00"/>
      <name val="Arial"/>
      <family val="0"/>
      <charset val="1"/>
    </font>
    <font>
      <b val="true"/>
      <sz val="9"/>
      <name val="Arial"/>
      <family val="0"/>
      <charset val="1"/>
    </font>
    <font>
      <i val="true"/>
      <sz val="9"/>
      <name val="Arial"/>
      <family val="0"/>
      <charset val="1"/>
    </font>
  </fonts>
  <fills count="10">
    <fill>
      <patternFill patternType="none"/>
    </fill>
    <fill>
      <patternFill patternType="gray125"/>
    </fill>
    <fill>
      <patternFill patternType="solid">
        <fgColor rgb="FF1F4E78"/>
        <bgColor rgb="FF003366"/>
      </patternFill>
    </fill>
    <fill>
      <patternFill patternType="solid">
        <fgColor rgb="FFF2F2F2"/>
        <bgColor rgb="FFE2EFDA"/>
      </patternFill>
    </fill>
    <fill>
      <patternFill patternType="solid">
        <fgColor rgb="FF2E75B6"/>
        <bgColor rgb="FF4472C4"/>
      </patternFill>
    </fill>
    <fill>
      <patternFill patternType="solid">
        <fgColor rgb="FF4472C4"/>
        <bgColor rgb="FF2E75B6"/>
      </patternFill>
    </fill>
    <fill>
      <patternFill patternType="solid">
        <fgColor rgb="FFFFFF00"/>
        <bgColor rgb="FFFFFF00"/>
      </patternFill>
    </fill>
    <fill>
      <patternFill patternType="solid">
        <fgColor rgb="FFFCE4E4"/>
        <bgColor rgb="FFF2F2F2"/>
      </patternFill>
    </fill>
    <fill>
      <patternFill patternType="solid">
        <fgColor rgb="FFFFF2CC"/>
        <bgColor rgb="FFFCE4E4"/>
      </patternFill>
    </fill>
    <fill>
      <patternFill patternType="solid">
        <fgColor rgb="FFE2EFDA"/>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true" applyAlignment="true" applyProtection="false">
      <alignment horizontal="left" vertical="top" textRotation="0" wrapText="true" indent="0" shrinkToFit="false"/>
      <protection locked="true" hidden="false"/>
    </xf>
    <xf numFmtId="164" fontId="7" fillId="4" borderId="0" xfId="0" applyFont="true" applyBorder="true" applyAlignment="true" applyProtection="false">
      <alignment horizontal="left" vertical="center" textRotation="0" wrapText="false" indent="1"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left" vertical="bottom" textRotation="0" wrapText="false" indent="1"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12" fillId="6"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66" fontId="13" fillId="7" borderId="1" xfId="0" applyFont="true" applyBorder="true" applyAlignment="true" applyProtection="false">
      <alignment horizontal="center" vertical="center" textRotation="0" wrapText="false" indent="0" shrinkToFit="false"/>
      <protection locked="true" hidden="false"/>
    </xf>
    <xf numFmtId="167" fontId="14" fillId="0" borderId="1" xfId="0" applyFont="true" applyBorder="true" applyAlignment="true" applyProtection="false">
      <alignment horizontal="center" vertical="center" textRotation="0" wrapText="false" indent="0" shrinkToFit="false"/>
      <protection locked="true" hidden="false"/>
    </xf>
    <xf numFmtId="164" fontId="15" fillId="8"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true" applyAlignment="true" applyProtection="false">
      <alignment horizontal="center" vertical="center" textRotation="0" wrapText="true" indent="0" shrinkToFit="false"/>
      <protection locked="true" hidden="false"/>
    </xf>
    <xf numFmtId="166" fontId="12" fillId="6"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8" fontId="6" fillId="9"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center" vertical="center" textRotation="0" wrapText="false" indent="0" shrinkToFit="false"/>
      <protection locked="true" hidden="false"/>
    </xf>
    <xf numFmtId="166" fontId="6" fillId="9" borderId="1" xfId="0" applyFont="true" applyBorder="true" applyAlignment="true" applyProtection="false">
      <alignment horizontal="center" vertical="center" textRotation="0" wrapText="false" indent="0" shrinkToFit="false"/>
      <protection locked="true" hidden="false"/>
    </xf>
    <xf numFmtId="168" fontId="12" fillId="6"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left"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14" fillId="9"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6" fillId="9"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2E75B6"/>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4472C4"/>
      <rgbColor rgb="FF33CCCC"/>
      <rgbColor rgb="FF99CC00"/>
      <rgbColor rgb="FFFFCC00"/>
      <rgbColor rgb="FFBF8F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16"/>
    <col collapsed="false" customWidth="true" hidden="false" outlineLevel="0" max="4" min="4" style="0" width="34"/>
    <col collapsed="false" customWidth="true" hidden="false" outlineLevel="0" max="5" min="5" style="0" width="22"/>
    <col collapsed="false" customWidth="true" hidden="false" outlineLevel="0" max="6" min="6" style="0" width="4"/>
  </cols>
  <sheetData>
    <row r="1" customFormat="false" ht="30" hidden="false" customHeight="true" outlineLevel="0" collapsed="false">
      <c r="A1" s="1" t="s">
        <v>0</v>
      </c>
      <c r="B1" s="1"/>
      <c r="C1" s="1"/>
      <c r="D1" s="1"/>
      <c r="E1" s="1"/>
      <c r="F1" s="1"/>
    </row>
    <row r="2" customFormat="false" ht="15" hidden="false" customHeight="true" outlineLevel="0" collapsed="false">
      <c r="A2" s="2" t="s">
        <v>1</v>
      </c>
      <c r="B2" s="2"/>
      <c r="C2" s="2"/>
      <c r="D2" s="2"/>
      <c r="E2" s="2"/>
      <c r="F2" s="2"/>
    </row>
    <row r="3" customFormat="false" ht="15" hidden="false" customHeight="true" outlineLevel="0" collapsed="false"/>
    <row r="4" customFormat="false" ht="94.5" hidden="false" customHeight="true" outlineLevel="0" collapsed="false">
      <c r="A4" s="3" t="s">
        <v>2</v>
      </c>
      <c r="B4" s="3"/>
      <c r="C4" s="3"/>
      <c r="D4" s="3"/>
      <c r="E4" s="3"/>
      <c r="F4" s="3"/>
    </row>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9.5" hidden="false" customHeight="true" outlineLevel="0" collapsed="false">
      <c r="A10" s="4" t="s">
        <v>3</v>
      </c>
      <c r="B10" s="4"/>
      <c r="C10" s="4"/>
      <c r="D10" s="4"/>
      <c r="E10" s="4"/>
      <c r="F10" s="4"/>
    </row>
    <row r="11" customFormat="false" ht="15" hidden="false" customHeight="true" outlineLevel="0" collapsed="false">
      <c r="A11" s="5" t="s">
        <v>4</v>
      </c>
      <c r="B11" s="5" t="s">
        <v>5</v>
      </c>
      <c r="C11" s="5" t="s">
        <v>6</v>
      </c>
      <c r="D11" s="5" t="s">
        <v>7</v>
      </c>
      <c r="E11" s="5" t="s">
        <v>8</v>
      </c>
    </row>
    <row r="12" customFormat="false" ht="31.5" hidden="false" customHeight="true" outlineLevel="0" collapsed="false">
      <c r="A12" s="6" t="s">
        <v>9</v>
      </c>
      <c r="B12" s="7" t="s">
        <v>10</v>
      </c>
      <c r="C12" s="7" t="s">
        <v>11</v>
      </c>
      <c r="D12" s="7" t="s">
        <v>12</v>
      </c>
      <c r="E12" s="7" t="s">
        <v>13</v>
      </c>
    </row>
    <row r="13" customFormat="false" ht="31.5" hidden="false" customHeight="true" outlineLevel="0" collapsed="false">
      <c r="A13" s="6" t="s">
        <v>14</v>
      </c>
      <c r="B13" s="7" t="s">
        <v>15</v>
      </c>
      <c r="C13" s="7" t="s">
        <v>16</v>
      </c>
      <c r="D13" s="7" t="s">
        <v>17</v>
      </c>
      <c r="E13" s="7" t="s">
        <v>18</v>
      </c>
    </row>
    <row r="14" customFormat="false" ht="31.5" hidden="false" customHeight="true" outlineLevel="0" collapsed="false">
      <c r="A14" s="6" t="s">
        <v>19</v>
      </c>
      <c r="B14" s="7" t="s">
        <v>20</v>
      </c>
      <c r="C14" s="7" t="s">
        <v>21</v>
      </c>
      <c r="D14" s="7" t="s">
        <v>22</v>
      </c>
      <c r="E14" s="7" t="s">
        <v>23</v>
      </c>
    </row>
    <row r="15" customFormat="false" ht="31.5" hidden="false" customHeight="true" outlineLevel="0" collapsed="false">
      <c r="A15" s="6" t="s">
        <v>24</v>
      </c>
      <c r="B15" s="7" t="s">
        <v>25</v>
      </c>
      <c r="C15" s="7" t="s">
        <v>26</v>
      </c>
      <c r="D15" s="7" t="s">
        <v>27</v>
      </c>
      <c r="E15" s="7" t="s">
        <v>28</v>
      </c>
    </row>
    <row r="16" customFormat="false" ht="15" hidden="false" customHeight="true" outlineLevel="0" collapsed="false"/>
    <row r="17" customFormat="false" ht="19.5" hidden="false" customHeight="true" outlineLevel="0" collapsed="false">
      <c r="A17" s="4" t="s">
        <v>29</v>
      </c>
      <c r="B17" s="4"/>
      <c r="C17" s="4"/>
      <c r="D17" s="4"/>
      <c r="E17" s="4"/>
      <c r="F17" s="4"/>
    </row>
    <row r="18" customFormat="false" ht="15" hidden="false" customHeight="true" outlineLevel="0" collapsed="false">
      <c r="A18" s="8" t="s">
        <v>30</v>
      </c>
      <c r="B18" s="8"/>
      <c r="C18" s="8"/>
      <c r="D18" s="8"/>
      <c r="E18" s="8"/>
      <c r="F18" s="8"/>
    </row>
    <row r="19" customFormat="false" ht="15" hidden="false" customHeight="true" outlineLevel="0" collapsed="false">
      <c r="A19" s="8" t="s">
        <v>31</v>
      </c>
      <c r="B19" s="8"/>
      <c r="C19" s="8"/>
      <c r="D19" s="8"/>
      <c r="E19" s="8"/>
      <c r="F19" s="8"/>
    </row>
    <row r="20" customFormat="false" ht="15" hidden="false" customHeight="true" outlineLevel="0" collapsed="false">
      <c r="A20" s="8" t="s">
        <v>32</v>
      </c>
      <c r="B20" s="8"/>
      <c r="C20" s="8"/>
      <c r="D20" s="8"/>
      <c r="E20" s="8"/>
      <c r="F20" s="8"/>
    </row>
    <row r="21" customFormat="false" ht="15" hidden="false" customHeight="true" outlineLevel="0" collapsed="false">
      <c r="A21" s="8" t="s">
        <v>33</v>
      </c>
      <c r="B21" s="8"/>
      <c r="C21" s="8"/>
      <c r="D21" s="8"/>
      <c r="E21" s="8"/>
      <c r="F21" s="8"/>
    </row>
    <row r="22" customFormat="false" ht="15" hidden="false" customHeight="true" outlineLevel="0" collapsed="false">
      <c r="A22" s="8" t="s">
        <v>34</v>
      </c>
      <c r="B22" s="8"/>
      <c r="C22" s="8"/>
      <c r="D22" s="8"/>
      <c r="E22" s="8"/>
      <c r="F22" s="8"/>
    </row>
    <row r="23" customFormat="false" ht="15" hidden="false" customHeight="true" outlineLevel="0" collapsed="false">
      <c r="A23" s="8" t="s">
        <v>35</v>
      </c>
      <c r="B23" s="8"/>
      <c r="C23" s="8"/>
      <c r="D23" s="8"/>
      <c r="E23" s="8"/>
      <c r="F23" s="8"/>
    </row>
    <row r="24" customFormat="false" ht="15" hidden="false" customHeight="true" outlineLevel="0" collapsed="false">
      <c r="A24" s="8" t="s">
        <v>36</v>
      </c>
      <c r="B24" s="8"/>
      <c r="C24" s="8"/>
      <c r="D24" s="8"/>
      <c r="E24" s="8"/>
      <c r="F24" s="8"/>
    </row>
    <row r="25" customFormat="false" ht="15" hidden="false" customHeight="true" outlineLevel="0" collapsed="false"/>
    <row r="26" customFormat="false" ht="33.75" hidden="false" customHeight="true" outlineLevel="0" collapsed="false">
      <c r="A26" s="9" t="s">
        <v>37</v>
      </c>
      <c r="B26" s="9"/>
      <c r="C26" s="9"/>
      <c r="D26" s="9"/>
      <c r="E26" s="9"/>
      <c r="F26" s="9"/>
    </row>
    <row r="27" customFormat="false" ht="15" hidden="false" customHeight="true" outlineLevel="0" collapsed="false"/>
  </sheetData>
  <mergeCells count="13">
    <mergeCell ref="A1:F1"/>
    <mergeCell ref="A2:F2"/>
    <mergeCell ref="A4:F4"/>
    <mergeCell ref="A10:F10"/>
    <mergeCell ref="A17:F17"/>
    <mergeCell ref="A18:F18"/>
    <mergeCell ref="A19:F19"/>
    <mergeCell ref="A20:F20"/>
    <mergeCell ref="A21:F21"/>
    <mergeCell ref="A22:F22"/>
    <mergeCell ref="A23:F23"/>
    <mergeCell ref="A24:F24"/>
    <mergeCell ref="A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18"/>
    <col collapsed="false" customWidth="true" hidden="false" outlineLevel="0" max="5" min="4" style="0" width="30"/>
  </cols>
  <sheetData>
    <row r="1" customFormat="false" ht="27.75" hidden="false" customHeight="true" outlineLevel="0" collapsed="false">
      <c r="A1" s="1" t="s">
        <v>38</v>
      </c>
      <c r="B1" s="1"/>
      <c r="C1" s="1"/>
      <c r="D1" s="1"/>
      <c r="E1" s="1"/>
    </row>
    <row r="3" customFormat="false" ht="69.75" hidden="false" customHeight="true" outlineLevel="0" collapsed="false">
      <c r="A3" s="3" t="s">
        <v>39</v>
      </c>
      <c r="B3" s="3"/>
      <c r="C3" s="3"/>
      <c r="D3" s="3"/>
      <c r="E3" s="3"/>
    </row>
    <row r="5" customFormat="false" ht="15" hidden="false" customHeight="false" outlineLevel="0" collapsed="false">
      <c r="A5" s="10" t="s">
        <v>40</v>
      </c>
      <c r="B5" s="11" t="n">
        <v>0.1</v>
      </c>
    </row>
    <row r="9" customFormat="false" ht="15" hidden="false" customHeight="false" outlineLevel="0" collapsed="false">
      <c r="A9" s="5" t="s">
        <v>41</v>
      </c>
      <c r="B9" s="5" t="s">
        <v>42</v>
      </c>
      <c r="C9" s="5" t="s">
        <v>43</v>
      </c>
      <c r="D9" s="5" t="s">
        <v>44</v>
      </c>
      <c r="E9" s="5" t="s">
        <v>45</v>
      </c>
    </row>
    <row r="10" customFormat="false" ht="15" hidden="false" customHeight="false" outlineLevel="0" collapsed="false">
      <c r="A10" s="12" t="s">
        <v>46</v>
      </c>
      <c r="B10" s="13" t="n">
        <v>45000</v>
      </c>
      <c r="C10" s="14" t="n">
        <f aca="false">B10*B5</f>
        <v>4500</v>
      </c>
      <c r="D10" s="15" t="n">
        <f aca="false">B10*B5</f>
        <v>4500</v>
      </c>
      <c r="E10" s="7" t="s">
        <v>47</v>
      </c>
    </row>
    <row r="11" customFormat="false" ht="23.85" hidden="false" customHeight="false" outlineLevel="0" collapsed="false">
      <c r="A11" s="12" t="s">
        <v>48</v>
      </c>
      <c r="B11" s="13" t="n">
        <v>8500</v>
      </c>
      <c r="C11" s="14" t="n">
        <f aca="false">B11*B6</f>
        <v>0</v>
      </c>
      <c r="D11" s="15" t="n">
        <f aca="false">B11*B6</f>
        <v>0</v>
      </c>
      <c r="E11" s="7" t="s">
        <v>49</v>
      </c>
    </row>
    <row r="12" customFormat="false" ht="23.85" hidden="false" customHeight="false" outlineLevel="0" collapsed="false">
      <c r="A12" s="12" t="s">
        <v>50</v>
      </c>
      <c r="B12" s="13" t="n">
        <v>12000</v>
      </c>
      <c r="C12" s="14" t="n">
        <f aca="false">B12*B7</f>
        <v>0</v>
      </c>
      <c r="D12" s="15" t="n">
        <f aca="false">B12*B7</f>
        <v>0</v>
      </c>
      <c r="E12" s="7" t="s">
        <v>51</v>
      </c>
    </row>
    <row r="13" customFormat="false" ht="23.85" hidden="false" customHeight="false" outlineLevel="0" collapsed="false">
      <c r="A13" s="12" t="s">
        <v>52</v>
      </c>
      <c r="B13" s="13" t="n">
        <v>38000</v>
      </c>
      <c r="C13" s="14" t="n">
        <f aca="false">B13*B8</f>
        <v>0</v>
      </c>
      <c r="D13" s="15" t="n">
        <f aca="false">B13*B8</f>
        <v>0</v>
      </c>
      <c r="E13" s="7" t="s">
        <v>53</v>
      </c>
    </row>
    <row r="16" customFormat="false" ht="19.5" hidden="false" customHeight="true" outlineLevel="0" collapsed="false">
      <c r="A16" s="4" t="s">
        <v>54</v>
      </c>
      <c r="B16" s="4"/>
      <c r="C16" s="4"/>
      <c r="D16" s="4"/>
      <c r="E16" s="4"/>
    </row>
    <row r="17" customFormat="false" ht="54.75" hidden="false" customHeight="true" outlineLevel="0" collapsed="false">
      <c r="A17" s="3" t="s">
        <v>55</v>
      </c>
      <c r="B17" s="3"/>
      <c r="C17" s="3"/>
      <c r="D17" s="3"/>
      <c r="E17" s="3"/>
    </row>
    <row r="19" customFormat="false" ht="15" hidden="false" customHeight="false" outlineLevel="0" collapsed="false">
      <c r="A19" s="10" t="s">
        <v>40</v>
      </c>
      <c r="B19" s="11" t="n">
        <v>0.1</v>
      </c>
    </row>
    <row r="20" customFormat="false" ht="15" hidden="false" customHeight="false" outlineLevel="0" collapsed="false">
      <c r="A20" s="5" t="s">
        <v>41</v>
      </c>
      <c r="B20" s="5" t="s">
        <v>42</v>
      </c>
      <c r="C20" s="5" t="s">
        <v>43</v>
      </c>
      <c r="D20" s="5"/>
      <c r="E20" s="5"/>
    </row>
    <row r="21" customFormat="false" ht="15" hidden="false" customHeight="false" outlineLevel="0" collapsed="false">
      <c r="A21" s="12" t="s">
        <v>56</v>
      </c>
      <c r="B21" s="13" t="n">
        <v>62000</v>
      </c>
      <c r="C21" s="16" t="s">
        <v>57</v>
      </c>
    </row>
    <row r="22" customFormat="false" ht="15" hidden="false" customHeight="false" outlineLevel="0" collapsed="false">
      <c r="A22" s="12" t="s">
        <v>58</v>
      </c>
      <c r="B22" s="13" t="n">
        <v>27000</v>
      </c>
      <c r="C22" s="16"/>
    </row>
    <row r="23" customFormat="false" ht="15" hidden="false" customHeight="false" outlineLevel="0" collapsed="false">
      <c r="A23" s="12" t="s">
        <v>59</v>
      </c>
      <c r="B23" s="13" t="n">
        <v>21000</v>
      </c>
      <c r="C23" s="16"/>
    </row>
    <row r="24" customFormat="false" ht="15" hidden="false" customHeight="false" outlineLevel="0" collapsed="false">
      <c r="A24" s="12" t="s">
        <v>60</v>
      </c>
      <c r="B24" s="13" t="n">
        <v>19500</v>
      </c>
      <c r="C24" s="16"/>
    </row>
  </sheetData>
  <mergeCells count="4">
    <mergeCell ref="A1:E1"/>
    <mergeCell ref="A3:E3"/>
    <mergeCell ref="A16:E16"/>
    <mergeCell ref="A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6" min="2" style="0" width="13"/>
    <col collapsed="false" customWidth="true" hidden="false" outlineLevel="0" max="8" min="8" style="0" width="16"/>
  </cols>
  <sheetData>
    <row r="1" customFormat="false" ht="27.75" hidden="false" customHeight="true" outlineLevel="0" collapsed="false">
      <c r="A1" s="1" t="s">
        <v>61</v>
      </c>
      <c r="B1" s="1"/>
      <c r="C1" s="1"/>
      <c r="D1" s="1"/>
      <c r="E1" s="1"/>
      <c r="F1" s="1"/>
      <c r="G1" s="1"/>
    </row>
    <row r="3" customFormat="false" ht="79.5" hidden="false" customHeight="true" outlineLevel="0" collapsed="false">
      <c r="A3" s="3" t="s">
        <v>62</v>
      </c>
      <c r="B3" s="3"/>
      <c r="C3" s="3"/>
      <c r="D3" s="3"/>
      <c r="E3" s="3"/>
      <c r="F3" s="3"/>
      <c r="G3" s="3"/>
    </row>
    <row r="5" customFormat="false" ht="15" hidden="false" customHeight="true" outlineLevel="0" collapsed="false">
      <c r="H5" s="17" t="s">
        <v>63</v>
      </c>
      <c r="I5" s="17"/>
    </row>
    <row r="6" customFormat="false" ht="15" hidden="false" customHeight="false" outlineLevel="0" collapsed="false">
      <c r="H6" s="18" t="n">
        <v>40000000</v>
      </c>
    </row>
    <row r="8" customFormat="false" ht="15" hidden="false" customHeight="false" outlineLevel="0" collapsed="false">
      <c r="A8" s="5"/>
      <c r="B8" s="5" t="s">
        <v>64</v>
      </c>
      <c r="C8" s="5" t="s">
        <v>65</v>
      </c>
      <c r="D8" s="5" t="s">
        <v>66</v>
      </c>
      <c r="E8" s="5" t="s">
        <v>67</v>
      </c>
      <c r="F8" s="5" t="s">
        <v>68</v>
      </c>
    </row>
    <row r="9" customFormat="false" ht="15" hidden="false" customHeight="false" outlineLevel="0" collapsed="false">
      <c r="A9" s="19" t="s">
        <v>69</v>
      </c>
      <c r="B9" s="13" t="n">
        <v>7200000</v>
      </c>
      <c r="C9" s="13" t="n">
        <v>7600000</v>
      </c>
      <c r="D9" s="13" t="n">
        <v>8100000</v>
      </c>
      <c r="E9" s="13" t="n">
        <v>7800000</v>
      </c>
      <c r="F9" s="13" t="n">
        <v>8400000</v>
      </c>
    </row>
    <row r="10" customFormat="false" ht="15" hidden="false" customHeight="false" outlineLevel="0" collapsed="false">
      <c r="A10" s="19" t="s">
        <v>70</v>
      </c>
      <c r="B10" s="20" t="n">
        <f aca="false">B9/$H6</f>
        <v>0.18</v>
      </c>
      <c r="C10" s="20" t="n">
        <f aca="false">C9/$H6</f>
        <v>0.19</v>
      </c>
      <c r="D10" s="20" t="n">
        <f aca="false">D9/$H6</f>
        <v>0.2025</v>
      </c>
      <c r="E10" s="20" t="n">
        <f aca="false">E9/$H6</f>
        <v>0.195</v>
      </c>
      <c r="F10" s="20" t="n">
        <f aca="false">F9/$H6</f>
        <v>0.21</v>
      </c>
    </row>
    <row r="11" customFormat="false" ht="15" hidden="false" customHeight="false" outlineLevel="0" collapsed="false">
      <c r="A11" s="21" t="s">
        <v>71</v>
      </c>
      <c r="B11" s="22" t="n">
        <f aca="false">B9/$H6</f>
        <v>0.18</v>
      </c>
      <c r="C11" s="22" t="n">
        <f aca="false">C9/$H6</f>
        <v>0.19</v>
      </c>
      <c r="D11" s="22" t="n">
        <f aca="false">D9/$H6</f>
        <v>0.2025</v>
      </c>
      <c r="E11" s="22" t="n">
        <f aca="false">E9/$H6</f>
        <v>0.195</v>
      </c>
      <c r="F11" s="22" t="n">
        <f aca="false">F9/$H6</f>
        <v>0.21</v>
      </c>
    </row>
    <row r="13" customFormat="false" ht="19.5" hidden="false" customHeight="true" outlineLevel="0" collapsed="false">
      <c r="A13" s="4" t="s">
        <v>54</v>
      </c>
      <c r="B13" s="4"/>
      <c r="C13" s="4"/>
      <c r="D13" s="4"/>
      <c r="E13" s="4"/>
      <c r="F13" s="4"/>
      <c r="G13" s="4"/>
    </row>
    <row r="14" customFormat="false" ht="60" hidden="false" customHeight="true" outlineLevel="0" collapsed="false">
      <c r="A14" s="3" t="s">
        <v>72</v>
      </c>
      <c r="B14" s="3"/>
      <c r="C14" s="3"/>
      <c r="D14" s="3"/>
      <c r="E14" s="3"/>
      <c r="F14" s="3"/>
      <c r="G14" s="3"/>
    </row>
    <row r="16" customFormat="false" ht="15" hidden="false" customHeight="true" outlineLevel="0" collapsed="false">
      <c r="H16" s="17" t="s">
        <v>73</v>
      </c>
      <c r="I16" s="17"/>
    </row>
    <row r="17" customFormat="false" ht="15" hidden="false" customHeight="false" outlineLevel="0" collapsed="false">
      <c r="H17" s="18" t="n">
        <v>500</v>
      </c>
    </row>
    <row r="18" customFormat="false" ht="15" hidden="false" customHeight="false" outlineLevel="0" collapsed="false">
      <c r="A18" s="5"/>
      <c r="B18" s="5" t="s">
        <v>74</v>
      </c>
      <c r="C18" s="5" t="s">
        <v>75</v>
      </c>
      <c r="D18" s="5" t="s">
        <v>76</v>
      </c>
      <c r="E18" s="5" t="s">
        <v>77</v>
      </c>
      <c r="F18" s="5" t="s">
        <v>78</v>
      </c>
    </row>
    <row r="19" customFormat="false" ht="15" hidden="false" customHeight="false" outlineLevel="0" collapsed="false">
      <c r="A19" s="19" t="s">
        <v>79</v>
      </c>
      <c r="B19" s="13" t="n">
        <v>82</v>
      </c>
      <c r="C19" s="13" t="n">
        <v>95</v>
      </c>
      <c r="D19" s="13" t="n">
        <v>110</v>
      </c>
      <c r="E19" s="13" t="n">
        <v>88</v>
      </c>
      <c r="F19" s="13" t="n">
        <v>101</v>
      </c>
    </row>
    <row r="20" customFormat="false" ht="15" hidden="false" customHeight="false" outlineLevel="0" collapsed="false">
      <c r="A20" s="19" t="s">
        <v>70</v>
      </c>
      <c r="B20" s="16" t="s">
        <v>57</v>
      </c>
      <c r="C20" s="16"/>
      <c r="D20" s="16"/>
      <c r="E20" s="16"/>
      <c r="F20" s="16"/>
    </row>
  </sheetData>
  <mergeCells count="6">
    <mergeCell ref="A1:G1"/>
    <mergeCell ref="A3:G3"/>
    <mergeCell ref="H5:I5"/>
    <mergeCell ref="A13:G13"/>
    <mergeCell ref="A14:G14"/>
    <mergeCell ref="H16:I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6"/>
    <col collapsed="false" customWidth="true" hidden="false" outlineLevel="0" max="4" min="4" style="0" width="30"/>
  </cols>
  <sheetData>
    <row r="1" customFormat="false" ht="27.75" hidden="false" customHeight="true" outlineLevel="0" collapsed="false">
      <c r="A1" s="1" t="s">
        <v>80</v>
      </c>
      <c r="B1" s="1"/>
      <c r="C1" s="1"/>
      <c r="D1" s="1"/>
    </row>
    <row r="3" customFormat="false" ht="75" hidden="false" customHeight="true" outlineLevel="0" collapsed="false">
      <c r="A3" s="3" t="s">
        <v>81</v>
      </c>
      <c r="B3" s="3"/>
      <c r="C3" s="3"/>
      <c r="D3" s="3"/>
    </row>
    <row r="5" customFormat="false" ht="15" hidden="false" customHeight="false" outlineLevel="0" collapsed="false">
      <c r="A5" s="10" t="s">
        <v>82</v>
      </c>
      <c r="B5" s="11" t="n">
        <v>0.02</v>
      </c>
    </row>
    <row r="7" customFormat="false" ht="15" hidden="false" customHeight="false" outlineLevel="0" collapsed="false">
      <c r="A7" s="5" t="s">
        <v>83</v>
      </c>
      <c r="B7" s="5" t="s">
        <v>84</v>
      </c>
      <c r="C7" s="5" t="s">
        <v>85</v>
      </c>
      <c r="D7" s="5" t="s">
        <v>86</v>
      </c>
    </row>
    <row r="8" customFormat="false" ht="15" hidden="false" customHeight="false" outlineLevel="0" collapsed="false">
      <c r="A8" s="12" t="s">
        <v>87</v>
      </c>
      <c r="B8" s="13" t="n">
        <v>380000</v>
      </c>
      <c r="C8" s="23" t="n">
        <f aca="false">B8*B$5</f>
        <v>7600</v>
      </c>
      <c r="D8" s="15" t="n">
        <f aca="false">B8*B$5</f>
        <v>7600</v>
      </c>
    </row>
    <row r="9" customFormat="false" ht="15" hidden="false" customHeight="false" outlineLevel="0" collapsed="false">
      <c r="A9" s="12" t="s">
        <v>88</v>
      </c>
      <c r="B9" s="13" t="n">
        <v>420000</v>
      </c>
      <c r="C9" s="23" t="n">
        <f aca="false">B9*B$5</f>
        <v>8400</v>
      </c>
      <c r="D9" s="15" t="n">
        <f aca="false">B9*B$5</f>
        <v>8400</v>
      </c>
    </row>
    <row r="10" customFormat="false" ht="15" hidden="false" customHeight="false" outlineLevel="0" collapsed="false">
      <c r="A10" s="12" t="s">
        <v>89</v>
      </c>
      <c r="B10" s="13" t="n">
        <v>350000</v>
      </c>
      <c r="C10" s="23" t="n">
        <f aca="false">B10*B$5</f>
        <v>7000</v>
      </c>
      <c r="D10" s="15" t="n">
        <f aca="false">B10*B$5</f>
        <v>7000</v>
      </c>
    </row>
    <row r="11" customFormat="false" ht="15" hidden="false" customHeight="false" outlineLevel="0" collapsed="false">
      <c r="A11" s="12" t="s">
        <v>90</v>
      </c>
      <c r="B11" s="13" t="n">
        <v>460000</v>
      </c>
      <c r="C11" s="23" t="n">
        <f aca="false">B11*B$5</f>
        <v>9200</v>
      </c>
      <c r="D11" s="15" t="n">
        <f aca="false">B11*B$5</f>
        <v>9200</v>
      </c>
    </row>
    <row r="12" customFormat="false" ht="15" hidden="false" customHeight="false" outlineLevel="0" collapsed="false">
      <c r="A12" s="12" t="s">
        <v>91</v>
      </c>
      <c r="B12" s="13" t="n">
        <v>395000</v>
      </c>
      <c r="C12" s="23" t="n">
        <f aca="false">B12*B$5</f>
        <v>7900</v>
      </c>
      <c r="D12" s="15" t="n">
        <f aca="false">B12*B$5</f>
        <v>7900</v>
      </c>
    </row>
    <row r="14" customFormat="false" ht="19.5" hidden="false" customHeight="true" outlineLevel="0" collapsed="false">
      <c r="A14" s="4" t="s">
        <v>54</v>
      </c>
      <c r="B14" s="4"/>
      <c r="C14" s="4"/>
      <c r="D14" s="4"/>
    </row>
    <row r="15" customFormat="false" ht="54.75" hidden="false" customHeight="true" outlineLevel="0" collapsed="false">
      <c r="A15" s="3" t="s">
        <v>92</v>
      </c>
      <c r="B15" s="3"/>
      <c r="C15" s="3"/>
      <c r="D15" s="3"/>
    </row>
    <row r="17" customFormat="false" ht="15" hidden="false" customHeight="false" outlineLevel="0" collapsed="false">
      <c r="A17" s="10" t="s">
        <v>93</v>
      </c>
      <c r="B17" s="18" t="n">
        <v>5000</v>
      </c>
    </row>
    <row r="18" customFormat="false" ht="15" hidden="false" customHeight="false" outlineLevel="0" collapsed="false">
      <c r="A18" s="5" t="s">
        <v>94</v>
      </c>
      <c r="B18" s="5" t="s">
        <v>95</v>
      </c>
      <c r="C18" s="5" t="s">
        <v>96</v>
      </c>
      <c r="D18" s="5"/>
    </row>
    <row r="19" customFormat="false" ht="15" hidden="false" customHeight="false" outlineLevel="0" collapsed="false">
      <c r="A19" s="12" t="s">
        <v>97</v>
      </c>
      <c r="B19" s="13" t="n">
        <v>65000</v>
      </c>
      <c r="C19" s="16" t="s">
        <v>57</v>
      </c>
    </row>
    <row r="20" customFormat="false" ht="15" hidden="false" customHeight="false" outlineLevel="0" collapsed="false">
      <c r="A20" s="12" t="s">
        <v>98</v>
      </c>
      <c r="B20" s="13" t="n">
        <v>65000</v>
      </c>
      <c r="C20" s="16"/>
    </row>
    <row r="21" customFormat="false" ht="15" hidden="false" customHeight="false" outlineLevel="0" collapsed="false">
      <c r="A21" s="12" t="s">
        <v>99</v>
      </c>
      <c r="B21" s="13" t="n">
        <v>72000</v>
      </c>
      <c r="C21" s="16"/>
    </row>
    <row r="22" customFormat="false" ht="15" hidden="false" customHeight="false" outlineLevel="0" collapsed="false">
      <c r="A22" s="12" t="s">
        <v>100</v>
      </c>
      <c r="B22" s="13" t="n">
        <v>72000</v>
      </c>
      <c r="C22" s="16"/>
    </row>
  </sheetData>
  <mergeCells count="4">
    <mergeCell ref="A1:D1"/>
    <mergeCell ref="A3:D3"/>
    <mergeCell ref="A14:D14"/>
    <mergeCell ref="A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3"/>
    <col collapsed="false" customWidth="true" hidden="false" outlineLevel="0" max="9" min="9" style="0" width="15"/>
  </cols>
  <sheetData>
    <row r="1" customFormat="false" ht="27.75" hidden="false" customHeight="true" outlineLevel="0" collapsed="false">
      <c r="A1" s="1" t="s">
        <v>101</v>
      </c>
      <c r="B1" s="1"/>
      <c r="C1" s="1"/>
      <c r="D1" s="1"/>
      <c r="E1" s="1"/>
      <c r="F1" s="1"/>
      <c r="G1" s="1"/>
    </row>
    <row r="3" customFormat="false" ht="75" hidden="false" customHeight="true" outlineLevel="0" collapsed="false">
      <c r="A3" s="3" t="s">
        <v>102</v>
      </c>
      <c r="B3" s="3"/>
      <c r="C3" s="3"/>
      <c r="D3" s="3"/>
      <c r="E3" s="3"/>
      <c r="F3" s="3"/>
      <c r="G3" s="3"/>
    </row>
    <row r="4" customFormat="false" ht="15" hidden="false" customHeight="true" outlineLevel="0" collapsed="false">
      <c r="I4" s="17" t="s">
        <v>103</v>
      </c>
      <c r="J4" s="17"/>
    </row>
    <row r="5" customFormat="false" ht="15" hidden="false" customHeight="false" outlineLevel="0" collapsed="false">
      <c r="I5" s="24" t="n">
        <v>0.075</v>
      </c>
    </row>
    <row r="7" customFormat="false" ht="15" hidden="false" customHeight="false" outlineLevel="0" collapsed="false">
      <c r="A7" s="5" t="s">
        <v>104</v>
      </c>
      <c r="B7" s="5" t="s">
        <v>105</v>
      </c>
      <c r="C7" s="5" t="s">
        <v>106</v>
      </c>
      <c r="D7" s="5" t="s">
        <v>107</v>
      </c>
      <c r="E7" s="5" t="s">
        <v>108</v>
      </c>
      <c r="F7" s="5" t="s">
        <v>109</v>
      </c>
    </row>
    <row r="8" customFormat="false" ht="15" hidden="false" customHeight="false" outlineLevel="0" collapsed="false">
      <c r="A8" s="12" t="s">
        <v>110</v>
      </c>
      <c r="B8" s="13" t="n">
        <v>8000</v>
      </c>
      <c r="C8" s="23" t="n">
        <f aca="false">$B8*(1+$I$5)</f>
        <v>8600</v>
      </c>
      <c r="D8" s="23" t="n">
        <f aca="false">$B8*(1+$I$5)</f>
        <v>8600</v>
      </c>
      <c r="E8" s="23" t="n">
        <f aca="false">$B8*(1+$I$5)</f>
        <v>8600</v>
      </c>
      <c r="F8" s="23" t="n">
        <f aca="false">$B8*(1+$I$5)</f>
        <v>8600</v>
      </c>
    </row>
    <row r="9" customFormat="false" ht="15" hidden="false" customHeight="false" outlineLevel="0" collapsed="false">
      <c r="A9" s="12" t="s">
        <v>111</v>
      </c>
      <c r="B9" s="13" t="n">
        <v>25000</v>
      </c>
      <c r="C9" s="23" t="n">
        <f aca="false">$B9*(1+$I$5)</f>
        <v>26875</v>
      </c>
      <c r="D9" s="23" t="n">
        <f aca="false">$B9*(1+$I$5)</f>
        <v>26875</v>
      </c>
      <c r="E9" s="23" t="n">
        <f aca="false">$B9*(1+$I$5)</f>
        <v>26875</v>
      </c>
      <c r="F9" s="23" t="n">
        <f aca="false">$B9*(1+$I$5)</f>
        <v>26875</v>
      </c>
    </row>
    <row r="10" customFormat="false" ht="15" hidden="false" customHeight="false" outlineLevel="0" collapsed="false">
      <c r="A10" s="12" t="s">
        <v>112</v>
      </c>
      <c r="B10" s="13" t="n">
        <v>15000</v>
      </c>
      <c r="C10" s="23" t="n">
        <f aca="false">$B10*(1+$I$5)</f>
        <v>16125</v>
      </c>
      <c r="D10" s="23" t="n">
        <f aca="false">$B10*(1+$I$5)</f>
        <v>16125</v>
      </c>
      <c r="E10" s="23" t="n">
        <f aca="false">$B10*(1+$I$5)</f>
        <v>16125</v>
      </c>
      <c r="F10" s="23" t="n">
        <f aca="false">$B10*(1+$I$5)</f>
        <v>16125</v>
      </c>
    </row>
    <row r="11" customFormat="false" ht="15" hidden="false" customHeight="false" outlineLevel="0" collapsed="false">
      <c r="A11" s="12" t="s">
        <v>113</v>
      </c>
      <c r="B11" s="13" t="n">
        <v>3500</v>
      </c>
      <c r="C11" s="23" t="n">
        <f aca="false">$B11*(1+$I$5)</f>
        <v>3762.5</v>
      </c>
      <c r="D11" s="23" t="n">
        <f aca="false">$B11*(1+$I$5)</f>
        <v>3762.5</v>
      </c>
      <c r="E11" s="23" t="n">
        <f aca="false">$B11*(1+$I$5)</f>
        <v>3762.5</v>
      </c>
      <c r="F11" s="23" t="n">
        <f aca="false">$B11*(1+$I$5)</f>
        <v>3762.5</v>
      </c>
    </row>
    <row r="12" customFormat="false" ht="15" hidden="false" customHeight="false" outlineLevel="0" collapsed="false">
      <c r="A12" s="21" t="s">
        <v>114</v>
      </c>
      <c r="B12" s="25" t="s">
        <v>115</v>
      </c>
      <c r="C12" s="25"/>
      <c r="D12" s="25"/>
      <c r="E12" s="25"/>
      <c r="F12" s="25"/>
    </row>
    <row r="14" customFormat="false" ht="19.5" hidden="false" customHeight="true" outlineLevel="0" collapsed="false">
      <c r="A14" s="4" t="s">
        <v>54</v>
      </c>
      <c r="B14" s="4"/>
      <c r="C14" s="4"/>
      <c r="D14" s="4"/>
      <c r="E14" s="4"/>
      <c r="F14" s="4"/>
      <c r="G14" s="4"/>
    </row>
    <row r="15" customFormat="false" ht="64.5" hidden="false" customHeight="true" outlineLevel="0" collapsed="false">
      <c r="A15" s="3" t="s">
        <v>116</v>
      </c>
      <c r="B15" s="3"/>
      <c r="C15" s="3"/>
      <c r="D15" s="3"/>
      <c r="E15" s="3"/>
      <c r="F15" s="3"/>
      <c r="G15" s="3"/>
    </row>
    <row r="17" customFormat="false" ht="15" hidden="false" customHeight="true" outlineLevel="0" collapsed="false">
      <c r="I17" s="17" t="s">
        <v>117</v>
      </c>
      <c r="J17" s="17"/>
    </row>
    <row r="18" customFormat="false" ht="15" hidden="false" customHeight="false" outlineLevel="0" collapsed="false">
      <c r="I18" s="11" t="n">
        <v>0.05</v>
      </c>
    </row>
    <row r="19" customFormat="false" ht="15" hidden="false" customHeight="false" outlineLevel="0" collapsed="false">
      <c r="A19" s="5" t="s">
        <v>118</v>
      </c>
      <c r="B19" s="5" t="s">
        <v>74</v>
      </c>
      <c r="C19" s="5" t="s">
        <v>75</v>
      </c>
      <c r="D19" s="5" t="s">
        <v>76</v>
      </c>
      <c r="E19" s="5" t="s">
        <v>77</v>
      </c>
    </row>
    <row r="20" customFormat="false" ht="15" hidden="false" customHeight="false" outlineLevel="0" collapsed="false">
      <c r="A20" s="12" t="s">
        <v>119</v>
      </c>
      <c r="B20" s="13" t="n">
        <v>120000</v>
      </c>
      <c r="C20" s="16" t="s">
        <v>120</v>
      </c>
      <c r="D20" s="16"/>
      <c r="E20" s="16"/>
      <c r="F20" s="16"/>
    </row>
    <row r="21" customFormat="false" ht="15" hidden="false" customHeight="false" outlineLevel="0" collapsed="false">
      <c r="A21" s="12" t="s">
        <v>121</v>
      </c>
      <c r="B21" s="13" t="n">
        <v>95000</v>
      </c>
      <c r="C21" s="16"/>
      <c r="D21" s="16"/>
      <c r="E21" s="16"/>
      <c r="F21" s="16"/>
    </row>
    <row r="22" customFormat="false" ht="15" hidden="false" customHeight="false" outlineLevel="0" collapsed="false">
      <c r="A22" s="12" t="s">
        <v>122</v>
      </c>
      <c r="B22" s="13" t="n">
        <v>110000</v>
      </c>
      <c r="C22" s="16"/>
      <c r="D22" s="16"/>
      <c r="E22" s="16"/>
      <c r="F22" s="16"/>
    </row>
    <row r="23" customFormat="false" ht="15" hidden="false" customHeight="false" outlineLevel="0" collapsed="false">
      <c r="A23" s="12" t="s">
        <v>123</v>
      </c>
      <c r="B23" s="13" t="n">
        <v>85000</v>
      </c>
      <c r="C23" s="16"/>
      <c r="D23" s="16"/>
      <c r="E23" s="16"/>
      <c r="F23" s="16"/>
    </row>
  </sheetData>
  <mergeCells count="7">
    <mergeCell ref="A1:G1"/>
    <mergeCell ref="A3:G3"/>
    <mergeCell ref="I4:J4"/>
    <mergeCell ref="B12:F12"/>
    <mergeCell ref="A14:G14"/>
    <mergeCell ref="A15:G15"/>
    <mergeCell ref="I17:J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2" min="1" style="0" width="8"/>
  </cols>
  <sheetData>
    <row r="1" customFormat="false" ht="27.75" hidden="false" customHeight="true" outlineLevel="0" collapsed="false">
      <c r="A1" s="1" t="s">
        <v>124</v>
      </c>
      <c r="B1" s="1"/>
      <c r="C1" s="1"/>
      <c r="D1" s="1"/>
      <c r="E1" s="1"/>
      <c r="F1" s="1"/>
      <c r="G1" s="1"/>
      <c r="H1" s="1"/>
      <c r="I1" s="1"/>
      <c r="J1" s="1"/>
      <c r="K1" s="1"/>
      <c r="L1" s="1"/>
    </row>
    <row r="3" customFormat="false" ht="79.5" hidden="false" customHeight="true" outlineLevel="0" collapsed="false">
      <c r="A3" s="3" t="s">
        <v>125</v>
      </c>
      <c r="B3" s="3"/>
      <c r="C3" s="3"/>
      <c r="D3" s="3"/>
      <c r="E3" s="3"/>
      <c r="F3" s="3"/>
      <c r="G3" s="3"/>
      <c r="H3" s="3"/>
      <c r="I3" s="3"/>
      <c r="J3" s="3"/>
      <c r="K3" s="3"/>
      <c r="L3" s="3"/>
    </row>
    <row r="4" customFormat="false" ht="15" hidden="false" customHeight="false" outlineLevel="0" collapsed="false">
      <c r="A4" s="19" t="s">
        <v>126</v>
      </c>
      <c r="B4" s="19" t="n">
        <v>1</v>
      </c>
      <c r="C4" s="19" t="n">
        <v>2</v>
      </c>
      <c r="D4" s="19" t="n">
        <v>3</v>
      </c>
      <c r="E4" s="19" t="n">
        <v>4</v>
      </c>
      <c r="F4" s="19" t="n">
        <v>5</v>
      </c>
      <c r="G4" s="19" t="n">
        <v>6</v>
      </c>
      <c r="H4" s="19" t="n">
        <v>7</v>
      </c>
      <c r="I4" s="19" t="n">
        <v>8</v>
      </c>
      <c r="J4" s="19" t="n">
        <v>9</v>
      </c>
      <c r="K4" s="19" t="n">
        <v>10</v>
      </c>
    </row>
    <row r="5" customFormat="false" ht="15" hidden="false" customHeight="false" outlineLevel="0" collapsed="false">
      <c r="A5" s="19" t="n">
        <v>1</v>
      </c>
      <c r="B5" s="16" t="s">
        <v>127</v>
      </c>
      <c r="C5" s="16"/>
      <c r="D5" s="16"/>
      <c r="E5" s="16"/>
      <c r="F5" s="16"/>
      <c r="G5" s="16"/>
      <c r="H5" s="16"/>
      <c r="I5" s="16"/>
      <c r="J5" s="16"/>
      <c r="K5" s="16"/>
    </row>
    <row r="6" customFormat="false" ht="15" hidden="false" customHeight="false" outlineLevel="0" collapsed="false">
      <c r="A6" s="19" t="n">
        <v>2</v>
      </c>
      <c r="B6" s="16"/>
      <c r="C6" s="16"/>
      <c r="D6" s="16"/>
      <c r="E6" s="16"/>
      <c r="F6" s="16"/>
      <c r="G6" s="16"/>
      <c r="H6" s="16"/>
      <c r="I6" s="16"/>
      <c r="J6" s="16"/>
      <c r="K6" s="16"/>
    </row>
    <row r="7" customFormat="false" ht="15" hidden="false" customHeight="false" outlineLevel="0" collapsed="false">
      <c r="A7" s="19" t="n">
        <v>3</v>
      </c>
      <c r="B7" s="16"/>
      <c r="C7" s="16"/>
      <c r="D7" s="16"/>
      <c r="E7" s="16"/>
      <c r="F7" s="16"/>
      <c r="G7" s="16"/>
      <c r="H7" s="16"/>
      <c r="I7" s="16"/>
      <c r="J7" s="16"/>
      <c r="K7" s="16"/>
    </row>
    <row r="8" customFormat="false" ht="15" hidden="false" customHeight="false" outlineLevel="0" collapsed="false">
      <c r="A8" s="19" t="n">
        <v>4</v>
      </c>
      <c r="B8" s="16"/>
      <c r="C8" s="16"/>
      <c r="D8" s="16"/>
      <c r="E8" s="16"/>
      <c r="F8" s="16"/>
      <c r="G8" s="16"/>
      <c r="H8" s="16"/>
      <c r="I8" s="16"/>
      <c r="J8" s="16"/>
      <c r="K8" s="16"/>
    </row>
    <row r="9" customFormat="false" ht="15" hidden="false" customHeight="false" outlineLevel="0" collapsed="false">
      <c r="A9" s="19" t="n">
        <v>5</v>
      </c>
      <c r="B9" s="16"/>
      <c r="C9" s="16"/>
      <c r="D9" s="16"/>
      <c r="E9" s="16"/>
      <c r="F9" s="16"/>
      <c r="G9" s="16"/>
      <c r="H9" s="16"/>
      <c r="I9" s="16"/>
      <c r="J9" s="16"/>
      <c r="K9" s="16"/>
    </row>
    <row r="10" customFormat="false" ht="15" hidden="false" customHeight="false" outlineLevel="0" collapsed="false">
      <c r="A10" s="19" t="n">
        <v>6</v>
      </c>
      <c r="B10" s="16"/>
      <c r="C10" s="16"/>
      <c r="D10" s="16"/>
      <c r="E10" s="16"/>
      <c r="F10" s="16"/>
      <c r="G10" s="16"/>
      <c r="H10" s="16"/>
      <c r="I10" s="16"/>
      <c r="J10" s="16"/>
      <c r="K10" s="16"/>
    </row>
    <row r="11" customFormat="false" ht="15" hidden="false" customHeight="false" outlineLevel="0" collapsed="false">
      <c r="A11" s="19" t="n">
        <v>7</v>
      </c>
      <c r="B11" s="16"/>
      <c r="C11" s="16"/>
      <c r="D11" s="16"/>
      <c r="E11" s="16"/>
      <c r="F11" s="16"/>
      <c r="G11" s="16"/>
      <c r="H11" s="16"/>
      <c r="I11" s="16"/>
      <c r="J11" s="16"/>
      <c r="K11" s="16"/>
    </row>
    <row r="12" customFormat="false" ht="15" hidden="false" customHeight="false" outlineLevel="0" collapsed="false">
      <c r="A12" s="19" t="n">
        <v>8</v>
      </c>
      <c r="B12" s="16"/>
      <c r="C12" s="16"/>
      <c r="D12" s="16"/>
      <c r="E12" s="16"/>
      <c r="F12" s="16"/>
      <c r="G12" s="16"/>
      <c r="H12" s="16"/>
      <c r="I12" s="16"/>
      <c r="J12" s="16"/>
      <c r="K12" s="16"/>
    </row>
    <row r="13" customFormat="false" ht="15" hidden="false" customHeight="false" outlineLevel="0" collapsed="false">
      <c r="A13" s="19" t="n">
        <v>9</v>
      </c>
      <c r="B13" s="16"/>
      <c r="C13" s="16"/>
      <c r="D13" s="16"/>
      <c r="E13" s="16"/>
      <c r="F13" s="16"/>
      <c r="G13" s="16"/>
      <c r="H13" s="16"/>
      <c r="I13" s="16"/>
      <c r="J13" s="16"/>
      <c r="K13" s="16"/>
    </row>
    <row r="14" customFormat="false" ht="15" hidden="false" customHeight="false" outlineLevel="0" collapsed="false">
      <c r="A14" s="19" t="n">
        <v>10</v>
      </c>
      <c r="B14" s="16"/>
      <c r="C14" s="16"/>
      <c r="D14" s="16"/>
      <c r="E14" s="16"/>
      <c r="F14" s="16"/>
      <c r="G14" s="16"/>
      <c r="H14" s="16"/>
      <c r="I14" s="16"/>
      <c r="J14" s="16"/>
      <c r="K14" s="16"/>
    </row>
  </sheetData>
  <mergeCells count="2">
    <mergeCell ref="A1:L1"/>
    <mergeCell ref="A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7" min="7" style="0" width="14"/>
  </cols>
  <sheetData>
    <row r="1" customFormat="false" ht="27.75" hidden="false" customHeight="true" outlineLevel="0" collapsed="false">
      <c r="A1" s="1" t="s">
        <v>128</v>
      </c>
      <c r="B1" s="1"/>
      <c r="C1" s="1"/>
      <c r="D1" s="1"/>
      <c r="E1" s="1"/>
    </row>
    <row r="3" customFormat="false" ht="69.75" hidden="false" customHeight="true" outlineLevel="0" collapsed="false">
      <c r="A3" s="3" t="s">
        <v>129</v>
      </c>
      <c r="B3" s="3"/>
      <c r="C3" s="3"/>
      <c r="D3" s="3"/>
      <c r="E3" s="3"/>
      <c r="G3" s="17" t="s">
        <v>103</v>
      </c>
      <c r="H3" s="17"/>
    </row>
    <row r="4" customFormat="false" ht="15" hidden="false" customHeight="false" outlineLevel="0" collapsed="false">
      <c r="G4" s="24" t="n">
        <v>0.075</v>
      </c>
    </row>
    <row r="6" customFormat="false" ht="15" hidden="false" customHeight="false" outlineLevel="0" collapsed="false">
      <c r="A6" s="5" t="s">
        <v>130</v>
      </c>
      <c r="B6" s="5" t="s">
        <v>131</v>
      </c>
      <c r="C6" s="5" t="s">
        <v>42</v>
      </c>
      <c r="D6" s="5" t="s">
        <v>132</v>
      </c>
      <c r="E6" s="5" t="s">
        <v>133</v>
      </c>
      <c r="F6" s="5" t="s">
        <v>134</v>
      </c>
    </row>
    <row r="7" customFormat="false" ht="15" hidden="false" customHeight="false" outlineLevel="0" collapsed="false">
      <c r="A7" s="12" t="s">
        <v>135</v>
      </c>
      <c r="B7" s="13" t="n">
        <v>3</v>
      </c>
      <c r="C7" s="13" t="n">
        <v>45000</v>
      </c>
      <c r="D7" s="16" t="s">
        <v>120</v>
      </c>
      <c r="E7" s="16"/>
      <c r="F7" s="16"/>
    </row>
    <row r="8" customFormat="false" ht="15" hidden="false" customHeight="false" outlineLevel="0" collapsed="false">
      <c r="A8" s="12" t="s">
        <v>136</v>
      </c>
      <c r="B8" s="13" t="n">
        <v>2</v>
      </c>
      <c r="C8" s="13" t="n">
        <v>60000</v>
      </c>
      <c r="D8" s="16"/>
      <c r="E8" s="16"/>
      <c r="F8" s="16"/>
    </row>
    <row r="9" customFormat="false" ht="15" hidden="false" customHeight="false" outlineLevel="0" collapsed="false">
      <c r="A9" s="12" t="s">
        <v>137</v>
      </c>
      <c r="B9" s="13" t="n">
        <v>1</v>
      </c>
      <c r="C9" s="13" t="n">
        <v>85000</v>
      </c>
      <c r="D9" s="16"/>
      <c r="E9" s="16"/>
      <c r="F9" s="16"/>
    </row>
    <row r="10" customFormat="false" ht="15" hidden="false" customHeight="false" outlineLevel="0" collapsed="false">
      <c r="A10" s="12" t="s">
        <v>138</v>
      </c>
      <c r="B10" s="13" t="n">
        <v>6</v>
      </c>
      <c r="C10" s="13" t="n">
        <v>2000</v>
      </c>
      <c r="D10" s="16"/>
      <c r="E10" s="16"/>
      <c r="F10" s="16"/>
    </row>
    <row r="11" customFormat="false" ht="15" hidden="false" customHeight="false" outlineLevel="0" collapsed="false">
      <c r="A11" s="19" t="s">
        <v>139</v>
      </c>
      <c r="B11" s="26"/>
      <c r="C11" s="26"/>
      <c r="D11" s="16"/>
      <c r="E11" s="16"/>
      <c r="F11" s="16"/>
    </row>
    <row r="13" customFormat="false" ht="30" hidden="false" customHeight="true" outlineLevel="0" collapsed="false">
      <c r="A13" s="27" t="s">
        <v>140</v>
      </c>
      <c r="B13" s="27"/>
      <c r="C13" s="27"/>
      <c r="D13" s="27"/>
      <c r="E13" s="27"/>
      <c r="F13" s="27"/>
    </row>
  </sheetData>
  <mergeCells count="4">
    <mergeCell ref="A1:E1"/>
    <mergeCell ref="A3:E3"/>
    <mergeCell ref="G3:H3"/>
    <mergeCell ref="A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12" min="2" style="0" width="8"/>
  </cols>
  <sheetData>
    <row r="1" customFormat="false" ht="27.75" hidden="false" customHeight="true" outlineLevel="0" collapsed="false">
      <c r="A1" s="1" t="s">
        <v>141</v>
      </c>
      <c r="B1" s="1"/>
      <c r="C1" s="1"/>
      <c r="D1" s="1"/>
      <c r="E1" s="1"/>
      <c r="F1" s="1"/>
      <c r="G1" s="1"/>
      <c r="H1" s="1"/>
      <c r="I1" s="1"/>
      <c r="J1" s="1"/>
      <c r="K1" s="1"/>
      <c r="L1" s="1"/>
    </row>
    <row r="2" customFormat="false" ht="15" hidden="false" customHeight="false" outlineLevel="0" collapsed="false">
      <c r="A2" s="2" t="s">
        <v>142</v>
      </c>
      <c r="B2" s="2"/>
      <c r="C2" s="2"/>
      <c r="D2" s="2"/>
      <c r="E2" s="2"/>
      <c r="F2" s="2"/>
      <c r="G2" s="2"/>
      <c r="H2" s="2"/>
      <c r="I2" s="2"/>
      <c r="J2" s="2"/>
      <c r="K2" s="2"/>
      <c r="L2" s="2"/>
    </row>
    <row r="4" customFormat="false" ht="19.5" hidden="false" customHeight="true" outlineLevel="0" collapsed="false">
      <c r="A4" s="4" t="s">
        <v>143</v>
      </c>
      <c r="B4" s="4"/>
      <c r="C4" s="4"/>
      <c r="D4" s="4"/>
      <c r="E4" s="4"/>
      <c r="F4" s="4"/>
      <c r="G4" s="4"/>
      <c r="H4" s="4"/>
      <c r="I4" s="4"/>
      <c r="J4" s="4"/>
      <c r="K4" s="4"/>
      <c r="L4" s="4"/>
    </row>
    <row r="5" customFormat="false" ht="57.45" hidden="false" customHeight="false" outlineLevel="0" collapsed="false">
      <c r="A5" s="5" t="s">
        <v>41</v>
      </c>
      <c r="B5" s="5" t="s">
        <v>42</v>
      </c>
      <c r="C5" s="5" t="s">
        <v>144</v>
      </c>
    </row>
    <row r="6" customFormat="false" ht="15" hidden="false" customHeight="false" outlineLevel="0" collapsed="false">
      <c r="A6" s="12" t="s">
        <v>56</v>
      </c>
      <c r="B6" s="13" t="n">
        <v>62000</v>
      </c>
      <c r="C6" s="28" t="s">
        <v>145</v>
      </c>
    </row>
    <row r="7" customFormat="false" ht="15" hidden="false" customHeight="false" outlineLevel="0" collapsed="false">
      <c r="A7" s="12" t="s">
        <v>58</v>
      </c>
      <c r="B7" s="13" t="n">
        <v>27000</v>
      </c>
      <c r="C7" s="28" t="s">
        <v>146</v>
      </c>
    </row>
    <row r="8" customFormat="false" ht="15" hidden="false" customHeight="false" outlineLevel="0" collapsed="false">
      <c r="A8" s="12" t="s">
        <v>59</v>
      </c>
      <c r="B8" s="13" t="n">
        <v>21000</v>
      </c>
      <c r="C8" s="28" t="s">
        <v>147</v>
      </c>
    </row>
    <row r="9" customFormat="false" ht="15" hidden="false" customHeight="false" outlineLevel="0" collapsed="false">
      <c r="A9" s="12" t="s">
        <v>60</v>
      </c>
      <c r="B9" s="13" t="n">
        <v>19500</v>
      </c>
      <c r="C9" s="28" t="s">
        <v>148</v>
      </c>
    </row>
    <row r="11" customFormat="false" ht="30" hidden="false" customHeight="true" outlineLevel="0" collapsed="false">
      <c r="A11" s="27" t="s">
        <v>149</v>
      </c>
      <c r="B11" s="27"/>
      <c r="C11" s="27"/>
      <c r="D11" s="27"/>
      <c r="E11" s="27"/>
      <c r="F11" s="27"/>
      <c r="G11" s="27"/>
      <c r="H11" s="27"/>
      <c r="I11" s="27"/>
      <c r="J11" s="27"/>
      <c r="K11" s="27"/>
      <c r="L11" s="27"/>
    </row>
    <row r="13" customFormat="false" ht="19.5" hidden="false" customHeight="true" outlineLevel="0" collapsed="false">
      <c r="A13" s="4" t="s">
        <v>150</v>
      </c>
      <c r="B13" s="4"/>
      <c r="C13" s="4"/>
      <c r="D13" s="4"/>
      <c r="E13" s="4"/>
      <c r="F13" s="4"/>
      <c r="G13" s="4"/>
      <c r="H13" s="4"/>
      <c r="I13" s="4"/>
      <c r="J13" s="4"/>
      <c r="K13" s="4"/>
      <c r="L13" s="4"/>
    </row>
    <row r="14" customFormat="false" ht="15" hidden="false" customHeight="false" outlineLevel="0" collapsed="false">
      <c r="A14" s="5"/>
      <c r="B14" s="5" t="s">
        <v>74</v>
      </c>
      <c r="C14" s="5" t="s">
        <v>75</v>
      </c>
      <c r="D14" s="5" t="s">
        <v>76</v>
      </c>
      <c r="E14" s="5" t="s">
        <v>77</v>
      </c>
      <c r="F14" s="5" t="s">
        <v>78</v>
      </c>
    </row>
    <row r="15" customFormat="false" ht="15" hidden="false" customHeight="false" outlineLevel="0" collapsed="false">
      <c r="A15" s="19" t="s">
        <v>151</v>
      </c>
      <c r="B15" s="28" t="s">
        <v>152</v>
      </c>
      <c r="C15" s="28" t="s">
        <v>153</v>
      </c>
      <c r="D15" s="28" t="s">
        <v>154</v>
      </c>
      <c r="E15" s="28" t="s">
        <v>155</v>
      </c>
      <c r="F15" s="28" t="s">
        <v>156</v>
      </c>
    </row>
    <row r="17" customFormat="false" ht="19.5" hidden="false" customHeight="true" outlineLevel="0" collapsed="false">
      <c r="A17" s="4" t="s">
        <v>157</v>
      </c>
      <c r="B17" s="4"/>
      <c r="C17" s="4"/>
      <c r="D17" s="4"/>
      <c r="E17" s="4"/>
      <c r="F17" s="4"/>
      <c r="G17" s="4"/>
      <c r="H17" s="4"/>
      <c r="I17" s="4"/>
      <c r="J17" s="4"/>
      <c r="K17" s="4"/>
      <c r="L17" s="4"/>
    </row>
    <row r="18" customFormat="false" ht="23.85" hidden="false" customHeight="false" outlineLevel="0" collapsed="false">
      <c r="A18" s="5" t="s">
        <v>94</v>
      </c>
      <c r="B18" s="5" t="s">
        <v>95</v>
      </c>
      <c r="C18" s="5" t="s">
        <v>151</v>
      </c>
    </row>
    <row r="19" customFormat="false" ht="15" hidden="false" customHeight="false" outlineLevel="0" collapsed="false">
      <c r="A19" s="12" t="s">
        <v>97</v>
      </c>
      <c r="B19" s="28" t="s">
        <v>158</v>
      </c>
    </row>
    <row r="20" customFormat="false" ht="15" hidden="false" customHeight="false" outlineLevel="0" collapsed="false">
      <c r="A20" s="12" t="s">
        <v>98</v>
      </c>
      <c r="B20" s="28" t="s">
        <v>159</v>
      </c>
    </row>
    <row r="21" customFormat="false" ht="15" hidden="false" customHeight="false" outlineLevel="0" collapsed="false">
      <c r="A21" s="12" t="s">
        <v>99</v>
      </c>
      <c r="B21" s="28" t="s">
        <v>160</v>
      </c>
    </row>
    <row r="22" customFormat="false" ht="15" hidden="false" customHeight="false" outlineLevel="0" collapsed="false">
      <c r="A22" s="12" t="s">
        <v>100</v>
      </c>
      <c r="B22" s="28" t="s">
        <v>161</v>
      </c>
    </row>
    <row r="25" customFormat="false" ht="19.5" hidden="false" customHeight="true" outlineLevel="0" collapsed="false">
      <c r="A25" s="4" t="s">
        <v>162</v>
      </c>
      <c r="B25" s="4"/>
      <c r="C25" s="4"/>
      <c r="D25" s="4"/>
      <c r="E25" s="4"/>
      <c r="F25" s="4"/>
      <c r="G25" s="4"/>
      <c r="H25" s="4"/>
      <c r="I25" s="4"/>
      <c r="J25" s="4"/>
      <c r="K25" s="4"/>
      <c r="L25" s="4"/>
    </row>
    <row r="26" customFormat="false" ht="15" hidden="false" customHeight="false" outlineLevel="0" collapsed="false">
      <c r="A26" s="5" t="s">
        <v>118</v>
      </c>
      <c r="B26" s="5" t="s">
        <v>74</v>
      </c>
      <c r="C26" s="5" t="s">
        <v>75</v>
      </c>
      <c r="D26" s="5" t="s">
        <v>76</v>
      </c>
      <c r="E26" s="5" t="s">
        <v>77</v>
      </c>
    </row>
    <row r="27" customFormat="false" ht="15" hidden="false" customHeight="false" outlineLevel="0" collapsed="false">
      <c r="A27" s="12" t="s">
        <v>119</v>
      </c>
      <c r="B27" s="28" t="s">
        <v>163</v>
      </c>
      <c r="C27" s="28" t="s">
        <v>163</v>
      </c>
      <c r="D27" s="28" t="s">
        <v>163</v>
      </c>
      <c r="E27" s="28" t="s">
        <v>163</v>
      </c>
    </row>
    <row r="28" customFormat="false" ht="15" hidden="false" customHeight="false" outlineLevel="0" collapsed="false">
      <c r="A28" s="12" t="s">
        <v>121</v>
      </c>
      <c r="B28" s="28" t="s">
        <v>164</v>
      </c>
      <c r="C28" s="28" t="s">
        <v>164</v>
      </c>
      <c r="D28" s="28" t="s">
        <v>164</v>
      </c>
      <c r="E28" s="28" t="s">
        <v>164</v>
      </c>
    </row>
    <row r="29" customFormat="false" ht="15" hidden="false" customHeight="false" outlineLevel="0" collapsed="false">
      <c r="A29" s="12" t="s">
        <v>122</v>
      </c>
      <c r="B29" s="28" t="s">
        <v>165</v>
      </c>
      <c r="C29" s="28" t="s">
        <v>165</v>
      </c>
      <c r="D29" s="28" t="s">
        <v>165</v>
      </c>
      <c r="E29" s="28" t="s">
        <v>165</v>
      </c>
    </row>
    <row r="30" customFormat="false" ht="15" hidden="false" customHeight="false" outlineLevel="0" collapsed="false">
      <c r="A30" s="12" t="s">
        <v>123</v>
      </c>
      <c r="B30" s="28" t="s">
        <v>166</v>
      </c>
      <c r="C30" s="28" t="s">
        <v>166</v>
      </c>
      <c r="D30" s="28" t="s">
        <v>166</v>
      </c>
      <c r="E30" s="28" t="s">
        <v>166</v>
      </c>
    </row>
    <row r="32" customFormat="false" ht="19.5" hidden="false" customHeight="true" outlineLevel="0" collapsed="false">
      <c r="A32" s="4" t="s">
        <v>167</v>
      </c>
      <c r="B32" s="4"/>
      <c r="C32" s="4"/>
      <c r="D32" s="4"/>
      <c r="E32" s="4"/>
      <c r="F32" s="4"/>
      <c r="G32" s="4"/>
      <c r="H32" s="4"/>
      <c r="I32" s="4"/>
      <c r="J32" s="4"/>
      <c r="K32" s="4"/>
      <c r="L32" s="4"/>
    </row>
    <row r="33" customFormat="false" ht="15" hidden="false" customHeight="false" outlineLevel="0" collapsed="false">
      <c r="A33" s="29" t="s">
        <v>168</v>
      </c>
      <c r="B33" s="29"/>
      <c r="C33" s="29"/>
      <c r="D33" s="29"/>
      <c r="E33" s="29"/>
      <c r="F33" s="28" t="s">
        <v>169</v>
      </c>
    </row>
    <row r="35" customFormat="false" ht="15" hidden="false" customHeight="false" outlineLevel="0" collapsed="false">
      <c r="A35" s="19" t="s">
        <v>126</v>
      </c>
      <c r="B35" s="19" t="n">
        <v>1</v>
      </c>
      <c r="C35" s="19" t="n">
        <v>2</v>
      </c>
      <c r="D35" s="19" t="n">
        <v>3</v>
      </c>
      <c r="E35" s="19" t="n">
        <v>4</v>
      </c>
      <c r="F35" s="19" t="n">
        <v>5</v>
      </c>
      <c r="G35" s="19" t="n">
        <v>6</v>
      </c>
      <c r="H35" s="19" t="n">
        <v>7</v>
      </c>
      <c r="I35" s="19" t="n">
        <v>8</v>
      </c>
      <c r="J35" s="19" t="n">
        <v>9</v>
      </c>
      <c r="K35" s="19" t="n">
        <v>10</v>
      </c>
    </row>
    <row r="36" customFormat="false" ht="15" hidden="false" customHeight="false" outlineLevel="0" collapsed="false">
      <c r="A36" s="19" t="n">
        <v>1</v>
      </c>
      <c r="B36" s="30" t="n">
        <v>1</v>
      </c>
      <c r="C36" s="30" t="n">
        <v>2</v>
      </c>
      <c r="D36" s="30" t="n">
        <v>3</v>
      </c>
      <c r="E36" s="30" t="n">
        <v>4</v>
      </c>
      <c r="F36" s="30" t="n">
        <v>5</v>
      </c>
      <c r="G36" s="30" t="n">
        <v>6</v>
      </c>
      <c r="H36" s="30" t="n">
        <v>7</v>
      </c>
      <c r="I36" s="30" t="n">
        <v>8</v>
      </c>
      <c r="J36" s="30" t="n">
        <v>9</v>
      </c>
      <c r="K36" s="30" t="n">
        <v>10</v>
      </c>
    </row>
    <row r="37" customFormat="false" ht="15" hidden="false" customHeight="false" outlineLevel="0" collapsed="false">
      <c r="A37" s="19" t="n">
        <v>2</v>
      </c>
      <c r="B37" s="30" t="n">
        <v>2</v>
      </c>
      <c r="C37" s="30" t="n">
        <v>4</v>
      </c>
      <c r="D37" s="30" t="n">
        <v>6</v>
      </c>
      <c r="E37" s="30" t="n">
        <v>8</v>
      </c>
      <c r="F37" s="30" t="n">
        <v>10</v>
      </c>
      <c r="G37" s="30" t="n">
        <v>12</v>
      </c>
      <c r="H37" s="30" t="n">
        <v>14</v>
      </c>
      <c r="I37" s="30" t="n">
        <v>16</v>
      </c>
      <c r="J37" s="30" t="n">
        <v>18</v>
      </c>
      <c r="K37" s="30" t="n">
        <v>20</v>
      </c>
    </row>
    <row r="38" customFormat="false" ht="15" hidden="false" customHeight="false" outlineLevel="0" collapsed="false">
      <c r="A38" s="19" t="n">
        <v>3</v>
      </c>
      <c r="B38" s="30" t="n">
        <v>3</v>
      </c>
      <c r="C38" s="30" t="n">
        <v>6</v>
      </c>
      <c r="D38" s="30" t="n">
        <v>9</v>
      </c>
      <c r="E38" s="30" t="n">
        <v>12</v>
      </c>
      <c r="F38" s="30" t="n">
        <v>15</v>
      </c>
      <c r="G38" s="30" t="n">
        <v>18</v>
      </c>
      <c r="H38" s="30" t="n">
        <v>21</v>
      </c>
      <c r="I38" s="30" t="n">
        <v>24</v>
      </c>
      <c r="J38" s="30" t="n">
        <v>27</v>
      </c>
      <c r="K38" s="30" t="n">
        <v>30</v>
      </c>
    </row>
    <row r="39" customFormat="false" ht="15" hidden="false" customHeight="false" outlineLevel="0" collapsed="false">
      <c r="A39" s="19" t="n">
        <v>4</v>
      </c>
      <c r="B39" s="30" t="n">
        <v>4</v>
      </c>
      <c r="C39" s="30" t="n">
        <v>8</v>
      </c>
      <c r="D39" s="30" t="n">
        <v>12</v>
      </c>
      <c r="E39" s="30" t="n">
        <v>16</v>
      </c>
      <c r="F39" s="30" t="n">
        <v>20</v>
      </c>
      <c r="G39" s="30" t="n">
        <v>24</v>
      </c>
      <c r="H39" s="30" t="n">
        <v>28</v>
      </c>
      <c r="I39" s="30" t="n">
        <v>32</v>
      </c>
      <c r="J39" s="30" t="n">
        <v>36</v>
      </c>
      <c r="K39" s="30" t="n">
        <v>40</v>
      </c>
    </row>
    <row r="40" customFormat="false" ht="15" hidden="false" customHeight="false" outlineLevel="0" collapsed="false">
      <c r="A40" s="19" t="n">
        <v>5</v>
      </c>
      <c r="B40" s="30" t="n">
        <v>5</v>
      </c>
      <c r="C40" s="30" t="n">
        <v>10</v>
      </c>
      <c r="D40" s="30" t="n">
        <v>15</v>
      </c>
      <c r="E40" s="30" t="n">
        <v>20</v>
      </c>
      <c r="F40" s="30" t="n">
        <v>25</v>
      </c>
      <c r="G40" s="30" t="n">
        <v>30</v>
      </c>
      <c r="H40" s="30" t="n">
        <v>35</v>
      </c>
      <c r="I40" s="30" t="n">
        <v>40</v>
      </c>
      <c r="J40" s="30" t="n">
        <v>45</v>
      </c>
      <c r="K40" s="30" t="n">
        <v>50</v>
      </c>
    </row>
    <row r="41" customFormat="false" ht="15" hidden="false" customHeight="false" outlineLevel="0" collapsed="false">
      <c r="A41" s="19" t="n">
        <v>6</v>
      </c>
      <c r="B41" s="30" t="n">
        <v>6</v>
      </c>
      <c r="C41" s="30" t="n">
        <v>12</v>
      </c>
      <c r="D41" s="30" t="n">
        <v>18</v>
      </c>
      <c r="E41" s="30" t="n">
        <v>24</v>
      </c>
      <c r="F41" s="30" t="n">
        <v>30</v>
      </c>
      <c r="G41" s="30" t="n">
        <v>36</v>
      </c>
      <c r="H41" s="30" t="n">
        <v>42</v>
      </c>
      <c r="I41" s="30" t="n">
        <v>48</v>
      </c>
      <c r="J41" s="30" t="n">
        <v>54</v>
      </c>
      <c r="K41" s="30" t="n">
        <v>60</v>
      </c>
    </row>
    <row r="42" customFormat="false" ht="15" hidden="false" customHeight="false" outlineLevel="0" collapsed="false">
      <c r="A42" s="19" t="n">
        <v>7</v>
      </c>
      <c r="B42" s="30" t="n">
        <v>7</v>
      </c>
      <c r="C42" s="30" t="n">
        <v>14</v>
      </c>
      <c r="D42" s="30" t="n">
        <v>21</v>
      </c>
      <c r="E42" s="30" t="n">
        <v>28</v>
      </c>
      <c r="F42" s="30" t="n">
        <v>35</v>
      </c>
      <c r="G42" s="30" t="n">
        <v>42</v>
      </c>
      <c r="H42" s="30" t="n">
        <v>49</v>
      </c>
      <c r="I42" s="30" t="n">
        <v>56</v>
      </c>
      <c r="J42" s="30" t="n">
        <v>63</v>
      </c>
      <c r="K42" s="30" t="n">
        <v>70</v>
      </c>
    </row>
    <row r="43" customFormat="false" ht="15" hidden="false" customHeight="false" outlineLevel="0" collapsed="false">
      <c r="A43" s="19" t="n">
        <v>8</v>
      </c>
      <c r="B43" s="30" t="n">
        <v>8</v>
      </c>
      <c r="C43" s="30" t="n">
        <v>16</v>
      </c>
      <c r="D43" s="30" t="n">
        <v>24</v>
      </c>
      <c r="E43" s="30" t="n">
        <v>32</v>
      </c>
      <c r="F43" s="30" t="n">
        <v>40</v>
      </c>
      <c r="G43" s="30" t="n">
        <v>48</v>
      </c>
      <c r="H43" s="30" t="n">
        <v>56</v>
      </c>
      <c r="I43" s="30" t="n">
        <v>64</v>
      </c>
      <c r="J43" s="30" t="n">
        <v>72</v>
      </c>
      <c r="K43" s="30" t="n">
        <v>80</v>
      </c>
    </row>
    <row r="44" customFormat="false" ht="15" hidden="false" customHeight="false" outlineLevel="0" collapsed="false">
      <c r="A44" s="19" t="n">
        <v>9</v>
      </c>
      <c r="B44" s="30" t="n">
        <v>9</v>
      </c>
      <c r="C44" s="30" t="n">
        <v>18</v>
      </c>
      <c r="D44" s="30" t="n">
        <v>27</v>
      </c>
      <c r="E44" s="30" t="n">
        <v>36</v>
      </c>
      <c r="F44" s="30" t="n">
        <v>45</v>
      </c>
      <c r="G44" s="30" t="n">
        <v>54</v>
      </c>
      <c r="H44" s="30" t="n">
        <v>63</v>
      </c>
      <c r="I44" s="30" t="n">
        <v>72</v>
      </c>
      <c r="J44" s="30" t="n">
        <v>81</v>
      </c>
      <c r="K44" s="30" t="n">
        <v>90</v>
      </c>
    </row>
    <row r="45" customFormat="false" ht="15" hidden="false" customHeight="false" outlineLevel="0" collapsed="false">
      <c r="A45" s="19" t="n">
        <v>10</v>
      </c>
      <c r="B45" s="30" t="n">
        <v>10</v>
      </c>
      <c r="C45" s="30" t="n">
        <v>20</v>
      </c>
      <c r="D45" s="30" t="n">
        <v>30</v>
      </c>
      <c r="E45" s="30" t="n">
        <v>40</v>
      </c>
      <c r="F45" s="30" t="n">
        <v>50</v>
      </c>
      <c r="G45" s="30" t="n">
        <v>60</v>
      </c>
      <c r="H45" s="30" t="n">
        <v>70</v>
      </c>
      <c r="I45" s="30" t="n">
        <v>80</v>
      </c>
      <c r="J45" s="30" t="n">
        <v>90</v>
      </c>
      <c r="K45" s="30" t="n">
        <v>100</v>
      </c>
    </row>
    <row r="47" customFormat="false" ht="19.5" hidden="false" customHeight="true" outlineLevel="0" collapsed="false">
      <c r="A47" s="4" t="s">
        <v>170</v>
      </c>
      <c r="B47" s="4"/>
      <c r="C47" s="4"/>
      <c r="D47" s="4"/>
      <c r="E47" s="4"/>
      <c r="F47" s="4"/>
      <c r="G47" s="4"/>
      <c r="H47" s="4"/>
      <c r="I47" s="4"/>
      <c r="J47" s="4"/>
      <c r="K47" s="4"/>
      <c r="L47" s="4"/>
    </row>
    <row r="48" customFormat="false" ht="15" hidden="false" customHeight="false" outlineLevel="0" collapsed="false">
      <c r="H48" s="31" t="s">
        <v>171</v>
      </c>
      <c r="I48" s="24" t="n">
        <v>0.075</v>
      </c>
    </row>
    <row r="49" customFormat="false" ht="23.85" hidden="false" customHeight="false" outlineLevel="0" collapsed="false">
      <c r="A49" s="5" t="s">
        <v>130</v>
      </c>
      <c r="B49" s="5" t="s">
        <v>131</v>
      </c>
      <c r="C49" s="5" t="s">
        <v>42</v>
      </c>
      <c r="D49" s="5" t="s">
        <v>132</v>
      </c>
      <c r="E49" s="5" t="s">
        <v>133</v>
      </c>
      <c r="F49" s="5" t="s">
        <v>134</v>
      </c>
    </row>
    <row r="50" customFormat="false" ht="15" hidden="false" customHeight="false" outlineLevel="0" collapsed="false">
      <c r="A50" s="12" t="s">
        <v>135</v>
      </c>
      <c r="B50" s="13" t="n">
        <v>3</v>
      </c>
      <c r="C50" s="13" t="n">
        <v>45000</v>
      </c>
      <c r="D50" s="28" t="n">
        <f aca="false">B50*C50</f>
        <v>135000</v>
      </c>
      <c r="E50" s="28" t="n">
        <f aca="false">D50*$I$48</f>
        <v>10125</v>
      </c>
      <c r="F50" s="28" t="n">
        <f aca="false">D50+E50</f>
        <v>145125</v>
      </c>
    </row>
    <row r="51" customFormat="false" ht="15" hidden="false" customHeight="false" outlineLevel="0" collapsed="false">
      <c r="A51" s="12" t="s">
        <v>136</v>
      </c>
      <c r="B51" s="13" t="n">
        <v>2</v>
      </c>
      <c r="C51" s="13" t="n">
        <v>60000</v>
      </c>
      <c r="D51" s="28" t="n">
        <f aca="false">B51*C51</f>
        <v>120000</v>
      </c>
      <c r="E51" s="28" t="n">
        <f aca="false">D51*$I$48</f>
        <v>9000</v>
      </c>
      <c r="F51" s="28" t="n">
        <f aca="false">D51+E51</f>
        <v>129000</v>
      </c>
    </row>
    <row r="52" customFormat="false" ht="15" hidden="false" customHeight="false" outlineLevel="0" collapsed="false">
      <c r="A52" s="12" t="s">
        <v>137</v>
      </c>
      <c r="B52" s="13" t="n">
        <v>1</v>
      </c>
      <c r="C52" s="13" t="n">
        <v>85000</v>
      </c>
      <c r="D52" s="28" t="n">
        <f aca="false">B52*C52</f>
        <v>85000</v>
      </c>
      <c r="E52" s="28" t="n">
        <f aca="false">D52*$I$48</f>
        <v>6375</v>
      </c>
      <c r="F52" s="28" t="n">
        <f aca="false">D52+E52</f>
        <v>91375</v>
      </c>
    </row>
    <row r="53" customFormat="false" ht="15" hidden="false" customHeight="false" outlineLevel="0" collapsed="false">
      <c r="A53" s="12" t="s">
        <v>138</v>
      </c>
      <c r="B53" s="13" t="n">
        <v>6</v>
      </c>
      <c r="C53" s="13" t="n">
        <v>2000</v>
      </c>
      <c r="D53" s="28" t="n">
        <f aca="false">B53*C53</f>
        <v>12000</v>
      </c>
      <c r="E53" s="28" t="n">
        <f aca="false">D53*$I$48</f>
        <v>900</v>
      </c>
      <c r="F53" s="28" t="n">
        <f aca="false">D53+E53</f>
        <v>12900</v>
      </c>
    </row>
    <row r="54" customFormat="false" ht="15" hidden="false" customHeight="false" outlineLevel="0" collapsed="false">
      <c r="A54" s="19" t="s">
        <v>139</v>
      </c>
      <c r="B54" s="26"/>
      <c r="C54" s="26"/>
      <c r="D54" s="28" t="n">
        <f aca="false">SUM(D50:D53)</f>
        <v>352000</v>
      </c>
      <c r="E54" s="28" t="n">
        <f aca="false">SUM(E50:E53)</f>
        <v>26400</v>
      </c>
      <c r="F54" s="28" t="n">
        <f aca="false">SUM(F50:F53)</f>
        <v>378400</v>
      </c>
    </row>
  </sheetData>
  <mergeCells count="10">
    <mergeCell ref="A1:L1"/>
    <mergeCell ref="A2:L2"/>
    <mergeCell ref="A4:L4"/>
    <mergeCell ref="A11:L11"/>
    <mergeCell ref="A13:L13"/>
    <mergeCell ref="A17:L17"/>
    <mergeCell ref="A25:L25"/>
    <mergeCell ref="A32:L32"/>
    <mergeCell ref="A33:E33"/>
    <mergeCell ref="A47:L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2026-07-02T08:20:44Z</dcterms:created>
  <dc:creator>openpyxl</dc:creator>
  <dc:description/>
  <dc:language>en-US</dc:language>
  <cp:lastModifiedBy/>
  <dcterms:modified xsi:type="dcterms:W3CDTF">2026-07-02T08:20:44Z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