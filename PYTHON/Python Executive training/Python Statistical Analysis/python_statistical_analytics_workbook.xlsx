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ta_Dictionary" sheetId="2" state="visible" r:id="rId4"/>
    <sheet name="Raw_Data" sheetId="3" state="visible" r:id="rId5"/>
    <sheet name="TimeSeries_Data" sheetId="4" state="visible" r:id="rId6"/>
    <sheet name="Descriptive_Stats" sheetId="5" state="visible" r:id="rId7"/>
    <sheet name="Frequency_Tables" sheetId="6" state="visible" r:id="rId8"/>
    <sheet name="Correlation_Matrix" sheetId="7" state="visible" r:id="rId9"/>
    <sheet name="Group_Comparisons" sheetId="8" state="visible" r:id="rId10"/>
    <sheet name="Charts" sheetId="9" state="visible" r:id="rId11"/>
    <sheet name="Instruction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<sst xmlns="http://schemas.openxmlformats.org/spreadsheetml/2006/main" count="2282" uniqueCount="603">
  <si>
    <t xml:space="preserve">Python Statistical Analytics - Practical Training Workbook</t>
  </si>
  <si>
    <t xml:space="preserve">A comprehensive dataset and worked-statistics companion for the Python Statistical Analytics course</t>
  </si>
  <si>
    <t xml:space="preserve">Prepared by:</t>
  </si>
  <si>
    <t xml:space="preserve">Kajola Gbenga</t>
  </si>
  <si>
    <t xml:space="preserve">Data Scientist &amp; AI Engineer</t>
  </si>
  <si>
    <t xml:space="preserve">Workbook Map</t>
  </si>
  <si>
    <t xml:space="preserve">Sheet</t>
  </si>
  <si>
    <t xml:space="preserve">Purpose</t>
  </si>
  <si>
    <t xml:space="preserve">Cover</t>
  </si>
  <si>
    <t xml:space="preserve">Title page and workbook guide</t>
  </si>
  <si>
    <t xml:space="preserve">Data_Dictionary</t>
  </si>
  <si>
    <t xml:space="preserve">Definitions of every column used across the workbook</t>
  </si>
  <si>
    <t xml:space="preserve">Raw_Data</t>
  </si>
  <si>
    <t xml:space="preserve">The 400-row employee dataset used throughout the practical</t>
  </si>
  <si>
    <t xml:space="preserve">TimeSeries_Data</t>
  </si>
  <si>
    <t xml:space="preserve">60-month revenue series used for time-series analysis</t>
  </si>
  <si>
    <t xml:space="preserve">Descriptive_Stats</t>
  </si>
  <si>
    <t xml:space="preserve">Live formulas: mean, median, mode, variance, std, skew, kurtosis, quartiles</t>
  </si>
  <si>
    <t xml:space="preserve">Frequency_Tables</t>
  </si>
  <si>
    <t xml:space="preserve">Counts and percentages for every categorical variable</t>
  </si>
  <si>
    <t xml:space="preserve">Correlation_Matrix</t>
  </si>
  <si>
    <t xml:space="preserve">Pearson correlation matrix across numeric variables</t>
  </si>
  <si>
    <t xml:space="preserve">Group_Comparisons</t>
  </si>
  <si>
    <t xml:space="preserve">Group means/SD by Department and Gender, feeding ANOVA/t-tests</t>
  </si>
  <si>
    <t xml:space="preserve">Charts</t>
  </si>
  <si>
    <t xml:space="preserve">Histogram, boxplot-style, bar and line charts built from the data</t>
  </si>
  <si>
    <t xml:space="preserve">Instructions</t>
  </si>
  <si>
    <t xml:space="preserve">How to use this workbook alongside the notebook, Word guide and HTML guide</t>
  </si>
  <si>
    <t xml:space="preserve">Prepared by Kajola Gbenga - Data Scientist &amp; AI Engineer</t>
  </si>
  <si>
    <t xml:space="preserve">Data Dictionary - employee_statistics_dataset.csv</t>
  </si>
  <si>
    <t xml:space="preserve">Column</t>
  </si>
  <si>
    <t xml:space="preserve">Type</t>
  </si>
  <si>
    <t xml:space="preserve">Description / Statistical Use</t>
  </si>
  <si>
    <t xml:space="preserve">EmployeeID</t>
  </si>
  <si>
    <t xml:space="preserve">Text</t>
  </si>
  <si>
    <t xml:space="preserve">Unique identifier for each employee record</t>
  </si>
  <si>
    <t xml:space="preserve">Department</t>
  </si>
  <si>
    <t xml:space="preserve">Categorical (4 levels)</t>
  </si>
  <si>
    <t xml:space="preserve">Sales, Engineering, Marketing, Operations - used for one-way/two-way ANOVA and Kruskal-Wallis</t>
  </si>
  <si>
    <t xml:space="preserve">Gender</t>
  </si>
  <si>
    <t xml:space="preserve">Categorical (2 levels)</t>
  </si>
  <si>
    <t xml:space="preserve">Male, Female - used for independent-samples t-test and Mann-Whitney U</t>
  </si>
  <si>
    <t xml:space="preserve">Region</t>
  </si>
  <si>
    <t xml:space="preserve">Categorical (3 levels)</t>
  </si>
  <si>
    <t xml:space="preserve">North, South, West - used for chi-square test of independence</t>
  </si>
  <si>
    <t xml:space="preserve">Education</t>
  </si>
  <si>
    <t xml:space="preserve">Categorical (4 levels, ordinal)</t>
  </si>
  <si>
    <t xml:space="preserve">Diploma, Bachelors, Masters, PhD - contains missing values for imputation practice</t>
  </si>
  <si>
    <t xml:space="preserve">Age</t>
  </si>
  <si>
    <t xml:space="preserve">Numeric (discrete)</t>
  </si>
  <si>
    <t xml:space="preserve">Employee age in years</t>
  </si>
  <si>
    <t xml:space="preserve">YearsExperience</t>
  </si>
  <si>
    <t xml:space="preserve">Numeric (continuous)</t>
  </si>
  <si>
    <t xml:space="preserve">Years of professional experience - predictor in regression</t>
  </si>
  <si>
    <t xml:space="preserve">TrainingHours</t>
  </si>
  <si>
    <t xml:space="preserve">Hours of training completed in the past year - contains missing values</t>
  </si>
  <si>
    <t xml:space="preserve">PreTrainingScore</t>
  </si>
  <si>
    <t xml:space="preserve">Assessment score before a training intervention - paired with PostTrainingScore</t>
  </si>
  <si>
    <t xml:space="preserve">PostTrainingScore</t>
  </si>
  <si>
    <t xml:space="preserve">Assessment score after the training intervention - used for paired t-test</t>
  </si>
  <si>
    <t xml:space="preserve">PerformanceScore</t>
  </si>
  <si>
    <t xml:space="preserve">Numeric (continuous, 0-100)</t>
  </si>
  <si>
    <t xml:space="preserve">Overall performance rating - main regression target</t>
  </si>
  <si>
    <t xml:space="preserve">MonthlySales</t>
  </si>
  <si>
    <t xml:space="preserve">Monthly sales value - contains deliberate outliers for outlier-detection practice</t>
  </si>
  <si>
    <t xml:space="preserve">SatisfactionScore</t>
  </si>
  <si>
    <t xml:space="preserve">Numeric (ordinal, 1-10)</t>
  </si>
  <si>
    <t xml:space="preserve">Self-reported job satisfaction - contains missing values</t>
  </si>
  <si>
    <t xml:space="preserve">AttendanceRate</t>
  </si>
  <si>
    <t xml:space="preserve">Numeric (continuous, %)</t>
  </si>
  <si>
    <t xml:space="preserve">Attendance rate percentage - contains missing values</t>
  </si>
  <si>
    <t xml:space="preserve">Promoted</t>
  </si>
  <si>
    <t xml:space="preserve">Binary (0/1)</t>
  </si>
  <si>
    <t xml:space="preserve">Whether the employee was promoted - target for logistic regression</t>
  </si>
  <si>
    <t xml:space="preserve">Data Dictionary - monthly_revenue_timeseries.csv</t>
  </si>
  <si>
    <t xml:space="preserve">Date</t>
  </si>
  <si>
    <t xml:space="preserve">Date (monthly)</t>
  </si>
  <si>
    <t xml:space="preserve">First day of each month, Jan 2020 to Dec 2024</t>
  </si>
  <si>
    <t xml:space="preserve">MonthlyRevenue</t>
  </si>
  <si>
    <t xml:space="preserve">Simulated monthly revenue with trend + seasonality + noise</t>
  </si>
  <si>
    <t xml:space="preserve">MarketingSpend</t>
  </si>
  <si>
    <t xml:space="preserve">Simulated monthly marketing spend</t>
  </si>
  <si>
    <t xml:space="preserve">UnitsSold</t>
  </si>
  <si>
    <t xml:space="preserve">Units sold per month, correlated with revenue</t>
  </si>
  <si>
    <t xml:space="preserve">EMP1000</t>
  </si>
  <si>
    <t xml:space="preserve">Marketing</t>
  </si>
  <si>
    <t xml:space="preserve">Male</t>
  </si>
  <si>
    <t xml:space="preserve">South</t>
  </si>
  <si>
    <t xml:space="preserve">Bachelors</t>
  </si>
  <si>
    <t xml:space="preserve">EMP1001</t>
  </si>
  <si>
    <t xml:space="preserve">Engineering</t>
  </si>
  <si>
    <t xml:space="preserve">Female</t>
  </si>
  <si>
    <t xml:space="preserve">North</t>
  </si>
  <si>
    <t xml:space="preserve">EMP1002</t>
  </si>
  <si>
    <t xml:space="preserve">Operations</t>
  </si>
  <si>
    <t xml:space="preserve">West</t>
  </si>
  <si>
    <t xml:space="preserve">Masters</t>
  </si>
  <si>
    <t xml:space="preserve">EMP1003</t>
  </si>
  <si>
    <t xml:space="preserve">EMP1004</t>
  </si>
  <si>
    <t xml:space="preserve">Sales</t>
  </si>
  <si>
    <t xml:space="preserve">Diploma</t>
  </si>
  <si>
    <t xml:space="preserve">EMP1005</t>
  </si>
  <si>
    <t xml:space="preserve">EMP1006</t>
  </si>
  <si>
    <t xml:space="preserve">EMP1007</t>
  </si>
  <si>
    <t xml:space="preserve">EMP1008</t>
  </si>
  <si>
    <t xml:space="preserve">EMP1009</t>
  </si>
  <si>
    <t xml:space="preserve">EMP1010</t>
  </si>
  <si>
    <t xml:space="preserve">EMP1011</t>
  </si>
  <si>
    <t xml:space="preserve">EMP1012</t>
  </si>
  <si>
    <t xml:space="preserve">EMP1013</t>
  </si>
  <si>
    <t xml:space="preserve">EMP1014</t>
  </si>
  <si>
    <t xml:space="preserve">EMP1015</t>
  </si>
  <si>
    <t xml:space="preserve">EMP1016</t>
  </si>
  <si>
    <t xml:space="preserve">EMP1017</t>
  </si>
  <si>
    <t xml:space="preserve">EMP1018</t>
  </si>
  <si>
    <t xml:space="preserve">EMP1019</t>
  </si>
  <si>
    <t xml:space="preserve">EMP1020</t>
  </si>
  <si>
    <t xml:space="preserve">EMP1021</t>
  </si>
  <si>
    <t xml:space="preserve">EMP1022</t>
  </si>
  <si>
    <t xml:space="preserve">EMP1023</t>
  </si>
  <si>
    <t xml:space="preserve">EMP1024</t>
  </si>
  <si>
    <t xml:space="preserve">EMP1025</t>
  </si>
  <si>
    <t xml:space="preserve">EMP1026</t>
  </si>
  <si>
    <t xml:space="preserve">EMP1027</t>
  </si>
  <si>
    <t xml:space="preserve">EMP1028</t>
  </si>
  <si>
    <t xml:space="preserve">PhD</t>
  </si>
  <si>
    <t xml:space="preserve">EMP1029</t>
  </si>
  <si>
    <t xml:space="preserve">EMP1030</t>
  </si>
  <si>
    <t xml:space="preserve">EMP1031</t>
  </si>
  <si>
    <t xml:space="preserve">EMP1032</t>
  </si>
  <si>
    <t xml:space="preserve">EMP1033</t>
  </si>
  <si>
    <t xml:space="preserve">EMP1034</t>
  </si>
  <si>
    <t xml:space="preserve">EMP1035</t>
  </si>
  <si>
    <t xml:space="preserve">EMP1036</t>
  </si>
  <si>
    <t xml:space="preserve">EMP1037</t>
  </si>
  <si>
    <t xml:space="preserve">EMP1038</t>
  </si>
  <si>
    <t xml:space="preserve">EMP1039</t>
  </si>
  <si>
    <t xml:space="preserve">EMP1040</t>
  </si>
  <si>
    <t xml:space="preserve">EMP1041</t>
  </si>
  <si>
    <t xml:space="preserve">EMP1042</t>
  </si>
  <si>
    <t xml:space="preserve">EMP1043</t>
  </si>
  <si>
    <t xml:space="preserve">EMP1044</t>
  </si>
  <si>
    <t xml:space="preserve">EMP1045</t>
  </si>
  <si>
    <t xml:space="preserve">EMP1046</t>
  </si>
  <si>
    <t xml:space="preserve">EMP1047</t>
  </si>
  <si>
    <t xml:space="preserve">EMP1048</t>
  </si>
  <si>
    <t xml:space="preserve">EMP1049</t>
  </si>
  <si>
    <t xml:space="preserve">EMP1050</t>
  </si>
  <si>
    <t xml:space="preserve">EMP1051</t>
  </si>
  <si>
    <t xml:space="preserve">EMP1052</t>
  </si>
  <si>
    <t xml:space="preserve">EMP1053</t>
  </si>
  <si>
    <t xml:space="preserve">EMP1054</t>
  </si>
  <si>
    <t xml:space="preserve">EMP1055</t>
  </si>
  <si>
    <t xml:space="preserve">EMP1056</t>
  </si>
  <si>
    <t xml:space="preserve">EMP1057</t>
  </si>
  <si>
    <t xml:space="preserve">EMP1058</t>
  </si>
  <si>
    <t xml:space="preserve">EMP1059</t>
  </si>
  <si>
    <t xml:space="preserve">EMP1060</t>
  </si>
  <si>
    <t xml:space="preserve">EMP1061</t>
  </si>
  <si>
    <t xml:space="preserve">EMP1062</t>
  </si>
  <si>
    <t xml:space="preserve">EMP1063</t>
  </si>
  <si>
    <t xml:space="preserve">EMP1064</t>
  </si>
  <si>
    <t xml:space="preserve">EMP1065</t>
  </si>
  <si>
    <t xml:space="preserve">EMP1066</t>
  </si>
  <si>
    <t xml:space="preserve">EMP1067</t>
  </si>
  <si>
    <t xml:space="preserve">EMP1068</t>
  </si>
  <si>
    <t xml:space="preserve">EMP1069</t>
  </si>
  <si>
    <t xml:space="preserve">EMP1070</t>
  </si>
  <si>
    <t xml:space="preserve">EMP1071</t>
  </si>
  <si>
    <t xml:space="preserve">EMP1072</t>
  </si>
  <si>
    <t xml:space="preserve">EMP1073</t>
  </si>
  <si>
    <t xml:space="preserve">EMP1074</t>
  </si>
  <si>
    <t xml:space="preserve">EMP1075</t>
  </si>
  <si>
    <t xml:space="preserve">EMP1076</t>
  </si>
  <si>
    <t xml:space="preserve">EMP1077</t>
  </si>
  <si>
    <t xml:space="preserve">EMP1078</t>
  </si>
  <si>
    <t xml:space="preserve">EMP1079</t>
  </si>
  <si>
    <t xml:space="preserve">EMP1080</t>
  </si>
  <si>
    <t xml:space="preserve">EMP1081</t>
  </si>
  <si>
    <t xml:space="preserve">EMP1082</t>
  </si>
  <si>
    <t xml:space="preserve">EMP1083</t>
  </si>
  <si>
    <t xml:space="preserve">EMP1084</t>
  </si>
  <si>
    <t xml:space="preserve">EMP1085</t>
  </si>
  <si>
    <t xml:space="preserve">EMP1086</t>
  </si>
  <si>
    <t xml:space="preserve">EMP1087</t>
  </si>
  <si>
    <t xml:space="preserve">EMP1088</t>
  </si>
  <si>
    <t xml:space="preserve">EMP1089</t>
  </si>
  <si>
    <t xml:space="preserve">EMP1090</t>
  </si>
  <si>
    <t xml:space="preserve">EMP1091</t>
  </si>
  <si>
    <t xml:space="preserve">EMP1092</t>
  </si>
  <si>
    <t xml:space="preserve">EMP1093</t>
  </si>
  <si>
    <t xml:space="preserve">EMP1094</t>
  </si>
  <si>
    <t xml:space="preserve">EMP1095</t>
  </si>
  <si>
    <t xml:space="preserve">EMP1096</t>
  </si>
  <si>
    <t xml:space="preserve">EMP1097</t>
  </si>
  <si>
    <t xml:space="preserve">EMP1098</t>
  </si>
  <si>
    <t xml:space="preserve">EMP1099</t>
  </si>
  <si>
    <t xml:space="preserve">EMP1100</t>
  </si>
  <si>
    <t xml:space="preserve">EMP1101</t>
  </si>
  <si>
    <t xml:space="preserve">EMP1102</t>
  </si>
  <si>
    <t xml:space="preserve">EMP1103</t>
  </si>
  <si>
    <t xml:space="preserve">EMP1104</t>
  </si>
  <si>
    <t xml:space="preserve">EMP1105</t>
  </si>
  <si>
    <t xml:space="preserve">EMP1106</t>
  </si>
  <si>
    <t xml:space="preserve">EMP1107</t>
  </si>
  <si>
    <t xml:space="preserve">EMP1108</t>
  </si>
  <si>
    <t xml:space="preserve">EMP1109</t>
  </si>
  <si>
    <t xml:space="preserve">EMP1110</t>
  </si>
  <si>
    <t xml:space="preserve">EMP1111</t>
  </si>
  <si>
    <t xml:space="preserve">EMP1112</t>
  </si>
  <si>
    <t xml:space="preserve">EMP1113</t>
  </si>
  <si>
    <t xml:space="preserve">EMP1114</t>
  </si>
  <si>
    <t xml:space="preserve">EMP1115</t>
  </si>
  <si>
    <t xml:space="preserve">EMP1116</t>
  </si>
  <si>
    <t xml:space="preserve">EMP1117</t>
  </si>
  <si>
    <t xml:space="preserve">EMP1118</t>
  </si>
  <si>
    <t xml:space="preserve">EMP1119</t>
  </si>
  <si>
    <t xml:space="preserve">EMP1120</t>
  </si>
  <si>
    <t xml:space="preserve">EMP1121</t>
  </si>
  <si>
    <t xml:space="preserve">EMP1122</t>
  </si>
  <si>
    <t xml:space="preserve">EMP1123</t>
  </si>
  <si>
    <t xml:space="preserve">EMP1124</t>
  </si>
  <si>
    <t xml:space="preserve">EMP1125</t>
  </si>
  <si>
    <t xml:space="preserve">EMP1126</t>
  </si>
  <si>
    <t xml:space="preserve">EMP1127</t>
  </si>
  <si>
    <t xml:space="preserve">EMP1128</t>
  </si>
  <si>
    <t xml:space="preserve">EMP1129</t>
  </si>
  <si>
    <t xml:space="preserve">EMP1130</t>
  </si>
  <si>
    <t xml:space="preserve">EMP1131</t>
  </si>
  <si>
    <t xml:space="preserve">EMP1132</t>
  </si>
  <si>
    <t xml:space="preserve">EMP1133</t>
  </si>
  <si>
    <t xml:space="preserve">EMP1134</t>
  </si>
  <si>
    <t xml:space="preserve">EMP1135</t>
  </si>
  <si>
    <t xml:space="preserve">EMP1136</t>
  </si>
  <si>
    <t xml:space="preserve">EMP1137</t>
  </si>
  <si>
    <t xml:space="preserve">EMP1138</t>
  </si>
  <si>
    <t xml:space="preserve">EMP1139</t>
  </si>
  <si>
    <t xml:space="preserve">EMP1140</t>
  </si>
  <si>
    <t xml:space="preserve">EMP1141</t>
  </si>
  <si>
    <t xml:space="preserve">EMP1142</t>
  </si>
  <si>
    <t xml:space="preserve">EMP1143</t>
  </si>
  <si>
    <t xml:space="preserve">EMP1144</t>
  </si>
  <si>
    <t xml:space="preserve">EMP1145</t>
  </si>
  <si>
    <t xml:space="preserve">EMP1146</t>
  </si>
  <si>
    <t xml:space="preserve">EMP1147</t>
  </si>
  <si>
    <t xml:space="preserve">EMP1148</t>
  </si>
  <si>
    <t xml:space="preserve">EMP1149</t>
  </si>
  <si>
    <t xml:space="preserve">EMP1150</t>
  </si>
  <si>
    <t xml:space="preserve">EMP1151</t>
  </si>
  <si>
    <t xml:space="preserve">EMP1152</t>
  </si>
  <si>
    <t xml:space="preserve">EMP1153</t>
  </si>
  <si>
    <t xml:space="preserve">EMP1154</t>
  </si>
  <si>
    <t xml:space="preserve">EMP1155</t>
  </si>
  <si>
    <t xml:space="preserve">EMP1156</t>
  </si>
  <si>
    <t xml:space="preserve">EMP1157</t>
  </si>
  <si>
    <t xml:space="preserve">EMP1158</t>
  </si>
  <si>
    <t xml:space="preserve">EMP1159</t>
  </si>
  <si>
    <t xml:space="preserve">EMP1160</t>
  </si>
  <si>
    <t xml:space="preserve">EMP1161</t>
  </si>
  <si>
    <t xml:space="preserve">EMP1162</t>
  </si>
  <si>
    <t xml:space="preserve">EMP1163</t>
  </si>
  <si>
    <t xml:space="preserve">EMP1164</t>
  </si>
  <si>
    <t xml:space="preserve">EMP1165</t>
  </si>
  <si>
    <t xml:space="preserve">EMP1166</t>
  </si>
  <si>
    <t xml:space="preserve">EMP1167</t>
  </si>
  <si>
    <t xml:space="preserve">EMP1168</t>
  </si>
  <si>
    <t xml:space="preserve">EMP1169</t>
  </si>
  <si>
    <t xml:space="preserve">EMP1170</t>
  </si>
  <si>
    <t xml:space="preserve">EMP1171</t>
  </si>
  <si>
    <t xml:space="preserve">EMP1172</t>
  </si>
  <si>
    <t xml:space="preserve">EMP1173</t>
  </si>
  <si>
    <t xml:space="preserve">EMP1174</t>
  </si>
  <si>
    <t xml:space="preserve">EMP1175</t>
  </si>
  <si>
    <t xml:space="preserve">EMP1176</t>
  </si>
  <si>
    <t xml:space="preserve">EMP1177</t>
  </si>
  <si>
    <t xml:space="preserve">EMP1178</t>
  </si>
  <si>
    <t xml:space="preserve">EMP1179</t>
  </si>
  <si>
    <t xml:space="preserve">EMP1180</t>
  </si>
  <si>
    <t xml:space="preserve">EMP1181</t>
  </si>
  <si>
    <t xml:space="preserve">EMP1182</t>
  </si>
  <si>
    <t xml:space="preserve">EMP1183</t>
  </si>
  <si>
    <t xml:space="preserve">EMP1184</t>
  </si>
  <si>
    <t xml:space="preserve">EMP1185</t>
  </si>
  <si>
    <t xml:space="preserve">EMP1186</t>
  </si>
  <si>
    <t xml:space="preserve">EMP1187</t>
  </si>
  <si>
    <t xml:space="preserve">EMP1188</t>
  </si>
  <si>
    <t xml:space="preserve">EMP1189</t>
  </si>
  <si>
    <t xml:space="preserve">EMP1190</t>
  </si>
  <si>
    <t xml:space="preserve">EMP1191</t>
  </si>
  <si>
    <t xml:space="preserve">EMP1192</t>
  </si>
  <si>
    <t xml:space="preserve">EMP1193</t>
  </si>
  <si>
    <t xml:space="preserve">EMP1194</t>
  </si>
  <si>
    <t xml:space="preserve">EMP1195</t>
  </si>
  <si>
    <t xml:space="preserve">EMP1196</t>
  </si>
  <si>
    <t xml:space="preserve">EMP1197</t>
  </si>
  <si>
    <t xml:space="preserve">EMP1198</t>
  </si>
  <si>
    <t xml:space="preserve">EMP1199</t>
  </si>
  <si>
    <t xml:space="preserve">EMP1200</t>
  </si>
  <si>
    <t xml:space="preserve">EMP1201</t>
  </si>
  <si>
    <t xml:space="preserve">EMP1202</t>
  </si>
  <si>
    <t xml:space="preserve">EMP1203</t>
  </si>
  <si>
    <t xml:space="preserve">EMP1204</t>
  </si>
  <si>
    <t xml:space="preserve">EMP1205</t>
  </si>
  <si>
    <t xml:space="preserve">EMP1206</t>
  </si>
  <si>
    <t xml:space="preserve">EMP1207</t>
  </si>
  <si>
    <t xml:space="preserve">EMP1208</t>
  </si>
  <si>
    <t xml:space="preserve">EMP1209</t>
  </si>
  <si>
    <t xml:space="preserve">EMP1210</t>
  </si>
  <si>
    <t xml:space="preserve">EMP1211</t>
  </si>
  <si>
    <t xml:space="preserve">EMP1212</t>
  </si>
  <si>
    <t xml:space="preserve">EMP1213</t>
  </si>
  <si>
    <t xml:space="preserve">EMP1214</t>
  </si>
  <si>
    <t xml:space="preserve">EMP1215</t>
  </si>
  <si>
    <t xml:space="preserve">EMP1216</t>
  </si>
  <si>
    <t xml:space="preserve">EMP1217</t>
  </si>
  <si>
    <t xml:space="preserve">EMP1218</t>
  </si>
  <si>
    <t xml:space="preserve">EMP1219</t>
  </si>
  <si>
    <t xml:space="preserve">EMP1220</t>
  </si>
  <si>
    <t xml:space="preserve">EMP1221</t>
  </si>
  <si>
    <t xml:space="preserve">EMP1222</t>
  </si>
  <si>
    <t xml:space="preserve">EMP1223</t>
  </si>
  <si>
    <t xml:space="preserve">EMP1224</t>
  </si>
  <si>
    <t xml:space="preserve">EMP1225</t>
  </si>
  <si>
    <t xml:space="preserve">EMP1226</t>
  </si>
  <si>
    <t xml:space="preserve">EMP1227</t>
  </si>
  <si>
    <t xml:space="preserve">EMP1228</t>
  </si>
  <si>
    <t xml:space="preserve">EMP1229</t>
  </si>
  <si>
    <t xml:space="preserve">EMP1230</t>
  </si>
  <si>
    <t xml:space="preserve">EMP1231</t>
  </si>
  <si>
    <t xml:space="preserve">EMP1232</t>
  </si>
  <si>
    <t xml:space="preserve">EMP1233</t>
  </si>
  <si>
    <t xml:space="preserve">EMP1234</t>
  </si>
  <si>
    <t xml:space="preserve">EMP1235</t>
  </si>
  <si>
    <t xml:space="preserve">EMP1236</t>
  </si>
  <si>
    <t xml:space="preserve">EMP1237</t>
  </si>
  <si>
    <t xml:space="preserve">EMP1238</t>
  </si>
  <si>
    <t xml:space="preserve">EMP1239</t>
  </si>
  <si>
    <t xml:space="preserve">EMP1240</t>
  </si>
  <si>
    <t xml:space="preserve">EMP1241</t>
  </si>
  <si>
    <t xml:space="preserve">EMP1242</t>
  </si>
  <si>
    <t xml:space="preserve">EMP1243</t>
  </si>
  <si>
    <t xml:space="preserve">EMP1244</t>
  </si>
  <si>
    <t xml:space="preserve">EMP1245</t>
  </si>
  <si>
    <t xml:space="preserve">EMP1246</t>
  </si>
  <si>
    <t xml:space="preserve">EMP1247</t>
  </si>
  <si>
    <t xml:space="preserve">EMP1248</t>
  </si>
  <si>
    <t xml:space="preserve">EMP1249</t>
  </si>
  <si>
    <t xml:space="preserve">EMP1250</t>
  </si>
  <si>
    <t xml:space="preserve">EMP1251</t>
  </si>
  <si>
    <t xml:space="preserve">EMP1252</t>
  </si>
  <si>
    <t xml:space="preserve">EMP1253</t>
  </si>
  <si>
    <t xml:space="preserve">EMP1254</t>
  </si>
  <si>
    <t xml:space="preserve">EMP1255</t>
  </si>
  <si>
    <t xml:space="preserve">EMP1256</t>
  </si>
  <si>
    <t xml:space="preserve">EMP1257</t>
  </si>
  <si>
    <t xml:space="preserve">EMP1258</t>
  </si>
  <si>
    <t xml:space="preserve">EMP1259</t>
  </si>
  <si>
    <t xml:space="preserve">EMP1260</t>
  </si>
  <si>
    <t xml:space="preserve">EMP1261</t>
  </si>
  <si>
    <t xml:space="preserve">EMP1262</t>
  </si>
  <si>
    <t xml:space="preserve">EMP1263</t>
  </si>
  <si>
    <t xml:space="preserve">EMP1264</t>
  </si>
  <si>
    <t xml:space="preserve">EMP1265</t>
  </si>
  <si>
    <t xml:space="preserve">EMP1266</t>
  </si>
  <si>
    <t xml:space="preserve">EMP1267</t>
  </si>
  <si>
    <t xml:space="preserve">EMP1268</t>
  </si>
  <si>
    <t xml:space="preserve">EMP1269</t>
  </si>
  <si>
    <t xml:space="preserve">EMP1270</t>
  </si>
  <si>
    <t xml:space="preserve">EMP1271</t>
  </si>
  <si>
    <t xml:space="preserve">EMP1272</t>
  </si>
  <si>
    <t xml:space="preserve">EMP1273</t>
  </si>
  <si>
    <t xml:space="preserve">EMP1274</t>
  </si>
  <si>
    <t xml:space="preserve">EMP1275</t>
  </si>
  <si>
    <t xml:space="preserve">EMP1276</t>
  </si>
  <si>
    <t xml:space="preserve">EMP1277</t>
  </si>
  <si>
    <t xml:space="preserve">EMP1278</t>
  </si>
  <si>
    <t xml:space="preserve">EMP1279</t>
  </si>
  <si>
    <t xml:space="preserve">EMP1280</t>
  </si>
  <si>
    <t xml:space="preserve">EMP1281</t>
  </si>
  <si>
    <t xml:space="preserve">EMP1282</t>
  </si>
  <si>
    <t xml:space="preserve">EMP1283</t>
  </si>
  <si>
    <t xml:space="preserve">EMP1284</t>
  </si>
  <si>
    <t xml:space="preserve">EMP1285</t>
  </si>
  <si>
    <t xml:space="preserve">EMP1286</t>
  </si>
  <si>
    <t xml:space="preserve">EMP1287</t>
  </si>
  <si>
    <t xml:space="preserve">EMP1288</t>
  </si>
  <si>
    <t xml:space="preserve">EMP1289</t>
  </si>
  <si>
    <t xml:space="preserve">EMP1290</t>
  </si>
  <si>
    <t xml:space="preserve">EMP1291</t>
  </si>
  <si>
    <t xml:space="preserve">EMP1292</t>
  </si>
  <si>
    <t xml:space="preserve">EMP1293</t>
  </si>
  <si>
    <t xml:space="preserve">EMP1294</t>
  </si>
  <si>
    <t xml:space="preserve">EMP1295</t>
  </si>
  <si>
    <t xml:space="preserve">EMP1296</t>
  </si>
  <si>
    <t xml:space="preserve">EMP1297</t>
  </si>
  <si>
    <t xml:space="preserve">EMP1298</t>
  </si>
  <si>
    <t xml:space="preserve">EMP1299</t>
  </si>
  <si>
    <t xml:space="preserve">EMP1300</t>
  </si>
  <si>
    <t xml:space="preserve">EMP1301</t>
  </si>
  <si>
    <t xml:space="preserve">EMP1302</t>
  </si>
  <si>
    <t xml:space="preserve">EMP1303</t>
  </si>
  <si>
    <t xml:space="preserve">EMP1304</t>
  </si>
  <si>
    <t xml:space="preserve">EMP1305</t>
  </si>
  <si>
    <t xml:space="preserve">EMP1306</t>
  </si>
  <si>
    <t xml:space="preserve">EMP1307</t>
  </si>
  <si>
    <t xml:space="preserve">EMP1308</t>
  </si>
  <si>
    <t xml:space="preserve">EMP1309</t>
  </si>
  <si>
    <t xml:space="preserve">EMP1310</t>
  </si>
  <si>
    <t xml:space="preserve">EMP1311</t>
  </si>
  <si>
    <t xml:space="preserve">EMP1312</t>
  </si>
  <si>
    <t xml:space="preserve">EMP1313</t>
  </si>
  <si>
    <t xml:space="preserve">EMP1314</t>
  </si>
  <si>
    <t xml:space="preserve">EMP1315</t>
  </si>
  <si>
    <t xml:space="preserve">EMP1316</t>
  </si>
  <si>
    <t xml:space="preserve">EMP1317</t>
  </si>
  <si>
    <t xml:space="preserve">EMP1318</t>
  </si>
  <si>
    <t xml:space="preserve">EMP1319</t>
  </si>
  <si>
    <t xml:space="preserve">EMP1320</t>
  </si>
  <si>
    <t xml:space="preserve">EMP1321</t>
  </si>
  <si>
    <t xml:space="preserve">EMP1322</t>
  </si>
  <si>
    <t xml:space="preserve">EMP1323</t>
  </si>
  <si>
    <t xml:space="preserve">EMP1324</t>
  </si>
  <si>
    <t xml:space="preserve">EMP1325</t>
  </si>
  <si>
    <t xml:space="preserve">EMP1326</t>
  </si>
  <si>
    <t xml:space="preserve">EMP1327</t>
  </si>
  <si>
    <t xml:space="preserve">EMP1328</t>
  </si>
  <si>
    <t xml:space="preserve">EMP1329</t>
  </si>
  <si>
    <t xml:space="preserve">EMP1330</t>
  </si>
  <si>
    <t xml:space="preserve">EMP1331</t>
  </si>
  <si>
    <t xml:space="preserve">EMP1332</t>
  </si>
  <si>
    <t xml:space="preserve">EMP1333</t>
  </si>
  <si>
    <t xml:space="preserve">EMP1334</t>
  </si>
  <si>
    <t xml:space="preserve">EMP1335</t>
  </si>
  <si>
    <t xml:space="preserve">EMP1336</t>
  </si>
  <si>
    <t xml:space="preserve">EMP1337</t>
  </si>
  <si>
    <t xml:space="preserve">EMP1338</t>
  </si>
  <si>
    <t xml:space="preserve">EMP1339</t>
  </si>
  <si>
    <t xml:space="preserve">EMP1340</t>
  </si>
  <si>
    <t xml:space="preserve">EMP1341</t>
  </si>
  <si>
    <t xml:space="preserve">EMP1342</t>
  </si>
  <si>
    <t xml:space="preserve">EMP1343</t>
  </si>
  <si>
    <t xml:space="preserve">EMP1344</t>
  </si>
  <si>
    <t xml:space="preserve">EMP1345</t>
  </si>
  <si>
    <t xml:space="preserve">EMP1346</t>
  </si>
  <si>
    <t xml:space="preserve">EMP1347</t>
  </si>
  <si>
    <t xml:space="preserve">EMP1348</t>
  </si>
  <si>
    <t xml:space="preserve">EMP1349</t>
  </si>
  <si>
    <t xml:space="preserve">EMP1350</t>
  </si>
  <si>
    <t xml:space="preserve">EMP1351</t>
  </si>
  <si>
    <t xml:space="preserve">EMP1352</t>
  </si>
  <si>
    <t xml:space="preserve">EMP1353</t>
  </si>
  <si>
    <t xml:space="preserve">EMP1354</t>
  </si>
  <si>
    <t xml:space="preserve">EMP1355</t>
  </si>
  <si>
    <t xml:space="preserve">EMP1356</t>
  </si>
  <si>
    <t xml:space="preserve">EMP1357</t>
  </si>
  <si>
    <t xml:space="preserve">EMP1358</t>
  </si>
  <si>
    <t xml:space="preserve">EMP1359</t>
  </si>
  <si>
    <t xml:space="preserve">EMP1360</t>
  </si>
  <si>
    <t xml:space="preserve">EMP1361</t>
  </si>
  <si>
    <t xml:space="preserve">EMP1362</t>
  </si>
  <si>
    <t xml:space="preserve">EMP1363</t>
  </si>
  <si>
    <t xml:space="preserve">EMP1364</t>
  </si>
  <si>
    <t xml:space="preserve">EMP1365</t>
  </si>
  <si>
    <t xml:space="preserve">EMP1366</t>
  </si>
  <si>
    <t xml:space="preserve">EMP1367</t>
  </si>
  <si>
    <t xml:space="preserve">EMP1368</t>
  </si>
  <si>
    <t xml:space="preserve">EMP1369</t>
  </si>
  <si>
    <t xml:space="preserve">EMP1370</t>
  </si>
  <si>
    <t xml:space="preserve">EMP1371</t>
  </si>
  <si>
    <t xml:space="preserve">EMP1372</t>
  </si>
  <si>
    <t xml:space="preserve">EMP1373</t>
  </si>
  <si>
    <t xml:space="preserve">EMP1374</t>
  </si>
  <si>
    <t xml:space="preserve">EMP1375</t>
  </si>
  <si>
    <t xml:space="preserve">EMP1376</t>
  </si>
  <si>
    <t xml:space="preserve">EMP1377</t>
  </si>
  <si>
    <t xml:space="preserve">EMP1378</t>
  </si>
  <si>
    <t xml:space="preserve">EMP1379</t>
  </si>
  <si>
    <t xml:space="preserve">EMP1380</t>
  </si>
  <si>
    <t xml:space="preserve">EMP1381</t>
  </si>
  <si>
    <t xml:space="preserve">EMP1382</t>
  </si>
  <si>
    <t xml:space="preserve">EMP1383</t>
  </si>
  <si>
    <t xml:space="preserve">EMP1384</t>
  </si>
  <si>
    <t xml:space="preserve">EMP1385</t>
  </si>
  <si>
    <t xml:space="preserve">EMP1386</t>
  </si>
  <si>
    <t xml:space="preserve">EMP1387</t>
  </si>
  <si>
    <t xml:space="preserve">EMP1388</t>
  </si>
  <si>
    <t xml:space="preserve">EMP1389</t>
  </si>
  <si>
    <t xml:space="preserve">EMP1390</t>
  </si>
  <si>
    <t xml:space="preserve">EMP1391</t>
  </si>
  <si>
    <t xml:space="preserve">EMP1392</t>
  </si>
  <si>
    <t xml:space="preserve">EMP1393</t>
  </si>
  <si>
    <t xml:space="preserve">EMP1394</t>
  </si>
  <si>
    <t xml:space="preserve">EMP1395</t>
  </si>
  <si>
    <t xml:space="preserve">EMP1396</t>
  </si>
  <si>
    <t xml:space="preserve">EMP1397</t>
  </si>
  <si>
    <t xml:space="preserve">EMP1398</t>
  </si>
  <si>
    <t xml:space="preserve">EMP1399</t>
  </si>
  <si>
    <t xml:space="preserve">2020-01-01</t>
  </si>
  <si>
    <t xml:space="preserve">2020-02-01</t>
  </si>
  <si>
    <t xml:space="preserve">2020-03-01</t>
  </si>
  <si>
    <t xml:space="preserve">2020-04-01</t>
  </si>
  <si>
    <t xml:space="preserve">2020-05-01</t>
  </si>
  <si>
    <t xml:space="preserve">2020-06-01</t>
  </si>
  <si>
    <t xml:space="preserve">2020-07-01</t>
  </si>
  <si>
    <t xml:space="preserve">2020-08-01</t>
  </si>
  <si>
    <t xml:space="preserve">2020-09-01</t>
  </si>
  <si>
    <t xml:space="preserve">2020-10-01</t>
  </si>
  <si>
    <t xml:space="preserve">2020-11-01</t>
  </si>
  <si>
    <t xml:space="preserve">2020-12-01</t>
  </si>
  <si>
    <t xml:space="preserve">2021-01-01</t>
  </si>
  <si>
    <t xml:space="preserve">2021-02-01</t>
  </si>
  <si>
    <t xml:space="preserve">2021-03-01</t>
  </si>
  <si>
    <t xml:space="preserve">2021-04-01</t>
  </si>
  <si>
    <t xml:space="preserve">2021-05-01</t>
  </si>
  <si>
    <t xml:space="preserve">2021-06-01</t>
  </si>
  <si>
    <t xml:space="preserve">2021-07-01</t>
  </si>
  <si>
    <t xml:space="preserve">2021-08-01</t>
  </si>
  <si>
    <t xml:space="preserve">2021-09-01</t>
  </si>
  <si>
    <t xml:space="preserve">2021-10-01</t>
  </si>
  <si>
    <t xml:space="preserve">2021-11-01</t>
  </si>
  <si>
    <t xml:space="preserve">2021-12-01</t>
  </si>
  <si>
    <t xml:space="preserve">2022-01-01</t>
  </si>
  <si>
    <t xml:space="preserve">2022-02-01</t>
  </si>
  <si>
    <t xml:space="preserve">2022-03-01</t>
  </si>
  <si>
    <t xml:space="preserve">2022-04-01</t>
  </si>
  <si>
    <t xml:space="preserve">2022-05-01</t>
  </si>
  <si>
    <t xml:space="preserve">2022-06-01</t>
  </si>
  <si>
    <t xml:space="preserve">2022-07-01</t>
  </si>
  <si>
    <t xml:space="preserve">2022-08-01</t>
  </si>
  <si>
    <t xml:space="preserve">2022-09-01</t>
  </si>
  <si>
    <t xml:space="preserve">2022-10-01</t>
  </si>
  <si>
    <t xml:space="preserve">2022-11-01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</si>
  <si>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</si>
  <si>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</si>
  <si>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</si>
  <si>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</si>
  <si>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</si>
  <si>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</si>
  <si>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</si>
  <si>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</si>
  <si>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</si>
  <si>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</si>
  <si>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</si>
  <si>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</si>
  <si>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</si>
  <si>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</si>
  <si>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</si>
  <si>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</si>
  <si>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</si>
  <si>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</si>
  <si>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</si>
  <si>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</si>
  <si>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</si>
  <si>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</si>
  <si>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</si>
  <si>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</si>
  <si>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</si>
  <si>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Descriptive Statistics (live formulas referencing Raw_Data)</t>
  </si>
  <si>
    <t xml:space="preserve">Statistic</t>
  </si>
  <si>
    <t xml:space="preserve">Count (N)</t>
  </si>
  <si>
    <t xml:space="preserve">Missing</t>
  </si>
  <si>
    <t xml:space="preserve">Mean</t>
  </si>
  <si>
    <t xml:space="preserve">Median</t>
  </si>
  <si>
    <t xml:space="preserve">Mode</t>
  </si>
  <si>
    <t xml:space="preserve">Std Dev (sample)</t>
  </si>
  <si>
    <t xml:space="preserve">Variance (sample)</t>
  </si>
  <si>
    <t xml:space="preserve">Minimum</t>
  </si>
  <si>
    <t xml:space="preserve">Maximum</t>
  </si>
  <si>
    <t xml:space="preserve">Range</t>
  </si>
  <si>
    <t xml:space="preserve">25th Percentile (Q1)</t>
  </si>
  <si>
    <t xml:space="preserve">75th Percentile (Q3)</t>
  </si>
  <si>
    <t xml:space="preserve">Interquartile Range (IQR)</t>
  </si>
  <si>
    <t xml:space="preserve">Skewness</t>
  </si>
  <si>
    <t xml:space="preserve">Kurtosis</t>
  </si>
  <si>
    <t xml:space="preserve">Coefficient of Variation (%)</t>
  </si>
  <si>
    <t xml:space="preserve">Note: every cell above is a live Excel formula pointing at Raw_Data. Change a value in Raw_Data and these statistics recalculate automatically.</t>
  </si>
  <si>
    <t xml:space="preserve">Frequency Tables (live formulas)</t>
  </si>
  <si>
    <t xml:space="preserve">Variable: Department</t>
  </si>
  <si>
    <t xml:space="preserve">Category</t>
  </si>
  <si>
    <t xml:space="preserve">Count</t>
  </si>
  <si>
    <t xml:space="preserve">Percent (%)</t>
  </si>
  <si>
    <t xml:space="preserve">Variable: Gender</t>
  </si>
  <si>
    <t xml:space="preserve">Variable: Region</t>
  </si>
  <si>
    <t xml:space="preserve">Variable: Education</t>
  </si>
  <si>
    <t xml:space="preserve">Variable: Promoted</t>
  </si>
  <si>
    <t xml:space="preserve">Pearson Correlation Matrix (live formulas, numeric variables)</t>
  </si>
  <si>
    <t xml:space="preserve">Group Comparisons - feeds t-tests / ANOVA in the notebook and Word guide</t>
  </si>
  <si>
    <t xml:space="preserve">By Department: PerformanceScore</t>
  </si>
  <si>
    <t xml:space="preserve">N</t>
  </si>
  <si>
    <t xml:space="preserve">Std Dev</t>
  </si>
  <si>
    <t xml:space="preserve">Min</t>
  </si>
  <si>
    <t xml:space="preserve">Max</t>
  </si>
  <si>
    <t xml:space="preserve">By Gender: PerformanceScore</t>
  </si>
  <si>
    <t xml:space="preserve">Note: Std Dev by Department uses an array formula IF(); it needs Ctrl+Shift+Enter in older Excel, or works natively in Excel 365.</t>
  </si>
  <si>
    <t xml:space="preserve">Charts built from Raw_Data and TimeSeries_Data</t>
  </si>
  <si>
    <t xml:space="preserve">How to Use This Workbook</t>
  </si>
  <si>
    <t xml:space="preserve">1. Start with the Data_Dictionary sheet to understand every column before touching formulas.</t>
  </si>
  <si>
    <t xml:space="preserve">2. Raw_Data and TimeSeries_Data are the source tables - every other sheet reads from them live.</t>
  </si>
  <si>
    <t xml:space="preserve">3. Descriptive_Stats, Frequency_Tables, Correlation_Matrix and Group_Comparisons use Excel formulas (AVERAGE, STDEV.S, CORREL, COUNTIF, AVERAGEIF, QUARTILE.INC, SKEW, KURT).</t>
  </si>
  <si>
    <t xml:space="preserve">4. Edit any value in Raw_Data and watch the dependent sheets recalculate automatically - this is the fastest way to build intuition for how each statistic behaves.</t>
  </si>
  <si>
    <t xml:space="preserve">5. Use this workbook side-by-side with employee_statistics_dataset.csv (same data, plain CSV), the Jupyter notebook (Python code for every statistic here plus hypothesis tests, regression and time series), the Word document (full theory + line-by-line code walkthrough) and the HTML guide (same content, browser-viewable).</t>
  </si>
  <si>
    <t xml:space="preserve">6. Charts sheet demonstrates a bar chart, line chart and scatter chart built natively in Excel from the same data used in the notebook's matplotlib/seaborn plots - compare the two approaches.</t>
  </si>
  <si>
    <t xml:space="preserve">7. Recommended teaching sequence: Data_Dictionary -&gt; Raw_Data -&gt; Descriptive_Stats -&gt; Frequency_Tables -&gt; Charts -&gt; Correlation_Matrix -&gt; Group_Comparisons -&gt; switch to the notebook for hypothesis testing, regression, and time series.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</si>
</sst>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Performance Score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Group_Comparisons!D5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Group_Comparisons!$B$6:$B$9</c:f>
              <c:strCache>
                <c:ptCount val="4"/>
                <c:pt idx="0">
                  <c:v>Engineering</c:v>
                </c:pt>
                <c:pt idx="1">
                  <c:v>Marketing</c:v>
                </c:pt>
                <c:pt idx="2">
                  <c:v>Operations</c:v>
                </c:pt>
                <c:pt idx="3">
                  <c:v>Sales</c:v>
                </c:pt>
              </c:strCache>
            </c:strRef>
          </c:cat>
          <c:val>
            <c:numRef>
              <c:f>Group_Comparisons!$D$6:$D$9</c:f>
              <c:numCache>
                <c:formatCode>0.00</c:formatCode>
                <c:ptCount val="4"/>
                <c:pt idx="0">
                  <c:v>85.8707317073171</c:v>
                </c:pt>
                <c:pt idx="1">
                  <c:v>78.2506172839506</c:v>
                </c:pt>
                <c:pt idx="2">
                  <c:v>78.08</c:v>
                </c:pt>
                <c:pt idx="3">
                  <c:v>80.9611570247934</c:v>
                </c:pt>
              </c:numCache>
            </c:numRef>
          </c:val>
        </c:ser>
        <c:gapWidth val="150"/>
        <c:overlap val="0"/>
        <c:axId val="94929488"/>
        <c:axId val="99053099"/>
      </c:barChart>
      <c:catAx>
        <c:axId val="949294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53099"/>
        <c:crosses val="autoZero"/>
        <c:auto val="1"/>
        <c:lblAlgn val="ctr"/>
        <c:lblOffset val="100"/>
        <c:noMultiLvlLbl val="0"/>
      </c:catAx>
      <c:valAx>
        <c:axId val="990530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Performance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294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TimeSeries_Data!B1</c:f>
              <c:strCache>
                <c:ptCount val="1"/>
                <c:pt idx="0">
                  <c:v>MonthlyRevenue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TimeSeries_Data!$A$2:$A$61</c:f>
              <c:strCache>
                <c:ptCount val="60"/>
                <c:pt idx="0">
                  <c:v>2020-01-01</c:v>
                </c:pt>
                <c:pt idx="1">
                  <c:v>2020-02-01</c:v>
                </c:pt>
                <c:pt idx="2">
                  <c:v>2020-03-01</c:v>
                </c:pt>
                <c:pt idx="3">
                  <c:v>2020-04-01</c:v>
                </c:pt>
                <c:pt idx="4">
                  <c:v>2020-05-01</c:v>
                </c:pt>
                <c:pt idx="5">
                  <c:v>2020-06-01</c:v>
                </c:pt>
                <c:pt idx="6">
                  <c:v>2020-07-01</c:v>
                </c:pt>
                <c:pt idx="7">
                  <c:v>2020-08-01</c:v>
                </c:pt>
                <c:pt idx="8">
                  <c:v>2020-09-01</c:v>
                </c:pt>
                <c:pt idx="9">
                  <c:v>2020-10-01</c:v>
                </c:pt>
                <c:pt idx="10">
                  <c:v>2020-11-01</c:v>
                </c:pt>
                <c:pt idx="11">
                  <c:v>2020-12-01</c:v>
                </c:pt>
                <c:pt idx="12">
                  <c:v>2021-01-01</c:v>
                </c:pt>
                <c:pt idx="13">
                  <c:v>2021-02-01</c:v>
                </c:pt>
                <c:pt idx="14">
                  <c:v>2021-03-01</c:v>
                </c:pt>
                <c:pt idx="15">
                  <c:v>2021-04-01</c:v>
                </c:pt>
                <c:pt idx="16">
                  <c:v>2021-05-01</c:v>
                </c:pt>
                <c:pt idx="17">
                  <c:v>2021-06-01</c:v>
                </c:pt>
                <c:pt idx="18">
                  <c:v>2021-07-01</c:v>
                </c:pt>
                <c:pt idx="19">
                  <c:v>2021-08-01</c:v>
                </c:pt>
                <c:pt idx="20">
                  <c:v>2021-09-01</c:v>
                </c:pt>
                <c:pt idx="21">
                  <c:v>2021-10-01</c:v>
                </c:pt>
                <c:pt idx="22">
                  <c:v>2021-11-01</c:v>
                </c:pt>
                <c:pt idx="23">
                  <c:v>2021-12-01</c:v>
                </c:pt>
                <c:pt idx="24">
                  <c:v>2022-01-01</c:v>
                </c:pt>
                <c:pt idx="25">
                  <c:v>2022-02-01</c:v>
                </c:pt>
                <c:pt idx="26">
                  <c:v>2022-03-01</c:v>
                </c:pt>
                <c:pt idx="27">
                  <c:v>2022-04-01</c:v>
                </c:pt>
                <c:pt idx="28">
                  <c:v>2022-05-01</c:v>
                </c:pt>
                <c:pt idx="29">
                  <c:v>2022-06-01</c:v>
                </c:pt>
                <c:pt idx="30">
                  <c:v>2022-07-01</c:v>
                </c:pt>
                <c:pt idx="31">
                  <c:v>2022-08-01</c:v>
                </c:pt>
                <c:pt idx="32">
                  <c:v>2022-09-01</c:v>
                </c:pt>
                <c:pt idx="33">
                  <c:v>2022-10-01</c:v>
                </c:pt>
                <c:pt idx="34">
                  <c:v>2022-11-01</c:v>
                </c:pt>
                <c:pt idx="35">
                  <c:v>2022-12-01</c:v>
                </c:pt>
                <c:pt idx="36">
                  <c:v>2023-01-01</c:v>
                </c:pt>
                <c:pt idx="37">
                  <c:v>2023-02-01</c:v>
                </c:pt>
                <c:pt idx="38">
                  <c:v>2023-03-01</c:v>
                </c:pt>
                <c:pt idx="39">
                  <c:v>2023-04-01</c:v>
                </c:pt>
                <c:pt idx="40">
                  <c:v>2023-05-01</c:v>
                </c:pt>
                <c:pt idx="41">
                  <c:v>2023-06-01</c:v>
                </c:pt>
                <c:pt idx="42">
                  <c:v>2023-07-01</c:v>
                </c:pt>
                <c:pt idx="43">
                  <c:v>2023-08-01</c:v>
                </c:pt>
                <c:pt idx="44">
                  <c:v>2023-09-01</c:v>
                </c:pt>
                <c:pt idx="45">
                  <c:v>2023-10-01</c:v>
                </c:pt>
                <c:pt idx="46">
                  <c:v>2023-11-01</c:v>
                </c:pt>
                <c:pt idx="47">
                  <c:v>2023-12-01</c:v>
                </c:pt>
                <c:pt idx="48">
                  <c:v>2024-01-01</c:v>
                </c:pt>
                <c:pt idx="49">
                  <c:v>2024-02-01</c:v>
                </c:pt>
                <c:pt idx="50">
                  <c:v>2024-03-01</c:v>
                </c:pt>
                <c:pt idx="51">
                  <c:v>2024-04-01</c:v>
                </c:pt>
                <c:pt idx="52">
                  <c:v>2024-05-01</c:v>
                </c:pt>
                <c:pt idx="53">
                  <c:v>2024-06-01</c:v>
                </c:pt>
                <c:pt idx="54">
                  <c:v>2024-07-01</c:v>
                </c:pt>
                <c:pt idx="55">
                  <c:v>2024-08-01</c:v>
                </c:pt>
                <c:pt idx="56">
                  <c:v>2024-09-01</c:v>
                </c:pt>
                <c:pt idx="57">
                  <c:v>2024-10-01</c:v>
                </c:pt>
                <c:pt idx="58">
                  <c:v>2024-11-01</c:v>
                </c:pt>
                <c:pt idx="59">
                  <c:v>2024-12-01</c:v>
                </c:pt>
              </c:strCache>
            </c:strRef>
          </c:cat>
          <c:val>
            <c:numRef>
              <c:f>TimeSeries_Data!$B$2:$B$61</c:f>
              <c:numCache>
                <c:formatCode>General</c:formatCode>
                <c:ptCount val="60"/>
                <c:pt idx="0">
                  <c:v>15802.19</c:v>
                </c:pt>
                <c:pt idx="1">
                  <c:v>16186.81</c:v>
                </c:pt>
                <c:pt idx="2">
                  <c:v>17881.72</c:v>
                </c:pt>
                <c:pt idx="3">
                  <c:v>17799.53</c:v>
                </c:pt>
                <c:pt idx="4">
                  <c:v>17581.83</c:v>
                </c:pt>
                <c:pt idx="5">
                  <c:v>17564.93</c:v>
                </c:pt>
                <c:pt idx="6">
                  <c:v>16858.43</c:v>
                </c:pt>
                <c:pt idx="7">
                  <c:v>15057.21</c:v>
                </c:pt>
                <c:pt idx="8">
                  <c:v>14749.83</c:v>
                </c:pt>
                <c:pt idx="9">
                  <c:v>14650.98</c:v>
                </c:pt>
                <c:pt idx="10">
                  <c:v>15501.77</c:v>
                </c:pt>
                <c:pt idx="11">
                  <c:v>17148.68</c:v>
                </c:pt>
                <c:pt idx="12">
                  <c:v>18884.93</c:v>
                </c:pt>
                <c:pt idx="13">
                  <c:v>18575.49</c:v>
                </c:pt>
                <c:pt idx="14">
                  <c:v>18860.69</c:v>
                </c:pt>
                <c:pt idx="15">
                  <c:v>20515.6</c:v>
                </c:pt>
                <c:pt idx="16">
                  <c:v>20318.53</c:v>
                </c:pt>
                <c:pt idx="17">
                  <c:v>19666.46</c:v>
                </c:pt>
                <c:pt idx="18">
                  <c:v>19484.95</c:v>
                </c:pt>
                <c:pt idx="19">
                  <c:v>18508.1</c:v>
                </c:pt>
                <c:pt idx="20">
                  <c:v>17563.26</c:v>
                </c:pt>
                <c:pt idx="21">
                  <c:v>17550.88</c:v>
                </c:pt>
                <c:pt idx="22">
                  <c:v>19755.65</c:v>
                </c:pt>
                <c:pt idx="23">
                  <c:v>19592.83</c:v>
                </c:pt>
                <c:pt idx="24">
                  <c:v>21343.82</c:v>
                </c:pt>
                <c:pt idx="25">
                  <c:v>20519.47</c:v>
                </c:pt>
                <c:pt idx="26">
                  <c:v>21639.42</c:v>
                </c:pt>
                <c:pt idx="27">
                  <c:v>23000.17</c:v>
                </c:pt>
                <c:pt idx="28">
                  <c:v>22700.47</c:v>
                </c:pt>
                <c:pt idx="29">
                  <c:v>19507.62</c:v>
                </c:pt>
                <c:pt idx="30">
                  <c:v>22671.82</c:v>
                </c:pt>
                <c:pt idx="31">
                  <c:v>22562.72</c:v>
                </c:pt>
                <c:pt idx="32">
                  <c:v>18784.02</c:v>
                </c:pt>
                <c:pt idx="33">
                  <c:v>20923.57</c:v>
                </c:pt>
                <c:pt idx="34">
                  <c:v>18680.79</c:v>
                </c:pt>
                <c:pt idx="35">
                  <c:v>22756.6</c:v>
                </c:pt>
                <c:pt idx="36">
                  <c:v>23513.95</c:v>
                </c:pt>
                <c:pt idx="37">
                  <c:v>22695.02</c:v>
                </c:pt>
                <c:pt idx="38">
                  <c:v>24931.14</c:v>
                </c:pt>
                <c:pt idx="39">
                  <c:v>25585.59</c:v>
                </c:pt>
                <c:pt idx="40">
                  <c:v>25313.57</c:v>
                </c:pt>
                <c:pt idx="41">
                  <c:v>25629.38</c:v>
                </c:pt>
                <c:pt idx="42">
                  <c:v>24551.83</c:v>
                </c:pt>
                <c:pt idx="43">
                  <c:v>22557.03</c:v>
                </c:pt>
                <c:pt idx="44">
                  <c:v>23305.46</c:v>
                </c:pt>
                <c:pt idx="45">
                  <c:v>23724.83</c:v>
                </c:pt>
                <c:pt idx="46">
                  <c:v>24051.86</c:v>
                </c:pt>
                <c:pt idx="47">
                  <c:v>23348.49</c:v>
                </c:pt>
                <c:pt idx="48">
                  <c:v>25099.57</c:v>
                </c:pt>
                <c:pt idx="49">
                  <c:v>26387.82</c:v>
                </c:pt>
                <c:pt idx="50">
                  <c:v>26143.76</c:v>
                </c:pt>
                <c:pt idx="51">
                  <c:v>27450.93</c:v>
                </c:pt>
                <c:pt idx="52">
                  <c:v>27974.24</c:v>
                </c:pt>
                <c:pt idx="53">
                  <c:v>26858.82</c:v>
                </c:pt>
                <c:pt idx="54">
                  <c:v>28023.99</c:v>
                </c:pt>
                <c:pt idx="55">
                  <c:v>26920.77</c:v>
                </c:pt>
                <c:pt idx="56">
                  <c:v>25077.44</c:v>
                </c:pt>
                <c:pt idx="57">
                  <c:v>25019.23</c:v>
                </c:pt>
                <c:pt idx="58">
                  <c:v>24536.29</c:v>
                </c:pt>
                <c:pt idx="59">
                  <c:v>27147.42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384573"/>
        <c:axId val="45394837"/>
      </c:lineChart>
      <c:catAx>
        <c:axId val="373845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94837"/>
        <c:crosses val="autoZero"/>
        <c:auto val="1"/>
        <c:lblAlgn val="ctr"/>
        <c:lblOffset val="100"/>
        <c:noMultiLvlLbl val="0"/>
      </c:catAx>
      <c:valAx>
        <c:axId val="453948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845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Years Experience vs Performance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Raw_Data!K1</c:f>
              <c:strCache>
                <c:ptCount val="1"/>
                <c:pt idx="0">
                  <c:v>PerformanceScore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Raw_Data!$G$2:$G$401</c:f>
              <c:numCache>
                <c:formatCode>General</c:formatCode>
                <c:ptCount val="400"/>
                <c:pt idx="0">
                  <c:v>4.7</c:v>
                </c:pt>
                <c:pt idx="1">
                  <c:v>6.4</c:v>
                </c:pt>
                <c:pt idx="2">
                  <c:v>3.4</c:v>
                </c:pt>
                <c:pt idx="3">
                  <c:v>2.3</c:v>
                </c:pt>
                <c:pt idx="4">
                  <c:v>3</c:v>
                </c:pt>
                <c:pt idx="5">
                  <c:v>4</c:v>
                </c:pt>
                <c:pt idx="6">
                  <c:v>2.3</c:v>
                </c:pt>
                <c:pt idx="7">
                  <c:v>6.5</c:v>
                </c:pt>
                <c:pt idx="8">
                  <c:v>8.3</c:v>
                </c:pt>
                <c:pt idx="9">
                  <c:v>0.9</c:v>
                </c:pt>
                <c:pt idx="10">
                  <c:v>6.1</c:v>
                </c:pt>
                <c:pt idx="11">
                  <c:v>5.3</c:v>
                </c:pt>
                <c:pt idx="12">
                  <c:v>7.1</c:v>
                </c:pt>
                <c:pt idx="13">
                  <c:v>6</c:v>
                </c:pt>
                <c:pt idx="14">
                  <c:v>1.3</c:v>
                </c:pt>
                <c:pt idx="15">
                  <c:v>2</c:v>
                </c:pt>
                <c:pt idx="16">
                  <c:v>6.1</c:v>
                </c:pt>
                <c:pt idx="17">
                  <c:v>9.3</c:v>
                </c:pt>
                <c:pt idx="18">
                  <c:v>0</c:v>
                </c:pt>
                <c:pt idx="19">
                  <c:v>7.1</c:v>
                </c:pt>
                <c:pt idx="20">
                  <c:v>9.8</c:v>
                </c:pt>
                <c:pt idx="21">
                  <c:v>5.5</c:v>
                </c:pt>
                <c:pt idx="22">
                  <c:v>7.8</c:v>
                </c:pt>
                <c:pt idx="23">
                  <c:v>3.8</c:v>
                </c:pt>
                <c:pt idx="24">
                  <c:v>5.6</c:v>
                </c:pt>
                <c:pt idx="25">
                  <c:v>0.8</c:v>
                </c:pt>
                <c:pt idx="26">
                  <c:v>0</c:v>
                </c:pt>
                <c:pt idx="27">
                  <c:v>9</c:v>
                </c:pt>
                <c:pt idx="28">
                  <c:v>2.8</c:v>
                </c:pt>
                <c:pt idx="29">
                  <c:v>4.5</c:v>
                </c:pt>
                <c:pt idx="30">
                  <c:v>1.6</c:v>
                </c:pt>
                <c:pt idx="31">
                  <c:v>1.5</c:v>
                </c:pt>
                <c:pt idx="32">
                  <c:v>5.4</c:v>
                </c:pt>
                <c:pt idx="33">
                  <c:v>3.7</c:v>
                </c:pt>
                <c:pt idx="34">
                  <c:v>7.2</c:v>
                </c:pt>
                <c:pt idx="35">
                  <c:v>7.4</c:v>
                </c:pt>
                <c:pt idx="36">
                  <c:v>7</c:v>
                </c:pt>
                <c:pt idx="37">
                  <c:v>6.8</c:v>
                </c:pt>
                <c:pt idx="38">
                  <c:v>11</c:v>
                </c:pt>
                <c:pt idx="39">
                  <c:v>2.6</c:v>
                </c:pt>
                <c:pt idx="40">
                  <c:v>5.8</c:v>
                </c:pt>
                <c:pt idx="41">
                  <c:v>9.6</c:v>
                </c:pt>
                <c:pt idx="42">
                  <c:v>10</c:v>
                </c:pt>
                <c:pt idx="43">
                  <c:v>1.5</c:v>
                </c:pt>
                <c:pt idx="44">
                  <c:v>5</c:v>
                </c:pt>
                <c:pt idx="45">
                  <c:v>10.3</c:v>
                </c:pt>
                <c:pt idx="46">
                  <c:v>7.6</c:v>
                </c:pt>
                <c:pt idx="47">
                  <c:v>6.6</c:v>
                </c:pt>
                <c:pt idx="48">
                  <c:v>5.3</c:v>
                </c:pt>
                <c:pt idx="49">
                  <c:v>4.8</c:v>
                </c:pt>
                <c:pt idx="50">
                  <c:v>6.9</c:v>
                </c:pt>
                <c:pt idx="51">
                  <c:v>5.2</c:v>
                </c:pt>
                <c:pt idx="52">
                  <c:v>5.9</c:v>
                </c:pt>
                <c:pt idx="53">
                  <c:v>6.3</c:v>
                </c:pt>
                <c:pt idx="54">
                  <c:v>3.8</c:v>
                </c:pt>
                <c:pt idx="55">
                  <c:v>7.7</c:v>
                </c:pt>
                <c:pt idx="56">
                  <c:v>15.3</c:v>
                </c:pt>
                <c:pt idx="57">
                  <c:v>0.3</c:v>
                </c:pt>
                <c:pt idx="58">
                  <c:v>7</c:v>
                </c:pt>
                <c:pt idx="59">
                  <c:v>3.6</c:v>
                </c:pt>
                <c:pt idx="60">
                  <c:v>7.8</c:v>
                </c:pt>
                <c:pt idx="61">
                  <c:v>6.1</c:v>
                </c:pt>
                <c:pt idx="62">
                  <c:v>8.4</c:v>
                </c:pt>
                <c:pt idx="63">
                  <c:v>9.8</c:v>
                </c:pt>
                <c:pt idx="64">
                  <c:v>6.6</c:v>
                </c:pt>
                <c:pt idx="65">
                  <c:v>9.6</c:v>
                </c:pt>
                <c:pt idx="66">
                  <c:v>0</c:v>
                </c:pt>
                <c:pt idx="67">
                  <c:v>11.1</c:v>
                </c:pt>
                <c:pt idx="68">
                  <c:v>7.2</c:v>
                </c:pt>
                <c:pt idx="69">
                  <c:v>9.4</c:v>
                </c:pt>
                <c:pt idx="70">
                  <c:v>2.1</c:v>
                </c:pt>
                <c:pt idx="71">
                  <c:v>3.3</c:v>
                </c:pt>
                <c:pt idx="72">
                  <c:v>6.5</c:v>
                </c:pt>
                <c:pt idx="73">
                  <c:v>5.9</c:v>
                </c:pt>
                <c:pt idx="74">
                  <c:v>6.9</c:v>
                </c:pt>
                <c:pt idx="75">
                  <c:v>9.5</c:v>
                </c:pt>
                <c:pt idx="76">
                  <c:v>0.4</c:v>
                </c:pt>
                <c:pt idx="77">
                  <c:v>9.1</c:v>
                </c:pt>
                <c:pt idx="78">
                  <c:v>6</c:v>
                </c:pt>
                <c:pt idx="79">
                  <c:v>5.3</c:v>
                </c:pt>
                <c:pt idx="80">
                  <c:v>1.3</c:v>
                </c:pt>
                <c:pt idx="81">
                  <c:v>7.6</c:v>
                </c:pt>
                <c:pt idx="82">
                  <c:v>0</c:v>
                </c:pt>
                <c:pt idx="83">
                  <c:v>8.1</c:v>
                </c:pt>
                <c:pt idx="84">
                  <c:v>1.2</c:v>
                </c:pt>
                <c:pt idx="85">
                  <c:v>6.2</c:v>
                </c:pt>
                <c:pt idx="86">
                  <c:v>5.6</c:v>
                </c:pt>
                <c:pt idx="87">
                  <c:v>9.7</c:v>
                </c:pt>
                <c:pt idx="88">
                  <c:v>5.4</c:v>
                </c:pt>
                <c:pt idx="89">
                  <c:v>3.8</c:v>
                </c:pt>
                <c:pt idx="90">
                  <c:v>4.4</c:v>
                </c:pt>
                <c:pt idx="91">
                  <c:v>10.1</c:v>
                </c:pt>
                <c:pt idx="92">
                  <c:v>7.7</c:v>
                </c:pt>
                <c:pt idx="93">
                  <c:v>4.8</c:v>
                </c:pt>
                <c:pt idx="94">
                  <c:v>5.2</c:v>
                </c:pt>
                <c:pt idx="95">
                  <c:v>1</c:v>
                </c:pt>
                <c:pt idx="96">
                  <c:v>7.2</c:v>
                </c:pt>
                <c:pt idx="97">
                  <c:v>0.4</c:v>
                </c:pt>
                <c:pt idx="98">
                  <c:v>8.4</c:v>
                </c:pt>
                <c:pt idx="99">
                  <c:v>6.4</c:v>
                </c:pt>
                <c:pt idx="100">
                  <c:v>13.6</c:v>
                </c:pt>
                <c:pt idx="101">
                  <c:v>2.5</c:v>
                </c:pt>
                <c:pt idx="102">
                  <c:v>5.7</c:v>
                </c:pt>
                <c:pt idx="103">
                  <c:v>11.8</c:v>
                </c:pt>
                <c:pt idx="104">
                  <c:v>9.8</c:v>
                </c:pt>
                <c:pt idx="105">
                  <c:v>3.8</c:v>
                </c:pt>
                <c:pt idx="106">
                  <c:v>6.7</c:v>
                </c:pt>
                <c:pt idx="107">
                  <c:v>6</c:v>
                </c:pt>
                <c:pt idx="108">
                  <c:v>6.9</c:v>
                </c:pt>
                <c:pt idx="109">
                  <c:v>3.8</c:v>
                </c:pt>
                <c:pt idx="110">
                  <c:v>5.7</c:v>
                </c:pt>
                <c:pt idx="111">
                  <c:v>0.9</c:v>
                </c:pt>
                <c:pt idx="112">
                  <c:v>6.4</c:v>
                </c:pt>
                <c:pt idx="113">
                  <c:v>7.4</c:v>
                </c:pt>
                <c:pt idx="114">
                  <c:v>5.3</c:v>
                </c:pt>
                <c:pt idx="115">
                  <c:v>0.8</c:v>
                </c:pt>
                <c:pt idx="116">
                  <c:v>9.2</c:v>
                </c:pt>
                <c:pt idx="117">
                  <c:v>7.2</c:v>
                </c:pt>
                <c:pt idx="118">
                  <c:v>3.7</c:v>
                </c:pt>
                <c:pt idx="119">
                  <c:v>5.1</c:v>
                </c:pt>
                <c:pt idx="120">
                  <c:v>1.2</c:v>
                </c:pt>
                <c:pt idx="121">
                  <c:v>2.7</c:v>
                </c:pt>
                <c:pt idx="122">
                  <c:v>4.3</c:v>
                </c:pt>
                <c:pt idx="123">
                  <c:v>9.9</c:v>
                </c:pt>
                <c:pt idx="124">
                  <c:v>4</c:v>
                </c:pt>
                <c:pt idx="125">
                  <c:v>8</c:v>
                </c:pt>
                <c:pt idx="126">
                  <c:v>4.3</c:v>
                </c:pt>
                <c:pt idx="127">
                  <c:v>6.8</c:v>
                </c:pt>
                <c:pt idx="128">
                  <c:v>5.5</c:v>
                </c:pt>
                <c:pt idx="129">
                  <c:v>8.8</c:v>
                </c:pt>
                <c:pt idx="130">
                  <c:v>4.3</c:v>
                </c:pt>
                <c:pt idx="131">
                  <c:v>1</c:v>
                </c:pt>
                <c:pt idx="132">
                  <c:v>1.6</c:v>
                </c:pt>
                <c:pt idx="133">
                  <c:v>4.3</c:v>
                </c:pt>
                <c:pt idx="134">
                  <c:v>2</c:v>
                </c:pt>
                <c:pt idx="135">
                  <c:v>7.3</c:v>
                </c:pt>
                <c:pt idx="136">
                  <c:v>4.5</c:v>
                </c:pt>
                <c:pt idx="137">
                  <c:v>13.6</c:v>
                </c:pt>
                <c:pt idx="138">
                  <c:v>0.4</c:v>
                </c:pt>
                <c:pt idx="139">
                  <c:v>6.7</c:v>
                </c:pt>
                <c:pt idx="140">
                  <c:v>2.4</c:v>
                </c:pt>
                <c:pt idx="141">
                  <c:v>4.4</c:v>
                </c:pt>
                <c:pt idx="142">
                  <c:v>6.5</c:v>
                </c:pt>
                <c:pt idx="143">
                  <c:v>0</c:v>
                </c:pt>
                <c:pt idx="144">
                  <c:v>6.8</c:v>
                </c:pt>
                <c:pt idx="145">
                  <c:v>12.1</c:v>
                </c:pt>
                <c:pt idx="146">
                  <c:v>4.5</c:v>
                </c:pt>
                <c:pt idx="147">
                  <c:v>6.8</c:v>
                </c:pt>
                <c:pt idx="148">
                  <c:v>9.3</c:v>
                </c:pt>
                <c:pt idx="149">
                  <c:v>5.5</c:v>
                </c:pt>
                <c:pt idx="150">
                  <c:v>4.1</c:v>
                </c:pt>
                <c:pt idx="151">
                  <c:v>0</c:v>
                </c:pt>
                <c:pt idx="152">
                  <c:v>8.1</c:v>
                </c:pt>
                <c:pt idx="153">
                  <c:v>5.6</c:v>
                </c:pt>
                <c:pt idx="154">
                  <c:v>2.8</c:v>
                </c:pt>
                <c:pt idx="155">
                  <c:v>6.4</c:v>
                </c:pt>
                <c:pt idx="156">
                  <c:v>4.1</c:v>
                </c:pt>
                <c:pt idx="157">
                  <c:v>4.3</c:v>
                </c:pt>
                <c:pt idx="158">
                  <c:v>7.9</c:v>
                </c:pt>
                <c:pt idx="159">
                  <c:v>1.7</c:v>
                </c:pt>
                <c:pt idx="160">
                  <c:v>9.4</c:v>
                </c:pt>
                <c:pt idx="161">
                  <c:v>1.5</c:v>
                </c:pt>
                <c:pt idx="162">
                  <c:v>3.9</c:v>
                </c:pt>
                <c:pt idx="163">
                  <c:v>12.2</c:v>
                </c:pt>
                <c:pt idx="164">
                  <c:v>9.6</c:v>
                </c:pt>
                <c:pt idx="165">
                  <c:v>6.3</c:v>
                </c:pt>
                <c:pt idx="166">
                  <c:v>3</c:v>
                </c:pt>
                <c:pt idx="167">
                  <c:v>4.3</c:v>
                </c:pt>
                <c:pt idx="168">
                  <c:v>6.2</c:v>
                </c:pt>
                <c:pt idx="169">
                  <c:v>6.1</c:v>
                </c:pt>
                <c:pt idx="170">
                  <c:v>5.7</c:v>
                </c:pt>
                <c:pt idx="171">
                  <c:v>5.9</c:v>
                </c:pt>
                <c:pt idx="172">
                  <c:v>5.3</c:v>
                </c:pt>
                <c:pt idx="173">
                  <c:v>1.4</c:v>
                </c:pt>
                <c:pt idx="174">
                  <c:v>4.3</c:v>
                </c:pt>
                <c:pt idx="175">
                  <c:v>8.9</c:v>
                </c:pt>
                <c:pt idx="176">
                  <c:v>1.6</c:v>
                </c:pt>
                <c:pt idx="177">
                  <c:v>5.4</c:v>
                </c:pt>
                <c:pt idx="178">
                  <c:v>3.4</c:v>
                </c:pt>
                <c:pt idx="179">
                  <c:v>6.4</c:v>
                </c:pt>
                <c:pt idx="180">
                  <c:v>4.8</c:v>
                </c:pt>
                <c:pt idx="181">
                  <c:v>10.7</c:v>
                </c:pt>
                <c:pt idx="182">
                  <c:v>7.6</c:v>
                </c:pt>
                <c:pt idx="183">
                  <c:v>1.8</c:v>
                </c:pt>
                <c:pt idx="184">
                  <c:v>8.1</c:v>
                </c:pt>
                <c:pt idx="185">
                  <c:v>3.5</c:v>
                </c:pt>
                <c:pt idx="186">
                  <c:v>4.2</c:v>
                </c:pt>
                <c:pt idx="187">
                  <c:v>7</c:v>
                </c:pt>
                <c:pt idx="188">
                  <c:v>4.4</c:v>
                </c:pt>
                <c:pt idx="189">
                  <c:v>8.9</c:v>
                </c:pt>
                <c:pt idx="190">
                  <c:v>3.5</c:v>
                </c:pt>
                <c:pt idx="191">
                  <c:v>4</c:v>
                </c:pt>
                <c:pt idx="192">
                  <c:v>3.9</c:v>
                </c:pt>
                <c:pt idx="193">
                  <c:v>4.2</c:v>
                </c:pt>
                <c:pt idx="194">
                  <c:v>9.5</c:v>
                </c:pt>
                <c:pt idx="195">
                  <c:v>8</c:v>
                </c:pt>
                <c:pt idx="196">
                  <c:v>11.5</c:v>
                </c:pt>
                <c:pt idx="197">
                  <c:v>13.3</c:v>
                </c:pt>
                <c:pt idx="198">
                  <c:v>2.7</c:v>
                </c:pt>
                <c:pt idx="199">
                  <c:v>6.2</c:v>
                </c:pt>
                <c:pt idx="200">
                  <c:v>2.2</c:v>
                </c:pt>
                <c:pt idx="201">
                  <c:v>3.5</c:v>
                </c:pt>
                <c:pt idx="202">
                  <c:v>4</c:v>
                </c:pt>
                <c:pt idx="203">
                  <c:v>2.6</c:v>
                </c:pt>
                <c:pt idx="204">
                  <c:v>2.6</c:v>
                </c:pt>
                <c:pt idx="205">
                  <c:v>5.5</c:v>
                </c:pt>
                <c:pt idx="206">
                  <c:v>2.1</c:v>
                </c:pt>
                <c:pt idx="207">
                  <c:v>8.7</c:v>
                </c:pt>
                <c:pt idx="208">
                  <c:v>3.1</c:v>
                </c:pt>
                <c:pt idx="209">
                  <c:v>15</c:v>
                </c:pt>
                <c:pt idx="210">
                  <c:v>4.6</c:v>
                </c:pt>
                <c:pt idx="211">
                  <c:v>6.2</c:v>
                </c:pt>
                <c:pt idx="212">
                  <c:v>1.9</c:v>
                </c:pt>
                <c:pt idx="213">
                  <c:v>11.5</c:v>
                </c:pt>
                <c:pt idx="214">
                  <c:v>9.6</c:v>
                </c:pt>
                <c:pt idx="215">
                  <c:v>7</c:v>
                </c:pt>
                <c:pt idx="216">
                  <c:v>1.7</c:v>
                </c:pt>
                <c:pt idx="217">
                  <c:v>6.7</c:v>
                </c:pt>
                <c:pt idx="218">
                  <c:v>2.4</c:v>
                </c:pt>
                <c:pt idx="219">
                  <c:v>10.7</c:v>
                </c:pt>
                <c:pt idx="220">
                  <c:v>8.6</c:v>
                </c:pt>
                <c:pt idx="221">
                  <c:v>6.3</c:v>
                </c:pt>
                <c:pt idx="222">
                  <c:v>0</c:v>
                </c:pt>
                <c:pt idx="223">
                  <c:v>2.9</c:v>
                </c:pt>
                <c:pt idx="224">
                  <c:v>8.2</c:v>
                </c:pt>
                <c:pt idx="225">
                  <c:v>9.9</c:v>
                </c:pt>
                <c:pt idx="226">
                  <c:v>9.5</c:v>
                </c:pt>
                <c:pt idx="227">
                  <c:v>0.9</c:v>
                </c:pt>
                <c:pt idx="228">
                  <c:v>7</c:v>
                </c:pt>
                <c:pt idx="229">
                  <c:v>9.2</c:v>
                </c:pt>
                <c:pt idx="230">
                  <c:v>0.7</c:v>
                </c:pt>
                <c:pt idx="231">
                  <c:v>6</c:v>
                </c:pt>
                <c:pt idx="232">
                  <c:v>6.9</c:v>
                </c:pt>
                <c:pt idx="233">
                  <c:v>5</c:v>
                </c:pt>
                <c:pt idx="234">
                  <c:v>0.1</c:v>
                </c:pt>
                <c:pt idx="235">
                  <c:v>5</c:v>
                </c:pt>
                <c:pt idx="236">
                  <c:v>5</c:v>
                </c:pt>
                <c:pt idx="237">
                  <c:v>5.5</c:v>
                </c:pt>
                <c:pt idx="238">
                  <c:v>4.2</c:v>
                </c:pt>
                <c:pt idx="239">
                  <c:v>4.6</c:v>
                </c:pt>
                <c:pt idx="240">
                  <c:v>5.9</c:v>
                </c:pt>
                <c:pt idx="241">
                  <c:v>7.4</c:v>
                </c:pt>
                <c:pt idx="242">
                  <c:v>5</c:v>
                </c:pt>
                <c:pt idx="243">
                  <c:v>4.7</c:v>
                </c:pt>
                <c:pt idx="244">
                  <c:v>6.3</c:v>
                </c:pt>
                <c:pt idx="245">
                  <c:v>0</c:v>
                </c:pt>
                <c:pt idx="246">
                  <c:v>7.5</c:v>
                </c:pt>
                <c:pt idx="247">
                  <c:v>6</c:v>
                </c:pt>
                <c:pt idx="248">
                  <c:v>6.1</c:v>
                </c:pt>
                <c:pt idx="249">
                  <c:v>9.1</c:v>
                </c:pt>
                <c:pt idx="250">
                  <c:v>0</c:v>
                </c:pt>
                <c:pt idx="251">
                  <c:v>0</c:v>
                </c:pt>
                <c:pt idx="252">
                  <c:v>6.9</c:v>
                </c:pt>
                <c:pt idx="253">
                  <c:v>6</c:v>
                </c:pt>
                <c:pt idx="254">
                  <c:v>6.5</c:v>
                </c:pt>
                <c:pt idx="255">
                  <c:v>4.5</c:v>
                </c:pt>
                <c:pt idx="256">
                  <c:v>8.1</c:v>
                </c:pt>
                <c:pt idx="257">
                  <c:v>9</c:v>
                </c:pt>
                <c:pt idx="258">
                  <c:v>7.5</c:v>
                </c:pt>
                <c:pt idx="259">
                  <c:v>5.2</c:v>
                </c:pt>
                <c:pt idx="260">
                  <c:v>0</c:v>
                </c:pt>
                <c:pt idx="261">
                  <c:v>8.5</c:v>
                </c:pt>
                <c:pt idx="262">
                  <c:v>9.9</c:v>
                </c:pt>
                <c:pt idx="263">
                  <c:v>8.1</c:v>
                </c:pt>
                <c:pt idx="264">
                  <c:v>3.2</c:v>
                </c:pt>
                <c:pt idx="265">
                  <c:v>8.2</c:v>
                </c:pt>
                <c:pt idx="266">
                  <c:v>8.8</c:v>
                </c:pt>
                <c:pt idx="267">
                  <c:v>11</c:v>
                </c:pt>
                <c:pt idx="268">
                  <c:v>3.2</c:v>
                </c:pt>
                <c:pt idx="269">
                  <c:v>5.3</c:v>
                </c:pt>
                <c:pt idx="270">
                  <c:v>8.4</c:v>
                </c:pt>
                <c:pt idx="271">
                  <c:v>6.2</c:v>
                </c:pt>
                <c:pt idx="272">
                  <c:v>2.4</c:v>
                </c:pt>
                <c:pt idx="273">
                  <c:v>7.3</c:v>
                </c:pt>
                <c:pt idx="274">
                  <c:v>7.9</c:v>
                </c:pt>
                <c:pt idx="275">
                  <c:v>6.3</c:v>
                </c:pt>
                <c:pt idx="276">
                  <c:v>6.7</c:v>
                </c:pt>
                <c:pt idx="277">
                  <c:v>5.2</c:v>
                </c:pt>
                <c:pt idx="278">
                  <c:v>10.7</c:v>
                </c:pt>
                <c:pt idx="279">
                  <c:v>3.1</c:v>
                </c:pt>
                <c:pt idx="280">
                  <c:v>4.1</c:v>
                </c:pt>
                <c:pt idx="281">
                  <c:v>6</c:v>
                </c:pt>
                <c:pt idx="282">
                  <c:v>8.8</c:v>
                </c:pt>
                <c:pt idx="283">
                  <c:v>1.2</c:v>
                </c:pt>
                <c:pt idx="284">
                  <c:v>1.8</c:v>
                </c:pt>
                <c:pt idx="285">
                  <c:v>0</c:v>
                </c:pt>
                <c:pt idx="286">
                  <c:v>6.1</c:v>
                </c:pt>
                <c:pt idx="287">
                  <c:v>2.4</c:v>
                </c:pt>
                <c:pt idx="288">
                  <c:v>4.8</c:v>
                </c:pt>
                <c:pt idx="289">
                  <c:v>8.1</c:v>
                </c:pt>
                <c:pt idx="290">
                  <c:v>3.9</c:v>
                </c:pt>
                <c:pt idx="291">
                  <c:v>6.7</c:v>
                </c:pt>
                <c:pt idx="292">
                  <c:v>5</c:v>
                </c:pt>
                <c:pt idx="293">
                  <c:v>8.2</c:v>
                </c:pt>
                <c:pt idx="294">
                  <c:v>7.5</c:v>
                </c:pt>
                <c:pt idx="295">
                  <c:v>3.8</c:v>
                </c:pt>
                <c:pt idx="296">
                  <c:v>5.5</c:v>
                </c:pt>
                <c:pt idx="297">
                  <c:v>9.3</c:v>
                </c:pt>
                <c:pt idx="298">
                  <c:v>7.3</c:v>
                </c:pt>
                <c:pt idx="299">
                  <c:v>1.5</c:v>
                </c:pt>
                <c:pt idx="300">
                  <c:v>8.1</c:v>
                </c:pt>
                <c:pt idx="301">
                  <c:v>2.5</c:v>
                </c:pt>
                <c:pt idx="302">
                  <c:v>10.5</c:v>
                </c:pt>
                <c:pt idx="303">
                  <c:v>9.3</c:v>
                </c:pt>
                <c:pt idx="304">
                  <c:v>6.9</c:v>
                </c:pt>
                <c:pt idx="305">
                  <c:v>6.5</c:v>
                </c:pt>
                <c:pt idx="306">
                  <c:v>5.3</c:v>
                </c:pt>
                <c:pt idx="307">
                  <c:v>8.2</c:v>
                </c:pt>
                <c:pt idx="308">
                  <c:v>4.8</c:v>
                </c:pt>
                <c:pt idx="309">
                  <c:v>6.8</c:v>
                </c:pt>
                <c:pt idx="310">
                  <c:v>8.8</c:v>
                </c:pt>
                <c:pt idx="311">
                  <c:v>4.2</c:v>
                </c:pt>
                <c:pt idx="312">
                  <c:v>4</c:v>
                </c:pt>
                <c:pt idx="313">
                  <c:v>2.2</c:v>
                </c:pt>
                <c:pt idx="314">
                  <c:v>2.6</c:v>
                </c:pt>
                <c:pt idx="315">
                  <c:v>0.1</c:v>
                </c:pt>
                <c:pt idx="316">
                  <c:v>8.3</c:v>
                </c:pt>
                <c:pt idx="317">
                  <c:v>11.8</c:v>
                </c:pt>
                <c:pt idx="318">
                  <c:v>10.6</c:v>
                </c:pt>
                <c:pt idx="319">
                  <c:v>0.8</c:v>
                </c:pt>
                <c:pt idx="320">
                  <c:v>8.3</c:v>
                </c:pt>
                <c:pt idx="321">
                  <c:v>10.6</c:v>
                </c:pt>
                <c:pt idx="322">
                  <c:v>4.5</c:v>
                </c:pt>
                <c:pt idx="323">
                  <c:v>6.3</c:v>
                </c:pt>
                <c:pt idx="324">
                  <c:v>0</c:v>
                </c:pt>
                <c:pt idx="325">
                  <c:v>6.9</c:v>
                </c:pt>
                <c:pt idx="326">
                  <c:v>2.6</c:v>
                </c:pt>
                <c:pt idx="327">
                  <c:v>6.6</c:v>
                </c:pt>
                <c:pt idx="328">
                  <c:v>1</c:v>
                </c:pt>
                <c:pt idx="329">
                  <c:v>7.7</c:v>
                </c:pt>
                <c:pt idx="330">
                  <c:v>9.3</c:v>
                </c:pt>
                <c:pt idx="331">
                  <c:v>3.5</c:v>
                </c:pt>
                <c:pt idx="332">
                  <c:v>2.4</c:v>
                </c:pt>
                <c:pt idx="333">
                  <c:v>0</c:v>
                </c:pt>
                <c:pt idx="334">
                  <c:v>5.1</c:v>
                </c:pt>
                <c:pt idx="335">
                  <c:v>4.1</c:v>
                </c:pt>
                <c:pt idx="336">
                  <c:v>1</c:v>
                </c:pt>
                <c:pt idx="337">
                  <c:v>7.4</c:v>
                </c:pt>
                <c:pt idx="338">
                  <c:v>4.6</c:v>
                </c:pt>
                <c:pt idx="339">
                  <c:v>2.6</c:v>
                </c:pt>
                <c:pt idx="340">
                  <c:v>4.2</c:v>
                </c:pt>
                <c:pt idx="341">
                  <c:v>9.4</c:v>
                </c:pt>
                <c:pt idx="342">
                  <c:v>7.9</c:v>
                </c:pt>
                <c:pt idx="343">
                  <c:v>5.6</c:v>
                </c:pt>
                <c:pt idx="344">
                  <c:v>8</c:v>
                </c:pt>
                <c:pt idx="345">
                  <c:v>2.3</c:v>
                </c:pt>
                <c:pt idx="346">
                  <c:v>6.1</c:v>
                </c:pt>
                <c:pt idx="347">
                  <c:v>6.5</c:v>
                </c:pt>
                <c:pt idx="348">
                  <c:v>4.5</c:v>
                </c:pt>
                <c:pt idx="349">
                  <c:v>7.4</c:v>
                </c:pt>
                <c:pt idx="350">
                  <c:v>3.5</c:v>
                </c:pt>
                <c:pt idx="351">
                  <c:v>7.6</c:v>
                </c:pt>
                <c:pt idx="352">
                  <c:v>7.8</c:v>
                </c:pt>
                <c:pt idx="353">
                  <c:v>0</c:v>
                </c:pt>
                <c:pt idx="354">
                  <c:v>9.8</c:v>
                </c:pt>
                <c:pt idx="355">
                  <c:v>0</c:v>
                </c:pt>
                <c:pt idx="356">
                  <c:v>4</c:v>
                </c:pt>
                <c:pt idx="357">
                  <c:v>9.3</c:v>
                </c:pt>
                <c:pt idx="358">
                  <c:v>5</c:v>
                </c:pt>
                <c:pt idx="359">
                  <c:v>1.3</c:v>
                </c:pt>
                <c:pt idx="360">
                  <c:v>2.5</c:v>
                </c:pt>
                <c:pt idx="361">
                  <c:v>9.3</c:v>
                </c:pt>
                <c:pt idx="362">
                  <c:v>0</c:v>
                </c:pt>
                <c:pt idx="363">
                  <c:v>9.6</c:v>
                </c:pt>
                <c:pt idx="364">
                  <c:v>5.8</c:v>
                </c:pt>
                <c:pt idx="365">
                  <c:v>2.2</c:v>
                </c:pt>
                <c:pt idx="366">
                  <c:v>4.1</c:v>
                </c:pt>
                <c:pt idx="367">
                  <c:v>2.7</c:v>
                </c:pt>
                <c:pt idx="368">
                  <c:v>8.8</c:v>
                </c:pt>
                <c:pt idx="369">
                  <c:v>8.3</c:v>
                </c:pt>
                <c:pt idx="370">
                  <c:v>0.5</c:v>
                </c:pt>
                <c:pt idx="371">
                  <c:v>4.7</c:v>
                </c:pt>
                <c:pt idx="372">
                  <c:v>3.2</c:v>
                </c:pt>
                <c:pt idx="373">
                  <c:v>10.1</c:v>
                </c:pt>
                <c:pt idx="374">
                  <c:v>1.7</c:v>
                </c:pt>
                <c:pt idx="375">
                  <c:v>11.1</c:v>
                </c:pt>
                <c:pt idx="376">
                  <c:v>5.9</c:v>
                </c:pt>
                <c:pt idx="377">
                  <c:v>2.3</c:v>
                </c:pt>
                <c:pt idx="378">
                  <c:v>3.8</c:v>
                </c:pt>
                <c:pt idx="379">
                  <c:v>3.4</c:v>
                </c:pt>
                <c:pt idx="380">
                  <c:v>1.9</c:v>
                </c:pt>
                <c:pt idx="381">
                  <c:v>6.3</c:v>
                </c:pt>
                <c:pt idx="382">
                  <c:v>2.1</c:v>
                </c:pt>
                <c:pt idx="383">
                  <c:v>0</c:v>
                </c:pt>
                <c:pt idx="384">
                  <c:v>4.8</c:v>
                </c:pt>
                <c:pt idx="385">
                  <c:v>0.2</c:v>
                </c:pt>
                <c:pt idx="386">
                  <c:v>3.6</c:v>
                </c:pt>
                <c:pt idx="387">
                  <c:v>3.1</c:v>
                </c:pt>
                <c:pt idx="388">
                  <c:v>3.2</c:v>
                </c:pt>
                <c:pt idx="389">
                  <c:v>12.4</c:v>
                </c:pt>
                <c:pt idx="390">
                  <c:v>6.2</c:v>
                </c:pt>
                <c:pt idx="391">
                  <c:v>6.8</c:v>
                </c:pt>
                <c:pt idx="392">
                  <c:v>0.3</c:v>
                </c:pt>
                <c:pt idx="393">
                  <c:v>3.9</c:v>
                </c:pt>
                <c:pt idx="394">
                  <c:v>6.7</c:v>
                </c:pt>
                <c:pt idx="395">
                  <c:v>2.7</c:v>
                </c:pt>
                <c:pt idx="396">
                  <c:v>8.9</c:v>
                </c:pt>
                <c:pt idx="397">
                  <c:v>2.2</c:v>
                </c:pt>
                <c:pt idx="398">
                  <c:v>5.1</c:v>
                </c:pt>
                <c:pt idx="399">
                  <c:v>4.1</c:v>
                </c:pt>
              </c:numCache>
            </c:numRef>
          </c:xVal>
          <c:yVal>
            <c:numRef>
              <c:f>Raw_Data!$K$2:$K$401</c:f>
              <c:numCache>
                <c:formatCode>General</c:formatCode>
                <c:ptCount val="400"/>
                <c:pt idx="0">
                  <c:v>89.1</c:v>
                </c:pt>
                <c:pt idx="1">
                  <c:v>75.8</c:v>
                </c:pt>
                <c:pt idx="2">
                  <c:v>72.5</c:v>
                </c:pt>
                <c:pt idx="3">
                  <c:v>75.5</c:v>
                </c:pt>
                <c:pt idx="4">
                  <c:v>91</c:v>
                </c:pt>
                <c:pt idx="5">
                  <c:v>89.6</c:v>
                </c:pt>
                <c:pt idx="6">
                  <c:v>82</c:v>
                </c:pt>
                <c:pt idx="7">
                  <c:v>77.6</c:v>
                </c:pt>
                <c:pt idx="8">
                  <c:v>77.9</c:v>
                </c:pt>
                <c:pt idx="9">
                  <c:v>84.5</c:v>
                </c:pt>
                <c:pt idx="10">
                  <c:v>76.3</c:v>
                </c:pt>
                <c:pt idx="11">
                  <c:v>76.6</c:v>
                </c:pt>
                <c:pt idx="12">
                  <c:v>81.4</c:v>
                </c:pt>
                <c:pt idx="13">
                  <c:v>99.1</c:v>
                </c:pt>
                <c:pt idx="14">
                  <c:v>68.2</c:v>
                </c:pt>
                <c:pt idx="15">
                  <c:v>60.7</c:v>
                </c:pt>
                <c:pt idx="16">
                  <c:v>80.6</c:v>
                </c:pt>
                <c:pt idx="17">
                  <c:v>83.8</c:v>
                </c:pt>
                <c:pt idx="18">
                  <c:v>76.9</c:v>
                </c:pt>
                <c:pt idx="19">
                  <c:v>83.2</c:v>
                </c:pt>
                <c:pt idx="20">
                  <c:v>85.4</c:v>
                </c:pt>
                <c:pt idx="21">
                  <c:v>87.1</c:v>
                </c:pt>
                <c:pt idx="22">
                  <c:v>73.4</c:v>
                </c:pt>
                <c:pt idx="23">
                  <c:v>72.2</c:v>
                </c:pt>
                <c:pt idx="24">
                  <c:v>80.6</c:v>
                </c:pt>
                <c:pt idx="25">
                  <c:v>66.9</c:v>
                </c:pt>
                <c:pt idx="26">
                  <c:v>63.6</c:v>
                </c:pt>
                <c:pt idx="27">
                  <c:v>88.7</c:v>
                </c:pt>
                <c:pt idx="28">
                  <c:v>80.5</c:v>
                </c:pt>
                <c:pt idx="29">
                  <c:v>71.1</c:v>
                </c:pt>
                <c:pt idx="30">
                  <c:v>59.8</c:v>
                </c:pt>
                <c:pt idx="31">
                  <c:v>79.9</c:v>
                </c:pt>
                <c:pt idx="32">
                  <c:v>73.1</c:v>
                </c:pt>
                <c:pt idx="33">
                  <c:v>86.9</c:v>
                </c:pt>
                <c:pt idx="34">
                  <c:v>81.1</c:v>
                </c:pt>
                <c:pt idx="35">
                  <c:v>77.8</c:v>
                </c:pt>
                <c:pt idx="36">
                  <c:v>81.8</c:v>
                </c:pt>
                <c:pt idx="37">
                  <c:v>84.6</c:v>
                </c:pt>
                <c:pt idx="38">
                  <c:v>84.1</c:v>
                </c:pt>
                <c:pt idx="39">
                  <c:v>87.1</c:v>
                </c:pt>
                <c:pt idx="40">
                  <c:v>79.4</c:v>
                </c:pt>
                <c:pt idx="41">
                  <c:v>91.3</c:v>
                </c:pt>
                <c:pt idx="42">
                  <c:v>90.8</c:v>
                </c:pt>
                <c:pt idx="43">
                  <c:v>72.9</c:v>
                </c:pt>
                <c:pt idx="44">
                  <c:v>67</c:v>
                </c:pt>
                <c:pt idx="45">
                  <c:v>81.7</c:v>
                </c:pt>
                <c:pt idx="46">
                  <c:v>89.3</c:v>
                </c:pt>
                <c:pt idx="47">
                  <c:v>75.7</c:v>
                </c:pt>
                <c:pt idx="48">
                  <c:v>66.9</c:v>
                </c:pt>
                <c:pt idx="49">
                  <c:v>78.5</c:v>
                </c:pt>
                <c:pt idx="50">
                  <c:v>71.8</c:v>
                </c:pt>
                <c:pt idx="51">
                  <c:v>98.8</c:v>
                </c:pt>
                <c:pt idx="52">
                  <c:v>70.5</c:v>
                </c:pt>
                <c:pt idx="53">
                  <c:v>70.2</c:v>
                </c:pt>
                <c:pt idx="54">
                  <c:v>90.3</c:v>
                </c:pt>
                <c:pt idx="55">
                  <c:v>93</c:v>
                </c:pt>
                <c:pt idx="56">
                  <c:v>96.2</c:v>
                </c:pt>
                <c:pt idx="57">
                  <c:v>67.4</c:v>
                </c:pt>
                <c:pt idx="58">
                  <c:v>90.4</c:v>
                </c:pt>
                <c:pt idx="59">
                  <c:v>63.2</c:v>
                </c:pt>
                <c:pt idx="60">
                  <c:v>70.1</c:v>
                </c:pt>
                <c:pt idx="61">
                  <c:v>79.7</c:v>
                </c:pt>
                <c:pt idx="62">
                  <c:v>100</c:v>
                </c:pt>
                <c:pt idx="63">
                  <c:v>83.3</c:v>
                </c:pt>
                <c:pt idx="64">
                  <c:v>76</c:v>
                </c:pt>
                <c:pt idx="65">
                  <c:v>93</c:v>
                </c:pt>
                <c:pt idx="66">
                  <c:v>91.1</c:v>
                </c:pt>
                <c:pt idx="67">
                  <c:v>79</c:v>
                </c:pt>
                <c:pt idx="68">
                  <c:v>84.7</c:v>
                </c:pt>
                <c:pt idx="69">
                  <c:v>100</c:v>
                </c:pt>
                <c:pt idx="70">
                  <c:v>69.6</c:v>
                </c:pt>
                <c:pt idx="71">
                  <c:v>85.1</c:v>
                </c:pt>
                <c:pt idx="72">
                  <c:v>77.3</c:v>
                </c:pt>
                <c:pt idx="73">
                  <c:v>80.7</c:v>
                </c:pt>
                <c:pt idx="74">
                  <c:v>82.2</c:v>
                </c:pt>
                <c:pt idx="75">
                  <c:v>84.5</c:v>
                </c:pt>
                <c:pt idx="76">
                  <c:v>62.9</c:v>
                </c:pt>
                <c:pt idx="77">
                  <c:v>91.5</c:v>
                </c:pt>
                <c:pt idx="78">
                  <c:v>87.6</c:v>
                </c:pt>
                <c:pt idx="79">
                  <c:v>78.9</c:v>
                </c:pt>
                <c:pt idx="80">
                  <c:v>75.7</c:v>
                </c:pt>
                <c:pt idx="81">
                  <c:v>94.4</c:v>
                </c:pt>
                <c:pt idx="82">
                  <c:v>71.2</c:v>
                </c:pt>
                <c:pt idx="83">
                  <c:v>87.5</c:v>
                </c:pt>
                <c:pt idx="84">
                  <c:v>73.1</c:v>
                </c:pt>
                <c:pt idx="85">
                  <c:v>96.2</c:v>
                </c:pt>
                <c:pt idx="86">
                  <c:v>79.2</c:v>
                </c:pt>
                <c:pt idx="87">
                  <c:v>90.4</c:v>
                </c:pt>
                <c:pt idx="88">
                  <c:v>86.5</c:v>
                </c:pt>
                <c:pt idx="89">
                  <c:v>81.8</c:v>
                </c:pt>
                <c:pt idx="90">
                  <c:v>78.4</c:v>
                </c:pt>
                <c:pt idx="91">
                  <c:v>79.2</c:v>
                </c:pt>
                <c:pt idx="92">
                  <c:v>96.5</c:v>
                </c:pt>
                <c:pt idx="93">
                  <c:v>88.9</c:v>
                </c:pt>
                <c:pt idx="94">
                  <c:v>82</c:v>
                </c:pt>
                <c:pt idx="95">
                  <c:v>73.9</c:v>
                </c:pt>
                <c:pt idx="96">
                  <c:v>91.9</c:v>
                </c:pt>
                <c:pt idx="97">
                  <c:v>59.9</c:v>
                </c:pt>
                <c:pt idx="98">
                  <c:v>70.7</c:v>
                </c:pt>
                <c:pt idx="99">
                  <c:v>63.5</c:v>
                </c:pt>
                <c:pt idx="100">
                  <c:v>79.6</c:v>
                </c:pt>
                <c:pt idx="101">
                  <c:v>71.6</c:v>
                </c:pt>
                <c:pt idx="102">
                  <c:v>81.3</c:v>
                </c:pt>
                <c:pt idx="103">
                  <c:v>84.5</c:v>
                </c:pt>
                <c:pt idx="104">
                  <c:v>80.4</c:v>
                </c:pt>
                <c:pt idx="105">
                  <c:v>69.7</c:v>
                </c:pt>
                <c:pt idx="106">
                  <c:v>87</c:v>
                </c:pt>
                <c:pt idx="107">
                  <c:v>90.9</c:v>
                </c:pt>
                <c:pt idx="108">
                  <c:v>90.3</c:v>
                </c:pt>
                <c:pt idx="109">
                  <c:v>76.1</c:v>
                </c:pt>
                <c:pt idx="110">
                  <c:v>79.6</c:v>
                </c:pt>
                <c:pt idx="111">
                  <c:v>63.7</c:v>
                </c:pt>
                <c:pt idx="112">
                  <c:v>79.5</c:v>
                </c:pt>
                <c:pt idx="113">
                  <c:v>90.3</c:v>
                </c:pt>
                <c:pt idx="114">
                  <c:v>74.4</c:v>
                </c:pt>
                <c:pt idx="115">
                  <c:v>66.3</c:v>
                </c:pt>
                <c:pt idx="116">
                  <c:v>71.2</c:v>
                </c:pt>
                <c:pt idx="117">
                  <c:v>83.7</c:v>
                </c:pt>
                <c:pt idx="118">
                  <c:v>76.9</c:v>
                </c:pt>
                <c:pt idx="119">
                  <c:v>72.4</c:v>
                </c:pt>
                <c:pt idx="120">
                  <c:v>90.6</c:v>
                </c:pt>
                <c:pt idx="121">
                  <c:v>69.3</c:v>
                </c:pt>
                <c:pt idx="122">
                  <c:v>75.4</c:v>
                </c:pt>
                <c:pt idx="123">
                  <c:v>92.2</c:v>
                </c:pt>
                <c:pt idx="124">
                  <c:v>81.8</c:v>
                </c:pt>
                <c:pt idx="125">
                  <c:v>90.9</c:v>
                </c:pt>
                <c:pt idx="126">
                  <c:v>82.1</c:v>
                </c:pt>
                <c:pt idx="127">
                  <c:v>87.2</c:v>
                </c:pt>
                <c:pt idx="128">
                  <c:v>87.9</c:v>
                </c:pt>
                <c:pt idx="129">
                  <c:v>91.8</c:v>
                </c:pt>
                <c:pt idx="130">
                  <c:v>85.3</c:v>
                </c:pt>
                <c:pt idx="131">
                  <c:v>69.5</c:v>
                </c:pt>
                <c:pt idx="132">
                  <c:v>82.8</c:v>
                </c:pt>
                <c:pt idx="133">
                  <c:v>79.8</c:v>
                </c:pt>
                <c:pt idx="134">
                  <c:v>85.6</c:v>
                </c:pt>
                <c:pt idx="135">
                  <c:v>100</c:v>
                </c:pt>
                <c:pt idx="136">
                  <c:v>80.9</c:v>
                </c:pt>
                <c:pt idx="137">
                  <c:v>79.7</c:v>
                </c:pt>
                <c:pt idx="138">
                  <c:v>58.3</c:v>
                </c:pt>
                <c:pt idx="139">
                  <c:v>98.2</c:v>
                </c:pt>
                <c:pt idx="140">
                  <c:v>83.3</c:v>
                </c:pt>
                <c:pt idx="141">
                  <c:v>76.5</c:v>
                </c:pt>
                <c:pt idx="142">
                  <c:v>85.8</c:v>
                </c:pt>
                <c:pt idx="143">
                  <c:v>80.6</c:v>
                </c:pt>
                <c:pt idx="144">
                  <c:v>93.6</c:v>
                </c:pt>
                <c:pt idx="145">
                  <c:v>97.1</c:v>
                </c:pt>
                <c:pt idx="146">
                  <c:v>98.6</c:v>
                </c:pt>
                <c:pt idx="147">
                  <c:v>84.3</c:v>
                </c:pt>
                <c:pt idx="148">
                  <c:v>93.7</c:v>
                </c:pt>
                <c:pt idx="149">
                  <c:v>79.6</c:v>
                </c:pt>
                <c:pt idx="150">
                  <c:v>74.8</c:v>
                </c:pt>
                <c:pt idx="151">
                  <c:v>84</c:v>
                </c:pt>
                <c:pt idx="152">
                  <c:v>90.9</c:v>
                </c:pt>
                <c:pt idx="153">
                  <c:v>90.6</c:v>
                </c:pt>
                <c:pt idx="154">
                  <c:v>79</c:v>
                </c:pt>
                <c:pt idx="155">
                  <c:v>75.3</c:v>
                </c:pt>
                <c:pt idx="156">
                  <c:v>78.7</c:v>
                </c:pt>
                <c:pt idx="157">
                  <c:v>87.2</c:v>
                </c:pt>
                <c:pt idx="158">
                  <c:v>88</c:v>
                </c:pt>
                <c:pt idx="159">
                  <c:v>63.3</c:v>
                </c:pt>
                <c:pt idx="160">
                  <c:v>88.8</c:v>
                </c:pt>
                <c:pt idx="161">
                  <c:v>85.4</c:v>
                </c:pt>
                <c:pt idx="162">
                  <c:v>73.1</c:v>
                </c:pt>
                <c:pt idx="163">
                  <c:v>80.6</c:v>
                </c:pt>
                <c:pt idx="164">
                  <c:v>100</c:v>
                </c:pt>
                <c:pt idx="165">
                  <c:v>90.9</c:v>
                </c:pt>
                <c:pt idx="166">
                  <c:v>84.2</c:v>
                </c:pt>
                <c:pt idx="167">
                  <c:v>72.9</c:v>
                </c:pt>
                <c:pt idx="168">
                  <c:v>94.5</c:v>
                </c:pt>
                <c:pt idx="169">
                  <c:v>81.7</c:v>
                </c:pt>
                <c:pt idx="170">
                  <c:v>89.7</c:v>
                </c:pt>
                <c:pt idx="171">
                  <c:v>98.3</c:v>
                </c:pt>
                <c:pt idx="172">
                  <c:v>80.7</c:v>
                </c:pt>
                <c:pt idx="173">
                  <c:v>74.9</c:v>
                </c:pt>
                <c:pt idx="174">
                  <c:v>74.2</c:v>
                </c:pt>
                <c:pt idx="175">
                  <c:v>92.9</c:v>
                </c:pt>
                <c:pt idx="176">
                  <c:v>71.9</c:v>
                </c:pt>
                <c:pt idx="177">
                  <c:v>71.9</c:v>
                </c:pt>
                <c:pt idx="178">
                  <c:v>81.8</c:v>
                </c:pt>
                <c:pt idx="179">
                  <c:v>90.2</c:v>
                </c:pt>
                <c:pt idx="180">
                  <c:v>81.6</c:v>
                </c:pt>
                <c:pt idx="181">
                  <c:v>90.7</c:v>
                </c:pt>
                <c:pt idx="182">
                  <c:v>96.8</c:v>
                </c:pt>
                <c:pt idx="183">
                  <c:v>84.4</c:v>
                </c:pt>
                <c:pt idx="184">
                  <c:v>80.3</c:v>
                </c:pt>
                <c:pt idx="185">
                  <c:v>69</c:v>
                </c:pt>
                <c:pt idx="186">
                  <c:v>75.4</c:v>
                </c:pt>
                <c:pt idx="187">
                  <c:v>100</c:v>
                </c:pt>
                <c:pt idx="188">
                  <c:v>63.2</c:v>
                </c:pt>
                <c:pt idx="189">
                  <c:v>91</c:v>
                </c:pt>
                <c:pt idx="190">
                  <c:v>64.3</c:v>
                </c:pt>
                <c:pt idx="191">
                  <c:v>80.5</c:v>
                </c:pt>
                <c:pt idx="192">
                  <c:v>71.4</c:v>
                </c:pt>
                <c:pt idx="193">
                  <c:v>58.4</c:v>
                </c:pt>
                <c:pt idx="194">
                  <c:v>91.8</c:v>
                </c:pt>
                <c:pt idx="195">
                  <c:v>85.3</c:v>
                </c:pt>
                <c:pt idx="196">
                  <c:v>81.4</c:v>
                </c:pt>
                <c:pt idx="197">
                  <c:v>96.4</c:v>
                </c:pt>
                <c:pt idx="198">
                  <c:v>88.7</c:v>
                </c:pt>
                <c:pt idx="199">
                  <c:v>92.5</c:v>
                </c:pt>
                <c:pt idx="200">
                  <c:v>73.3</c:v>
                </c:pt>
                <c:pt idx="201">
                  <c:v>72.7</c:v>
                </c:pt>
                <c:pt idx="202">
                  <c:v>96</c:v>
                </c:pt>
                <c:pt idx="203">
                  <c:v>90.1</c:v>
                </c:pt>
                <c:pt idx="204">
                  <c:v>86.2</c:v>
                </c:pt>
                <c:pt idx="205">
                  <c:v>79.6</c:v>
                </c:pt>
                <c:pt idx="206">
                  <c:v>88</c:v>
                </c:pt>
                <c:pt idx="207">
                  <c:v>80.6</c:v>
                </c:pt>
                <c:pt idx="208">
                  <c:v>60.8</c:v>
                </c:pt>
                <c:pt idx="209">
                  <c:v>100</c:v>
                </c:pt>
                <c:pt idx="210">
                  <c:v>89.6</c:v>
                </c:pt>
                <c:pt idx="211">
                  <c:v>85.1</c:v>
                </c:pt>
                <c:pt idx="212">
                  <c:v>83.5</c:v>
                </c:pt>
                <c:pt idx="213">
                  <c:v>86.9</c:v>
                </c:pt>
                <c:pt idx="214">
                  <c:v>87.2</c:v>
                </c:pt>
                <c:pt idx="215">
                  <c:v>84.5</c:v>
                </c:pt>
                <c:pt idx="216">
                  <c:v>70.4</c:v>
                </c:pt>
                <c:pt idx="217">
                  <c:v>78.4</c:v>
                </c:pt>
                <c:pt idx="218">
                  <c:v>85.7</c:v>
                </c:pt>
                <c:pt idx="219">
                  <c:v>100</c:v>
                </c:pt>
                <c:pt idx="220">
                  <c:v>91.5</c:v>
                </c:pt>
                <c:pt idx="221">
                  <c:v>93.1</c:v>
                </c:pt>
                <c:pt idx="222">
                  <c:v>60.6</c:v>
                </c:pt>
                <c:pt idx="223">
                  <c:v>73.4</c:v>
                </c:pt>
                <c:pt idx="224">
                  <c:v>81.7</c:v>
                </c:pt>
                <c:pt idx="225">
                  <c:v>94.9</c:v>
                </c:pt>
                <c:pt idx="226">
                  <c:v>88.2</c:v>
                </c:pt>
                <c:pt idx="227">
                  <c:v>83.5</c:v>
                </c:pt>
                <c:pt idx="228">
                  <c:v>92.2</c:v>
                </c:pt>
                <c:pt idx="229">
                  <c:v>94.2</c:v>
                </c:pt>
                <c:pt idx="230">
                  <c:v>69.5</c:v>
                </c:pt>
                <c:pt idx="231">
                  <c:v>96</c:v>
                </c:pt>
                <c:pt idx="232">
                  <c:v>81.5</c:v>
                </c:pt>
                <c:pt idx="233">
                  <c:v>88.1</c:v>
                </c:pt>
                <c:pt idx="234">
                  <c:v>59.7</c:v>
                </c:pt>
                <c:pt idx="235">
                  <c:v>65.4</c:v>
                </c:pt>
                <c:pt idx="236">
                  <c:v>90.9</c:v>
                </c:pt>
                <c:pt idx="237">
                  <c:v>81</c:v>
                </c:pt>
                <c:pt idx="238">
                  <c:v>64.3</c:v>
                </c:pt>
                <c:pt idx="239">
                  <c:v>83.1</c:v>
                </c:pt>
                <c:pt idx="240">
                  <c:v>74.5</c:v>
                </c:pt>
                <c:pt idx="241">
                  <c:v>91.5</c:v>
                </c:pt>
                <c:pt idx="242">
                  <c:v>79.8</c:v>
                </c:pt>
                <c:pt idx="243">
                  <c:v>86.4</c:v>
                </c:pt>
                <c:pt idx="244">
                  <c:v>93.1</c:v>
                </c:pt>
                <c:pt idx="245">
                  <c:v>62.5</c:v>
                </c:pt>
                <c:pt idx="246">
                  <c:v>73.6</c:v>
                </c:pt>
                <c:pt idx="247">
                  <c:v>85.3</c:v>
                </c:pt>
                <c:pt idx="248">
                  <c:v>93.3</c:v>
                </c:pt>
                <c:pt idx="249">
                  <c:v>79.2</c:v>
                </c:pt>
                <c:pt idx="250">
                  <c:v>60.6</c:v>
                </c:pt>
                <c:pt idx="251">
                  <c:v>79.9</c:v>
                </c:pt>
                <c:pt idx="252">
                  <c:v>87.6</c:v>
                </c:pt>
                <c:pt idx="253">
                  <c:v>86.5</c:v>
                </c:pt>
                <c:pt idx="254">
                  <c:v>66.1</c:v>
                </c:pt>
                <c:pt idx="255">
                  <c:v>72.4</c:v>
                </c:pt>
                <c:pt idx="256">
                  <c:v>84.6</c:v>
                </c:pt>
                <c:pt idx="257">
                  <c:v>93.3</c:v>
                </c:pt>
                <c:pt idx="258">
                  <c:v>76.4</c:v>
                </c:pt>
                <c:pt idx="259">
                  <c:v>88.7</c:v>
                </c:pt>
                <c:pt idx="260">
                  <c:v>66.6</c:v>
                </c:pt>
                <c:pt idx="261">
                  <c:v>77.3</c:v>
                </c:pt>
                <c:pt idx="262">
                  <c:v>100</c:v>
                </c:pt>
                <c:pt idx="263">
                  <c:v>83.7</c:v>
                </c:pt>
                <c:pt idx="264">
                  <c:v>67.3</c:v>
                </c:pt>
                <c:pt idx="265">
                  <c:v>85.7</c:v>
                </c:pt>
                <c:pt idx="266">
                  <c:v>96.9</c:v>
                </c:pt>
                <c:pt idx="267">
                  <c:v>100</c:v>
                </c:pt>
                <c:pt idx="268">
                  <c:v>80.2</c:v>
                </c:pt>
                <c:pt idx="269">
                  <c:v>81.4</c:v>
                </c:pt>
                <c:pt idx="270">
                  <c:v>88.8</c:v>
                </c:pt>
                <c:pt idx="271">
                  <c:v>70.7</c:v>
                </c:pt>
                <c:pt idx="272">
                  <c:v>69.5</c:v>
                </c:pt>
                <c:pt idx="273">
                  <c:v>93.8</c:v>
                </c:pt>
                <c:pt idx="274">
                  <c:v>87.3</c:v>
                </c:pt>
                <c:pt idx="275">
                  <c:v>89.4</c:v>
                </c:pt>
                <c:pt idx="276">
                  <c:v>83.6</c:v>
                </c:pt>
                <c:pt idx="277">
                  <c:v>81.5</c:v>
                </c:pt>
                <c:pt idx="278">
                  <c:v>90.1</c:v>
                </c:pt>
                <c:pt idx="279">
                  <c:v>70.2</c:v>
                </c:pt>
                <c:pt idx="280">
                  <c:v>87.7</c:v>
                </c:pt>
                <c:pt idx="281">
                  <c:v>77.8</c:v>
                </c:pt>
                <c:pt idx="282">
                  <c:v>74.2</c:v>
                </c:pt>
                <c:pt idx="283">
                  <c:v>70.4</c:v>
                </c:pt>
                <c:pt idx="284">
                  <c:v>89.4</c:v>
                </c:pt>
                <c:pt idx="285">
                  <c:v>70.3</c:v>
                </c:pt>
                <c:pt idx="286">
                  <c:v>86.8</c:v>
                </c:pt>
                <c:pt idx="287">
                  <c:v>71.6</c:v>
                </c:pt>
                <c:pt idx="288">
                  <c:v>84.4</c:v>
                </c:pt>
                <c:pt idx="289">
                  <c:v>100</c:v>
                </c:pt>
                <c:pt idx="290">
                  <c:v>65.3</c:v>
                </c:pt>
                <c:pt idx="291">
                  <c:v>69.4</c:v>
                </c:pt>
                <c:pt idx="292">
                  <c:v>90.8</c:v>
                </c:pt>
                <c:pt idx="293">
                  <c:v>70</c:v>
                </c:pt>
                <c:pt idx="294">
                  <c:v>87.7</c:v>
                </c:pt>
                <c:pt idx="295">
                  <c:v>67.8</c:v>
                </c:pt>
                <c:pt idx="296">
                  <c:v>83.2</c:v>
                </c:pt>
                <c:pt idx="297">
                  <c:v>81.1</c:v>
                </c:pt>
                <c:pt idx="298">
                  <c:v>85.4</c:v>
                </c:pt>
                <c:pt idx="299">
                  <c:v>77.2</c:v>
                </c:pt>
                <c:pt idx="300">
                  <c:v>66.5</c:v>
                </c:pt>
                <c:pt idx="301">
                  <c:v>67.3</c:v>
                </c:pt>
                <c:pt idx="302">
                  <c:v>91.1</c:v>
                </c:pt>
                <c:pt idx="303">
                  <c:v>79.9</c:v>
                </c:pt>
                <c:pt idx="304">
                  <c:v>81.5</c:v>
                </c:pt>
                <c:pt idx="305">
                  <c:v>89.9</c:v>
                </c:pt>
                <c:pt idx="306">
                  <c:v>83.3</c:v>
                </c:pt>
                <c:pt idx="307">
                  <c:v>81</c:v>
                </c:pt>
                <c:pt idx="308">
                  <c:v>71.7</c:v>
                </c:pt>
                <c:pt idx="309">
                  <c:v>76.7</c:v>
                </c:pt>
                <c:pt idx="310">
                  <c:v>96.4</c:v>
                </c:pt>
                <c:pt idx="311">
                  <c:v>87</c:v>
                </c:pt>
                <c:pt idx="312">
                  <c:v>77.6</c:v>
                </c:pt>
                <c:pt idx="313">
                  <c:v>85.2</c:v>
                </c:pt>
                <c:pt idx="314">
                  <c:v>77.5</c:v>
                </c:pt>
                <c:pt idx="315">
                  <c:v>64.5</c:v>
                </c:pt>
                <c:pt idx="316">
                  <c:v>94.5</c:v>
                </c:pt>
                <c:pt idx="317">
                  <c:v>100</c:v>
                </c:pt>
                <c:pt idx="318">
                  <c:v>75.4</c:v>
                </c:pt>
                <c:pt idx="319">
                  <c:v>66.3</c:v>
                </c:pt>
                <c:pt idx="320">
                  <c:v>98.8</c:v>
                </c:pt>
                <c:pt idx="321">
                  <c:v>91.6</c:v>
                </c:pt>
                <c:pt idx="322">
                  <c:v>93.7</c:v>
                </c:pt>
                <c:pt idx="323">
                  <c:v>81.7</c:v>
                </c:pt>
                <c:pt idx="324">
                  <c:v>61.5</c:v>
                </c:pt>
                <c:pt idx="325">
                  <c:v>83.9</c:v>
                </c:pt>
                <c:pt idx="326">
                  <c:v>65.3</c:v>
                </c:pt>
                <c:pt idx="327">
                  <c:v>93.8</c:v>
                </c:pt>
                <c:pt idx="328">
                  <c:v>83.9</c:v>
                </c:pt>
                <c:pt idx="329">
                  <c:v>64.8</c:v>
                </c:pt>
                <c:pt idx="330">
                  <c:v>78.7</c:v>
                </c:pt>
                <c:pt idx="331">
                  <c:v>74.9</c:v>
                </c:pt>
                <c:pt idx="332">
                  <c:v>77.9</c:v>
                </c:pt>
                <c:pt idx="333">
                  <c:v>65.7</c:v>
                </c:pt>
                <c:pt idx="334">
                  <c:v>94.9</c:v>
                </c:pt>
                <c:pt idx="335">
                  <c:v>86.9</c:v>
                </c:pt>
                <c:pt idx="336">
                  <c:v>87.1</c:v>
                </c:pt>
                <c:pt idx="337">
                  <c:v>80.2</c:v>
                </c:pt>
                <c:pt idx="338">
                  <c:v>79.9</c:v>
                </c:pt>
                <c:pt idx="339">
                  <c:v>67.4</c:v>
                </c:pt>
                <c:pt idx="340">
                  <c:v>82.5</c:v>
                </c:pt>
                <c:pt idx="341">
                  <c:v>75.4</c:v>
                </c:pt>
                <c:pt idx="342">
                  <c:v>78.4</c:v>
                </c:pt>
                <c:pt idx="343">
                  <c:v>90.6</c:v>
                </c:pt>
                <c:pt idx="344">
                  <c:v>86.4</c:v>
                </c:pt>
                <c:pt idx="345">
                  <c:v>69.8</c:v>
                </c:pt>
                <c:pt idx="346">
                  <c:v>91.9</c:v>
                </c:pt>
                <c:pt idx="347">
                  <c:v>62.7</c:v>
                </c:pt>
                <c:pt idx="348">
                  <c:v>89.6</c:v>
                </c:pt>
                <c:pt idx="349">
                  <c:v>84.6</c:v>
                </c:pt>
                <c:pt idx="350">
                  <c:v>78.4</c:v>
                </c:pt>
                <c:pt idx="351">
                  <c:v>90.8</c:v>
                </c:pt>
                <c:pt idx="352">
                  <c:v>93.3</c:v>
                </c:pt>
                <c:pt idx="353">
                  <c:v>66.3</c:v>
                </c:pt>
                <c:pt idx="354">
                  <c:v>92.8</c:v>
                </c:pt>
                <c:pt idx="355">
                  <c:v>76</c:v>
                </c:pt>
                <c:pt idx="356">
                  <c:v>75.8</c:v>
                </c:pt>
                <c:pt idx="357">
                  <c:v>88.6</c:v>
                </c:pt>
                <c:pt idx="358">
                  <c:v>99.7</c:v>
                </c:pt>
                <c:pt idx="359">
                  <c:v>67.6</c:v>
                </c:pt>
                <c:pt idx="360">
                  <c:v>77.5</c:v>
                </c:pt>
                <c:pt idx="361">
                  <c:v>100</c:v>
                </c:pt>
                <c:pt idx="362">
                  <c:v>63.7</c:v>
                </c:pt>
                <c:pt idx="363">
                  <c:v>89.6</c:v>
                </c:pt>
                <c:pt idx="364">
                  <c:v>65.3</c:v>
                </c:pt>
                <c:pt idx="365">
                  <c:v>77.5</c:v>
                </c:pt>
                <c:pt idx="366">
                  <c:v>60.7</c:v>
                </c:pt>
                <c:pt idx="367">
                  <c:v>78.8</c:v>
                </c:pt>
                <c:pt idx="368">
                  <c:v>100</c:v>
                </c:pt>
                <c:pt idx="369">
                  <c:v>80.3</c:v>
                </c:pt>
                <c:pt idx="370">
                  <c:v>57.9</c:v>
                </c:pt>
                <c:pt idx="371">
                  <c:v>63.8</c:v>
                </c:pt>
                <c:pt idx="372">
                  <c:v>92.9</c:v>
                </c:pt>
                <c:pt idx="373">
                  <c:v>88.8</c:v>
                </c:pt>
                <c:pt idx="374">
                  <c:v>71.8</c:v>
                </c:pt>
                <c:pt idx="375">
                  <c:v>88.5</c:v>
                </c:pt>
                <c:pt idx="376">
                  <c:v>85.6</c:v>
                </c:pt>
                <c:pt idx="377">
                  <c:v>80</c:v>
                </c:pt>
                <c:pt idx="378">
                  <c:v>100</c:v>
                </c:pt>
                <c:pt idx="379">
                  <c:v>88.4</c:v>
                </c:pt>
                <c:pt idx="380">
                  <c:v>77.7</c:v>
                </c:pt>
                <c:pt idx="381">
                  <c:v>85.1</c:v>
                </c:pt>
                <c:pt idx="382">
                  <c:v>58.3</c:v>
                </c:pt>
                <c:pt idx="383">
                  <c:v>60.8</c:v>
                </c:pt>
                <c:pt idx="384">
                  <c:v>93.2</c:v>
                </c:pt>
                <c:pt idx="385">
                  <c:v>74.4</c:v>
                </c:pt>
                <c:pt idx="386">
                  <c:v>82.1</c:v>
                </c:pt>
                <c:pt idx="387">
                  <c:v>69.4</c:v>
                </c:pt>
                <c:pt idx="388">
                  <c:v>81.9</c:v>
                </c:pt>
                <c:pt idx="389">
                  <c:v>100</c:v>
                </c:pt>
                <c:pt idx="390">
                  <c:v>85.6</c:v>
                </c:pt>
                <c:pt idx="391">
                  <c:v>83.1</c:v>
                </c:pt>
                <c:pt idx="392">
                  <c:v>63.1</c:v>
                </c:pt>
                <c:pt idx="393">
                  <c:v>77.7</c:v>
                </c:pt>
                <c:pt idx="394">
                  <c:v>85.6</c:v>
                </c:pt>
                <c:pt idx="395">
                  <c:v>61.3</c:v>
                </c:pt>
                <c:pt idx="396">
                  <c:v>91.1</c:v>
                </c:pt>
                <c:pt idx="397">
                  <c:v>78.6</c:v>
                </c:pt>
                <c:pt idx="398">
                  <c:v>93.5</c:v>
                </c:pt>
                <c:pt idx="399">
                  <c:v>94.1</c:v>
                </c:pt>
              </c:numCache>
            </c:numRef>
          </c:yVal>
          <c:smooth val="1"/>
        </c:ser>
        <c:axId val="76179464"/>
        <c:axId val="47338806"/>
      </c:scatterChart>
      <c:valAx>
        <c:axId val="761794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Experience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38806"/>
        <c:crosses val="autoZero"/>
        <c:crossBetween val="midCat"/>
      </c:valAx>
      <c:valAx>
        <c:axId val="473388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Performance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7946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176040</xdr:rowOff>
    </xdr:from>
    <xdr:to>
      <xdr:col>9</xdr:col>
      <xdr:colOff>507600</xdr:colOff>
      <xdr:row>17</xdr:row>
      <xdr:rowOff>18360</xdr:rowOff>
    </xdr:to>
    <xdr:graphicFrame>
      <xdr:nvGraphicFramePr>
        <xdr:cNvPr id="0" name="Chart 1"/>
        <xdr:cNvGraphicFramePr/>
      </xdr:nvGraphicFramePr>
      <xdr:xfrm>
        <a:off x="61164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176040</xdr:rowOff>
    </xdr:from>
    <xdr:to>
      <xdr:col>9</xdr:col>
      <xdr:colOff>507600</xdr:colOff>
      <xdr:row>35</xdr:row>
      <xdr:rowOff>18360</xdr:rowOff>
    </xdr:to>
    <xdr:graphicFrame>
      <xdr:nvGraphicFramePr>
        <xdr:cNvPr id="1" name="Chart 2"/>
        <xdr:cNvGraphicFramePr/>
      </xdr:nvGraphicFramePr>
      <xdr:xfrm>
        <a:off x="611640" y="4000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176040</xdr:rowOff>
    </xdr:from>
    <xdr:to>
      <xdr:col>9</xdr:col>
      <xdr:colOff>507600</xdr:colOff>
      <xdr:row>53</xdr:row>
      <xdr:rowOff>18360</xdr:rowOff>
    </xdr:to>
    <xdr:graphicFrame>
      <xdr:nvGraphicFramePr>
        <xdr:cNvPr id="2" name="Chart 3"/>
        <xdr:cNvGraphicFramePr/>
      </xdr:nvGraphicFramePr>
      <xdr:xfrm>
        <a:off x="611640" y="7429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6.15" hidden="false" customHeight="false" outlineLevel="0" collapsed="false">
      <c r="B6" s="4" t="s">
        <v>3</v>
      </c>
    </row>
    <row r="7" customFormat="false" ht="15" hidden="false" customHeight="false" outlineLevel="0" collapsed="false">
      <c r="B7" s="2" t="s">
        <v>4</v>
      </c>
    </row>
    <row r="10" customFormat="false" ht="16.15" hidden="false" customHeight="false" outlineLevel="0" collapsed="false">
      <c r="B10" s="5" t="s">
        <v>5</v>
      </c>
    </row>
    <row r="11" customFormat="false" ht="15" hidden="false" customHeight="false" outlineLevel="0" collapsed="false">
      <c r="B11" s="6" t="s">
        <v>6</v>
      </c>
      <c r="C11" s="6" t="s">
        <v>7</v>
      </c>
    </row>
    <row r="12" customFormat="false" ht="15" hidden="false" customHeight="false" outlineLevel="0" collapsed="false">
      <c r="B12" s="7" t="s">
        <v>8</v>
      </c>
      <c r="C12" s="7" t="s">
        <v>9</v>
      </c>
    </row>
    <row r="13" customFormat="false" ht="15" hidden="false" customHeight="false" outlineLevel="0" collapsed="false">
      <c r="B13" s="7" t="s">
        <v>10</v>
      </c>
      <c r="C13" s="7" t="s">
        <v>11</v>
      </c>
    </row>
    <row r="14" customFormat="false" ht="15" hidden="false" customHeight="false" outlineLevel="0" collapsed="false">
      <c r="B14" s="7" t="s">
        <v>12</v>
      </c>
      <c r="C14" s="7" t="s">
        <v>13</v>
      </c>
    </row>
    <row r="15" customFormat="false" ht="15" hidden="false" customHeight="false" outlineLevel="0" collapsed="false">
      <c r="B15" s="7" t="s">
        <v>14</v>
      </c>
      <c r="C15" s="7" t="s">
        <v>15</v>
      </c>
    </row>
    <row r="16" customFormat="false" ht="15" hidden="false" customHeight="false" outlineLevel="0" collapsed="false">
      <c r="B16" s="7" t="s">
        <v>16</v>
      </c>
      <c r="C16" s="7" t="s">
        <v>17</v>
      </c>
    </row>
    <row r="17" customFormat="false" ht="15" hidden="false" customHeight="false" outlineLevel="0" collapsed="false">
      <c r="B17" s="7" t="s">
        <v>18</v>
      </c>
      <c r="C17" s="7" t="s">
        <v>19</v>
      </c>
    </row>
    <row r="18" customFormat="false" ht="15" hidden="false" customHeight="false" outlineLevel="0" collapsed="false">
      <c r="B18" s="7" t="s">
        <v>20</v>
      </c>
      <c r="C18" s="7" t="s">
        <v>21</v>
      </c>
    </row>
    <row r="19" customFormat="false" ht="15" hidden="false" customHeight="false" outlineLevel="0" collapsed="false">
      <c r="B19" s="7" t="s">
        <v>22</v>
      </c>
      <c r="C19" s="7" t="s">
        <v>23</v>
      </c>
    </row>
    <row r="20" customFormat="false" ht="15" hidden="false" customHeight="false" outlineLevel="0" collapsed="false">
      <c r="B20" s="7" t="s">
        <v>24</v>
      </c>
      <c r="C20" s="7" t="s">
        <v>25</v>
      </c>
    </row>
    <row r="21" customFormat="false" ht="15" hidden="false" customHeight="false" outlineLevel="0" collapsed="false">
      <c r="B21" s="7" t="s">
        <v>26</v>
      </c>
      <c r="C21" s="7" t="s">
        <v>27</v>
      </c>
    </row>
    <row r="23" customFormat="false" ht="15" hidden="false" customHeight="false" outlineLevel="0" collapsed="false">
      <c r="B23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85"/>
  </cols>
  <sheetData>
    <row r="2" customFormat="false" ht="16.15" hidden="false" customHeight="false" outlineLevel="0" collapsed="false">
      <c r="B2" s="5" t="s">
        <v>29</v>
      </c>
    </row>
    <row r="4" customFormat="false" ht="15" hidden="false" customHeight="false" outlineLevel="0" collapsed="false">
      <c r="B4" s="9" t="s">
        <v>30</v>
      </c>
      <c r="C4" s="9" t="s">
        <v>31</v>
      </c>
      <c r="D4" s="9" t="s">
        <v>32</v>
      </c>
    </row>
    <row r="5" customFormat="false" ht="15" hidden="false" customHeight="false" outlineLevel="0" collapsed="false">
      <c r="B5" s="10" t="s">
        <v>33</v>
      </c>
      <c r="C5" s="10" t="s">
        <v>34</v>
      </c>
      <c r="D5" s="10" t="s">
        <v>35</v>
      </c>
    </row>
    <row r="6" customFormat="false" ht="15" hidden="false" customHeight="false" outlineLevel="0" collapsed="false">
      <c r="B6" s="10" t="s">
        <v>36</v>
      </c>
      <c r="C6" s="10" t="s">
        <v>37</v>
      </c>
      <c r="D6" s="10" t="s">
        <v>38</v>
      </c>
    </row>
    <row r="7" customFormat="false" ht="15" hidden="false" customHeight="false" outlineLevel="0" collapsed="false">
      <c r="B7" s="10" t="s">
        <v>39</v>
      </c>
      <c r="C7" s="10" t="s">
        <v>40</v>
      </c>
      <c r="D7" s="10" t="s">
        <v>41</v>
      </c>
    </row>
    <row r="8" customFormat="false" ht="15" hidden="false" customHeight="false" outlineLevel="0" collapsed="false">
      <c r="B8" s="10" t="s">
        <v>42</v>
      </c>
      <c r="C8" s="10" t="s">
        <v>43</v>
      </c>
      <c r="D8" s="10" t="s">
        <v>44</v>
      </c>
    </row>
    <row r="9" customFormat="false" ht="15" hidden="false" customHeight="false" outlineLevel="0" collapsed="false">
      <c r="B9" s="10" t="s">
        <v>45</v>
      </c>
      <c r="C9" s="10" t="s">
        <v>46</v>
      </c>
      <c r="D9" s="10" t="s">
        <v>47</v>
      </c>
    </row>
    <row r="10" customFormat="false" ht="15" hidden="false" customHeight="false" outlineLevel="0" collapsed="false">
      <c r="B10" s="10" t="s">
        <v>48</v>
      </c>
      <c r="C10" s="10" t="s">
        <v>49</v>
      </c>
      <c r="D10" s="10" t="s">
        <v>50</v>
      </c>
    </row>
    <row r="11" customFormat="false" ht="15" hidden="false" customHeight="false" outlineLevel="0" collapsed="false">
      <c r="B11" s="10" t="s">
        <v>51</v>
      </c>
      <c r="C11" s="10" t="s">
        <v>52</v>
      </c>
      <c r="D11" s="10" t="s">
        <v>53</v>
      </c>
    </row>
    <row r="12" customFormat="false" ht="15" hidden="false" customHeight="false" outlineLevel="0" collapsed="false">
      <c r="B12" s="10" t="s">
        <v>54</v>
      </c>
      <c r="C12" s="10" t="s">
        <v>52</v>
      </c>
      <c r="D12" s="10" t="s">
        <v>55</v>
      </c>
    </row>
    <row r="13" customFormat="false" ht="15" hidden="false" customHeight="false" outlineLevel="0" collapsed="false">
      <c r="B13" s="10" t="s">
        <v>56</v>
      </c>
      <c r="C13" s="10" t="s">
        <v>52</v>
      </c>
      <c r="D13" s="10" t="s">
        <v>57</v>
      </c>
    </row>
    <row r="14" customFormat="false" ht="15" hidden="false" customHeight="false" outlineLevel="0" collapsed="false">
      <c r="B14" s="10" t="s">
        <v>58</v>
      </c>
      <c r="C14" s="10" t="s">
        <v>52</v>
      </c>
      <c r="D14" s="10" t="s">
        <v>59</v>
      </c>
    </row>
    <row r="15" customFormat="false" ht="15" hidden="false" customHeight="false" outlineLevel="0" collapsed="false">
      <c r="B15" s="10" t="s">
        <v>60</v>
      </c>
      <c r="C15" s="10" t="s">
        <v>61</v>
      </c>
      <c r="D15" s="10" t="s">
        <v>62</v>
      </c>
    </row>
    <row r="16" customFormat="false" ht="15" hidden="false" customHeight="false" outlineLevel="0" collapsed="false">
      <c r="B16" s="10" t="s">
        <v>63</v>
      </c>
      <c r="C16" s="10" t="s">
        <v>52</v>
      </c>
      <c r="D16" s="10" t="s">
        <v>64</v>
      </c>
    </row>
    <row r="17" customFormat="false" ht="15" hidden="false" customHeight="false" outlineLevel="0" collapsed="false">
      <c r="B17" s="10" t="s">
        <v>65</v>
      </c>
      <c r="C17" s="10" t="s">
        <v>66</v>
      </c>
      <c r="D17" s="10" t="s">
        <v>67</v>
      </c>
    </row>
    <row r="18" customFormat="false" ht="15" hidden="false" customHeight="false" outlineLevel="0" collapsed="false">
      <c r="B18" s="10" t="s">
        <v>68</v>
      </c>
      <c r="C18" s="10" t="s">
        <v>69</v>
      </c>
      <c r="D18" s="10" t="s">
        <v>70</v>
      </c>
    </row>
    <row r="19" customFormat="false" ht="15" hidden="false" customHeight="false" outlineLevel="0" collapsed="false">
      <c r="B19" s="10" t="s">
        <v>71</v>
      </c>
      <c r="C19" s="10" t="s">
        <v>72</v>
      </c>
      <c r="D19" s="10" t="s">
        <v>73</v>
      </c>
    </row>
    <row r="22" customFormat="false" ht="16.15" hidden="false" customHeight="false" outlineLevel="0" collapsed="false">
      <c r="B22" s="5" t="s">
        <v>74</v>
      </c>
    </row>
    <row r="24" customFormat="false" ht="15" hidden="false" customHeight="false" outlineLevel="0" collapsed="false">
      <c r="B24" s="9" t="s">
        <v>30</v>
      </c>
      <c r="C24" s="9" t="s">
        <v>31</v>
      </c>
      <c r="D24" s="9" t="s">
        <v>32</v>
      </c>
    </row>
    <row r="25" customFormat="false" ht="15" hidden="false" customHeight="false" outlineLevel="0" collapsed="false">
      <c r="B25" s="11" t="s">
        <v>75</v>
      </c>
      <c r="C25" s="11" t="s">
        <v>76</v>
      </c>
      <c r="D25" s="11" t="s">
        <v>77</v>
      </c>
    </row>
    <row r="26" customFormat="false" ht="15" hidden="false" customHeight="false" outlineLevel="0" collapsed="false">
      <c r="B26" s="11" t="s">
        <v>78</v>
      </c>
      <c r="C26" s="11" t="s">
        <v>52</v>
      </c>
      <c r="D26" s="11" t="s">
        <v>79</v>
      </c>
    </row>
    <row r="27" customFormat="false" ht="15" hidden="false" customHeight="false" outlineLevel="0" collapsed="false">
      <c r="B27" s="11" t="s">
        <v>80</v>
      </c>
      <c r="C27" s="11" t="s">
        <v>52</v>
      </c>
      <c r="D27" s="11" t="s">
        <v>81</v>
      </c>
    </row>
    <row r="28" customFormat="false" ht="15" hidden="false" customHeight="false" outlineLevel="0" collapsed="false">
      <c r="B28" s="11" t="s">
        <v>82</v>
      </c>
      <c r="C28" s="11" t="s">
        <v>49</v>
      </c>
      <c r="D28" s="11" t="s">
        <v>83</v>
      </c>
    </row>
    <row r="30" customFormat="false" ht="15" hidden="false" customHeight="false" outlineLevel="0" collapsed="false">
      <c r="B30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9"/>
  </cols>
  <sheetData>
    <row r="1" customFormat="false" ht="26.85" hidden="false" customHeight="false" outlineLevel="0" collapsed="false">
      <c r="A1" s="9" t="s">
        <v>33</v>
      </c>
      <c r="B1" s="9" t="s">
        <v>36</v>
      </c>
      <c r="C1" s="9" t="s">
        <v>39</v>
      </c>
      <c r="D1" s="9" t="s">
        <v>42</v>
      </c>
      <c r="E1" s="9" t="s">
        <v>45</v>
      </c>
      <c r="F1" s="9" t="s">
        <v>48</v>
      </c>
      <c r="G1" s="9" t="s">
        <v>51</v>
      </c>
      <c r="H1" s="9" t="s">
        <v>54</v>
      </c>
      <c r="I1" s="9" t="s">
        <v>56</v>
      </c>
      <c r="J1" s="9" t="s">
        <v>58</v>
      </c>
      <c r="K1" s="9" t="s">
        <v>60</v>
      </c>
      <c r="L1" s="9" t="s">
        <v>63</v>
      </c>
      <c r="M1" s="9" t="s">
        <v>65</v>
      </c>
      <c r="N1" s="9" t="s">
        <v>68</v>
      </c>
      <c r="O1" s="9" t="s">
        <v>71</v>
      </c>
    </row>
    <row r="2" customFormat="false" ht="15" hidden="false" customHeight="false" outlineLevel="0" collapsed="false">
      <c r="A2" s="0" t="s">
        <v>84</v>
      </c>
      <c r="B2" s="0" t="s">
        <v>85</v>
      </c>
      <c r="C2" s="0" t="s">
        <v>86</v>
      </c>
      <c r="D2" s="0" t="s">
        <v>87</v>
      </c>
      <c r="E2" s="0" t="s">
        <v>88</v>
      </c>
      <c r="F2" s="0" t="n">
        <v>27</v>
      </c>
      <c r="G2" s="0" t="n">
        <v>4.7</v>
      </c>
      <c r="H2" s="0" t="n">
        <v>42</v>
      </c>
      <c r="I2" s="0" t="n">
        <v>67.2</v>
      </c>
      <c r="J2" s="0" t="n">
        <v>80.4</v>
      </c>
      <c r="K2" s="0" t="n">
        <v>89.1</v>
      </c>
      <c r="L2" s="0" t="n">
        <v>5566.48</v>
      </c>
      <c r="M2" s="0" t="n">
        <v>7</v>
      </c>
      <c r="N2" s="0" t="n">
        <v>94.8</v>
      </c>
      <c r="O2" s="0" t="n">
        <v>1</v>
      </c>
    </row>
    <row r="3" customFormat="false" ht="15" hidden="false" customHeight="false" outlineLevel="0" collapsed="false">
      <c r="A3" s="0" t="s">
        <v>89</v>
      </c>
      <c r="B3" s="0" t="s">
        <v>90</v>
      </c>
      <c r="C3" s="0" t="s">
        <v>91</v>
      </c>
      <c r="D3" s="0" t="s">
        <v>92</v>
      </c>
      <c r="E3" s="0" t="s">
        <v>88</v>
      </c>
      <c r="F3" s="0" t="n">
        <v>30</v>
      </c>
      <c r="G3" s="0" t="n">
        <v>6.4</v>
      </c>
      <c r="H3" s="0" t="n">
        <v>32.3</v>
      </c>
      <c r="I3" s="0" t="n">
        <v>61.1</v>
      </c>
      <c r="J3" s="0" t="n">
        <v>74.5</v>
      </c>
      <c r="K3" s="0" t="n">
        <v>75.8</v>
      </c>
      <c r="L3" s="0" t="n">
        <v>4573.74</v>
      </c>
      <c r="M3" s="0" t="n">
        <v>8</v>
      </c>
      <c r="N3" s="0" t="n">
        <v>94.7</v>
      </c>
      <c r="O3" s="0" t="n">
        <v>1</v>
      </c>
    </row>
    <row r="4" customFormat="false" ht="15" hidden="false" customHeight="false" outlineLevel="0" collapsed="false">
      <c r="A4" s="0" t="s">
        <v>93</v>
      </c>
      <c r="B4" s="0" t="s">
        <v>94</v>
      </c>
      <c r="C4" s="0" t="s">
        <v>91</v>
      </c>
      <c r="D4" s="0" t="s">
        <v>95</v>
      </c>
      <c r="E4" s="0" t="s">
        <v>96</v>
      </c>
      <c r="F4" s="0" t="n">
        <v>29</v>
      </c>
      <c r="G4" s="0" t="n">
        <v>3.4</v>
      </c>
      <c r="H4" s="0" t="n">
        <v>36.7</v>
      </c>
      <c r="I4" s="0" t="n">
        <v>47.4</v>
      </c>
      <c r="J4" s="0" t="n">
        <v>57.5</v>
      </c>
      <c r="K4" s="0" t="n">
        <v>72.5</v>
      </c>
      <c r="L4" s="0" t="n">
        <v>4925.33</v>
      </c>
      <c r="M4" s="0" t="n">
        <v>8</v>
      </c>
      <c r="N4" s="0" t="n">
        <v>91.2</v>
      </c>
      <c r="O4" s="0" t="n">
        <v>1</v>
      </c>
    </row>
    <row r="5" customFormat="false" ht="15" hidden="false" customHeight="false" outlineLevel="0" collapsed="false">
      <c r="A5" s="0" t="s">
        <v>97</v>
      </c>
      <c r="B5" s="0" t="s">
        <v>85</v>
      </c>
      <c r="C5" s="0" t="s">
        <v>86</v>
      </c>
      <c r="D5" s="0" t="s">
        <v>87</v>
      </c>
      <c r="E5" s="0" t="s">
        <v>96</v>
      </c>
      <c r="F5" s="0" t="n">
        <v>24</v>
      </c>
      <c r="G5" s="0" t="n">
        <v>2.3</v>
      </c>
      <c r="H5" s="0" t="n">
        <v>37.2</v>
      </c>
      <c r="I5" s="0" t="n">
        <v>58.3</v>
      </c>
      <c r="J5" s="0" t="n">
        <v>64.5</v>
      </c>
      <c r="K5" s="0" t="n">
        <v>75.5</v>
      </c>
      <c r="L5" s="0" t="n">
        <v>5995.71</v>
      </c>
      <c r="M5" s="0" t="n">
        <v>8</v>
      </c>
      <c r="N5" s="0" t="n">
        <v>90</v>
      </c>
      <c r="O5" s="0" t="n">
        <v>0</v>
      </c>
    </row>
    <row r="6" customFormat="false" ht="15" hidden="false" customHeight="false" outlineLevel="0" collapsed="false">
      <c r="A6" s="0" t="s">
        <v>98</v>
      </c>
      <c r="B6" s="0" t="s">
        <v>99</v>
      </c>
      <c r="C6" s="0" t="s">
        <v>91</v>
      </c>
      <c r="D6" s="0" t="s">
        <v>92</v>
      </c>
      <c r="E6" s="0" t="s">
        <v>100</v>
      </c>
      <c r="F6" s="0" t="n">
        <v>21</v>
      </c>
      <c r="G6" s="0" t="n">
        <v>3</v>
      </c>
      <c r="H6" s="0" t="n">
        <v>31.2</v>
      </c>
      <c r="I6" s="0" t="n">
        <v>73.8</v>
      </c>
      <c r="J6" s="0" t="n">
        <v>80.8</v>
      </c>
      <c r="K6" s="0" t="n">
        <v>91</v>
      </c>
      <c r="L6" s="0" t="n">
        <v>4875.2</v>
      </c>
      <c r="M6" s="0" t="n">
        <v>6</v>
      </c>
      <c r="N6" s="0" t="n">
        <v>82.1</v>
      </c>
      <c r="O6" s="0" t="n">
        <v>0</v>
      </c>
    </row>
    <row r="7" customFormat="false" ht="15" hidden="false" customHeight="false" outlineLevel="0" collapsed="false">
      <c r="A7" s="0" t="s">
        <v>101</v>
      </c>
      <c r="B7" s="0" t="s">
        <v>94</v>
      </c>
      <c r="C7" s="0" t="s">
        <v>91</v>
      </c>
      <c r="D7" s="0" t="s">
        <v>92</v>
      </c>
      <c r="E7" s="0" t="s">
        <v>100</v>
      </c>
      <c r="F7" s="0" t="n">
        <v>28</v>
      </c>
      <c r="G7" s="0" t="n">
        <v>4</v>
      </c>
      <c r="H7" s="0" t="n">
        <v>45.8</v>
      </c>
      <c r="I7" s="0" t="n">
        <v>76.8</v>
      </c>
      <c r="J7" s="0" t="n">
        <v>81.6</v>
      </c>
      <c r="K7" s="0" t="n">
        <v>89.6</v>
      </c>
      <c r="L7" s="0" t="n">
        <v>5551.36</v>
      </c>
      <c r="M7" s="0" t="n">
        <v>8</v>
      </c>
      <c r="N7" s="0" t="n">
        <v>97.8</v>
      </c>
      <c r="O7" s="0" t="n">
        <v>1</v>
      </c>
    </row>
    <row r="8" customFormat="false" ht="15" hidden="false" customHeight="false" outlineLevel="0" collapsed="false">
      <c r="A8" s="0" t="s">
        <v>102</v>
      </c>
      <c r="B8" s="0" t="s">
        <v>85</v>
      </c>
      <c r="C8" s="0" t="s">
        <v>86</v>
      </c>
      <c r="D8" s="0" t="s">
        <v>87</v>
      </c>
      <c r="E8" s="0" t="s">
        <v>96</v>
      </c>
      <c r="F8" s="0" t="n">
        <v>21</v>
      </c>
      <c r="G8" s="0" t="n">
        <v>2.3</v>
      </c>
      <c r="H8" s="0" t="n">
        <v>42.9</v>
      </c>
      <c r="I8" s="0" t="n">
        <v>67.2</v>
      </c>
      <c r="J8" s="0" t="n">
        <v>71.2</v>
      </c>
      <c r="K8" s="0" t="n">
        <v>82</v>
      </c>
      <c r="L8" s="0" t="n">
        <v>3881.78</v>
      </c>
      <c r="M8" s="0" t="n">
        <v>6</v>
      </c>
      <c r="N8" s="0" t="n">
        <v>95.2</v>
      </c>
      <c r="O8" s="0" t="n">
        <v>0</v>
      </c>
    </row>
    <row r="9" customFormat="false" ht="15" hidden="false" customHeight="false" outlineLevel="0" collapsed="false">
      <c r="A9" s="0" t="s">
        <v>103</v>
      </c>
      <c r="B9" s="0" t="s">
        <v>85</v>
      </c>
      <c r="C9" s="0" t="s">
        <v>91</v>
      </c>
      <c r="D9" s="0" t="s">
        <v>92</v>
      </c>
      <c r="E9" s="0" t="s">
        <v>88</v>
      </c>
      <c r="F9" s="0" t="n">
        <v>37</v>
      </c>
      <c r="G9" s="0" t="n">
        <v>6.5</v>
      </c>
      <c r="H9" s="0" t="n">
        <v>38.9</v>
      </c>
      <c r="I9" s="0" t="n">
        <v>48.1</v>
      </c>
      <c r="J9" s="0" t="n">
        <v>51.9</v>
      </c>
      <c r="K9" s="0" t="n">
        <v>77.6</v>
      </c>
      <c r="L9" s="0" t="n">
        <v>7922.38</v>
      </c>
      <c r="M9" s="0" t="n">
        <v>6</v>
      </c>
      <c r="N9" s="0" t="n">
        <v>92.1</v>
      </c>
      <c r="O9" s="0" t="n">
        <v>0</v>
      </c>
    </row>
    <row r="10" customFormat="false" ht="15" hidden="false" customHeight="false" outlineLevel="0" collapsed="false">
      <c r="A10" s="0" t="s">
        <v>104</v>
      </c>
      <c r="B10" s="0" t="s">
        <v>99</v>
      </c>
      <c r="C10" s="0" t="s">
        <v>86</v>
      </c>
      <c r="D10" s="0" t="s">
        <v>87</v>
      </c>
      <c r="E10" s="0" t="s">
        <v>88</v>
      </c>
      <c r="F10" s="0" t="n">
        <v>36</v>
      </c>
      <c r="G10" s="0" t="n">
        <v>8.3</v>
      </c>
      <c r="H10" s="0" t="n">
        <v>34.8</v>
      </c>
      <c r="I10" s="0" t="n">
        <v>64.9</v>
      </c>
      <c r="J10" s="0" t="n">
        <v>70.4</v>
      </c>
      <c r="K10" s="0" t="n">
        <v>77.9</v>
      </c>
      <c r="L10" s="0" t="n">
        <v>7378.64</v>
      </c>
      <c r="M10" s="0" t="n">
        <v>6</v>
      </c>
      <c r="N10" s="0" t="n">
        <v>92.3</v>
      </c>
      <c r="O10" s="0" t="n">
        <v>1</v>
      </c>
    </row>
    <row r="11" customFormat="false" ht="15" hidden="false" customHeight="false" outlineLevel="0" collapsed="false">
      <c r="A11" s="0" t="s">
        <v>105</v>
      </c>
      <c r="B11" s="0" t="s">
        <v>90</v>
      </c>
      <c r="C11" s="0" t="s">
        <v>91</v>
      </c>
      <c r="D11" s="0" t="s">
        <v>95</v>
      </c>
      <c r="E11" s="0" t="s">
        <v>88</v>
      </c>
      <c r="F11" s="0" t="n">
        <v>21</v>
      </c>
      <c r="G11" s="0" t="n">
        <v>0.9</v>
      </c>
      <c r="H11" s="0" t="n">
        <v>49.6</v>
      </c>
      <c r="I11" s="0" t="n">
        <v>68.5</v>
      </c>
      <c r="J11" s="0" t="n">
        <v>72.4</v>
      </c>
      <c r="K11" s="0" t="n">
        <v>84.5</v>
      </c>
      <c r="L11" s="0" t="n">
        <v>6169.41</v>
      </c>
      <c r="M11" s="0" t="n">
        <v>5</v>
      </c>
      <c r="N11" s="0" t="n">
        <v>96.7</v>
      </c>
      <c r="O11" s="0" t="n">
        <v>0</v>
      </c>
    </row>
    <row r="12" customFormat="false" ht="15" hidden="false" customHeight="false" outlineLevel="0" collapsed="false">
      <c r="A12" s="0" t="s">
        <v>106</v>
      </c>
      <c r="B12" s="0" t="s">
        <v>90</v>
      </c>
      <c r="C12" s="0" t="s">
        <v>91</v>
      </c>
      <c r="D12" s="0" t="s">
        <v>92</v>
      </c>
      <c r="E12" s="0" t="s">
        <v>96</v>
      </c>
      <c r="F12" s="0" t="n">
        <v>30</v>
      </c>
      <c r="G12" s="0" t="n">
        <v>6.1</v>
      </c>
      <c r="H12" s="0" t="n">
        <v>37.2</v>
      </c>
      <c r="I12" s="0" t="n">
        <v>67.3</v>
      </c>
      <c r="J12" s="0" t="n">
        <v>69</v>
      </c>
      <c r="K12" s="0" t="n">
        <v>76.3</v>
      </c>
      <c r="L12" s="0" t="n">
        <v>7028.45</v>
      </c>
      <c r="M12" s="0" t="n">
        <v>9</v>
      </c>
      <c r="N12" s="0" t="n">
        <v>85.2</v>
      </c>
      <c r="O12" s="0" t="n">
        <v>1</v>
      </c>
    </row>
    <row r="13" customFormat="false" ht="15" hidden="false" customHeight="false" outlineLevel="0" collapsed="false">
      <c r="A13" s="0" t="s">
        <v>107</v>
      </c>
      <c r="B13" s="0" t="s">
        <v>94</v>
      </c>
      <c r="C13" s="0" t="s">
        <v>91</v>
      </c>
      <c r="D13" s="0" t="s">
        <v>92</v>
      </c>
      <c r="E13" s="0" t="s">
        <v>96</v>
      </c>
      <c r="F13" s="0" t="n">
        <v>25</v>
      </c>
      <c r="G13" s="0" t="n">
        <v>5.3</v>
      </c>
      <c r="H13" s="0" t="n">
        <v>36.3</v>
      </c>
      <c r="I13" s="0" t="n">
        <v>67.8</v>
      </c>
      <c r="J13" s="0" t="n">
        <v>76.7</v>
      </c>
      <c r="K13" s="0" t="n">
        <v>76.6</v>
      </c>
      <c r="L13" s="0" t="n">
        <v>6445.04</v>
      </c>
      <c r="M13" s="0" t="n">
        <v>8</v>
      </c>
      <c r="N13" s="0" t="n">
        <v>90.1</v>
      </c>
      <c r="O13" s="0" t="n">
        <v>0</v>
      </c>
    </row>
    <row r="14" customFormat="false" ht="15" hidden="false" customHeight="false" outlineLevel="0" collapsed="false">
      <c r="A14" s="0" t="s">
        <v>108</v>
      </c>
      <c r="B14" s="0" t="s">
        <v>85</v>
      </c>
      <c r="C14" s="0" t="s">
        <v>86</v>
      </c>
      <c r="D14" s="0" t="s">
        <v>95</v>
      </c>
      <c r="E14" s="0" t="s">
        <v>88</v>
      </c>
      <c r="F14" s="0" t="n">
        <v>30</v>
      </c>
      <c r="G14" s="0" t="n">
        <v>7.1</v>
      </c>
      <c r="H14" s="0" t="n">
        <v>41.3</v>
      </c>
      <c r="I14" s="0" t="n">
        <v>63.6</v>
      </c>
      <c r="J14" s="0" t="n">
        <v>72.5</v>
      </c>
      <c r="K14" s="0" t="n">
        <v>81.4</v>
      </c>
      <c r="L14" s="0" t="n">
        <v>6428.1</v>
      </c>
      <c r="M14" s="0" t="n">
        <v>9</v>
      </c>
      <c r="N14" s="0" t="n">
        <v>87.3</v>
      </c>
      <c r="O14" s="0" t="n">
        <v>1</v>
      </c>
    </row>
    <row r="15" customFormat="false" ht="15" hidden="false" customHeight="false" outlineLevel="0" collapsed="false">
      <c r="A15" s="0" t="s">
        <v>109</v>
      </c>
      <c r="B15" s="0" t="s">
        <v>94</v>
      </c>
      <c r="C15" s="0" t="s">
        <v>91</v>
      </c>
      <c r="D15" s="0" t="s">
        <v>87</v>
      </c>
      <c r="E15" s="0" t="s">
        <v>88</v>
      </c>
      <c r="F15" s="0" t="n">
        <v>35</v>
      </c>
      <c r="G15" s="0" t="n">
        <v>6</v>
      </c>
      <c r="H15" s="0" t="n">
        <v>60.4</v>
      </c>
      <c r="I15" s="0" t="n">
        <v>59.3</v>
      </c>
      <c r="J15" s="0" t="n">
        <v>74.1</v>
      </c>
      <c r="K15" s="0" t="n">
        <v>99.1</v>
      </c>
      <c r="L15" s="0" t="n">
        <v>7255.11</v>
      </c>
      <c r="M15" s="0" t="n">
        <v>7</v>
      </c>
      <c r="N15" s="0" t="n">
        <v>100</v>
      </c>
      <c r="O15" s="0" t="n">
        <v>1</v>
      </c>
    </row>
    <row r="16" customFormat="false" ht="15" hidden="false" customHeight="false" outlineLevel="0" collapsed="false">
      <c r="A16" s="0" t="s">
        <v>110</v>
      </c>
      <c r="B16" s="0" t="s">
        <v>90</v>
      </c>
      <c r="C16" s="0" t="s">
        <v>86</v>
      </c>
      <c r="D16" s="0" t="s">
        <v>92</v>
      </c>
      <c r="E16" s="0" t="s">
        <v>88</v>
      </c>
      <c r="F16" s="0" t="n">
        <v>31</v>
      </c>
      <c r="G16" s="0" t="n">
        <v>1.3</v>
      </c>
      <c r="H16" s="0" t="n">
        <v>23.9</v>
      </c>
      <c r="I16" s="0" t="n">
        <v>53.9</v>
      </c>
      <c r="J16" s="0" t="n">
        <v>59.2</v>
      </c>
      <c r="K16" s="0" t="n">
        <v>68.2</v>
      </c>
      <c r="L16" s="0" t="n">
        <v>3919.19</v>
      </c>
      <c r="M16" s="0" t="n">
        <v>8</v>
      </c>
      <c r="N16" s="0" t="n">
        <v>97.4</v>
      </c>
      <c r="O16" s="0" t="n">
        <v>0</v>
      </c>
    </row>
    <row r="17" customFormat="false" ht="15" hidden="false" customHeight="false" outlineLevel="0" collapsed="false">
      <c r="A17" s="0" t="s">
        <v>111</v>
      </c>
      <c r="B17" s="0" t="s">
        <v>99</v>
      </c>
      <c r="C17" s="0" t="s">
        <v>86</v>
      </c>
      <c r="D17" s="0" t="s">
        <v>95</v>
      </c>
      <c r="E17" s="0" t="s">
        <v>88</v>
      </c>
      <c r="F17" s="0" t="n">
        <v>27</v>
      </c>
      <c r="G17" s="0" t="n">
        <v>2</v>
      </c>
      <c r="H17" s="0" t="n">
        <v>49.2</v>
      </c>
      <c r="I17" s="0" t="n">
        <v>41</v>
      </c>
      <c r="J17" s="0" t="n">
        <v>50.2</v>
      </c>
      <c r="K17" s="0" t="n">
        <v>60.7</v>
      </c>
      <c r="L17" s="0" t="n">
        <v>7749.77</v>
      </c>
      <c r="M17" s="0" t="n">
        <v>4</v>
      </c>
      <c r="N17" s="0" t="n">
        <v>82</v>
      </c>
      <c r="O17" s="0" t="n">
        <v>0</v>
      </c>
    </row>
    <row r="18" customFormat="false" ht="15" hidden="false" customHeight="false" outlineLevel="0" collapsed="false">
      <c r="A18" s="0" t="s">
        <v>112</v>
      </c>
      <c r="B18" s="0" t="s">
        <v>90</v>
      </c>
      <c r="C18" s="0" t="s">
        <v>86</v>
      </c>
      <c r="D18" s="0" t="s">
        <v>95</v>
      </c>
      <c r="E18" s="0" t="s">
        <v>88</v>
      </c>
      <c r="F18" s="0" t="n">
        <v>31</v>
      </c>
      <c r="G18" s="0" t="n">
        <v>6.1</v>
      </c>
      <c r="H18" s="0" t="n">
        <v>17.3</v>
      </c>
      <c r="I18" s="0" t="n">
        <v>63.4</v>
      </c>
      <c r="J18" s="0" t="n">
        <v>72.7</v>
      </c>
      <c r="K18" s="0" t="n">
        <v>80.6</v>
      </c>
      <c r="L18" s="0" t="n">
        <v>5926.32</v>
      </c>
      <c r="M18" s="0" t="n">
        <v>8</v>
      </c>
      <c r="N18" s="0" t="n">
        <v>85.4</v>
      </c>
      <c r="O18" s="0" t="n">
        <v>0</v>
      </c>
    </row>
    <row r="19" customFormat="false" ht="15" hidden="false" customHeight="false" outlineLevel="0" collapsed="false">
      <c r="A19" s="0" t="s">
        <v>113</v>
      </c>
      <c r="B19" s="0" t="s">
        <v>99</v>
      </c>
      <c r="C19" s="0" t="s">
        <v>91</v>
      </c>
      <c r="D19" s="0" t="s">
        <v>87</v>
      </c>
      <c r="E19" s="0" t="s">
        <v>88</v>
      </c>
      <c r="F19" s="0" t="n">
        <v>36</v>
      </c>
      <c r="G19" s="0" t="n">
        <v>9.3</v>
      </c>
      <c r="H19" s="0" t="n">
        <v>42.6</v>
      </c>
      <c r="I19" s="0" t="n">
        <v>61.9</v>
      </c>
      <c r="J19" s="0" t="n">
        <v>68.9</v>
      </c>
      <c r="K19" s="0" t="n">
        <v>83.8</v>
      </c>
      <c r="L19" s="0" t="n">
        <v>6868.58</v>
      </c>
      <c r="N19" s="0" t="n">
        <v>92.3</v>
      </c>
      <c r="O19" s="0" t="n">
        <v>1</v>
      </c>
    </row>
    <row r="20" customFormat="false" ht="15" hidden="false" customHeight="false" outlineLevel="0" collapsed="false">
      <c r="A20" s="0" t="s">
        <v>114</v>
      </c>
      <c r="B20" s="0" t="s">
        <v>94</v>
      </c>
      <c r="C20" s="0" t="s">
        <v>86</v>
      </c>
      <c r="D20" s="0" t="s">
        <v>87</v>
      </c>
      <c r="E20" s="0" t="s">
        <v>96</v>
      </c>
      <c r="F20" s="0" t="n">
        <v>21</v>
      </c>
      <c r="G20" s="0" t="n">
        <v>0</v>
      </c>
      <c r="H20" s="0" t="n">
        <v>58.9</v>
      </c>
      <c r="I20" s="0" t="n">
        <v>65.6</v>
      </c>
      <c r="J20" s="0" t="n">
        <v>76.6</v>
      </c>
      <c r="K20" s="0" t="n">
        <v>76.9</v>
      </c>
      <c r="L20" s="0" t="n">
        <v>5928.45</v>
      </c>
      <c r="M20" s="0" t="n">
        <v>8</v>
      </c>
      <c r="N20" s="0" t="n">
        <v>90.6</v>
      </c>
      <c r="O20" s="0" t="n">
        <v>1</v>
      </c>
    </row>
    <row r="21" customFormat="false" ht="15" hidden="false" customHeight="false" outlineLevel="0" collapsed="false">
      <c r="A21" s="0" t="s">
        <v>115</v>
      </c>
      <c r="B21" s="0" t="s">
        <v>85</v>
      </c>
      <c r="C21" s="0" t="s">
        <v>91</v>
      </c>
      <c r="D21" s="0" t="s">
        <v>92</v>
      </c>
      <c r="E21" s="0" t="s">
        <v>100</v>
      </c>
      <c r="F21" s="0" t="n">
        <v>40</v>
      </c>
      <c r="G21" s="0" t="n">
        <v>7.1</v>
      </c>
      <c r="H21" s="0" t="n">
        <v>45.9</v>
      </c>
      <c r="I21" s="0" t="n">
        <v>46.6</v>
      </c>
      <c r="J21" s="0" t="n">
        <v>57.7</v>
      </c>
      <c r="K21" s="0" t="n">
        <v>83.2</v>
      </c>
      <c r="L21" s="0" t="n">
        <v>5949.22</v>
      </c>
      <c r="M21" s="0" t="n">
        <v>8</v>
      </c>
      <c r="N21" s="0" t="n">
        <v>86.4</v>
      </c>
      <c r="O21" s="0" t="n">
        <v>1</v>
      </c>
    </row>
    <row r="22" customFormat="false" ht="15" hidden="false" customHeight="false" outlineLevel="0" collapsed="false">
      <c r="A22" s="0" t="s">
        <v>116</v>
      </c>
      <c r="B22" s="0" t="s">
        <v>85</v>
      </c>
      <c r="C22" s="0" t="s">
        <v>91</v>
      </c>
      <c r="D22" s="0" t="s">
        <v>92</v>
      </c>
      <c r="E22" s="0" t="s">
        <v>100</v>
      </c>
      <c r="F22" s="0" t="n">
        <v>37</v>
      </c>
      <c r="G22" s="0" t="n">
        <v>9.8</v>
      </c>
      <c r="H22" s="0" t="n">
        <v>42</v>
      </c>
      <c r="I22" s="0" t="n">
        <v>66.5</v>
      </c>
      <c r="J22" s="0" t="n">
        <v>75.8</v>
      </c>
      <c r="K22" s="0" t="n">
        <v>85.4</v>
      </c>
      <c r="L22" s="0" t="n">
        <v>8765.06</v>
      </c>
      <c r="M22" s="0" t="n">
        <v>5</v>
      </c>
      <c r="N22" s="0" t="n">
        <v>100</v>
      </c>
      <c r="O22" s="0" t="n">
        <v>0</v>
      </c>
    </row>
    <row r="23" customFormat="false" ht="15" hidden="false" customHeight="false" outlineLevel="0" collapsed="false">
      <c r="A23" s="0" t="s">
        <v>117</v>
      </c>
      <c r="B23" s="0" t="s">
        <v>90</v>
      </c>
      <c r="C23" s="0" t="s">
        <v>86</v>
      </c>
      <c r="D23" s="0" t="s">
        <v>87</v>
      </c>
      <c r="E23" s="0" t="s">
        <v>88</v>
      </c>
      <c r="F23" s="0" t="n">
        <v>37</v>
      </c>
      <c r="G23" s="0" t="n">
        <v>5.5</v>
      </c>
      <c r="H23" s="0" t="n">
        <v>33.3</v>
      </c>
      <c r="I23" s="0" t="n">
        <v>80.5</v>
      </c>
      <c r="J23" s="0" t="n">
        <v>87.5</v>
      </c>
      <c r="K23" s="0" t="n">
        <v>87.1</v>
      </c>
      <c r="L23" s="0" t="n">
        <v>5418.54</v>
      </c>
      <c r="M23" s="0" t="n">
        <v>5</v>
      </c>
      <c r="N23" s="0" t="n">
        <v>94.6</v>
      </c>
      <c r="O23" s="0" t="n">
        <v>0</v>
      </c>
    </row>
    <row r="24" customFormat="false" ht="15" hidden="false" customHeight="false" outlineLevel="0" collapsed="false">
      <c r="A24" s="0" t="s">
        <v>118</v>
      </c>
      <c r="B24" s="0" t="s">
        <v>94</v>
      </c>
      <c r="C24" s="0" t="s">
        <v>86</v>
      </c>
      <c r="D24" s="0" t="s">
        <v>92</v>
      </c>
      <c r="E24" s="0" t="s">
        <v>96</v>
      </c>
      <c r="F24" s="0" t="n">
        <v>39</v>
      </c>
      <c r="G24" s="0" t="n">
        <v>7.8</v>
      </c>
      <c r="H24" s="0" t="n">
        <v>40.4</v>
      </c>
      <c r="I24" s="0" t="n">
        <v>60.8</v>
      </c>
      <c r="J24" s="0" t="n">
        <v>67.4</v>
      </c>
      <c r="K24" s="0" t="n">
        <v>73.4</v>
      </c>
      <c r="L24" s="0" t="n">
        <v>7117.98</v>
      </c>
      <c r="M24" s="0" t="n">
        <v>6</v>
      </c>
      <c r="N24" s="0" t="n">
        <v>95.4</v>
      </c>
      <c r="O24" s="0" t="n">
        <v>1</v>
      </c>
    </row>
    <row r="25" customFormat="false" ht="15" hidden="false" customHeight="false" outlineLevel="0" collapsed="false">
      <c r="A25" s="0" t="s">
        <v>119</v>
      </c>
      <c r="B25" s="0" t="s">
        <v>94</v>
      </c>
      <c r="C25" s="0" t="s">
        <v>86</v>
      </c>
      <c r="D25" s="0" t="s">
        <v>87</v>
      </c>
      <c r="E25" s="0" t="s">
        <v>96</v>
      </c>
      <c r="F25" s="0" t="n">
        <v>23</v>
      </c>
      <c r="G25" s="0" t="n">
        <v>3.8</v>
      </c>
      <c r="H25" s="0" t="n">
        <v>37</v>
      </c>
      <c r="I25" s="0" t="n">
        <v>59.4</v>
      </c>
      <c r="J25" s="0" t="n">
        <v>61.9</v>
      </c>
      <c r="K25" s="0" t="n">
        <v>72.2</v>
      </c>
      <c r="L25" s="0" t="n">
        <v>6472.38</v>
      </c>
      <c r="M25" s="0" t="n">
        <v>8</v>
      </c>
      <c r="N25" s="0" t="n">
        <v>89.5</v>
      </c>
      <c r="O25" s="0" t="n">
        <v>1</v>
      </c>
    </row>
    <row r="26" customFormat="false" ht="15" hidden="false" customHeight="false" outlineLevel="0" collapsed="false">
      <c r="A26" s="0" t="s">
        <v>120</v>
      </c>
      <c r="B26" s="0" t="s">
        <v>85</v>
      </c>
      <c r="C26" s="0" t="s">
        <v>91</v>
      </c>
      <c r="D26" s="0" t="s">
        <v>95</v>
      </c>
      <c r="E26" s="0" t="s">
        <v>88</v>
      </c>
      <c r="F26" s="0" t="n">
        <v>29</v>
      </c>
      <c r="G26" s="0" t="n">
        <v>5.6</v>
      </c>
      <c r="H26" s="0" t="n">
        <v>30.6</v>
      </c>
      <c r="I26" s="0" t="n">
        <v>63.1</v>
      </c>
      <c r="J26" s="0" t="n">
        <v>67.9</v>
      </c>
      <c r="K26" s="0" t="n">
        <v>80.6</v>
      </c>
      <c r="L26" s="0" t="n">
        <v>6179.29</v>
      </c>
      <c r="N26" s="0" t="n">
        <v>96.6</v>
      </c>
      <c r="O26" s="0" t="n">
        <v>1</v>
      </c>
    </row>
    <row r="27" customFormat="false" ht="15" hidden="false" customHeight="false" outlineLevel="0" collapsed="false">
      <c r="A27" s="0" t="s">
        <v>121</v>
      </c>
      <c r="B27" s="0" t="s">
        <v>99</v>
      </c>
      <c r="C27" s="0" t="s">
        <v>91</v>
      </c>
      <c r="D27" s="0" t="s">
        <v>92</v>
      </c>
      <c r="E27" s="0" t="s">
        <v>96</v>
      </c>
      <c r="F27" s="0" t="n">
        <v>21</v>
      </c>
      <c r="G27" s="0" t="n">
        <v>0.8</v>
      </c>
      <c r="H27" s="0" t="n">
        <v>36.5</v>
      </c>
      <c r="I27" s="0" t="n">
        <v>80.3</v>
      </c>
      <c r="J27" s="0" t="n">
        <v>85.8</v>
      </c>
      <c r="K27" s="0" t="n">
        <v>66.9</v>
      </c>
      <c r="L27" s="0" t="n">
        <v>4748.52</v>
      </c>
      <c r="M27" s="0" t="n">
        <v>5</v>
      </c>
      <c r="N27" s="0" t="n">
        <v>91.1</v>
      </c>
      <c r="O27" s="0" t="n">
        <v>0</v>
      </c>
    </row>
    <row r="28" customFormat="false" ht="15" hidden="false" customHeight="false" outlineLevel="0" collapsed="false">
      <c r="A28" s="0" t="s">
        <v>122</v>
      </c>
      <c r="B28" s="0" t="s">
        <v>90</v>
      </c>
      <c r="C28" s="0" t="s">
        <v>86</v>
      </c>
      <c r="D28" s="0" t="s">
        <v>87</v>
      </c>
      <c r="E28" s="0" t="s">
        <v>88</v>
      </c>
      <c r="F28" s="0" t="n">
        <v>22</v>
      </c>
      <c r="G28" s="0" t="n">
        <v>0</v>
      </c>
      <c r="H28" s="0" t="n">
        <v>42.4</v>
      </c>
      <c r="I28" s="0" t="n">
        <v>49.8</v>
      </c>
      <c r="J28" s="0" t="n">
        <v>53.3</v>
      </c>
      <c r="K28" s="0" t="n">
        <v>63.6</v>
      </c>
      <c r="L28" s="0" t="n">
        <v>4659.72</v>
      </c>
      <c r="M28" s="0" t="n">
        <v>5</v>
      </c>
      <c r="N28" s="0" t="n">
        <v>91.6</v>
      </c>
      <c r="O28" s="0" t="n">
        <v>0</v>
      </c>
    </row>
    <row r="29" customFormat="false" ht="15" hidden="false" customHeight="false" outlineLevel="0" collapsed="false">
      <c r="A29" s="0" t="s">
        <v>123</v>
      </c>
      <c r="B29" s="0" t="s">
        <v>99</v>
      </c>
      <c r="C29" s="0" t="s">
        <v>91</v>
      </c>
      <c r="D29" s="0" t="s">
        <v>92</v>
      </c>
      <c r="E29" s="0" t="s">
        <v>88</v>
      </c>
      <c r="F29" s="0" t="n">
        <v>36</v>
      </c>
      <c r="G29" s="0" t="n">
        <v>9</v>
      </c>
      <c r="H29" s="0" t="n">
        <v>30.8</v>
      </c>
      <c r="I29" s="0" t="n">
        <v>62</v>
      </c>
      <c r="J29" s="0" t="n">
        <v>71.8</v>
      </c>
      <c r="K29" s="0" t="n">
        <v>88.7</v>
      </c>
      <c r="L29" s="0" t="n">
        <v>6761.7</v>
      </c>
      <c r="M29" s="0" t="n">
        <v>6</v>
      </c>
      <c r="N29" s="0" t="n">
        <v>96.1</v>
      </c>
      <c r="O29" s="0" t="n">
        <v>1</v>
      </c>
    </row>
    <row r="30" customFormat="false" ht="15" hidden="false" customHeight="false" outlineLevel="0" collapsed="false">
      <c r="A30" s="0" t="s">
        <v>124</v>
      </c>
      <c r="B30" s="0" t="s">
        <v>99</v>
      </c>
      <c r="C30" s="0" t="s">
        <v>86</v>
      </c>
      <c r="D30" s="0" t="s">
        <v>95</v>
      </c>
      <c r="E30" s="0" t="s">
        <v>125</v>
      </c>
      <c r="F30" s="0" t="n">
        <v>35</v>
      </c>
      <c r="G30" s="0" t="n">
        <v>2.8</v>
      </c>
      <c r="H30" s="0" t="n">
        <v>30.3</v>
      </c>
      <c r="I30" s="0" t="n">
        <v>52</v>
      </c>
      <c r="J30" s="0" t="n">
        <v>64.8</v>
      </c>
      <c r="K30" s="0" t="n">
        <v>80.5</v>
      </c>
      <c r="L30" s="0" t="n">
        <v>4600.47</v>
      </c>
      <c r="M30" s="0" t="n">
        <v>6</v>
      </c>
      <c r="N30" s="0" t="n">
        <v>84.9</v>
      </c>
      <c r="O30" s="0" t="n">
        <v>0</v>
      </c>
    </row>
    <row r="31" customFormat="false" ht="15" hidden="false" customHeight="false" outlineLevel="0" collapsed="false">
      <c r="A31" s="0" t="s">
        <v>126</v>
      </c>
      <c r="B31" s="0" t="s">
        <v>85</v>
      </c>
      <c r="C31" s="0" t="s">
        <v>91</v>
      </c>
      <c r="D31" s="0" t="s">
        <v>92</v>
      </c>
      <c r="E31" s="0" t="s">
        <v>100</v>
      </c>
      <c r="F31" s="0" t="n">
        <v>26</v>
      </c>
      <c r="G31" s="0" t="n">
        <v>4.5</v>
      </c>
      <c r="H31" s="0" t="n">
        <v>23.7</v>
      </c>
      <c r="I31" s="0" t="n">
        <v>54.5</v>
      </c>
      <c r="J31" s="0" t="n">
        <v>58.9</v>
      </c>
      <c r="K31" s="0" t="n">
        <v>71.1</v>
      </c>
      <c r="L31" s="0" t="n">
        <v>4734.96</v>
      </c>
      <c r="M31" s="0" t="n">
        <v>5</v>
      </c>
      <c r="N31" s="0" t="n">
        <v>100</v>
      </c>
      <c r="O31" s="0" t="n">
        <v>1</v>
      </c>
    </row>
    <row r="32" customFormat="false" ht="15" hidden="false" customHeight="false" outlineLevel="0" collapsed="false">
      <c r="A32" s="0" t="s">
        <v>127</v>
      </c>
      <c r="B32" s="0" t="s">
        <v>85</v>
      </c>
      <c r="C32" s="0" t="s">
        <v>91</v>
      </c>
      <c r="D32" s="0" t="s">
        <v>87</v>
      </c>
      <c r="E32" s="0" t="s">
        <v>88</v>
      </c>
      <c r="F32" s="0" t="n">
        <v>25</v>
      </c>
      <c r="G32" s="0" t="n">
        <v>1.6</v>
      </c>
      <c r="H32" s="0" t="n">
        <v>44.7</v>
      </c>
      <c r="I32" s="0" t="n">
        <v>59.5</v>
      </c>
      <c r="J32" s="0" t="n">
        <v>68.6</v>
      </c>
      <c r="K32" s="0" t="n">
        <v>59.8</v>
      </c>
      <c r="L32" s="0" t="n">
        <v>6416.63</v>
      </c>
      <c r="M32" s="0" t="n">
        <v>5</v>
      </c>
      <c r="N32" s="0" t="n">
        <v>93.9</v>
      </c>
      <c r="O32" s="0" t="n">
        <v>0</v>
      </c>
    </row>
    <row r="33" customFormat="false" ht="15" hidden="false" customHeight="false" outlineLevel="0" collapsed="false">
      <c r="A33" s="0" t="s">
        <v>128</v>
      </c>
      <c r="B33" s="0" t="s">
        <v>94</v>
      </c>
      <c r="C33" s="0" t="s">
        <v>91</v>
      </c>
      <c r="D33" s="0" t="s">
        <v>87</v>
      </c>
      <c r="E33" s="0" t="s">
        <v>88</v>
      </c>
      <c r="F33" s="0" t="n">
        <v>26</v>
      </c>
      <c r="G33" s="0" t="n">
        <v>1.5</v>
      </c>
      <c r="H33" s="0" t="n">
        <v>46.5</v>
      </c>
      <c r="I33" s="0" t="n">
        <v>73.5</v>
      </c>
      <c r="J33" s="0" t="n">
        <v>77.4</v>
      </c>
      <c r="K33" s="0" t="n">
        <v>79.9</v>
      </c>
      <c r="L33" s="0" t="n">
        <v>5335.82</v>
      </c>
      <c r="M33" s="0" t="n">
        <v>6</v>
      </c>
      <c r="N33" s="0" t="n">
        <v>99.4</v>
      </c>
      <c r="O33" s="0" t="n">
        <v>1</v>
      </c>
    </row>
    <row r="34" customFormat="false" ht="15" hidden="false" customHeight="false" outlineLevel="0" collapsed="false">
      <c r="A34" s="0" t="s">
        <v>129</v>
      </c>
      <c r="B34" s="0" t="s">
        <v>90</v>
      </c>
      <c r="C34" s="0" t="s">
        <v>91</v>
      </c>
      <c r="D34" s="0" t="s">
        <v>92</v>
      </c>
      <c r="E34" s="0" t="s">
        <v>88</v>
      </c>
      <c r="F34" s="0" t="n">
        <v>31</v>
      </c>
      <c r="G34" s="0" t="n">
        <v>5.4</v>
      </c>
      <c r="H34" s="0" t="n">
        <v>42.8</v>
      </c>
      <c r="I34" s="0" t="n">
        <v>78</v>
      </c>
      <c r="J34" s="0" t="n">
        <v>84.8</v>
      </c>
      <c r="K34" s="0" t="n">
        <v>73.1</v>
      </c>
      <c r="L34" s="0" t="n">
        <v>5451.28</v>
      </c>
      <c r="M34" s="0" t="n">
        <v>7</v>
      </c>
      <c r="N34" s="0" t="n">
        <v>87.6</v>
      </c>
      <c r="O34" s="0" t="n">
        <v>1</v>
      </c>
    </row>
    <row r="35" customFormat="false" ht="15" hidden="false" customHeight="false" outlineLevel="0" collapsed="false">
      <c r="A35" s="0" t="s">
        <v>130</v>
      </c>
      <c r="B35" s="0" t="s">
        <v>90</v>
      </c>
      <c r="C35" s="0" t="s">
        <v>91</v>
      </c>
      <c r="D35" s="0" t="s">
        <v>87</v>
      </c>
      <c r="E35" s="0" t="s">
        <v>96</v>
      </c>
      <c r="F35" s="0" t="n">
        <v>28</v>
      </c>
      <c r="G35" s="0" t="n">
        <v>3.7</v>
      </c>
      <c r="I35" s="0" t="n">
        <v>64.5</v>
      </c>
      <c r="J35" s="0" t="n">
        <v>69.7</v>
      </c>
      <c r="K35" s="0" t="n">
        <v>86.9</v>
      </c>
      <c r="L35" s="0" t="n">
        <v>5827.83</v>
      </c>
      <c r="M35" s="0" t="n">
        <v>5</v>
      </c>
      <c r="N35" s="0" t="n">
        <v>88.4</v>
      </c>
      <c r="O35" s="0" t="n">
        <v>1</v>
      </c>
    </row>
    <row r="36" customFormat="false" ht="15" hidden="false" customHeight="false" outlineLevel="0" collapsed="false">
      <c r="A36" s="0" t="s">
        <v>131</v>
      </c>
      <c r="B36" s="0" t="s">
        <v>90</v>
      </c>
      <c r="C36" s="0" t="s">
        <v>86</v>
      </c>
      <c r="D36" s="0" t="s">
        <v>87</v>
      </c>
      <c r="E36" s="0" t="s">
        <v>88</v>
      </c>
      <c r="F36" s="0" t="n">
        <v>30</v>
      </c>
      <c r="G36" s="0" t="n">
        <v>7.2</v>
      </c>
      <c r="H36" s="0" t="n">
        <v>41.1</v>
      </c>
      <c r="I36" s="0" t="n">
        <v>56.2</v>
      </c>
      <c r="J36" s="0" t="n">
        <v>66.6</v>
      </c>
      <c r="K36" s="0" t="n">
        <v>81.1</v>
      </c>
      <c r="L36" s="0" t="n">
        <v>7650.83</v>
      </c>
      <c r="M36" s="0" t="n">
        <v>7</v>
      </c>
      <c r="N36" s="0" t="n">
        <v>87.2</v>
      </c>
      <c r="O36" s="0" t="n">
        <v>1</v>
      </c>
    </row>
    <row r="37" customFormat="false" ht="15" hidden="false" customHeight="false" outlineLevel="0" collapsed="false">
      <c r="A37" s="0" t="s">
        <v>132</v>
      </c>
      <c r="B37" s="0" t="s">
        <v>99</v>
      </c>
      <c r="C37" s="0" t="s">
        <v>86</v>
      </c>
      <c r="D37" s="0" t="s">
        <v>87</v>
      </c>
      <c r="E37" s="0" t="s">
        <v>100</v>
      </c>
      <c r="F37" s="0" t="n">
        <v>34</v>
      </c>
      <c r="G37" s="0" t="n">
        <v>7.4</v>
      </c>
      <c r="H37" s="0" t="n">
        <v>44.7</v>
      </c>
      <c r="I37" s="0" t="n">
        <v>84.9</v>
      </c>
      <c r="J37" s="0" t="n">
        <v>90.2</v>
      </c>
      <c r="K37" s="0" t="n">
        <v>77.8</v>
      </c>
      <c r="L37" s="0" t="n">
        <v>7413.05</v>
      </c>
      <c r="N37" s="0" t="n">
        <v>94.3</v>
      </c>
      <c r="O37" s="0" t="n">
        <v>0</v>
      </c>
    </row>
    <row r="38" customFormat="false" ht="15" hidden="false" customHeight="false" outlineLevel="0" collapsed="false">
      <c r="A38" s="0" t="s">
        <v>133</v>
      </c>
      <c r="B38" s="0" t="s">
        <v>99</v>
      </c>
      <c r="C38" s="0" t="s">
        <v>86</v>
      </c>
      <c r="D38" s="0" t="s">
        <v>95</v>
      </c>
      <c r="E38" s="0" t="s">
        <v>88</v>
      </c>
      <c r="F38" s="0" t="n">
        <v>35</v>
      </c>
      <c r="G38" s="0" t="n">
        <v>7</v>
      </c>
      <c r="H38" s="0" t="n">
        <v>43.6</v>
      </c>
      <c r="I38" s="0" t="n">
        <v>55.7</v>
      </c>
      <c r="J38" s="0" t="n">
        <v>67.7</v>
      </c>
      <c r="K38" s="0" t="n">
        <v>81.8</v>
      </c>
      <c r="L38" s="0" t="n">
        <v>7225.3</v>
      </c>
      <c r="M38" s="0" t="n">
        <v>5</v>
      </c>
      <c r="N38" s="0" t="n">
        <v>93.3</v>
      </c>
      <c r="O38" s="0" t="n">
        <v>1</v>
      </c>
    </row>
    <row r="39" customFormat="false" ht="15" hidden="false" customHeight="false" outlineLevel="0" collapsed="false">
      <c r="A39" s="0" t="s">
        <v>134</v>
      </c>
      <c r="B39" s="0" t="s">
        <v>90</v>
      </c>
      <c r="C39" s="0" t="s">
        <v>86</v>
      </c>
      <c r="D39" s="0" t="s">
        <v>95</v>
      </c>
      <c r="E39" s="0" t="s">
        <v>88</v>
      </c>
      <c r="F39" s="0" t="n">
        <v>34</v>
      </c>
      <c r="G39" s="0" t="n">
        <v>6.8</v>
      </c>
      <c r="H39" s="0" t="n">
        <v>38.9</v>
      </c>
      <c r="I39" s="0" t="n">
        <v>54.3</v>
      </c>
      <c r="J39" s="0" t="n">
        <v>61.3</v>
      </c>
      <c r="K39" s="0" t="n">
        <v>84.6</v>
      </c>
      <c r="L39" s="0" t="n">
        <v>6293.23</v>
      </c>
      <c r="M39" s="0" t="n">
        <v>7</v>
      </c>
      <c r="N39" s="0" t="n">
        <v>90.7</v>
      </c>
      <c r="O39" s="0" t="n">
        <v>0</v>
      </c>
    </row>
    <row r="40" customFormat="false" ht="15" hidden="false" customHeight="false" outlineLevel="0" collapsed="false">
      <c r="A40" s="0" t="s">
        <v>135</v>
      </c>
      <c r="B40" s="0" t="s">
        <v>99</v>
      </c>
      <c r="C40" s="0" t="s">
        <v>91</v>
      </c>
      <c r="D40" s="0" t="s">
        <v>87</v>
      </c>
      <c r="E40" s="0" t="s">
        <v>88</v>
      </c>
      <c r="F40" s="0" t="n">
        <v>41</v>
      </c>
      <c r="G40" s="0" t="n">
        <v>11</v>
      </c>
      <c r="H40" s="0" t="n">
        <v>33.6</v>
      </c>
      <c r="I40" s="0" t="n">
        <v>42.3</v>
      </c>
      <c r="J40" s="0" t="n">
        <v>47.7</v>
      </c>
      <c r="K40" s="0" t="n">
        <v>84.1</v>
      </c>
      <c r="L40" s="0" t="n">
        <v>7871.53</v>
      </c>
      <c r="N40" s="0" t="n">
        <v>87.9</v>
      </c>
      <c r="O40" s="0" t="n">
        <v>1</v>
      </c>
    </row>
    <row r="41" customFormat="false" ht="15" hidden="false" customHeight="false" outlineLevel="0" collapsed="false">
      <c r="A41" s="0" t="s">
        <v>136</v>
      </c>
      <c r="B41" s="0" t="s">
        <v>85</v>
      </c>
      <c r="C41" s="0" t="s">
        <v>91</v>
      </c>
      <c r="D41" s="0" t="s">
        <v>87</v>
      </c>
      <c r="F41" s="0" t="n">
        <v>30</v>
      </c>
      <c r="G41" s="0" t="n">
        <v>2.6</v>
      </c>
      <c r="H41" s="0" t="n">
        <v>66.6</v>
      </c>
      <c r="I41" s="0" t="n">
        <v>74</v>
      </c>
      <c r="J41" s="0" t="n">
        <v>77</v>
      </c>
      <c r="K41" s="0" t="n">
        <v>87.1</v>
      </c>
      <c r="L41" s="0" t="n">
        <v>6041.29</v>
      </c>
      <c r="M41" s="0" t="n">
        <v>6</v>
      </c>
      <c r="N41" s="0" t="n">
        <v>86.7</v>
      </c>
      <c r="O41" s="0" t="n">
        <v>0</v>
      </c>
    </row>
    <row r="42" customFormat="false" ht="15" hidden="false" customHeight="false" outlineLevel="0" collapsed="false">
      <c r="A42" s="0" t="s">
        <v>137</v>
      </c>
      <c r="B42" s="0" t="s">
        <v>90</v>
      </c>
      <c r="C42" s="0" t="s">
        <v>91</v>
      </c>
      <c r="D42" s="0" t="s">
        <v>92</v>
      </c>
      <c r="F42" s="0" t="n">
        <v>34</v>
      </c>
      <c r="G42" s="0" t="n">
        <v>5.8</v>
      </c>
      <c r="I42" s="0" t="n">
        <v>69.7</v>
      </c>
      <c r="J42" s="0" t="n">
        <v>78.7</v>
      </c>
      <c r="K42" s="0" t="n">
        <v>79.4</v>
      </c>
      <c r="L42" s="0" t="n">
        <v>5791.35</v>
      </c>
      <c r="M42" s="0" t="n">
        <v>6</v>
      </c>
      <c r="N42" s="0" t="n">
        <v>92.8</v>
      </c>
      <c r="O42" s="0" t="n">
        <v>0</v>
      </c>
    </row>
    <row r="43" customFormat="false" ht="15" hidden="false" customHeight="false" outlineLevel="0" collapsed="false">
      <c r="A43" s="0" t="s">
        <v>138</v>
      </c>
      <c r="B43" s="0" t="s">
        <v>94</v>
      </c>
      <c r="C43" s="0" t="s">
        <v>86</v>
      </c>
      <c r="D43" s="0" t="s">
        <v>95</v>
      </c>
      <c r="E43" s="0" t="s">
        <v>88</v>
      </c>
      <c r="F43" s="0" t="n">
        <v>38</v>
      </c>
      <c r="G43" s="0" t="n">
        <v>9.6</v>
      </c>
      <c r="I43" s="0" t="n">
        <v>84.2</v>
      </c>
      <c r="J43" s="0" t="n">
        <v>95.8</v>
      </c>
      <c r="K43" s="0" t="n">
        <v>91.3</v>
      </c>
      <c r="L43" s="0" t="n">
        <v>7922.32</v>
      </c>
      <c r="M43" s="0" t="n">
        <v>9</v>
      </c>
      <c r="N43" s="0" t="n">
        <v>90.7</v>
      </c>
      <c r="O43" s="0" t="n">
        <v>1</v>
      </c>
    </row>
    <row r="44" customFormat="false" ht="15" hidden="false" customHeight="false" outlineLevel="0" collapsed="false">
      <c r="A44" s="0" t="s">
        <v>139</v>
      </c>
      <c r="B44" s="0" t="s">
        <v>85</v>
      </c>
      <c r="C44" s="0" t="s">
        <v>91</v>
      </c>
      <c r="D44" s="0" t="s">
        <v>87</v>
      </c>
      <c r="E44" s="0" t="s">
        <v>88</v>
      </c>
      <c r="F44" s="0" t="n">
        <v>34</v>
      </c>
      <c r="G44" s="0" t="n">
        <v>10</v>
      </c>
      <c r="H44" s="0" t="n">
        <v>45.2</v>
      </c>
      <c r="I44" s="0" t="n">
        <v>46.1</v>
      </c>
      <c r="J44" s="0" t="n">
        <v>55.2</v>
      </c>
      <c r="K44" s="0" t="n">
        <v>90.8</v>
      </c>
      <c r="L44" s="0" t="n">
        <v>8456.85</v>
      </c>
      <c r="M44" s="0" t="n">
        <v>7</v>
      </c>
      <c r="N44" s="0" t="n">
        <v>89.6</v>
      </c>
      <c r="O44" s="0" t="n">
        <v>1</v>
      </c>
    </row>
    <row r="45" customFormat="false" ht="15" hidden="false" customHeight="false" outlineLevel="0" collapsed="false">
      <c r="A45" s="0" t="s">
        <v>140</v>
      </c>
      <c r="B45" s="0" t="s">
        <v>90</v>
      </c>
      <c r="C45" s="0" t="s">
        <v>86</v>
      </c>
      <c r="D45" s="0" t="s">
        <v>87</v>
      </c>
      <c r="E45" s="0" t="s">
        <v>100</v>
      </c>
      <c r="F45" s="0" t="n">
        <v>23</v>
      </c>
      <c r="G45" s="0" t="n">
        <v>1.5</v>
      </c>
      <c r="H45" s="0" t="n">
        <v>43</v>
      </c>
      <c r="I45" s="0" t="n">
        <v>74.6</v>
      </c>
      <c r="J45" s="0" t="n">
        <v>91.6</v>
      </c>
      <c r="K45" s="0" t="n">
        <v>72.9</v>
      </c>
      <c r="L45" s="0" t="n">
        <v>4304.78</v>
      </c>
      <c r="M45" s="0" t="n">
        <v>9</v>
      </c>
      <c r="N45" s="0" t="n">
        <v>100</v>
      </c>
      <c r="O45" s="0" t="n">
        <v>1</v>
      </c>
    </row>
    <row r="46" customFormat="false" ht="15" hidden="false" customHeight="false" outlineLevel="0" collapsed="false">
      <c r="A46" s="0" t="s">
        <v>141</v>
      </c>
      <c r="B46" s="0" t="s">
        <v>94</v>
      </c>
      <c r="C46" s="0" t="s">
        <v>86</v>
      </c>
      <c r="D46" s="0" t="s">
        <v>92</v>
      </c>
      <c r="E46" s="0" t="s">
        <v>88</v>
      </c>
      <c r="F46" s="0" t="n">
        <v>29</v>
      </c>
      <c r="G46" s="0" t="n">
        <v>5</v>
      </c>
      <c r="H46" s="0" t="n">
        <v>23.1</v>
      </c>
      <c r="I46" s="0" t="n">
        <v>60.7</v>
      </c>
      <c r="J46" s="0" t="n">
        <v>74.4</v>
      </c>
      <c r="K46" s="0" t="n">
        <v>67</v>
      </c>
      <c r="L46" s="0" t="n">
        <v>4409.03</v>
      </c>
      <c r="M46" s="0" t="n">
        <v>8</v>
      </c>
      <c r="N46" s="0" t="n">
        <v>92.6</v>
      </c>
      <c r="O46" s="0" t="n">
        <v>1</v>
      </c>
    </row>
    <row r="47" customFormat="false" ht="15" hidden="false" customHeight="false" outlineLevel="0" collapsed="false">
      <c r="A47" s="0" t="s">
        <v>142</v>
      </c>
      <c r="B47" s="0" t="s">
        <v>94</v>
      </c>
      <c r="C47" s="0" t="s">
        <v>91</v>
      </c>
      <c r="D47" s="0" t="s">
        <v>95</v>
      </c>
      <c r="E47" s="0" t="s">
        <v>88</v>
      </c>
      <c r="F47" s="0" t="n">
        <v>39</v>
      </c>
      <c r="G47" s="0" t="n">
        <v>10.3</v>
      </c>
      <c r="H47" s="0" t="n">
        <v>53.5</v>
      </c>
      <c r="I47" s="0" t="n">
        <v>68.1</v>
      </c>
      <c r="J47" s="0" t="n">
        <v>74.9</v>
      </c>
      <c r="K47" s="0" t="n">
        <v>81.7</v>
      </c>
      <c r="L47" s="0" t="n">
        <v>8038.33</v>
      </c>
      <c r="M47" s="0" t="n">
        <v>6</v>
      </c>
      <c r="N47" s="0" t="n">
        <v>99.4</v>
      </c>
      <c r="O47" s="0" t="n">
        <v>1</v>
      </c>
    </row>
    <row r="48" customFormat="false" ht="15" hidden="false" customHeight="false" outlineLevel="0" collapsed="false">
      <c r="A48" s="0" t="s">
        <v>143</v>
      </c>
      <c r="B48" s="0" t="s">
        <v>90</v>
      </c>
      <c r="C48" s="0" t="s">
        <v>91</v>
      </c>
      <c r="D48" s="0" t="s">
        <v>92</v>
      </c>
      <c r="E48" s="0" t="s">
        <v>96</v>
      </c>
      <c r="F48" s="0" t="n">
        <v>33</v>
      </c>
      <c r="G48" s="0" t="n">
        <v>7.6</v>
      </c>
      <c r="H48" s="0" t="n">
        <v>38.9</v>
      </c>
      <c r="I48" s="0" t="n">
        <v>43.5</v>
      </c>
      <c r="J48" s="0" t="n">
        <v>50.2</v>
      </c>
      <c r="K48" s="0" t="n">
        <v>89.3</v>
      </c>
      <c r="L48" s="0" t="n">
        <v>8349.02</v>
      </c>
      <c r="M48" s="0" t="n">
        <v>8</v>
      </c>
      <c r="N48" s="0" t="n">
        <v>90.3</v>
      </c>
      <c r="O48" s="0" t="n">
        <v>1</v>
      </c>
    </row>
    <row r="49" customFormat="false" ht="15" hidden="false" customHeight="false" outlineLevel="0" collapsed="false">
      <c r="A49" s="0" t="s">
        <v>144</v>
      </c>
      <c r="B49" s="0" t="s">
        <v>99</v>
      </c>
      <c r="C49" s="0" t="s">
        <v>91</v>
      </c>
      <c r="D49" s="0" t="s">
        <v>87</v>
      </c>
      <c r="E49" s="0" t="s">
        <v>88</v>
      </c>
      <c r="F49" s="0" t="n">
        <v>30</v>
      </c>
      <c r="G49" s="0" t="n">
        <v>6.6</v>
      </c>
      <c r="H49" s="0" t="n">
        <v>26.7</v>
      </c>
      <c r="I49" s="0" t="n">
        <v>74.7</v>
      </c>
      <c r="J49" s="0" t="n">
        <v>84.6</v>
      </c>
      <c r="K49" s="0" t="n">
        <v>75.7</v>
      </c>
      <c r="L49" s="0" t="n">
        <v>4129.49</v>
      </c>
      <c r="M49" s="0" t="n">
        <v>8</v>
      </c>
      <c r="N49" s="0" t="n">
        <v>94.2</v>
      </c>
      <c r="O49" s="0" t="n">
        <v>1</v>
      </c>
    </row>
    <row r="50" customFormat="false" ht="15" hidden="false" customHeight="false" outlineLevel="0" collapsed="false">
      <c r="A50" s="0" t="s">
        <v>145</v>
      </c>
      <c r="B50" s="0" t="s">
        <v>85</v>
      </c>
      <c r="C50" s="0" t="s">
        <v>86</v>
      </c>
      <c r="D50" s="0" t="s">
        <v>92</v>
      </c>
      <c r="E50" s="0" t="s">
        <v>96</v>
      </c>
      <c r="F50" s="0" t="n">
        <v>27</v>
      </c>
      <c r="G50" s="0" t="n">
        <v>5.3</v>
      </c>
      <c r="H50" s="0" t="n">
        <v>54.3</v>
      </c>
      <c r="I50" s="0" t="n">
        <v>67.9</v>
      </c>
      <c r="J50" s="0" t="n">
        <v>72.5</v>
      </c>
      <c r="K50" s="0" t="n">
        <v>66.9</v>
      </c>
      <c r="L50" s="0" t="n">
        <v>6751</v>
      </c>
      <c r="M50" s="0" t="n">
        <v>9</v>
      </c>
      <c r="N50" s="0" t="n">
        <v>92.7</v>
      </c>
      <c r="O50" s="0" t="n">
        <v>1</v>
      </c>
    </row>
    <row r="51" customFormat="false" ht="15" hidden="false" customHeight="false" outlineLevel="0" collapsed="false">
      <c r="A51" s="0" t="s">
        <v>146</v>
      </c>
      <c r="B51" s="0" t="s">
        <v>99</v>
      </c>
      <c r="C51" s="0" t="s">
        <v>91</v>
      </c>
      <c r="D51" s="0" t="s">
        <v>95</v>
      </c>
      <c r="E51" s="0" t="s">
        <v>125</v>
      </c>
      <c r="F51" s="0" t="n">
        <v>25</v>
      </c>
      <c r="G51" s="0" t="n">
        <v>4.8</v>
      </c>
      <c r="H51" s="0" t="n">
        <v>47.5</v>
      </c>
      <c r="I51" s="0" t="n">
        <v>59.6</v>
      </c>
      <c r="J51" s="0" t="n">
        <v>72.3</v>
      </c>
      <c r="K51" s="0" t="n">
        <v>78.5</v>
      </c>
      <c r="L51" s="0" t="n">
        <v>5039.06</v>
      </c>
      <c r="M51" s="0" t="n">
        <v>6</v>
      </c>
      <c r="N51" s="0" t="n">
        <v>84.5</v>
      </c>
      <c r="O51" s="0" t="n">
        <v>1</v>
      </c>
    </row>
    <row r="52" customFormat="false" ht="15" hidden="false" customHeight="false" outlineLevel="0" collapsed="false">
      <c r="A52" s="0" t="s">
        <v>147</v>
      </c>
      <c r="B52" s="0" t="s">
        <v>99</v>
      </c>
      <c r="C52" s="0" t="s">
        <v>86</v>
      </c>
      <c r="D52" s="0" t="s">
        <v>92</v>
      </c>
      <c r="E52" s="0" t="s">
        <v>100</v>
      </c>
      <c r="F52" s="0" t="n">
        <v>32</v>
      </c>
      <c r="G52" s="0" t="n">
        <v>6.9</v>
      </c>
      <c r="H52" s="0" t="n">
        <v>24.8</v>
      </c>
      <c r="I52" s="0" t="n">
        <v>66.5</v>
      </c>
      <c r="J52" s="0" t="n">
        <v>75.9</v>
      </c>
      <c r="K52" s="0" t="n">
        <v>71.8</v>
      </c>
      <c r="L52" s="0" t="n">
        <v>5223.1</v>
      </c>
      <c r="M52" s="0" t="n">
        <v>7</v>
      </c>
      <c r="N52" s="0" t="n">
        <v>100</v>
      </c>
      <c r="O52" s="0" t="n">
        <v>0</v>
      </c>
    </row>
    <row r="53" customFormat="false" ht="15" hidden="false" customHeight="false" outlineLevel="0" collapsed="false">
      <c r="A53" s="0" t="s">
        <v>148</v>
      </c>
      <c r="B53" s="0" t="s">
        <v>99</v>
      </c>
      <c r="C53" s="0" t="s">
        <v>91</v>
      </c>
      <c r="D53" s="0" t="s">
        <v>92</v>
      </c>
      <c r="F53" s="0" t="n">
        <v>26</v>
      </c>
      <c r="G53" s="0" t="n">
        <v>5.2</v>
      </c>
      <c r="H53" s="0" t="n">
        <v>61.3</v>
      </c>
      <c r="I53" s="0" t="n">
        <v>52.3</v>
      </c>
      <c r="J53" s="0" t="n">
        <v>61.3</v>
      </c>
      <c r="K53" s="0" t="n">
        <v>98.8</v>
      </c>
      <c r="L53" s="0" t="n">
        <v>6906.01</v>
      </c>
      <c r="M53" s="0" t="n">
        <v>7</v>
      </c>
      <c r="N53" s="0" t="n">
        <v>92.3</v>
      </c>
      <c r="O53" s="0" t="n">
        <v>1</v>
      </c>
    </row>
    <row r="54" customFormat="false" ht="15" hidden="false" customHeight="false" outlineLevel="0" collapsed="false">
      <c r="A54" s="0" t="s">
        <v>149</v>
      </c>
      <c r="B54" s="0" t="s">
        <v>85</v>
      </c>
      <c r="C54" s="0" t="s">
        <v>91</v>
      </c>
      <c r="D54" s="0" t="s">
        <v>95</v>
      </c>
      <c r="E54" s="0" t="s">
        <v>100</v>
      </c>
      <c r="F54" s="0" t="n">
        <v>28</v>
      </c>
      <c r="G54" s="0" t="n">
        <v>5.9</v>
      </c>
      <c r="H54" s="0" t="n">
        <v>47.9</v>
      </c>
      <c r="I54" s="0" t="n">
        <v>54.2</v>
      </c>
      <c r="J54" s="0" t="n">
        <v>64.9</v>
      </c>
      <c r="K54" s="0" t="n">
        <v>70.5</v>
      </c>
      <c r="L54" s="0" t="n">
        <v>6070.04</v>
      </c>
      <c r="M54" s="0" t="n">
        <v>8</v>
      </c>
      <c r="N54" s="0" t="n">
        <v>96.7</v>
      </c>
      <c r="O54" s="0" t="n">
        <v>0</v>
      </c>
    </row>
    <row r="55" customFormat="false" ht="15" hidden="false" customHeight="false" outlineLevel="0" collapsed="false">
      <c r="A55" s="0" t="s">
        <v>150</v>
      </c>
      <c r="B55" s="0" t="s">
        <v>85</v>
      </c>
      <c r="C55" s="0" t="s">
        <v>86</v>
      </c>
      <c r="D55" s="0" t="s">
        <v>95</v>
      </c>
      <c r="E55" s="0" t="s">
        <v>96</v>
      </c>
      <c r="F55" s="0" t="n">
        <v>31</v>
      </c>
      <c r="G55" s="0" t="n">
        <v>6.3</v>
      </c>
      <c r="H55" s="0" t="n">
        <v>39.9</v>
      </c>
      <c r="I55" s="0" t="n">
        <v>55.4</v>
      </c>
      <c r="J55" s="0" t="n">
        <v>70.3</v>
      </c>
      <c r="K55" s="0" t="n">
        <v>70.2</v>
      </c>
      <c r="L55" s="0" t="n">
        <v>5743.58</v>
      </c>
      <c r="M55" s="0" t="n">
        <v>5</v>
      </c>
      <c r="N55" s="0" t="n">
        <v>89.2</v>
      </c>
      <c r="O55" s="0" t="n">
        <v>0</v>
      </c>
    </row>
    <row r="56" customFormat="false" ht="15" hidden="false" customHeight="false" outlineLevel="0" collapsed="false">
      <c r="A56" s="0" t="s">
        <v>151</v>
      </c>
      <c r="B56" s="0" t="s">
        <v>85</v>
      </c>
      <c r="C56" s="0" t="s">
        <v>86</v>
      </c>
      <c r="D56" s="0" t="s">
        <v>92</v>
      </c>
      <c r="E56" s="0" t="s">
        <v>100</v>
      </c>
      <c r="F56" s="0" t="n">
        <v>24</v>
      </c>
      <c r="G56" s="0" t="n">
        <v>3.8</v>
      </c>
      <c r="H56" s="0" t="n">
        <v>59.1</v>
      </c>
      <c r="I56" s="0" t="n">
        <v>41.5</v>
      </c>
      <c r="J56" s="0" t="n">
        <v>50.2</v>
      </c>
      <c r="K56" s="0" t="n">
        <v>90.3</v>
      </c>
      <c r="L56" s="0" t="n">
        <v>6674.99</v>
      </c>
      <c r="M56" s="0" t="n">
        <v>9</v>
      </c>
      <c r="N56" s="0" t="n">
        <v>92.2</v>
      </c>
      <c r="O56" s="0" t="n">
        <v>0</v>
      </c>
    </row>
    <row r="57" customFormat="false" ht="15" hidden="false" customHeight="false" outlineLevel="0" collapsed="false">
      <c r="A57" s="0" t="s">
        <v>152</v>
      </c>
      <c r="B57" s="0" t="s">
        <v>85</v>
      </c>
      <c r="C57" s="0" t="s">
        <v>86</v>
      </c>
      <c r="D57" s="0" t="s">
        <v>87</v>
      </c>
      <c r="E57" s="0" t="s">
        <v>96</v>
      </c>
      <c r="F57" s="0" t="n">
        <v>35</v>
      </c>
      <c r="G57" s="0" t="n">
        <v>7.7</v>
      </c>
      <c r="H57" s="0" t="n">
        <v>41.9</v>
      </c>
      <c r="I57" s="0" t="n">
        <v>68.6</v>
      </c>
      <c r="J57" s="0" t="n">
        <v>76.1</v>
      </c>
      <c r="K57" s="0" t="n">
        <v>93</v>
      </c>
      <c r="L57" s="0" t="n">
        <v>6514.27</v>
      </c>
      <c r="M57" s="0" t="n">
        <v>8</v>
      </c>
      <c r="N57" s="0" t="n">
        <v>88.7</v>
      </c>
      <c r="O57" s="0" t="n">
        <v>1</v>
      </c>
    </row>
    <row r="58" customFormat="false" ht="15" hidden="false" customHeight="false" outlineLevel="0" collapsed="false">
      <c r="A58" s="0" t="s">
        <v>153</v>
      </c>
      <c r="B58" s="0" t="s">
        <v>90</v>
      </c>
      <c r="C58" s="0" t="s">
        <v>91</v>
      </c>
      <c r="D58" s="0" t="s">
        <v>87</v>
      </c>
      <c r="E58" s="0" t="s">
        <v>96</v>
      </c>
      <c r="F58" s="0" t="n">
        <v>49</v>
      </c>
      <c r="G58" s="0" t="n">
        <v>15.3</v>
      </c>
      <c r="H58" s="0" t="n">
        <v>39.7</v>
      </c>
      <c r="I58" s="0" t="n">
        <v>71.9</v>
      </c>
      <c r="J58" s="0" t="n">
        <v>85.9</v>
      </c>
      <c r="K58" s="0" t="n">
        <v>96.2</v>
      </c>
      <c r="L58" s="0" t="n">
        <v>7539.79</v>
      </c>
      <c r="M58" s="0" t="n">
        <v>5</v>
      </c>
      <c r="N58" s="0" t="n">
        <v>99.2</v>
      </c>
      <c r="O58" s="0" t="n">
        <v>1</v>
      </c>
    </row>
    <row r="59" customFormat="false" ht="15" hidden="false" customHeight="false" outlineLevel="0" collapsed="false">
      <c r="A59" s="0" t="s">
        <v>154</v>
      </c>
      <c r="B59" s="0" t="s">
        <v>90</v>
      </c>
      <c r="C59" s="0" t="s">
        <v>86</v>
      </c>
      <c r="D59" s="0" t="s">
        <v>95</v>
      </c>
      <c r="E59" s="0" t="s">
        <v>96</v>
      </c>
      <c r="F59" s="0" t="n">
        <v>21</v>
      </c>
      <c r="G59" s="0" t="n">
        <v>0.3</v>
      </c>
      <c r="H59" s="0" t="n">
        <v>32.1</v>
      </c>
      <c r="I59" s="0" t="n">
        <v>53</v>
      </c>
      <c r="J59" s="0" t="n">
        <v>64.9</v>
      </c>
      <c r="K59" s="0" t="n">
        <v>67.4</v>
      </c>
      <c r="L59" s="0" t="n">
        <v>5071.88</v>
      </c>
      <c r="M59" s="0" t="n">
        <v>9</v>
      </c>
      <c r="N59" s="0" t="n">
        <v>94.6</v>
      </c>
      <c r="O59" s="0" t="n">
        <v>0</v>
      </c>
    </row>
    <row r="60" customFormat="false" ht="15" hidden="false" customHeight="false" outlineLevel="0" collapsed="false">
      <c r="A60" s="0" t="s">
        <v>155</v>
      </c>
      <c r="B60" s="0" t="s">
        <v>99</v>
      </c>
      <c r="C60" s="0" t="s">
        <v>91</v>
      </c>
      <c r="D60" s="0" t="s">
        <v>92</v>
      </c>
      <c r="E60" s="0" t="s">
        <v>88</v>
      </c>
      <c r="F60" s="0" t="n">
        <v>32</v>
      </c>
      <c r="G60" s="0" t="n">
        <v>7</v>
      </c>
      <c r="H60" s="0" t="n">
        <v>47</v>
      </c>
      <c r="I60" s="0" t="n">
        <v>63.5</v>
      </c>
      <c r="J60" s="0" t="n">
        <v>70.2</v>
      </c>
      <c r="K60" s="0" t="n">
        <v>90.4</v>
      </c>
      <c r="L60" s="0" t="n">
        <v>7663.58</v>
      </c>
      <c r="M60" s="0" t="n">
        <v>10</v>
      </c>
      <c r="N60" s="0" t="n">
        <v>94.8</v>
      </c>
      <c r="O60" s="0" t="n">
        <v>1</v>
      </c>
    </row>
    <row r="61" customFormat="false" ht="15" hidden="false" customHeight="false" outlineLevel="0" collapsed="false">
      <c r="A61" s="0" t="s">
        <v>156</v>
      </c>
      <c r="B61" s="0" t="s">
        <v>99</v>
      </c>
      <c r="C61" s="0" t="s">
        <v>91</v>
      </c>
      <c r="D61" s="0" t="s">
        <v>87</v>
      </c>
      <c r="E61" s="0" t="s">
        <v>125</v>
      </c>
      <c r="F61" s="0" t="n">
        <v>29</v>
      </c>
      <c r="G61" s="0" t="n">
        <v>3.6</v>
      </c>
      <c r="H61" s="0" t="n">
        <v>45.7</v>
      </c>
      <c r="I61" s="0" t="n">
        <v>57.3</v>
      </c>
      <c r="J61" s="0" t="n">
        <v>65.3</v>
      </c>
      <c r="K61" s="0" t="n">
        <v>63.2</v>
      </c>
      <c r="L61" s="0" t="n">
        <v>6434.86</v>
      </c>
      <c r="M61" s="0" t="n">
        <v>9</v>
      </c>
      <c r="N61" s="0" t="n">
        <v>99.8</v>
      </c>
      <c r="O61" s="0" t="n">
        <v>0</v>
      </c>
    </row>
    <row r="62" customFormat="false" ht="15" hidden="false" customHeight="false" outlineLevel="0" collapsed="false">
      <c r="A62" s="0" t="s">
        <v>157</v>
      </c>
      <c r="B62" s="0" t="s">
        <v>85</v>
      </c>
      <c r="C62" s="0" t="s">
        <v>91</v>
      </c>
      <c r="D62" s="0" t="s">
        <v>87</v>
      </c>
      <c r="E62" s="0" t="s">
        <v>100</v>
      </c>
      <c r="F62" s="0" t="n">
        <v>32</v>
      </c>
      <c r="G62" s="0" t="n">
        <v>7.8</v>
      </c>
      <c r="H62" s="0" t="n">
        <v>40.2</v>
      </c>
      <c r="I62" s="0" t="n">
        <v>63.3</v>
      </c>
      <c r="J62" s="0" t="n">
        <v>72.1</v>
      </c>
      <c r="K62" s="0" t="n">
        <v>70.1</v>
      </c>
      <c r="L62" s="0" t="n">
        <v>5222.84</v>
      </c>
      <c r="M62" s="0" t="n">
        <v>9</v>
      </c>
      <c r="N62" s="0" t="n">
        <v>98.8</v>
      </c>
      <c r="O62" s="0" t="n">
        <v>1</v>
      </c>
    </row>
    <row r="63" customFormat="false" ht="15" hidden="false" customHeight="false" outlineLevel="0" collapsed="false">
      <c r="A63" s="0" t="s">
        <v>158</v>
      </c>
      <c r="B63" s="0" t="s">
        <v>90</v>
      </c>
      <c r="C63" s="0" t="s">
        <v>86</v>
      </c>
      <c r="D63" s="0" t="s">
        <v>87</v>
      </c>
      <c r="E63" s="0" t="s">
        <v>88</v>
      </c>
      <c r="F63" s="0" t="n">
        <v>29</v>
      </c>
      <c r="G63" s="0" t="n">
        <v>6.1</v>
      </c>
      <c r="H63" s="0" t="n">
        <v>30.5</v>
      </c>
      <c r="I63" s="0" t="n">
        <v>53.7</v>
      </c>
      <c r="J63" s="0" t="n">
        <v>63.1</v>
      </c>
      <c r="K63" s="0" t="n">
        <v>79.7</v>
      </c>
      <c r="L63" s="0" t="n">
        <v>6209.53</v>
      </c>
      <c r="M63" s="0" t="n">
        <v>7</v>
      </c>
      <c r="N63" s="0" t="n">
        <v>96.8</v>
      </c>
      <c r="O63" s="0" t="n">
        <v>1</v>
      </c>
    </row>
    <row r="64" customFormat="false" ht="15" hidden="false" customHeight="false" outlineLevel="0" collapsed="false">
      <c r="A64" s="0" t="s">
        <v>159</v>
      </c>
      <c r="B64" s="0" t="s">
        <v>90</v>
      </c>
      <c r="C64" s="0" t="s">
        <v>91</v>
      </c>
      <c r="D64" s="0" t="s">
        <v>95</v>
      </c>
      <c r="E64" s="0" t="s">
        <v>88</v>
      </c>
      <c r="F64" s="0" t="n">
        <v>39</v>
      </c>
      <c r="G64" s="0" t="n">
        <v>8.4</v>
      </c>
      <c r="H64" s="0" t="n">
        <v>41.6</v>
      </c>
      <c r="I64" s="0" t="n">
        <v>51.2</v>
      </c>
      <c r="J64" s="0" t="n">
        <v>53.8</v>
      </c>
      <c r="K64" s="0" t="n">
        <v>100</v>
      </c>
      <c r="L64" s="0" t="n">
        <v>7872.38</v>
      </c>
      <c r="M64" s="0" t="n">
        <v>4</v>
      </c>
      <c r="N64" s="0" t="n">
        <v>85.9</v>
      </c>
      <c r="O64" s="0" t="n">
        <v>1</v>
      </c>
    </row>
    <row r="65" customFormat="false" ht="15" hidden="false" customHeight="false" outlineLevel="0" collapsed="false">
      <c r="A65" s="0" t="s">
        <v>160</v>
      </c>
      <c r="B65" s="0" t="s">
        <v>85</v>
      </c>
      <c r="C65" s="0" t="s">
        <v>86</v>
      </c>
      <c r="D65" s="0" t="s">
        <v>87</v>
      </c>
      <c r="E65" s="0" t="s">
        <v>125</v>
      </c>
      <c r="F65" s="0" t="n">
        <v>40</v>
      </c>
      <c r="G65" s="0" t="n">
        <v>9.8</v>
      </c>
      <c r="H65" s="0" t="n">
        <v>39.2</v>
      </c>
      <c r="I65" s="0" t="n">
        <v>70.5</v>
      </c>
      <c r="J65" s="0" t="n">
        <v>72.3</v>
      </c>
      <c r="K65" s="0" t="n">
        <v>83.3</v>
      </c>
      <c r="L65" s="0" t="n">
        <v>6339.42</v>
      </c>
      <c r="M65" s="0" t="n">
        <v>4</v>
      </c>
      <c r="N65" s="0" t="n">
        <v>89.5</v>
      </c>
      <c r="O65" s="0" t="n">
        <v>1</v>
      </c>
    </row>
    <row r="66" customFormat="false" ht="15" hidden="false" customHeight="false" outlineLevel="0" collapsed="false">
      <c r="A66" s="0" t="s">
        <v>161</v>
      </c>
      <c r="B66" s="0" t="s">
        <v>85</v>
      </c>
      <c r="C66" s="0" t="s">
        <v>91</v>
      </c>
      <c r="D66" s="0" t="s">
        <v>92</v>
      </c>
      <c r="E66" s="0" t="s">
        <v>88</v>
      </c>
      <c r="F66" s="0" t="n">
        <v>34</v>
      </c>
      <c r="G66" s="0" t="n">
        <v>6.6</v>
      </c>
      <c r="H66" s="0" t="n">
        <v>24</v>
      </c>
      <c r="I66" s="0" t="n">
        <v>59.4</v>
      </c>
      <c r="J66" s="0" t="n">
        <v>63.9</v>
      </c>
      <c r="K66" s="0" t="n">
        <v>76</v>
      </c>
      <c r="L66" s="0" t="n">
        <v>5758.26</v>
      </c>
      <c r="M66" s="0" t="n">
        <v>7</v>
      </c>
      <c r="N66" s="0" t="n">
        <v>88</v>
      </c>
      <c r="O66" s="0" t="n">
        <v>0</v>
      </c>
    </row>
    <row r="67" customFormat="false" ht="15" hidden="false" customHeight="false" outlineLevel="0" collapsed="false">
      <c r="A67" s="0" t="s">
        <v>162</v>
      </c>
      <c r="B67" s="0" t="s">
        <v>90</v>
      </c>
      <c r="C67" s="0" t="s">
        <v>91</v>
      </c>
      <c r="D67" s="0" t="s">
        <v>95</v>
      </c>
      <c r="E67" s="0" t="s">
        <v>96</v>
      </c>
      <c r="F67" s="0" t="n">
        <v>40</v>
      </c>
      <c r="G67" s="0" t="n">
        <v>9.6</v>
      </c>
      <c r="I67" s="0" t="n">
        <v>80.2</v>
      </c>
      <c r="J67" s="0" t="n">
        <v>84.3</v>
      </c>
      <c r="K67" s="0" t="n">
        <v>93</v>
      </c>
      <c r="L67" s="0" t="n">
        <v>6582.36</v>
      </c>
      <c r="M67" s="0" t="n">
        <v>6</v>
      </c>
      <c r="N67" s="0" t="n">
        <v>96.6</v>
      </c>
      <c r="O67" s="0" t="n">
        <v>0</v>
      </c>
    </row>
    <row r="68" customFormat="false" ht="15" hidden="false" customHeight="false" outlineLevel="0" collapsed="false">
      <c r="A68" s="0" t="s">
        <v>163</v>
      </c>
      <c r="B68" s="0" t="s">
        <v>90</v>
      </c>
      <c r="C68" s="0" t="s">
        <v>91</v>
      </c>
      <c r="D68" s="0" t="s">
        <v>95</v>
      </c>
      <c r="E68" s="0" t="s">
        <v>88</v>
      </c>
      <c r="F68" s="0" t="n">
        <v>21</v>
      </c>
      <c r="G68" s="0" t="n">
        <v>0</v>
      </c>
      <c r="H68" s="0" t="n">
        <v>46.8</v>
      </c>
      <c r="I68" s="0" t="n">
        <v>60.5</v>
      </c>
      <c r="J68" s="0" t="n">
        <v>65.9</v>
      </c>
      <c r="K68" s="0" t="n">
        <v>91.1</v>
      </c>
      <c r="L68" s="0" t="n">
        <v>6896.44</v>
      </c>
      <c r="M68" s="0" t="n">
        <v>6</v>
      </c>
      <c r="N68" s="0" t="n">
        <v>93.9</v>
      </c>
      <c r="O68" s="0" t="n">
        <v>0</v>
      </c>
    </row>
    <row r="69" customFormat="false" ht="15" hidden="false" customHeight="false" outlineLevel="0" collapsed="false">
      <c r="A69" s="0" t="s">
        <v>164</v>
      </c>
      <c r="B69" s="0" t="s">
        <v>90</v>
      </c>
      <c r="C69" s="0" t="s">
        <v>91</v>
      </c>
      <c r="D69" s="0" t="s">
        <v>95</v>
      </c>
      <c r="E69" s="0" t="s">
        <v>125</v>
      </c>
      <c r="F69" s="0" t="n">
        <v>44</v>
      </c>
      <c r="G69" s="0" t="n">
        <v>11.1</v>
      </c>
      <c r="H69" s="0" t="n">
        <v>8.8</v>
      </c>
      <c r="I69" s="0" t="n">
        <v>50.7</v>
      </c>
      <c r="J69" s="0" t="n">
        <v>61.2</v>
      </c>
      <c r="K69" s="0" t="n">
        <v>79</v>
      </c>
      <c r="L69" s="0" t="n">
        <v>8044.05</v>
      </c>
      <c r="M69" s="0" t="n">
        <v>7</v>
      </c>
      <c r="N69" s="0" t="n">
        <v>86</v>
      </c>
      <c r="O69" s="0" t="n">
        <v>1</v>
      </c>
    </row>
    <row r="70" customFormat="false" ht="15" hidden="false" customHeight="false" outlineLevel="0" collapsed="false">
      <c r="A70" s="0" t="s">
        <v>165</v>
      </c>
      <c r="B70" s="0" t="s">
        <v>99</v>
      </c>
      <c r="C70" s="0" t="s">
        <v>86</v>
      </c>
      <c r="D70" s="0" t="s">
        <v>92</v>
      </c>
      <c r="E70" s="0" t="s">
        <v>88</v>
      </c>
      <c r="F70" s="0" t="n">
        <v>35</v>
      </c>
      <c r="G70" s="0" t="n">
        <v>7.2</v>
      </c>
      <c r="H70" s="0" t="n">
        <v>42.5</v>
      </c>
      <c r="I70" s="0" t="n">
        <v>72.3</v>
      </c>
      <c r="J70" s="0" t="n">
        <v>79.6</v>
      </c>
      <c r="K70" s="0" t="n">
        <v>84.7</v>
      </c>
      <c r="L70" s="0" t="n">
        <v>5272.58</v>
      </c>
      <c r="M70" s="0" t="n">
        <v>8</v>
      </c>
      <c r="N70" s="0" t="n">
        <v>92.1</v>
      </c>
      <c r="O70" s="0" t="n">
        <v>1</v>
      </c>
    </row>
    <row r="71" customFormat="false" ht="15" hidden="false" customHeight="false" outlineLevel="0" collapsed="false">
      <c r="A71" s="0" t="s">
        <v>166</v>
      </c>
      <c r="B71" s="0" t="s">
        <v>90</v>
      </c>
      <c r="C71" s="0" t="s">
        <v>86</v>
      </c>
      <c r="D71" s="0" t="s">
        <v>92</v>
      </c>
      <c r="E71" s="0" t="s">
        <v>88</v>
      </c>
      <c r="F71" s="0" t="n">
        <v>40</v>
      </c>
      <c r="G71" s="0" t="n">
        <v>9.4</v>
      </c>
      <c r="H71" s="0" t="n">
        <v>34.3</v>
      </c>
      <c r="I71" s="0" t="n">
        <v>66.3</v>
      </c>
      <c r="J71" s="0" t="n">
        <v>75.1</v>
      </c>
      <c r="K71" s="0" t="n">
        <v>100</v>
      </c>
      <c r="L71" s="0" t="n">
        <v>9466.53</v>
      </c>
      <c r="M71" s="0" t="n">
        <v>5</v>
      </c>
      <c r="N71" s="0" t="n">
        <v>85.5</v>
      </c>
      <c r="O71" s="0" t="n">
        <v>1</v>
      </c>
    </row>
    <row r="72" customFormat="false" ht="15" hidden="false" customHeight="false" outlineLevel="0" collapsed="false">
      <c r="A72" s="0" t="s">
        <v>167</v>
      </c>
      <c r="B72" s="0" t="s">
        <v>99</v>
      </c>
      <c r="C72" s="0" t="s">
        <v>86</v>
      </c>
      <c r="D72" s="0" t="s">
        <v>87</v>
      </c>
      <c r="E72" s="0" t="s">
        <v>125</v>
      </c>
      <c r="F72" s="0" t="n">
        <v>27</v>
      </c>
      <c r="G72" s="0" t="n">
        <v>2.1</v>
      </c>
      <c r="H72" s="0" t="n">
        <v>55.7</v>
      </c>
      <c r="I72" s="0" t="n">
        <v>67.3</v>
      </c>
      <c r="J72" s="0" t="n">
        <v>70.4</v>
      </c>
      <c r="K72" s="0" t="n">
        <v>69.6</v>
      </c>
      <c r="L72" s="0" t="n">
        <v>4973.3</v>
      </c>
      <c r="M72" s="0" t="n">
        <v>6</v>
      </c>
      <c r="N72" s="0" t="n">
        <v>92.7</v>
      </c>
      <c r="O72" s="0" t="n">
        <v>0</v>
      </c>
    </row>
    <row r="73" customFormat="false" ht="15" hidden="false" customHeight="false" outlineLevel="0" collapsed="false">
      <c r="A73" s="0" t="s">
        <v>168</v>
      </c>
      <c r="B73" s="0" t="s">
        <v>90</v>
      </c>
      <c r="C73" s="0" t="s">
        <v>86</v>
      </c>
      <c r="D73" s="0" t="s">
        <v>92</v>
      </c>
      <c r="E73" s="0" t="s">
        <v>88</v>
      </c>
      <c r="F73" s="0" t="n">
        <v>27</v>
      </c>
      <c r="G73" s="0" t="n">
        <v>3.3</v>
      </c>
      <c r="H73" s="0" t="n">
        <v>34.1</v>
      </c>
      <c r="I73" s="0" t="n">
        <v>71.9</v>
      </c>
      <c r="J73" s="0" t="n">
        <v>78.1</v>
      </c>
      <c r="K73" s="0" t="n">
        <v>85.1</v>
      </c>
      <c r="L73" s="0" t="n">
        <v>6348.11</v>
      </c>
      <c r="M73" s="0" t="n">
        <v>9</v>
      </c>
      <c r="N73" s="0" t="n">
        <v>84.7</v>
      </c>
      <c r="O73" s="0" t="n">
        <v>0</v>
      </c>
    </row>
    <row r="74" customFormat="false" ht="15" hidden="false" customHeight="false" outlineLevel="0" collapsed="false">
      <c r="A74" s="0" t="s">
        <v>169</v>
      </c>
      <c r="B74" s="0" t="s">
        <v>94</v>
      </c>
      <c r="C74" s="0" t="s">
        <v>86</v>
      </c>
      <c r="D74" s="0" t="s">
        <v>95</v>
      </c>
      <c r="E74" s="0" t="s">
        <v>88</v>
      </c>
      <c r="F74" s="0" t="n">
        <v>32</v>
      </c>
      <c r="G74" s="0" t="n">
        <v>6.5</v>
      </c>
      <c r="H74" s="0" t="n">
        <v>47.9</v>
      </c>
      <c r="I74" s="0" t="n">
        <v>53.5</v>
      </c>
      <c r="J74" s="0" t="n">
        <v>63.8</v>
      </c>
      <c r="K74" s="0" t="n">
        <v>77.3</v>
      </c>
      <c r="L74" s="0" t="n">
        <v>7573.95</v>
      </c>
      <c r="M74" s="0" t="n">
        <v>5</v>
      </c>
      <c r="N74" s="0" t="n">
        <v>95.6</v>
      </c>
      <c r="O74" s="0" t="n">
        <v>1</v>
      </c>
    </row>
    <row r="75" customFormat="false" ht="15" hidden="false" customHeight="false" outlineLevel="0" collapsed="false">
      <c r="A75" s="0" t="s">
        <v>170</v>
      </c>
      <c r="B75" s="0" t="s">
        <v>99</v>
      </c>
      <c r="C75" s="0" t="s">
        <v>86</v>
      </c>
      <c r="D75" s="0" t="s">
        <v>92</v>
      </c>
      <c r="E75" s="0" t="s">
        <v>88</v>
      </c>
      <c r="F75" s="0" t="n">
        <v>33</v>
      </c>
      <c r="G75" s="0" t="n">
        <v>5.9</v>
      </c>
      <c r="H75" s="0" t="n">
        <v>35.2</v>
      </c>
      <c r="I75" s="0" t="n">
        <v>58.7</v>
      </c>
      <c r="J75" s="0" t="n">
        <v>69.1</v>
      </c>
      <c r="K75" s="0" t="n">
        <v>80.7</v>
      </c>
      <c r="L75" s="0" t="n">
        <v>5197.38</v>
      </c>
      <c r="M75" s="0" t="n">
        <v>8</v>
      </c>
      <c r="N75" s="0" t="n">
        <v>94.9</v>
      </c>
      <c r="O75" s="0" t="n">
        <v>0</v>
      </c>
    </row>
    <row r="76" customFormat="false" ht="15" hidden="false" customHeight="false" outlineLevel="0" collapsed="false">
      <c r="A76" s="0" t="s">
        <v>171</v>
      </c>
      <c r="B76" s="0" t="s">
        <v>99</v>
      </c>
      <c r="C76" s="0" t="s">
        <v>86</v>
      </c>
      <c r="D76" s="0" t="s">
        <v>87</v>
      </c>
      <c r="E76" s="0" t="s">
        <v>100</v>
      </c>
      <c r="F76" s="0" t="n">
        <v>32</v>
      </c>
      <c r="G76" s="0" t="n">
        <v>6.9</v>
      </c>
      <c r="H76" s="0" t="n">
        <v>41.4</v>
      </c>
      <c r="I76" s="0" t="n">
        <v>58.3</v>
      </c>
      <c r="J76" s="0" t="n">
        <v>63.4</v>
      </c>
      <c r="K76" s="0" t="n">
        <v>82.2</v>
      </c>
      <c r="L76" s="0" t="n">
        <v>7057.94</v>
      </c>
      <c r="M76" s="0" t="n">
        <v>6</v>
      </c>
      <c r="N76" s="0" t="n">
        <v>100</v>
      </c>
      <c r="O76" s="0" t="n">
        <v>1</v>
      </c>
    </row>
    <row r="77" customFormat="false" ht="15" hidden="false" customHeight="false" outlineLevel="0" collapsed="false">
      <c r="A77" s="0" t="s">
        <v>172</v>
      </c>
      <c r="B77" s="0" t="s">
        <v>99</v>
      </c>
      <c r="C77" s="0" t="s">
        <v>86</v>
      </c>
      <c r="D77" s="0" t="s">
        <v>95</v>
      </c>
      <c r="E77" s="0" t="s">
        <v>88</v>
      </c>
      <c r="F77" s="0" t="n">
        <v>40</v>
      </c>
      <c r="G77" s="0" t="n">
        <v>9.5</v>
      </c>
      <c r="H77" s="0" t="n">
        <v>48.8</v>
      </c>
      <c r="I77" s="0" t="n">
        <v>47.1</v>
      </c>
      <c r="J77" s="0" t="n">
        <v>55.7</v>
      </c>
      <c r="K77" s="0" t="n">
        <v>84.5</v>
      </c>
      <c r="L77" s="0" t="n">
        <v>7497.72</v>
      </c>
      <c r="M77" s="0" t="n">
        <v>8</v>
      </c>
      <c r="N77" s="0" t="n">
        <v>97.2</v>
      </c>
      <c r="O77" s="0" t="n">
        <v>0</v>
      </c>
    </row>
    <row r="78" customFormat="false" ht="15" hidden="false" customHeight="false" outlineLevel="0" collapsed="false">
      <c r="A78" s="0" t="s">
        <v>173</v>
      </c>
      <c r="B78" s="0" t="s">
        <v>99</v>
      </c>
      <c r="C78" s="0" t="s">
        <v>86</v>
      </c>
      <c r="D78" s="0" t="s">
        <v>92</v>
      </c>
      <c r="E78" s="0" t="s">
        <v>88</v>
      </c>
      <c r="F78" s="0" t="n">
        <v>21</v>
      </c>
      <c r="G78" s="0" t="n">
        <v>0.4</v>
      </c>
      <c r="H78" s="0" t="n">
        <v>34.4</v>
      </c>
      <c r="I78" s="0" t="n">
        <v>57.4</v>
      </c>
      <c r="J78" s="0" t="n">
        <v>74.2</v>
      </c>
      <c r="K78" s="0" t="n">
        <v>62.9</v>
      </c>
      <c r="L78" s="0" t="n">
        <v>4918.4</v>
      </c>
      <c r="M78" s="0" t="n">
        <v>9</v>
      </c>
      <c r="N78" s="0" t="n">
        <v>90.9</v>
      </c>
      <c r="O78" s="0" t="n">
        <v>0</v>
      </c>
    </row>
    <row r="79" customFormat="false" ht="15" hidden="false" customHeight="false" outlineLevel="0" collapsed="false">
      <c r="A79" s="0" t="s">
        <v>174</v>
      </c>
      <c r="B79" s="0" t="s">
        <v>85</v>
      </c>
      <c r="C79" s="0" t="s">
        <v>91</v>
      </c>
      <c r="D79" s="0" t="s">
        <v>92</v>
      </c>
      <c r="E79" s="0" t="s">
        <v>100</v>
      </c>
      <c r="F79" s="0" t="n">
        <v>35</v>
      </c>
      <c r="G79" s="0" t="n">
        <v>9.1</v>
      </c>
      <c r="H79" s="0" t="n">
        <v>52</v>
      </c>
      <c r="I79" s="0" t="n">
        <v>73.4</v>
      </c>
      <c r="J79" s="0" t="n">
        <v>81.3</v>
      </c>
      <c r="K79" s="0" t="n">
        <v>91.5</v>
      </c>
      <c r="L79" s="0" t="n">
        <v>7935.11</v>
      </c>
      <c r="M79" s="0" t="n">
        <v>8</v>
      </c>
      <c r="N79" s="0" t="n">
        <v>97.1</v>
      </c>
      <c r="O79" s="0" t="n">
        <v>1</v>
      </c>
    </row>
    <row r="80" customFormat="false" ht="15" hidden="false" customHeight="false" outlineLevel="0" collapsed="false">
      <c r="A80" s="0" t="s">
        <v>175</v>
      </c>
      <c r="B80" s="0" t="s">
        <v>90</v>
      </c>
      <c r="C80" s="0" t="s">
        <v>91</v>
      </c>
      <c r="D80" s="0" t="s">
        <v>87</v>
      </c>
      <c r="E80" s="0" t="s">
        <v>96</v>
      </c>
      <c r="F80" s="0" t="n">
        <v>38</v>
      </c>
      <c r="G80" s="0" t="n">
        <v>6</v>
      </c>
      <c r="H80" s="0" t="n">
        <v>28.1</v>
      </c>
      <c r="I80" s="0" t="n">
        <v>62.4</v>
      </c>
      <c r="J80" s="0" t="n">
        <v>67.6</v>
      </c>
      <c r="K80" s="0" t="n">
        <v>87.6</v>
      </c>
      <c r="L80" s="0" t="n">
        <v>7014.71</v>
      </c>
      <c r="M80" s="0" t="n">
        <v>8</v>
      </c>
      <c r="N80" s="0" t="n">
        <v>86</v>
      </c>
      <c r="O80" s="0" t="n">
        <v>0</v>
      </c>
    </row>
    <row r="81" customFormat="false" ht="15" hidden="false" customHeight="false" outlineLevel="0" collapsed="false">
      <c r="A81" s="0" t="s">
        <v>176</v>
      </c>
      <c r="B81" s="0" t="s">
        <v>85</v>
      </c>
      <c r="C81" s="0" t="s">
        <v>86</v>
      </c>
      <c r="D81" s="0" t="s">
        <v>87</v>
      </c>
      <c r="E81" s="0" t="s">
        <v>88</v>
      </c>
      <c r="F81" s="0" t="n">
        <v>29</v>
      </c>
      <c r="G81" s="0" t="n">
        <v>5.3</v>
      </c>
      <c r="H81" s="0" t="n">
        <v>43.5</v>
      </c>
      <c r="I81" s="0" t="n">
        <v>46.5</v>
      </c>
      <c r="J81" s="0" t="n">
        <v>53.8</v>
      </c>
      <c r="K81" s="0" t="n">
        <v>78.9</v>
      </c>
      <c r="L81" s="0" t="n">
        <v>6316.36</v>
      </c>
      <c r="M81" s="0" t="n">
        <v>5</v>
      </c>
      <c r="N81" s="0" t="n">
        <v>88.2</v>
      </c>
      <c r="O81" s="0" t="n">
        <v>1</v>
      </c>
    </row>
    <row r="82" customFormat="false" ht="15" hidden="false" customHeight="false" outlineLevel="0" collapsed="false">
      <c r="A82" s="0" t="s">
        <v>177</v>
      </c>
      <c r="B82" s="0" t="s">
        <v>85</v>
      </c>
      <c r="C82" s="0" t="s">
        <v>86</v>
      </c>
      <c r="D82" s="0" t="s">
        <v>87</v>
      </c>
      <c r="E82" s="0" t="s">
        <v>88</v>
      </c>
      <c r="F82" s="0" t="n">
        <v>23</v>
      </c>
      <c r="G82" s="0" t="n">
        <v>1.3</v>
      </c>
      <c r="H82" s="0" t="n">
        <v>51.1</v>
      </c>
      <c r="I82" s="0" t="n">
        <v>44.4</v>
      </c>
      <c r="J82" s="0" t="n">
        <v>52.8</v>
      </c>
      <c r="K82" s="0" t="n">
        <v>75.7</v>
      </c>
      <c r="L82" s="0" t="n">
        <v>5353.41</v>
      </c>
      <c r="M82" s="0" t="n">
        <v>9</v>
      </c>
      <c r="N82" s="0" t="n">
        <v>94.7</v>
      </c>
      <c r="O82" s="0" t="n">
        <v>0</v>
      </c>
    </row>
    <row r="83" customFormat="false" ht="15" hidden="false" customHeight="false" outlineLevel="0" collapsed="false">
      <c r="A83" s="0" t="s">
        <v>178</v>
      </c>
      <c r="B83" s="0" t="s">
        <v>90</v>
      </c>
      <c r="C83" s="0" t="s">
        <v>86</v>
      </c>
      <c r="D83" s="0" t="s">
        <v>87</v>
      </c>
      <c r="E83" s="0" t="s">
        <v>88</v>
      </c>
      <c r="F83" s="0" t="n">
        <v>32</v>
      </c>
      <c r="G83" s="0" t="n">
        <v>7.6</v>
      </c>
      <c r="H83" s="0" t="n">
        <v>47.9</v>
      </c>
      <c r="I83" s="0" t="n">
        <v>76.6</v>
      </c>
      <c r="J83" s="0" t="n">
        <v>84</v>
      </c>
      <c r="K83" s="0" t="n">
        <v>94.4</v>
      </c>
      <c r="L83" s="0" t="n">
        <v>8218.46</v>
      </c>
      <c r="M83" s="0" t="n">
        <v>6</v>
      </c>
      <c r="N83" s="0" t="n">
        <v>82.2</v>
      </c>
      <c r="O83" s="0" t="n">
        <v>1</v>
      </c>
    </row>
    <row r="84" customFormat="false" ht="15" hidden="false" customHeight="false" outlineLevel="0" collapsed="false">
      <c r="A84" s="0" t="s">
        <v>179</v>
      </c>
      <c r="B84" s="0" t="s">
        <v>94</v>
      </c>
      <c r="C84" s="0" t="s">
        <v>91</v>
      </c>
      <c r="D84" s="0" t="s">
        <v>95</v>
      </c>
      <c r="E84" s="0" t="s">
        <v>88</v>
      </c>
      <c r="F84" s="0" t="n">
        <v>23</v>
      </c>
      <c r="G84" s="0" t="n">
        <v>0</v>
      </c>
      <c r="H84" s="0" t="n">
        <v>63</v>
      </c>
      <c r="I84" s="0" t="n">
        <v>59.1</v>
      </c>
      <c r="J84" s="0" t="n">
        <v>67</v>
      </c>
      <c r="K84" s="0" t="n">
        <v>71.2</v>
      </c>
      <c r="L84" s="0" t="n">
        <v>6110.36</v>
      </c>
      <c r="M84" s="0" t="n">
        <v>7</v>
      </c>
      <c r="N84" s="0" t="n">
        <v>92.8</v>
      </c>
      <c r="O84" s="0" t="n">
        <v>1</v>
      </c>
    </row>
    <row r="85" customFormat="false" ht="15" hidden="false" customHeight="false" outlineLevel="0" collapsed="false">
      <c r="A85" s="0" t="s">
        <v>180</v>
      </c>
      <c r="B85" s="0" t="s">
        <v>99</v>
      </c>
      <c r="C85" s="0" t="s">
        <v>86</v>
      </c>
      <c r="D85" s="0" t="s">
        <v>87</v>
      </c>
      <c r="E85" s="0" t="s">
        <v>96</v>
      </c>
      <c r="F85" s="0" t="n">
        <v>33</v>
      </c>
      <c r="G85" s="0" t="n">
        <v>8.1</v>
      </c>
      <c r="H85" s="0" t="n">
        <v>30.8</v>
      </c>
      <c r="I85" s="0" t="n">
        <v>53.5</v>
      </c>
      <c r="J85" s="0" t="n">
        <v>55.7</v>
      </c>
      <c r="K85" s="0" t="n">
        <v>87.5</v>
      </c>
      <c r="L85" s="0" t="n">
        <v>7228.13</v>
      </c>
      <c r="M85" s="0" t="n">
        <v>7</v>
      </c>
      <c r="N85" s="0" t="n">
        <v>87.9</v>
      </c>
      <c r="O85" s="0" t="n">
        <v>1</v>
      </c>
    </row>
    <row r="86" customFormat="false" ht="15" hidden="false" customHeight="false" outlineLevel="0" collapsed="false">
      <c r="A86" s="0" t="s">
        <v>181</v>
      </c>
      <c r="B86" s="0" t="s">
        <v>99</v>
      </c>
      <c r="C86" s="0" t="s">
        <v>86</v>
      </c>
      <c r="D86" s="0" t="s">
        <v>92</v>
      </c>
      <c r="E86" s="0" t="s">
        <v>125</v>
      </c>
      <c r="F86" s="0" t="n">
        <v>23</v>
      </c>
      <c r="G86" s="0" t="n">
        <v>1.2</v>
      </c>
      <c r="H86" s="0" t="n">
        <v>23.5</v>
      </c>
      <c r="I86" s="0" t="n">
        <v>57.3</v>
      </c>
      <c r="J86" s="0" t="n">
        <v>61.4</v>
      </c>
      <c r="K86" s="0" t="n">
        <v>73.1</v>
      </c>
      <c r="L86" s="0" t="n">
        <v>3738.37</v>
      </c>
      <c r="M86" s="0" t="n">
        <v>8</v>
      </c>
      <c r="N86" s="0" t="n">
        <v>93.5</v>
      </c>
      <c r="O86" s="0" t="n">
        <v>0</v>
      </c>
    </row>
    <row r="87" customFormat="false" ht="15" hidden="false" customHeight="false" outlineLevel="0" collapsed="false">
      <c r="A87" s="0" t="s">
        <v>182</v>
      </c>
      <c r="B87" s="0" t="s">
        <v>99</v>
      </c>
      <c r="C87" s="0" t="s">
        <v>86</v>
      </c>
      <c r="D87" s="0" t="s">
        <v>92</v>
      </c>
      <c r="E87" s="0" t="s">
        <v>125</v>
      </c>
      <c r="F87" s="0" t="n">
        <v>34</v>
      </c>
      <c r="G87" s="0" t="n">
        <v>6.2</v>
      </c>
      <c r="H87" s="0" t="n">
        <v>28.1</v>
      </c>
      <c r="I87" s="0" t="n">
        <v>45.2</v>
      </c>
      <c r="J87" s="0" t="n">
        <v>52.6</v>
      </c>
      <c r="K87" s="0" t="n">
        <v>96.2</v>
      </c>
      <c r="L87" s="0" t="n">
        <v>5176.26</v>
      </c>
      <c r="M87" s="0" t="n">
        <v>8</v>
      </c>
      <c r="N87" s="0" t="n">
        <v>87.6</v>
      </c>
      <c r="O87" s="0" t="n">
        <v>1</v>
      </c>
    </row>
    <row r="88" customFormat="false" ht="15" hidden="false" customHeight="false" outlineLevel="0" collapsed="false">
      <c r="A88" s="0" t="s">
        <v>183</v>
      </c>
      <c r="B88" s="0" t="s">
        <v>85</v>
      </c>
      <c r="C88" s="0" t="s">
        <v>86</v>
      </c>
      <c r="D88" s="0" t="s">
        <v>92</v>
      </c>
      <c r="E88" s="0" t="s">
        <v>88</v>
      </c>
      <c r="F88" s="0" t="n">
        <v>29</v>
      </c>
      <c r="G88" s="0" t="n">
        <v>5.6</v>
      </c>
      <c r="H88" s="0" t="n">
        <v>47.9</v>
      </c>
      <c r="I88" s="0" t="n">
        <v>74.2</v>
      </c>
      <c r="J88" s="0" t="n">
        <v>81.5</v>
      </c>
      <c r="K88" s="0" t="n">
        <v>79.2</v>
      </c>
      <c r="L88" s="0" t="n">
        <v>5993.05</v>
      </c>
      <c r="M88" s="0" t="n">
        <v>6</v>
      </c>
      <c r="N88" s="0" t="n">
        <v>95.1</v>
      </c>
      <c r="O88" s="0" t="n">
        <v>1</v>
      </c>
    </row>
    <row r="89" customFormat="false" ht="15" hidden="false" customHeight="false" outlineLevel="0" collapsed="false">
      <c r="A89" s="0" t="s">
        <v>184</v>
      </c>
      <c r="B89" s="0" t="s">
        <v>90</v>
      </c>
      <c r="C89" s="0" t="s">
        <v>86</v>
      </c>
      <c r="D89" s="0" t="s">
        <v>92</v>
      </c>
      <c r="E89" s="0" t="s">
        <v>88</v>
      </c>
      <c r="F89" s="0" t="n">
        <v>40</v>
      </c>
      <c r="G89" s="0" t="n">
        <v>9.7</v>
      </c>
      <c r="H89" s="0" t="n">
        <v>46</v>
      </c>
      <c r="I89" s="0" t="n">
        <v>56.1</v>
      </c>
      <c r="J89" s="0" t="n">
        <v>61.8</v>
      </c>
      <c r="K89" s="0" t="n">
        <v>90.4</v>
      </c>
      <c r="L89" s="0" t="n">
        <v>7062.26</v>
      </c>
      <c r="M89" s="0" t="n">
        <v>5</v>
      </c>
      <c r="N89" s="0" t="n">
        <v>93.1</v>
      </c>
      <c r="O89" s="0" t="n">
        <v>1</v>
      </c>
    </row>
    <row r="90" customFormat="false" ht="15" hidden="false" customHeight="false" outlineLevel="0" collapsed="false">
      <c r="A90" s="0" t="s">
        <v>185</v>
      </c>
      <c r="B90" s="0" t="s">
        <v>99</v>
      </c>
      <c r="C90" s="0" t="s">
        <v>91</v>
      </c>
      <c r="D90" s="0" t="s">
        <v>92</v>
      </c>
      <c r="E90" s="0" t="s">
        <v>88</v>
      </c>
      <c r="F90" s="0" t="n">
        <v>33</v>
      </c>
      <c r="G90" s="0" t="n">
        <v>5.4</v>
      </c>
      <c r="H90" s="0" t="n">
        <v>41.2</v>
      </c>
      <c r="I90" s="0" t="n">
        <v>73.7</v>
      </c>
      <c r="J90" s="0" t="n">
        <v>81</v>
      </c>
      <c r="K90" s="0" t="n">
        <v>86.5</v>
      </c>
      <c r="L90" s="0" t="n">
        <v>7003.08</v>
      </c>
      <c r="M90" s="0" t="n">
        <v>8</v>
      </c>
      <c r="N90" s="0" t="n">
        <v>100</v>
      </c>
      <c r="O90" s="0" t="n">
        <v>1</v>
      </c>
    </row>
    <row r="91" customFormat="false" ht="15" hidden="false" customHeight="false" outlineLevel="0" collapsed="false">
      <c r="A91" s="0" t="s">
        <v>186</v>
      </c>
      <c r="B91" s="0" t="s">
        <v>90</v>
      </c>
      <c r="C91" s="0" t="s">
        <v>91</v>
      </c>
      <c r="D91" s="0" t="s">
        <v>87</v>
      </c>
      <c r="E91" s="0" t="s">
        <v>88</v>
      </c>
      <c r="F91" s="0" t="n">
        <v>31</v>
      </c>
      <c r="G91" s="0" t="n">
        <v>3.8</v>
      </c>
      <c r="H91" s="0" t="n">
        <v>26.5</v>
      </c>
      <c r="I91" s="0" t="n">
        <v>60.5</v>
      </c>
      <c r="J91" s="0" t="n">
        <v>68.7</v>
      </c>
      <c r="K91" s="0" t="n">
        <v>81.8</v>
      </c>
      <c r="L91" s="0" t="n">
        <v>6115.39</v>
      </c>
      <c r="M91" s="0" t="n">
        <v>7</v>
      </c>
      <c r="N91" s="0" t="n">
        <v>93</v>
      </c>
      <c r="O91" s="0" t="n">
        <v>1</v>
      </c>
    </row>
    <row r="92" customFormat="false" ht="15" hidden="false" customHeight="false" outlineLevel="0" collapsed="false">
      <c r="A92" s="0" t="s">
        <v>187</v>
      </c>
      <c r="B92" s="0" t="s">
        <v>99</v>
      </c>
      <c r="C92" s="0" t="s">
        <v>91</v>
      </c>
      <c r="D92" s="0" t="s">
        <v>92</v>
      </c>
      <c r="E92" s="0" t="s">
        <v>88</v>
      </c>
      <c r="F92" s="0" t="n">
        <v>29</v>
      </c>
      <c r="G92" s="0" t="n">
        <v>4.4</v>
      </c>
      <c r="H92" s="0" t="n">
        <v>49.2</v>
      </c>
      <c r="I92" s="0" t="n">
        <v>74.3</v>
      </c>
      <c r="J92" s="0" t="n">
        <v>85.9</v>
      </c>
      <c r="K92" s="0" t="n">
        <v>78.4</v>
      </c>
      <c r="L92" s="0" t="n">
        <v>6104.38</v>
      </c>
      <c r="M92" s="0" t="n">
        <v>9</v>
      </c>
      <c r="N92" s="0" t="n">
        <v>89.2</v>
      </c>
      <c r="O92" s="0" t="n">
        <v>1</v>
      </c>
    </row>
    <row r="93" customFormat="false" ht="15" hidden="false" customHeight="false" outlineLevel="0" collapsed="false">
      <c r="A93" s="0" t="s">
        <v>188</v>
      </c>
      <c r="B93" s="0" t="s">
        <v>85</v>
      </c>
      <c r="C93" s="0" t="s">
        <v>91</v>
      </c>
      <c r="D93" s="0" t="s">
        <v>95</v>
      </c>
      <c r="E93" s="0" t="s">
        <v>96</v>
      </c>
      <c r="F93" s="0" t="n">
        <v>48</v>
      </c>
      <c r="G93" s="0" t="n">
        <v>10.1</v>
      </c>
      <c r="H93" s="0" t="n">
        <v>25.3</v>
      </c>
      <c r="I93" s="0" t="n">
        <v>62.6</v>
      </c>
      <c r="J93" s="0" t="n">
        <v>70.2</v>
      </c>
      <c r="K93" s="0" t="n">
        <v>79.2</v>
      </c>
      <c r="L93" s="0" t="n">
        <v>8012.83</v>
      </c>
      <c r="M93" s="0" t="n">
        <v>7</v>
      </c>
      <c r="N93" s="0" t="n">
        <v>91.8</v>
      </c>
      <c r="O93" s="0" t="n">
        <v>1</v>
      </c>
    </row>
    <row r="94" customFormat="false" ht="15" hidden="false" customHeight="false" outlineLevel="0" collapsed="false">
      <c r="A94" s="0" t="s">
        <v>189</v>
      </c>
      <c r="B94" s="0" t="s">
        <v>90</v>
      </c>
      <c r="C94" s="0" t="s">
        <v>91</v>
      </c>
      <c r="D94" s="0" t="s">
        <v>92</v>
      </c>
      <c r="E94" s="0" t="s">
        <v>88</v>
      </c>
      <c r="F94" s="0" t="n">
        <v>37</v>
      </c>
      <c r="G94" s="0" t="n">
        <v>7.7</v>
      </c>
      <c r="H94" s="0" t="n">
        <v>53.9</v>
      </c>
      <c r="I94" s="0" t="n">
        <v>68.5</v>
      </c>
      <c r="J94" s="0" t="n">
        <v>78.1</v>
      </c>
      <c r="K94" s="0" t="n">
        <v>96.5</v>
      </c>
      <c r="L94" s="0" t="n">
        <v>8760.12</v>
      </c>
      <c r="M94" s="0" t="n">
        <v>5</v>
      </c>
      <c r="N94" s="0" t="n">
        <v>86.3</v>
      </c>
      <c r="O94" s="0" t="n">
        <v>1</v>
      </c>
    </row>
    <row r="95" customFormat="false" ht="15" hidden="false" customHeight="false" outlineLevel="0" collapsed="false">
      <c r="A95" s="0" t="s">
        <v>190</v>
      </c>
      <c r="B95" s="0" t="s">
        <v>90</v>
      </c>
      <c r="C95" s="0" t="s">
        <v>86</v>
      </c>
      <c r="D95" s="0" t="s">
        <v>92</v>
      </c>
      <c r="E95" s="0" t="s">
        <v>88</v>
      </c>
      <c r="F95" s="0" t="n">
        <v>31</v>
      </c>
      <c r="G95" s="0" t="n">
        <v>4.8</v>
      </c>
      <c r="H95" s="0" t="n">
        <v>74.3</v>
      </c>
      <c r="I95" s="0" t="n">
        <v>67.2</v>
      </c>
      <c r="J95" s="0" t="n">
        <v>73</v>
      </c>
      <c r="K95" s="0" t="n">
        <v>88.9</v>
      </c>
      <c r="L95" s="0" t="n">
        <v>7724.56</v>
      </c>
      <c r="M95" s="0" t="n">
        <v>9</v>
      </c>
      <c r="N95" s="0" t="n">
        <v>95</v>
      </c>
      <c r="O95" s="0" t="n">
        <v>1</v>
      </c>
    </row>
    <row r="96" customFormat="false" ht="15" hidden="false" customHeight="false" outlineLevel="0" collapsed="false">
      <c r="A96" s="0" t="s">
        <v>191</v>
      </c>
      <c r="B96" s="0" t="s">
        <v>90</v>
      </c>
      <c r="C96" s="0" t="s">
        <v>91</v>
      </c>
      <c r="D96" s="0" t="s">
        <v>95</v>
      </c>
      <c r="E96" s="0" t="s">
        <v>88</v>
      </c>
      <c r="F96" s="0" t="n">
        <v>28</v>
      </c>
      <c r="G96" s="0" t="n">
        <v>5.2</v>
      </c>
      <c r="H96" s="0" t="n">
        <v>44.4</v>
      </c>
      <c r="I96" s="0" t="n">
        <v>66.2</v>
      </c>
      <c r="J96" s="0" t="n">
        <v>76.5</v>
      </c>
      <c r="K96" s="0" t="n">
        <v>82</v>
      </c>
      <c r="L96" s="0" t="n">
        <v>5566.3</v>
      </c>
      <c r="M96" s="0" t="n">
        <v>6</v>
      </c>
      <c r="N96" s="0" t="n">
        <v>95.9</v>
      </c>
      <c r="O96" s="0" t="n">
        <v>1</v>
      </c>
    </row>
    <row r="97" customFormat="false" ht="15" hidden="false" customHeight="false" outlineLevel="0" collapsed="false">
      <c r="A97" s="0" t="s">
        <v>192</v>
      </c>
      <c r="B97" s="0" t="s">
        <v>85</v>
      </c>
      <c r="C97" s="0" t="s">
        <v>91</v>
      </c>
      <c r="D97" s="0" t="s">
        <v>95</v>
      </c>
      <c r="E97" s="0" t="s">
        <v>88</v>
      </c>
      <c r="F97" s="0" t="n">
        <v>23</v>
      </c>
      <c r="G97" s="0" t="n">
        <v>1</v>
      </c>
      <c r="I97" s="0" t="n">
        <v>63.5</v>
      </c>
      <c r="J97" s="0" t="n">
        <v>73</v>
      </c>
      <c r="K97" s="0" t="n">
        <v>73.9</v>
      </c>
      <c r="L97" s="0" t="n">
        <v>6656.34</v>
      </c>
      <c r="M97" s="0" t="n">
        <v>8</v>
      </c>
      <c r="N97" s="0" t="n">
        <v>100</v>
      </c>
      <c r="O97" s="0" t="n">
        <v>0</v>
      </c>
    </row>
    <row r="98" customFormat="false" ht="15" hidden="false" customHeight="false" outlineLevel="0" collapsed="false">
      <c r="A98" s="0" t="s">
        <v>193</v>
      </c>
      <c r="B98" s="0" t="s">
        <v>90</v>
      </c>
      <c r="C98" s="0" t="s">
        <v>86</v>
      </c>
      <c r="D98" s="0" t="s">
        <v>92</v>
      </c>
      <c r="E98" s="0" t="s">
        <v>100</v>
      </c>
      <c r="F98" s="0" t="n">
        <v>38</v>
      </c>
      <c r="G98" s="0" t="n">
        <v>7.2</v>
      </c>
      <c r="H98" s="0" t="n">
        <v>34.1</v>
      </c>
      <c r="I98" s="0" t="n">
        <v>57.7</v>
      </c>
      <c r="J98" s="0" t="n">
        <v>69.2</v>
      </c>
      <c r="K98" s="0" t="n">
        <v>91.9</v>
      </c>
      <c r="L98" s="0" t="n">
        <v>6487.58</v>
      </c>
      <c r="M98" s="0" t="n">
        <v>6</v>
      </c>
      <c r="N98" s="0" t="n">
        <v>89.9</v>
      </c>
      <c r="O98" s="0" t="n">
        <v>1</v>
      </c>
    </row>
    <row r="99" customFormat="false" ht="15" hidden="false" customHeight="false" outlineLevel="0" collapsed="false">
      <c r="A99" s="0" t="s">
        <v>194</v>
      </c>
      <c r="B99" s="0" t="s">
        <v>99</v>
      </c>
      <c r="C99" s="0" t="s">
        <v>91</v>
      </c>
      <c r="D99" s="0" t="s">
        <v>92</v>
      </c>
      <c r="E99" s="0" t="s">
        <v>88</v>
      </c>
      <c r="F99" s="0" t="n">
        <v>28</v>
      </c>
      <c r="G99" s="0" t="n">
        <v>0.4</v>
      </c>
      <c r="H99" s="0" t="n">
        <v>18.3</v>
      </c>
      <c r="I99" s="0" t="n">
        <v>79.2</v>
      </c>
      <c r="J99" s="0" t="n">
        <v>90.1</v>
      </c>
      <c r="K99" s="0" t="n">
        <v>59.9</v>
      </c>
      <c r="L99" s="0" t="n">
        <v>3844.05</v>
      </c>
      <c r="M99" s="0" t="n">
        <v>10</v>
      </c>
      <c r="N99" s="0" t="n">
        <v>91.7</v>
      </c>
      <c r="O99" s="0" t="n">
        <v>0</v>
      </c>
    </row>
    <row r="100" customFormat="false" ht="15" hidden="false" customHeight="false" outlineLevel="0" collapsed="false">
      <c r="A100" s="0" t="s">
        <v>195</v>
      </c>
      <c r="B100" s="0" t="s">
        <v>99</v>
      </c>
      <c r="C100" s="0" t="s">
        <v>86</v>
      </c>
      <c r="D100" s="0" t="s">
        <v>92</v>
      </c>
      <c r="E100" s="0" t="s">
        <v>96</v>
      </c>
      <c r="F100" s="0" t="n">
        <v>40</v>
      </c>
      <c r="G100" s="0" t="n">
        <v>8.4</v>
      </c>
      <c r="I100" s="0" t="n">
        <v>50.9</v>
      </c>
      <c r="J100" s="0" t="n">
        <v>61.3</v>
      </c>
      <c r="K100" s="0" t="n">
        <v>70.7</v>
      </c>
      <c r="L100" s="0" t="n">
        <v>6166.86</v>
      </c>
      <c r="M100" s="0" t="n">
        <v>6</v>
      </c>
      <c r="N100" s="0" t="n">
        <v>90.1</v>
      </c>
      <c r="O100" s="0" t="n">
        <v>1</v>
      </c>
    </row>
    <row r="101" customFormat="false" ht="15" hidden="false" customHeight="false" outlineLevel="0" collapsed="false">
      <c r="A101" s="0" t="s">
        <v>196</v>
      </c>
      <c r="B101" s="0" t="s">
        <v>94</v>
      </c>
      <c r="C101" s="0" t="s">
        <v>86</v>
      </c>
      <c r="D101" s="0" t="s">
        <v>87</v>
      </c>
      <c r="E101" s="0" t="s">
        <v>88</v>
      </c>
      <c r="F101" s="0" t="n">
        <v>35</v>
      </c>
      <c r="G101" s="0" t="n">
        <v>6.4</v>
      </c>
      <c r="H101" s="0" t="n">
        <v>26.9</v>
      </c>
      <c r="I101" s="0" t="n">
        <v>60</v>
      </c>
      <c r="J101" s="0" t="n">
        <v>67.6</v>
      </c>
      <c r="K101" s="0" t="n">
        <v>63.5</v>
      </c>
      <c r="L101" s="0" t="n">
        <v>4827.69</v>
      </c>
      <c r="M101" s="0" t="n">
        <v>6</v>
      </c>
      <c r="N101" s="0" t="n">
        <v>94.1</v>
      </c>
      <c r="O101" s="0" t="n">
        <v>1</v>
      </c>
    </row>
    <row r="102" customFormat="false" ht="15" hidden="false" customHeight="false" outlineLevel="0" collapsed="false">
      <c r="A102" s="0" t="s">
        <v>197</v>
      </c>
      <c r="B102" s="0" t="s">
        <v>94</v>
      </c>
      <c r="C102" s="0" t="s">
        <v>91</v>
      </c>
      <c r="D102" s="0" t="s">
        <v>87</v>
      </c>
      <c r="E102" s="0" t="s">
        <v>88</v>
      </c>
      <c r="F102" s="0" t="n">
        <v>40</v>
      </c>
      <c r="G102" s="0" t="n">
        <v>13.6</v>
      </c>
      <c r="H102" s="0" t="n">
        <v>22.6</v>
      </c>
      <c r="I102" s="0" t="n">
        <v>60.1</v>
      </c>
      <c r="J102" s="0" t="n">
        <v>69.1</v>
      </c>
      <c r="K102" s="0" t="n">
        <v>79.6</v>
      </c>
      <c r="L102" s="0" t="n">
        <v>6176.22</v>
      </c>
      <c r="M102" s="0" t="n">
        <v>7</v>
      </c>
      <c r="N102" s="0" t="n">
        <v>94.9</v>
      </c>
      <c r="O102" s="0" t="n">
        <v>1</v>
      </c>
    </row>
    <row r="103" customFormat="false" ht="15" hidden="false" customHeight="false" outlineLevel="0" collapsed="false">
      <c r="A103" s="0" t="s">
        <v>198</v>
      </c>
      <c r="B103" s="0" t="s">
        <v>85</v>
      </c>
      <c r="C103" s="0" t="s">
        <v>91</v>
      </c>
      <c r="D103" s="0" t="s">
        <v>92</v>
      </c>
      <c r="E103" s="0" t="s">
        <v>88</v>
      </c>
      <c r="F103" s="0" t="n">
        <v>27</v>
      </c>
      <c r="G103" s="0" t="n">
        <v>2.5</v>
      </c>
      <c r="H103" s="0" t="n">
        <v>60.7</v>
      </c>
      <c r="I103" s="0" t="n">
        <v>64</v>
      </c>
      <c r="J103" s="0" t="n">
        <v>76.3</v>
      </c>
      <c r="K103" s="0" t="n">
        <v>71.6</v>
      </c>
      <c r="L103" s="0" t="n">
        <v>6696.58</v>
      </c>
      <c r="M103" s="0" t="n">
        <v>5</v>
      </c>
      <c r="N103" s="0" t="n">
        <v>92.7</v>
      </c>
      <c r="O103" s="0" t="n">
        <v>0</v>
      </c>
    </row>
    <row r="104" customFormat="false" ht="15" hidden="false" customHeight="false" outlineLevel="0" collapsed="false">
      <c r="A104" s="0" t="s">
        <v>199</v>
      </c>
      <c r="B104" s="0" t="s">
        <v>99</v>
      </c>
      <c r="C104" s="0" t="s">
        <v>91</v>
      </c>
      <c r="D104" s="0" t="s">
        <v>92</v>
      </c>
      <c r="E104" s="0" t="s">
        <v>96</v>
      </c>
      <c r="F104" s="0" t="n">
        <v>27</v>
      </c>
      <c r="G104" s="0" t="n">
        <v>5.7</v>
      </c>
      <c r="H104" s="0" t="n">
        <v>43.3</v>
      </c>
      <c r="I104" s="0" t="n">
        <v>55.7</v>
      </c>
      <c r="J104" s="0" t="n">
        <v>61.1</v>
      </c>
      <c r="K104" s="0" t="n">
        <v>81.3</v>
      </c>
      <c r="L104" s="0" t="n">
        <v>5671.44</v>
      </c>
      <c r="M104" s="0" t="n">
        <v>8</v>
      </c>
      <c r="N104" s="0" t="n">
        <v>98.4</v>
      </c>
      <c r="O104" s="0" t="n">
        <v>0</v>
      </c>
    </row>
    <row r="105" customFormat="false" ht="15" hidden="false" customHeight="false" outlineLevel="0" collapsed="false">
      <c r="A105" s="0" t="s">
        <v>200</v>
      </c>
      <c r="B105" s="0" t="s">
        <v>94</v>
      </c>
      <c r="C105" s="0" t="s">
        <v>86</v>
      </c>
      <c r="D105" s="0" t="s">
        <v>87</v>
      </c>
      <c r="E105" s="0" t="s">
        <v>88</v>
      </c>
      <c r="F105" s="0" t="n">
        <v>36</v>
      </c>
      <c r="G105" s="0" t="n">
        <v>11.8</v>
      </c>
      <c r="H105" s="0" t="n">
        <v>44.6</v>
      </c>
      <c r="I105" s="0" t="n">
        <v>63.1</v>
      </c>
      <c r="J105" s="0" t="n">
        <v>68.6</v>
      </c>
      <c r="K105" s="0" t="n">
        <v>84.5</v>
      </c>
      <c r="L105" s="0" t="n">
        <v>10755.08</v>
      </c>
      <c r="M105" s="0" t="n">
        <v>10</v>
      </c>
      <c r="N105" s="0" t="n">
        <v>89.9</v>
      </c>
      <c r="O105" s="0" t="n">
        <v>1</v>
      </c>
    </row>
    <row r="106" customFormat="false" ht="15" hidden="false" customHeight="false" outlineLevel="0" collapsed="false">
      <c r="A106" s="0" t="s">
        <v>201</v>
      </c>
      <c r="B106" s="0" t="s">
        <v>85</v>
      </c>
      <c r="C106" s="0" t="s">
        <v>91</v>
      </c>
      <c r="D106" s="0" t="s">
        <v>95</v>
      </c>
      <c r="E106" s="0" t="s">
        <v>96</v>
      </c>
      <c r="F106" s="0" t="n">
        <v>38</v>
      </c>
      <c r="G106" s="0" t="n">
        <v>9.8</v>
      </c>
      <c r="H106" s="0" t="n">
        <v>36.3</v>
      </c>
      <c r="I106" s="0" t="n">
        <v>58.3</v>
      </c>
      <c r="J106" s="0" t="n">
        <v>67</v>
      </c>
      <c r="K106" s="0" t="n">
        <v>80.4</v>
      </c>
      <c r="L106" s="0" t="n">
        <v>6130.53</v>
      </c>
      <c r="M106" s="0" t="n">
        <v>6</v>
      </c>
      <c r="N106" s="0" t="n">
        <v>97.9</v>
      </c>
      <c r="O106" s="0" t="n">
        <v>1</v>
      </c>
    </row>
    <row r="107" customFormat="false" ht="15" hidden="false" customHeight="false" outlineLevel="0" collapsed="false">
      <c r="A107" s="0" t="s">
        <v>202</v>
      </c>
      <c r="B107" s="0" t="s">
        <v>85</v>
      </c>
      <c r="C107" s="0" t="s">
        <v>91</v>
      </c>
      <c r="D107" s="0" t="s">
        <v>87</v>
      </c>
      <c r="E107" s="0" t="s">
        <v>125</v>
      </c>
      <c r="F107" s="0" t="n">
        <v>30</v>
      </c>
      <c r="G107" s="0" t="n">
        <v>3.8</v>
      </c>
      <c r="H107" s="0" t="n">
        <v>37.9</v>
      </c>
      <c r="I107" s="0" t="n">
        <v>44.2</v>
      </c>
      <c r="J107" s="0" t="n">
        <v>53.9</v>
      </c>
      <c r="K107" s="0" t="n">
        <v>69.7</v>
      </c>
      <c r="L107" s="0" t="n">
        <v>4379.86</v>
      </c>
      <c r="M107" s="0" t="n">
        <v>8</v>
      </c>
      <c r="N107" s="0" t="n">
        <v>95.7</v>
      </c>
      <c r="O107" s="0" t="n">
        <v>1</v>
      </c>
    </row>
    <row r="108" customFormat="false" ht="15" hidden="false" customHeight="false" outlineLevel="0" collapsed="false">
      <c r="A108" s="0" t="s">
        <v>203</v>
      </c>
      <c r="B108" s="0" t="s">
        <v>90</v>
      </c>
      <c r="C108" s="0" t="s">
        <v>86</v>
      </c>
      <c r="D108" s="0" t="s">
        <v>87</v>
      </c>
      <c r="E108" s="0" t="s">
        <v>88</v>
      </c>
      <c r="F108" s="0" t="n">
        <v>35</v>
      </c>
      <c r="G108" s="0" t="n">
        <v>6.7</v>
      </c>
      <c r="H108" s="0" t="n">
        <v>51.6</v>
      </c>
      <c r="I108" s="0" t="n">
        <v>60.1</v>
      </c>
      <c r="J108" s="0" t="n">
        <v>64.8</v>
      </c>
      <c r="K108" s="0" t="n">
        <v>87</v>
      </c>
      <c r="L108" s="0" t="n">
        <v>7503.12</v>
      </c>
      <c r="M108" s="0" t="n">
        <v>3</v>
      </c>
      <c r="N108" s="0" t="n">
        <v>92.9</v>
      </c>
      <c r="O108" s="0" t="n">
        <v>1</v>
      </c>
    </row>
    <row r="109" customFormat="false" ht="15" hidden="false" customHeight="false" outlineLevel="0" collapsed="false">
      <c r="A109" s="0" t="s">
        <v>204</v>
      </c>
      <c r="B109" s="0" t="s">
        <v>99</v>
      </c>
      <c r="C109" s="0" t="s">
        <v>91</v>
      </c>
      <c r="D109" s="0" t="s">
        <v>92</v>
      </c>
      <c r="E109" s="0" t="s">
        <v>96</v>
      </c>
      <c r="F109" s="0" t="n">
        <v>33</v>
      </c>
      <c r="G109" s="0" t="n">
        <v>6</v>
      </c>
      <c r="H109" s="0" t="n">
        <v>39.6</v>
      </c>
      <c r="I109" s="0" t="n">
        <v>49</v>
      </c>
      <c r="J109" s="0" t="n">
        <v>56.7</v>
      </c>
      <c r="K109" s="0" t="n">
        <v>90.9</v>
      </c>
      <c r="L109" s="0" t="n">
        <v>7823.88</v>
      </c>
      <c r="M109" s="0" t="n">
        <v>7</v>
      </c>
      <c r="N109" s="0" t="n">
        <v>91.4</v>
      </c>
      <c r="O109" s="0" t="n">
        <v>1</v>
      </c>
    </row>
    <row r="110" customFormat="false" ht="15" hidden="false" customHeight="false" outlineLevel="0" collapsed="false">
      <c r="A110" s="0" t="s">
        <v>205</v>
      </c>
      <c r="B110" s="0" t="s">
        <v>99</v>
      </c>
      <c r="C110" s="0" t="s">
        <v>86</v>
      </c>
      <c r="D110" s="0" t="s">
        <v>92</v>
      </c>
      <c r="E110" s="0" t="s">
        <v>100</v>
      </c>
      <c r="F110" s="0" t="n">
        <v>35</v>
      </c>
      <c r="G110" s="0" t="n">
        <v>6.9</v>
      </c>
      <c r="H110" s="0" t="n">
        <v>46.4</v>
      </c>
      <c r="I110" s="0" t="n">
        <v>42.7</v>
      </c>
      <c r="J110" s="0" t="n">
        <v>50.3</v>
      </c>
      <c r="K110" s="0" t="n">
        <v>90.3</v>
      </c>
      <c r="L110" s="0" t="n">
        <v>6993.63</v>
      </c>
      <c r="M110" s="0" t="n">
        <v>6</v>
      </c>
      <c r="N110" s="0" t="n">
        <v>100</v>
      </c>
      <c r="O110" s="0" t="n">
        <v>1</v>
      </c>
    </row>
    <row r="111" customFormat="false" ht="15" hidden="false" customHeight="false" outlineLevel="0" collapsed="false">
      <c r="A111" s="0" t="s">
        <v>206</v>
      </c>
      <c r="B111" s="0" t="s">
        <v>94</v>
      </c>
      <c r="C111" s="0" t="s">
        <v>86</v>
      </c>
      <c r="D111" s="0" t="s">
        <v>92</v>
      </c>
      <c r="E111" s="0" t="s">
        <v>125</v>
      </c>
      <c r="F111" s="0" t="n">
        <v>25</v>
      </c>
      <c r="G111" s="0" t="n">
        <v>3.8</v>
      </c>
      <c r="H111" s="0" t="n">
        <v>37.6</v>
      </c>
      <c r="I111" s="0" t="n">
        <v>61.4</v>
      </c>
      <c r="J111" s="0" t="n">
        <v>60.5</v>
      </c>
      <c r="K111" s="0" t="n">
        <v>76.1</v>
      </c>
      <c r="L111" s="0" t="n">
        <v>6110.52</v>
      </c>
      <c r="M111" s="0" t="n">
        <v>6</v>
      </c>
      <c r="N111" s="0" t="n">
        <v>88.9</v>
      </c>
      <c r="O111" s="0" t="n">
        <v>1</v>
      </c>
    </row>
    <row r="112" customFormat="false" ht="15" hidden="false" customHeight="false" outlineLevel="0" collapsed="false">
      <c r="A112" s="0" t="s">
        <v>207</v>
      </c>
      <c r="B112" s="0" t="s">
        <v>90</v>
      </c>
      <c r="C112" s="0" t="s">
        <v>86</v>
      </c>
      <c r="D112" s="0" t="s">
        <v>95</v>
      </c>
      <c r="E112" s="0" t="s">
        <v>88</v>
      </c>
      <c r="F112" s="0" t="n">
        <v>31</v>
      </c>
      <c r="G112" s="0" t="n">
        <v>5.7</v>
      </c>
      <c r="H112" s="0" t="n">
        <v>35.9</v>
      </c>
      <c r="I112" s="0" t="n">
        <v>64.9</v>
      </c>
      <c r="J112" s="0" t="n">
        <v>72</v>
      </c>
      <c r="K112" s="0" t="n">
        <v>79.6</v>
      </c>
      <c r="L112" s="0" t="n">
        <v>4395.81</v>
      </c>
      <c r="M112" s="0" t="n">
        <v>9</v>
      </c>
      <c r="N112" s="0" t="n">
        <v>94.5</v>
      </c>
      <c r="O112" s="0" t="n">
        <v>0</v>
      </c>
    </row>
    <row r="113" customFormat="false" ht="15" hidden="false" customHeight="false" outlineLevel="0" collapsed="false">
      <c r="A113" s="0" t="s">
        <v>208</v>
      </c>
      <c r="B113" s="0" t="s">
        <v>99</v>
      </c>
      <c r="C113" s="0" t="s">
        <v>91</v>
      </c>
      <c r="D113" s="0" t="s">
        <v>95</v>
      </c>
      <c r="E113" s="0" t="s">
        <v>125</v>
      </c>
      <c r="F113" s="0" t="n">
        <v>21</v>
      </c>
      <c r="G113" s="0" t="n">
        <v>0.9</v>
      </c>
      <c r="H113" s="0" t="n">
        <v>23.1</v>
      </c>
      <c r="I113" s="0" t="n">
        <v>65.3</v>
      </c>
      <c r="J113" s="0" t="n">
        <v>72.7</v>
      </c>
      <c r="K113" s="0" t="n">
        <v>63.7</v>
      </c>
      <c r="L113" s="0" t="n">
        <v>3494.74</v>
      </c>
      <c r="M113" s="0" t="n">
        <v>6</v>
      </c>
      <c r="N113" s="0" t="n">
        <v>89.2</v>
      </c>
      <c r="O113" s="0" t="n">
        <v>1</v>
      </c>
    </row>
    <row r="114" customFormat="false" ht="15" hidden="false" customHeight="false" outlineLevel="0" collapsed="false">
      <c r="A114" s="0" t="s">
        <v>209</v>
      </c>
      <c r="B114" s="0" t="s">
        <v>90</v>
      </c>
      <c r="C114" s="0" t="s">
        <v>86</v>
      </c>
      <c r="D114" s="0" t="s">
        <v>95</v>
      </c>
      <c r="E114" s="0" t="s">
        <v>88</v>
      </c>
      <c r="F114" s="0" t="n">
        <v>26</v>
      </c>
      <c r="G114" s="0" t="n">
        <v>6.4</v>
      </c>
      <c r="H114" s="0" t="n">
        <v>16.3</v>
      </c>
      <c r="I114" s="0" t="n">
        <v>65.7</v>
      </c>
      <c r="J114" s="0" t="n">
        <v>73.1</v>
      </c>
      <c r="K114" s="0" t="n">
        <v>79.5</v>
      </c>
      <c r="L114" s="0" t="n">
        <v>4478.25</v>
      </c>
      <c r="M114" s="0" t="n">
        <v>7</v>
      </c>
      <c r="N114" s="0" t="n">
        <v>100</v>
      </c>
      <c r="O114" s="0" t="n">
        <v>1</v>
      </c>
    </row>
    <row r="115" customFormat="false" ht="15" hidden="false" customHeight="false" outlineLevel="0" collapsed="false">
      <c r="A115" s="0" t="s">
        <v>210</v>
      </c>
      <c r="B115" s="0" t="s">
        <v>90</v>
      </c>
      <c r="C115" s="0" t="s">
        <v>86</v>
      </c>
      <c r="D115" s="0" t="s">
        <v>95</v>
      </c>
      <c r="E115" s="0" t="s">
        <v>100</v>
      </c>
      <c r="F115" s="0" t="n">
        <v>36</v>
      </c>
      <c r="G115" s="0" t="n">
        <v>7.4</v>
      </c>
      <c r="H115" s="0" t="n">
        <v>36.9</v>
      </c>
      <c r="I115" s="0" t="n">
        <v>40.7</v>
      </c>
      <c r="J115" s="0" t="n">
        <v>54.4</v>
      </c>
      <c r="K115" s="0" t="n">
        <v>90.3</v>
      </c>
      <c r="L115" s="0" t="n">
        <v>4974.96</v>
      </c>
      <c r="M115" s="0" t="n">
        <v>6</v>
      </c>
      <c r="N115" s="0" t="n">
        <v>97.4</v>
      </c>
      <c r="O115" s="0" t="n">
        <v>0</v>
      </c>
    </row>
    <row r="116" customFormat="false" ht="15" hidden="false" customHeight="false" outlineLevel="0" collapsed="false">
      <c r="A116" s="0" t="s">
        <v>211</v>
      </c>
      <c r="B116" s="0" t="s">
        <v>99</v>
      </c>
      <c r="C116" s="0" t="s">
        <v>86</v>
      </c>
      <c r="D116" s="0" t="s">
        <v>95</v>
      </c>
      <c r="E116" s="0" t="s">
        <v>100</v>
      </c>
      <c r="F116" s="0" t="n">
        <v>28</v>
      </c>
      <c r="G116" s="0" t="n">
        <v>5.3</v>
      </c>
      <c r="H116" s="0" t="n">
        <v>40.7</v>
      </c>
      <c r="I116" s="0" t="n">
        <v>46.4</v>
      </c>
      <c r="J116" s="0" t="n">
        <v>49.5</v>
      </c>
      <c r="K116" s="0" t="n">
        <v>74.4</v>
      </c>
      <c r="L116" s="0" t="n">
        <v>6174.28</v>
      </c>
      <c r="M116" s="0" t="n">
        <v>4</v>
      </c>
      <c r="N116" s="0" t="n">
        <v>89.6</v>
      </c>
      <c r="O116" s="0" t="n">
        <v>0</v>
      </c>
    </row>
    <row r="117" customFormat="false" ht="15" hidden="false" customHeight="false" outlineLevel="0" collapsed="false">
      <c r="A117" s="0" t="s">
        <v>212</v>
      </c>
      <c r="B117" s="0" t="s">
        <v>94</v>
      </c>
      <c r="C117" s="0" t="s">
        <v>86</v>
      </c>
      <c r="D117" s="0" t="s">
        <v>95</v>
      </c>
      <c r="E117" s="0" t="s">
        <v>96</v>
      </c>
      <c r="F117" s="0" t="n">
        <v>26</v>
      </c>
      <c r="G117" s="0" t="n">
        <v>0.8</v>
      </c>
      <c r="H117" s="0" t="n">
        <v>24.6</v>
      </c>
      <c r="I117" s="0" t="n">
        <v>79.7</v>
      </c>
      <c r="J117" s="0" t="n">
        <v>84.4</v>
      </c>
      <c r="K117" s="0" t="n">
        <v>66.3</v>
      </c>
      <c r="L117" s="0" t="n">
        <v>2159.96</v>
      </c>
      <c r="M117" s="0" t="n">
        <v>5</v>
      </c>
      <c r="N117" s="0" t="n">
        <v>95.6</v>
      </c>
      <c r="O117" s="0" t="n">
        <v>0</v>
      </c>
    </row>
    <row r="118" customFormat="false" ht="15" hidden="false" customHeight="false" outlineLevel="0" collapsed="false">
      <c r="A118" s="0" t="s">
        <v>213</v>
      </c>
      <c r="B118" s="0" t="s">
        <v>85</v>
      </c>
      <c r="C118" s="0" t="s">
        <v>86</v>
      </c>
      <c r="D118" s="0" t="s">
        <v>92</v>
      </c>
      <c r="E118" s="0" t="s">
        <v>88</v>
      </c>
      <c r="F118" s="0" t="n">
        <v>40</v>
      </c>
      <c r="G118" s="0" t="n">
        <v>9.2</v>
      </c>
      <c r="H118" s="0" t="n">
        <v>39.6</v>
      </c>
      <c r="I118" s="0" t="n">
        <v>49.5</v>
      </c>
      <c r="J118" s="0" t="n">
        <v>47.1</v>
      </c>
      <c r="K118" s="0" t="n">
        <v>71.2</v>
      </c>
      <c r="L118" s="0" t="n">
        <v>5762.02</v>
      </c>
      <c r="M118" s="0" t="n">
        <v>9</v>
      </c>
      <c r="N118" s="0" t="n">
        <v>94.3</v>
      </c>
      <c r="O118" s="0" t="n">
        <v>1</v>
      </c>
    </row>
    <row r="119" customFormat="false" ht="15" hidden="false" customHeight="false" outlineLevel="0" collapsed="false">
      <c r="A119" s="0" t="s">
        <v>214</v>
      </c>
      <c r="B119" s="0" t="s">
        <v>85</v>
      </c>
      <c r="C119" s="0" t="s">
        <v>91</v>
      </c>
      <c r="D119" s="0" t="s">
        <v>92</v>
      </c>
      <c r="E119" s="0" t="s">
        <v>100</v>
      </c>
      <c r="F119" s="0" t="n">
        <v>32</v>
      </c>
      <c r="G119" s="0" t="n">
        <v>7.2</v>
      </c>
      <c r="H119" s="0" t="n">
        <v>40.6</v>
      </c>
      <c r="I119" s="0" t="n">
        <v>66.1</v>
      </c>
      <c r="J119" s="0" t="n">
        <v>72.2</v>
      </c>
      <c r="K119" s="0" t="n">
        <v>83.7</v>
      </c>
      <c r="L119" s="0" t="n">
        <v>6196.03</v>
      </c>
      <c r="M119" s="0" t="n">
        <v>4</v>
      </c>
      <c r="N119" s="0" t="n">
        <v>90.4</v>
      </c>
      <c r="O119" s="0" t="n">
        <v>1</v>
      </c>
    </row>
    <row r="120" customFormat="false" ht="15" hidden="false" customHeight="false" outlineLevel="0" collapsed="false">
      <c r="A120" s="0" t="s">
        <v>215</v>
      </c>
      <c r="B120" s="0" t="s">
        <v>90</v>
      </c>
      <c r="C120" s="0" t="s">
        <v>86</v>
      </c>
      <c r="D120" s="0" t="s">
        <v>92</v>
      </c>
      <c r="E120" s="0" t="s">
        <v>96</v>
      </c>
      <c r="F120" s="0" t="n">
        <v>30</v>
      </c>
      <c r="G120" s="0" t="n">
        <v>3.7</v>
      </c>
      <c r="H120" s="0" t="n">
        <v>14.1</v>
      </c>
      <c r="I120" s="0" t="n">
        <v>53.1</v>
      </c>
      <c r="J120" s="0" t="n">
        <v>59.5</v>
      </c>
      <c r="K120" s="0" t="n">
        <v>76.9</v>
      </c>
      <c r="L120" s="0" t="n">
        <v>3894.34</v>
      </c>
      <c r="M120" s="0" t="n">
        <v>6</v>
      </c>
      <c r="N120" s="0" t="n">
        <v>96.8</v>
      </c>
      <c r="O120" s="0" t="n">
        <v>1</v>
      </c>
    </row>
    <row r="121" customFormat="false" ht="15" hidden="false" customHeight="false" outlineLevel="0" collapsed="false">
      <c r="A121" s="0" t="s">
        <v>216</v>
      </c>
      <c r="B121" s="0" t="s">
        <v>85</v>
      </c>
      <c r="C121" s="0" t="s">
        <v>91</v>
      </c>
      <c r="D121" s="0" t="s">
        <v>87</v>
      </c>
      <c r="E121" s="0" t="s">
        <v>96</v>
      </c>
      <c r="F121" s="0" t="n">
        <v>28</v>
      </c>
      <c r="G121" s="0" t="n">
        <v>5.1</v>
      </c>
      <c r="H121" s="0" t="n">
        <v>29</v>
      </c>
      <c r="I121" s="0" t="n">
        <v>60.8</v>
      </c>
      <c r="J121" s="0" t="n">
        <v>66.8</v>
      </c>
      <c r="K121" s="0" t="n">
        <v>72.4</v>
      </c>
      <c r="L121" s="0" t="n">
        <v>5877.77</v>
      </c>
      <c r="M121" s="0" t="n">
        <v>6</v>
      </c>
      <c r="N121" s="0" t="n">
        <v>94.9</v>
      </c>
      <c r="O121" s="0" t="n">
        <v>0</v>
      </c>
    </row>
    <row r="122" customFormat="false" ht="15" hidden="false" customHeight="false" outlineLevel="0" collapsed="false">
      <c r="A122" s="0" t="s">
        <v>217</v>
      </c>
      <c r="B122" s="0" t="s">
        <v>90</v>
      </c>
      <c r="C122" s="0" t="s">
        <v>91</v>
      </c>
      <c r="D122" s="0" t="s">
        <v>92</v>
      </c>
      <c r="E122" s="0" t="s">
        <v>88</v>
      </c>
      <c r="F122" s="0" t="n">
        <v>21</v>
      </c>
      <c r="G122" s="0" t="n">
        <v>1.2</v>
      </c>
      <c r="H122" s="0" t="n">
        <v>44.9</v>
      </c>
      <c r="I122" s="0" t="n">
        <v>53.7</v>
      </c>
      <c r="J122" s="0" t="n">
        <v>66.1</v>
      </c>
      <c r="K122" s="0" t="n">
        <v>90.6</v>
      </c>
      <c r="L122" s="0" t="n">
        <v>5730.02</v>
      </c>
      <c r="M122" s="0" t="n">
        <v>10</v>
      </c>
      <c r="N122" s="0" t="n">
        <v>94.1</v>
      </c>
      <c r="O122" s="0" t="n">
        <v>1</v>
      </c>
    </row>
    <row r="123" customFormat="false" ht="15" hidden="false" customHeight="false" outlineLevel="0" collapsed="false">
      <c r="A123" s="0" t="s">
        <v>218</v>
      </c>
      <c r="B123" s="0" t="s">
        <v>85</v>
      </c>
      <c r="C123" s="0" t="s">
        <v>86</v>
      </c>
      <c r="D123" s="0" t="s">
        <v>95</v>
      </c>
      <c r="E123" s="0" t="s">
        <v>88</v>
      </c>
      <c r="F123" s="0" t="n">
        <v>27</v>
      </c>
      <c r="G123" s="0" t="n">
        <v>2.7</v>
      </c>
      <c r="H123" s="0" t="n">
        <v>44.6</v>
      </c>
      <c r="I123" s="0" t="n">
        <v>65.6</v>
      </c>
      <c r="J123" s="0" t="n">
        <v>77</v>
      </c>
      <c r="K123" s="0" t="n">
        <v>69.3</v>
      </c>
      <c r="L123" s="0" t="n">
        <v>6302.92</v>
      </c>
      <c r="M123" s="0" t="n">
        <v>8</v>
      </c>
      <c r="N123" s="0" t="n">
        <v>92.8</v>
      </c>
      <c r="O123" s="0" t="n">
        <v>0</v>
      </c>
    </row>
    <row r="124" customFormat="false" ht="15" hidden="false" customHeight="false" outlineLevel="0" collapsed="false">
      <c r="A124" s="0" t="s">
        <v>219</v>
      </c>
      <c r="B124" s="0" t="s">
        <v>99</v>
      </c>
      <c r="C124" s="0" t="s">
        <v>86</v>
      </c>
      <c r="D124" s="0" t="s">
        <v>87</v>
      </c>
      <c r="E124" s="0" t="s">
        <v>100</v>
      </c>
      <c r="F124" s="0" t="n">
        <v>27</v>
      </c>
      <c r="G124" s="0" t="n">
        <v>4.3</v>
      </c>
      <c r="H124" s="0" t="n">
        <v>26.2</v>
      </c>
      <c r="I124" s="0" t="n">
        <v>61.4</v>
      </c>
      <c r="J124" s="0" t="n">
        <v>69.7</v>
      </c>
      <c r="K124" s="0" t="n">
        <v>75.4</v>
      </c>
      <c r="L124" s="0" t="n">
        <v>5931.15</v>
      </c>
      <c r="M124" s="0" t="n">
        <v>6</v>
      </c>
      <c r="N124" s="0" t="n">
        <v>95.2</v>
      </c>
      <c r="O124" s="0" t="n">
        <v>1</v>
      </c>
    </row>
    <row r="125" customFormat="false" ht="15" hidden="false" customHeight="false" outlineLevel="0" collapsed="false">
      <c r="A125" s="0" t="s">
        <v>220</v>
      </c>
      <c r="B125" s="0" t="s">
        <v>90</v>
      </c>
      <c r="C125" s="0" t="s">
        <v>91</v>
      </c>
      <c r="D125" s="0" t="s">
        <v>87</v>
      </c>
      <c r="E125" s="0" t="s">
        <v>96</v>
      </c>
      <c r="F125" s="0" t="n">
        <v>37</v>
      </c>
      <c r="G125" s="0" t="n">
        <v>9.9</v>
      </c>
      <c r="H125" s="0" t="n">
        <v>41.9</v>
      </c>
      <c r="I125" s="0" t="n">
        <v>55.5</v>
      </c>
      <c r="J125" s="0" t="n">
        <v>62</v>
      </c>
      <c r="K125" s="0" t="n">
        <v>92.2</v>
      </c>
      <c r="L125" s="0" t="n">
        <v>8560.73</v>
      </c>
      <c r="M125" s="0" t="n">
        <v>9</v>
      </c>
      <c r="N125" s="0" t="n">
        <v>94.1</v>
      </c>
      <c r="O125" s="0" t="n">
        <v>1</v>
      </c>
    </row>
    <row r="126" customFormat="false" ht="15" hidden="false" customHeight="false" outlineLevel="0" collapsed="false">
      <c r="A126" s="0" t="s">
        <v>221</v>
      </c>
      <c r="B126" s="0" t="s">
        <v>99</v>
      </c>
      <c r="C126" s="0" t="s">
        <v>86</v>
      </c>
      <c r="D126" s="0" t="s">
        <v>92</v>
      </c>
      <c r="E126" s="0" t="s">
        <v>88</v>
      </c>
      <c r="F126" s="0" t="n">
        <v>34</v>
      </c>
      <c r="G126" s="0" t="n">
        <v>4</v>
      </c>
      <c r="H126" s="0" t="n">
        <v>52.3</v>
      </c>
      <c r="I126" s="0" t="n">
        <v>49.5</v>
      </c>
      <c r="J126" s="0" t="n">
        <v>61.6</v>
      </c>
      <c r="K126" s="0" t="n">
        <v>81.8</v>
      </c>
      <c r="L126" s="0" t="n">
        <v>6317.27</v>
      </c>
      <c r="M126" s="0" t="n">
        <v>6</v>
      </c>
      <c r="N126" s="0" t="n">
        <v>93.3</v>
      </c>
      <c r="O126" s="0" t="n">
        <v>0</v>
      </c>
    </row>
    <row r="127" customFormat="false" ht="15" hidden="false" customHeight="false" outlineLevel="0" collapsed="false">
      <c r="A127" s="0" t="s">
        <v>222</v>
      </c>
      <c r="B127" s="0" t="s">
        <v>90</v>
      </c>
      <c r="C127" s="0" t="s">
        <v>86</v>
      </c>
      <c r="D127" s="0" t="s">
        <v>92</v>
      </c>
      <c r="E127" s="0" t="s">
        <v>96</v>
      </c>
      <c r="F127" s="0" t="n">
        <v>30</v>
      </c>
      <c r="G127" s="0" t="n">
        <v>8</v>
      </c>
      <c r="H127" s="0" t="n">
        <v>49.3</v>
      </c>
      <c r="I127" s="0" t="n">
        <v>62.7</v>
      </c>
      <c r="J127" s="0" t="n">
        <v>70.6</v>
      </c>
      <c r="K127" s="0" t="n">
        <v>90.9</v>
      </c>
      <c r="L127" s="0" t="n">
        <v>7608.62</v>
      </c>
      <c r="M127" s="0" t="n">
        <v>9</v>
      </c>
      <c r="N127" s="0" t="n">
        <v>89.8</v>
      </c>
      <c r="O127" s="0" t="n">
        <v>1</v>
      </c>
    </row>
    <row r="128" customFormat="false" ht="15" hidden="false" customHeight="false" outlineLevel="0" collapsed="false">
      <c r="A128" s="0" t="s">
        <v>223</v>
      </c>
      <c r="B128" s="0" t="s">
        <v>90</v>
      </c>
      <c r="C128" s="0" t="s">
        <v>91</v>
      </c>
      <c r="D128" s="0" t="s">
        <v>92</v>
      </c>
      <c r="E128" s="0" t="s">
        <v>88</v>
      </c>
      <c r="F128" s="0" t="n">
        <v>30</v>
      </c>
      <c r="G128" s="0" t="n">
        <v>4.3</v>
      </c>
      <c r="H128" s="0" t="n">
        <v>38.9</v>
      </c>
      <c r="I128" s="0" t="n">
        <v>47.9</v>
      </c>
      <c r="J128" s="0" t="n">
        <v>52.6</v>
      </c>
      <c r="K128" s="0" t="n">
        <v>82.1</v>
      </c>
      <c r="L128" s="0" t="n">
        <v>6322.86</v>
      </c>
      <c r="M128" s="0" t="n">
        <v>5</v>
      </c>
      <c r="N128" s="0" t="n">
        <v>100</v>
      </c>
      <c r="O128" s="0" t="n">
        <v>1</v>
      </c>
    </row>
    <row r="129" customFormat="false" ht="15" hidden="false" customHeight="false" outlineLevel="0" collapsed="false">
      <c r="A129" s="0" t="s">
        <v>224</v>
      </c>
      <c r="B129" s="0" t="s">
        <v>99</v>
      </c>
      <c r="C129" s="0" t="s">
        <v>91</v>
      </c>
      <c r="D129" s="0" t="s">
        <v>95</v>
      </c>
      <c r="E129" s="0" t="s">
        <v>88</v>
      </c>
      <c r="F129" s="0" t="n">
        <v>30</v>
      </c>
      <c r="G129" s="0" t="n">
        <v>6.8</v>
      </c>
      <c r="H129" s="0" t="n">
        <v>34.4</v>
      </c>
      <c r="I129" s="0" t="n">
        <v>64.3</v>
      </c>
      <c r="J129" s="0" t="n">
        <v>65.4</v>
      </c>
      <c r="K129" s="0" t="n">
        <v>87.2</v>
      </c>
      <c r="L129" s="0" t="n">
        <v>6511.49</v>
      </c>
      <c r="M129" s="0" t="n">
        <v>9</v>
      </c>
      <c r="O129" s="0" t="n">
        <v>1</v>
      </c>
    </row>
    <row r="130" customFormat="false" ht="15" hidden="false" customHeight="false" outlineLevel="0" collapsed="false">
      <c r="A130" s="0" t="s">
        <v>225</v>
      </c>
      <c r="B130" s="0" t="s">
        <v>99</v>
      </c>
      <c r="C130" s="0" t="s">
        <v>91</v>
      </c>
      <c r="D130" s="0" t="s">
        <v>87</v>
      </c>
      <c r="E130" s="0" t="s">
        <v>88</v>
      </c>
      <c r="F130" s="0" t="n">
        <v>34</v>
      </c>
      <c r="G130" s="0" t="n">
        <v>5.5</v>
      </c>
      <c r="H130" s="0" t="n">
        <v>32.4</v>
      </c>
      <c r="I130" s="0" t="n">
        <v>86.3</v>
      </c>
      <c r="J130" s="0" t="n">
        <v>92.5</v>
      </c>
      <c r="K130" s="0" t="n">
        <v>87.9</v>
      </c>
      <c r="L130" s="0" t="n">
        <v>5632.03</v>
      </c>
      <c r="M130" s="0" t="n">
        <v>6</v>
      </c>
      <c r="N130" s="0" t="n">
        <v>95.1</v>
      </c>
      <c r="O130" s="0" t="n">
        <v>0</v>
      </c>
    </row>
    <row r="131" customFormat="false" ht="15" hidden="false" customHeight="false" outlineLevel="0" collapsed="false">
      <c r="A131" s="0" t="s">
        <v>226</v>
      </c>
      <c r="B131" s="0" t="s">
        <v>90</v>
      </c>
      <c r="C131" s="0" t="s">
        <v>86</v>
      </c>
      <c r="D131" s="0" t="s">
        <v>87</v>
      </c>
      <c r="E131" s="0" t="s">
        <v>88</v>
      </c>
      <c r="F131" s="0" t="n">
        <v>37</v>
      </c>
      <c r="G131" s="0" t="n">
        <v>8.8</v>
      </c>
      <c r="H131" s="0" t="n">
        <v>45.6</v>
      </c>
      <c r="I131" s="0" t="n">
        <v>73.5</v>
      </c>
      <c r="J131" s="0" t="n">
        <v>84.5</v>
      </c>
      <c r="K131" s="0" t="n">
        <v>91.8</v>
      </c>
      <c r="L131" s="0" t="n">
        <v>7101.8</v>
      </c>
      <c r="M131" s="0" t="n">
        <v>5</v>
      </c>
      <c r="N131" s="0" t="n">
        <v>91.4</v>
      </c>
      <c r="O131" s="0" t="n">
        <v>1</v>
      </c>
    </row>
    <row r="132" customFormat="false" ht="15" hidden="false" customHeight="false" outlineLevel="0" collapsed="false">
      <c r="A132" s="0" t="s">
        <v>227</v>
      </c>
      <c r="B132" s="0" t="s">
        <v>99</v>
      </c>
      <c r="C132" s="0" t="s">
        <v>91</v>
      </c>
      <c r="D132" s="0" t="s">
        <v>92</v>
      </c>
      <c r="E132" s="0" t="s">
        <v>96</v>
      </c>
      <c r="F132" s="0" t="n">
        <v>30</v>
      </c>
      <c r="G132" s="0" t="n">
        <v>4.3</v>
      </c>
      <c r="H132" s="0" t="n">
        <v>42.3</v>
      </c>
      <c r="I132" s="0" t="n">
        <v>67.2</v>
      </c>
      <c r="J132" s="0" t="n">
        <v>84.3</v>
      </c>
      <c r="K132" s="0" t="n">
        <v>85.3</v>
      </c>
      <c r="L132" s="0" t="n">
        <v>5310.7</v>
      </c>
      <c r="M132" s="0" t="n">
        <v>7</v>
      </c>
      <c r="N132" s="0" t="n">
        <v>100</v>
      </c>
      <c r="O132" s="0" t="n">
        <v>0</v>
      </c>
    </row>
    <row r="133" customFormat="false" ht="15" hidden="false" customHeight="false" outlineLevel="0" collapsed="false">
      <c r="A133" s="0" t="s">
        <v>228</v>
      </c>
      <c r="B133" s="0" t="s">
        <v>94</v>
      </c>
      <c r="C133" s="0" t="s">
        <v>91</v>
      </c>
      <c r="D133" s="0" t="s">
        <v>92</v>
      </c>
      <c r="E133" s="0" t="s">
        <v>88</v>
      </c>
      <c r="F133" s="0" t="n">
        <v>21</v>
      </c>
      <c r="G133" s="0" t="n">
        <v>1</v>
      </c>
      <c r="H133" s="0" t="n">
        <v>47.6</v>
      </c>
      <c r="I133" s="0" t="n">
        <v>59.1</v>
      </c>
      <c r="J133" s="0" t="n">
        <v>67.3</v>
      </c>
      <c r="K133" s="0" t="n">
        <v>69.5</v>
      </c>
      <c r="L133" s="0" t="n">
        <v>5575.96</v>
      </c>
      <c r="M133" s="0" t="n">
        <v>7</v>
      </c>
      <c r="N133" s="0" t="n">
        <v>88.5</v>
      </c>
      <c r="O133" s="0" t="n">
        <v>0</v>
      </c>
    </row>
    <row r="134" customFormat="false" ht="15" hidden="false" customHeight="false" outlineLevel="0" collapsed="false">
      <c r="A134" s="0" t="s">
        <v>229</v>
      </c>
      <c r="B134" s="0" t="s">
        <v>90</v>
      </c>
      <c r="C134" s="0" t="s">
        <v>86</v>
      </c>
      <c r="D134" s="0" t="s">
        <v>87</v>
      </c>
      <c r="E134" s="0" t="s">
        <v>88</v>
      </c>
      <c r="F134" s="0" t="n">
        <v>22</v>
      </c>
      <c r="G134" s="0" t="n">
        <v>1.6</v>
      </c>
      <c r="H134" s="0" t="n">
        <v>41.6</v>
      </c>
      <c r="I134" s="0" t="n">
        <v>40.6</v>
      </c>
      <c r="J134" s="0" t="n">
        <v>45.5</v>
      </c>
      <c r="K134" s="0" t="n">
        <v>82.8</v>
      </c>
      <c r="L134" s="0" t="n">
        <v>5221.39</v>
      </c>
      <c r="M134" s="0" t="n">
        <v>6</v>
      </c>
      <c r="N134" s="0" t="n">
        <v>89.3</v>
      </c>
      <c r="O134" s="0" t="n">
        <v>1</v>
      </c>
    </row>
    <row r="135" customFormat="false" ht="15" hidden="false" customHeight="false" outlineLevel="0" collapsed="false">
      <c r="A135" s="0" t="s">
        <v>230</v>
      </c>
      <c r="B135" s="0" t="s">
        <v>90</v>
      </c>
      <c r="C135" s="0" t="s">
        <v>91</v>
      </c>
      <c r="D135" s="0" t="s">
        <v>95</v>
      </c>
      <c r="E135" s="0" t="s">
        <v>125</v>
      </c>
      <c r="F135" s="0" t="n">
        <v>32</v>
      </c>
      <c r="G135" s="0" t="n">
        <v>4.3</v>
      </c>
      <c r="H135" s="0" t="n">
        <v>49.8</v>
      </c>
      <c r="I135" s="0" t="n">
        <v>46.8</v>
      </c>
      <c r="J135" s="0" t="n">
        <v>50.1</v>
      </c>
      <c r="K135" s="0" t="n">
        <v>79.8</v>
      </c>
      <c r="L135" s="0" t="n">
        <v>5667.14</v>
      </c>
      <c r="M135" s="0" t="n">
        <v>8</v>
      </c>
      <c r="N135" s="0" t="n">
        <v>88.2</v>
      </c>
      <c r="O135" s="0" t="n">
        <v>1</v>
      </c>
    </row>
    <row r="136" customFormat="false" ht="15" hidden="false" customHeight="false" outlineLevel="0" collapsed="false">
      <c r="A136" s="0" t="s">
        <v>231</v>
      </c>
      <c r="B136" s="0" t="s">
        <v>90</v>
      </c>
      <c r="C136" s="0" t="s">
        <v>86</v>
      </c>
      <c r="D136" s="0" t="s">
        <v>95</v>
      </c>
      <c r="E136" s="0" t="s">
        <v>125</v>
      </c>
      <c r="F136" s="0" t="n">
        <v>31</v>
      </c>
      <c r="G136" s="0" t="n">
        <v>2</v>
      </c>
      <c r="H136" s="0" t="n">
        <v>41.1</v>
      </c>
      <c r="I136" s="0" t="n">
        <v>72.8</v>
      </c>
      <c r="J136" s="0" t="n">
        <v>83</v>
      </c>
      <c r="K136" s="0" t="n">
        <v>85.6</v>
      </c>
      <c r="L136" s="0" t="n">
        <v>4831.98</v>
      </c>
      <c r="M136" s="0" t="n">
        <v>6</v>
      </c>
      <c r="N136" s="0" t="n">
        <v>94.6</v>
      </c>
      <c r="O136" s="0" t="n">
        <v>1</v>
      </c>
    </row>
    <row r="137" customFormat="false" ht="15" hidden="false" customHeight="false" outlineLevel="0" collapsed="false">
      <c r="A137" s="0" t="s">
        <v>232</v>
      </c>
      <c r="B137" s="0" t="s">
        <v>99</v>
      </c>
      <c r="C137" s="0" t="s">
        <v>86</v>
      </c>
      <c r="D137" s="0" t="s">
        <v>92</v>
      </c>
      <c r="E137" s="0" t="s">
        <v>96</v>
      </c>
      <c r="F137" s="0" t="n">
        <v>35</v>
      </c>
      <c r="G137" s="0" t="n">
        <v>7.3</v>
      </c>
      <c r="H137" s="0" t="n">
        <v>49.4</v>
      </c>
      <c r="I137" s="0" t="n">
        <v>52.1</v>
      </c>
      <c r="J137" s="0" t="n">
        <v>53</v>
      </c>
      <c r="K137" s="0" t="n">
        <v>100</v>
      </c>
      <c r="L137" s="0" t="n">
        <v>6211.64</v>
      </c>
      <c r="M137" s="0" t="n">
        <v>8</v>
      </c>
      <c r="N137" s="0" t="n">
        <v>86.1</v>
      </c>
      <c r="O137" s="0" t="n">
        <v>1</v>
      </c>
    </row>
    <row r="138" customFormat="false" ht="15" hidden="false" customHeight="false" outlineLevel="0" collapsed="false">
      <c r="A138" s="0" t="s">
        <v>233</v>
      </c>
      <c r="B138" s="0" t="s">
        <v>94</v>
      </c>
      <c r="C138" s="0" t="s">
        <v>91</v>
      </c>
      <c r="D138" s="0" t="s">
        <v>95</v>
      </c>
      <c r="E138" s="0" t="s">
        <v>88</v>
      </c>
      <c r="F138" s="0" t="n">
        <v>27</v>
      </c>
      <c r="G138" s="0" t="n">
        <v>4.5</v>
      </c>
      <c r="H138" s="0" t="n">
        <v>50.4</v>
      </c>
      <c r="I138" s="0" t="n">
        <v>53</v>
      </c>
      <c r="J138" s="0" t="n">
        <v>63.2</v>
      </c>
      <c r="K138" s="0" t="n">
        <v>80.9</v>
      </c>
      <c r="L138" s="0" t="n">
        <v>7235.46</v>
      </c>
      <c r="M138" s="0" t="n">
        <v>8</v>
      </c>
      <c r="N138" s="0" t="n">
        <v>90.6</v>
      </c>
      <c r="O138" s="0" t="n">
        <v>1</v>
      </c>
    </row>
    <row r="139" customFormat="false" ht="15" hidden="false" customHeight="false" outlineLevel="0" collapsed="false">
      <c r="A139" s="0" t="s">
        <v>234</v>
      </c>
      <c r="B139" s="0" t="s">
        <v>90</v>
      </c>
      <c r="C139" s="0" t="s">
        <v>86</v>
      </c>
      <c r="D139" s="0" t="s">
        <v>92</v>
      </c>
      <c r="E139" s="0" t="s">
        <v>88</v>
      </c>
      <c r="F139" s="0" t="n">
        <v>45</v>
      </c>
      <c r="G139" s="0" t="n">
        <v>13.6</v>
      </c>
      <c r="H139" s="0" t="n">
        <v>30.3</v>
      </c>
      <c r="I139" s="0" t="n">
        <v>58.3</v>
      </c>
      <c r="J139" s="0" t="n">
        <v>69.6</v>
      </c>
      <c r="K139" s="0" t="n">
        <v>79.7</v>
      </c>
      <c r="L139" s="0" t="n">
        <v>7878.26</v>
      </c>
      <c r="M139" s="0" t="n">
        <v>7</v>
      </c>
      <c r="N139" s="0" t="n">
        <v>82.2</v>
      </c>
      <c r="O139" s="0" t="n">
        <v>1</v>
      </c>
    </row>
    <row r="140" customFormat="false" ht="15" hidden="false" customHeight="false" outlineLevel="0" collapsed="false">
      <c r="A140" s="0" t="s">
        <v>235</v>
      </c>
      <c r="B140" s="0" t="s">
        <v>85</v>
      </c>
      <c r="C140" s="0" t="s">
        <v>86</v>
      </c>
      <c r="D140" s="0" t="s">
        <v>95</v>
      </c>
      <c r="E140" s="0" t="s">
        <v>96</v>
      </c>
      <c r="F140" s="0" t="n">
        <v>30</v>
      </c>
      <c r="G140" s="0" t="n">
        <v>0.4</v>
      </c>
      <c r="H140" s="0" t="n">
        <v>18.3</v>
      </c>
      <c r="I140" s="0" t="n">
        <v>49.4</v>
      </c>
      <c r="J140" s="0" t="n">
        <v>59.1</v>
      </c>
      <c r="K140" s="0" t="n">
        <v>58.3</v>
      </c>
      <c r="L140" s="0" t="n">
        <v>2929.98</v>
      </c>
      <c r="M140" s="0" t="n">
        <v>6</v>
      </c>
      <c r="N140" s="0" t="n">
        <v>94.2</v>
      </c>
      <c r="O140" s="0" t="n">
        <v>0</v>
      </c>
    </row>
    <row r="141" customFormat="false" ht="15" hidden="false" customHeight="false" outlineLevel="0" collapsed="false">
      <c r="A141" s="0" t="s">
        <v>236</v>
      </c>
      <c r="B141" s="0" t="s">
        <v>99</v>
      </c>
      <c r="C141" s="0" t="s">
        <v>91</v>
      </c>
      <c r="D141" s="0" t="s">
        <v>92</v>
      </c>
      <c r="E141" s="0" t="s">
        <v>88</v>
      </c>
      <c r="F141" s="0" t="n">
        <v>33</v>
      </c>
      <c r="G141" s="0" t="n">
        <v>6.7</v>
      </c>
      <c r="H141" s="0" t="n">
        <v>58.5</v>
      </c>
      <c r="I141" s="0" t="n">
        <v>47.7</v>
      </c>
      <c r="J141" s="0" t="n">
        <v>54.8</v>
      </c>
      <c r="K141" s="0" t="n">
        <v>98.2</v>
      </c>
      <c r="L141" s="0" t="n">
        <v>8215.69</v>
      </c>
      <c r="M141" s="0" t="n">
        <v>7</v>
      </c>
      <c r="N141" s="0" t="n">
        <v>90.5</v>
      </c>
      <c r="O141" s="0" t="n">
        <v>1</v>
      </c>
    </row>
    <row r="142" customFormat="false" ht="15" hidden="false" customHeight="false" outlineLevel="0" collapsed="false">
      <c r="A142" s="0" t="s">
        <v>237</v>
      </c>
      <c r="B142" s="0" t="s">
        <v>90</v>
      </c>
      <c r="C142" s="0" t="s">
        <v>91</v>
      </c>
      <c r="D142" s="0" t="s">
        <v>92</v>
      </c>
      <c r="E142" s="0" t="s">
        <v>100</v>
      </c>
      <c r="F142" s="0" t="n">
        <v>30</v>
      </c>
      <c r="G142" s="0" t="n">
        <v>2.4</v>
      </c>
      <c r="H142" s="0" t="n">
        <v>43.1</v>
      </c>
      <c r="I142" s="0" t="n">
        <v>59.5</v>
      </c>
      <c r="J142" s="0" t="n">
        <v>69.8</v>
      </c>
      <c r="K142" s="0" t="n">
        <v>83.3</v>
      </c>
      <c r="L142" s="0" t="n">
        <v>5069.1</v>
      </c>
      <c r="M142" s="0" t="n">
        <v>8</v>
      </c>
      <c r="N142" s="0" t="n">
        <v>85.6</v>
      </c>
      <c r="O142" s="0" t="n">
        <v>0</v>
      </c>
    </row>
    <row r="143" customFormat="false" ht="15" hidden="false" customHeight="false" outlineLevel="0" collapsed="false">
      <c r="A143" s="0" t="s">
        <v>238</v>
      </c>
      <c r="B143" s="0" t="s">
        <v>90</v>
      </c>
      <c r="C143" s="0" t="s">
        <v>91</v>
      </c>
      <c r="D143" s="0" t="s">
        <v>95</v>
      </c>
      <c r="E143" s="0" t="s">
        <v>96</v>
      </c>
      <c r="F143" s="0" t="n">
        <v>27</v>
      </c>
      <c r="G143" s="0" t="n">
        <v>4.4</v>
      </c>
      <c r="H143" s="0" t="n">
        <v>19.4</v>
      </c>
      <c r="I143" s="0" t="n">
        <v>51.1</v>
      </c>
      <c r="J143" s="0" t="n">
        <v>59.8</v>
      </c>
      <c r="K143" s="0" t="n">
        <v>76.5</v>
      </c>
      <c r="L143" s="0" t="n">
        <v>3757.65</v>
      </c>
      <c r="M143" s="0" t="n">
        <v>10</v>
      </c>
      <c r="N143" s="0" t="n">
        <v>98.4</v>
      </c>
      <c r="O143" s="0" t="n">
        <v>0</v>
      </c>
    </row>
    <row r="144" customFormat="false" ht="15" hidden="false" customHeight="false" outlineLevel="0" collapsed="false">
      <c r="A144" s="0" t="s">
        <v>239</v>
      </c>
      <c r="B144" s="0" t="s">
        <v>94</v>
      </c>
      <c r="C144" s="0" t="s">
        <v>91</v>
      </c>
      <c r="D144" s="0" t="s">
        <v>92</v>
      </c>
      <c r="E144" s="0" t="s">
        <v>88</v>
      </c>
      <c r="F144" s="0" t="n">
        <v>32</v>
      </c>
      <c r="G144" s="0" t="n">
        <v>6.5</v>
      </c>
      <c r="H144" s="0" t="n">
        <v>31.4</v>
      </c>
      <c r="I144" s="0" t="n">
        <v>52.6</v>
      </c>
      <c r="J144" s="0" t="n">
        <v>57.5</v>
      </c>
      <c r="K144" s="0" t="n">
        <v>85.8</v>
      </c>
      <c r="L144" s="0" t="n">
        <v>7087.1</v>
      </c>
      <c r="M144" s="0" t="n">
        <v>9</v>
      </c>
      <c r="N144" s="0" t="n">
        <v>86.5</v>
      </c>
      <c r="O144" s="0" t="n">
        <v>0</v>
      </c>
    </row>
    <row r="145" customFormat="false" ht="15" hidden="false" customHeight="false" outlineLevel="0" collapsed="false">
      <c r="A145" s="0" t="s">
        <v>240</v>
      </c>
      <c r="B145" s="0" t="s">
        <v>90</v>
      </c>
      <c r="C145" s="0" t="s">
        <v>91</v>
      </c>
      <c r="D145" s="0" t="s">
        <v>87</v>
      </c>
      <c r="E145" s="0" t="s">
        <v>88</v>
      </c>
      <c r="F145" s="0" t="n">
        <v>24</v>
      </c>
      <c r="G145" s="0" t="n">
        <v>0</v>
      </c>
      <c r="H145" s="0" t="n">
        <v>49.3</v>
      </c>
      <c r="I145" s="0" t="n">
        <v>52.2</v>
      </c>
      <c r="J145" s="0" t="n">
        <v>67.6</v>
      </c>
      <c r="K145" s="0" t="n">
        <v>80.6</v>
      </c>
      <c r="L145" s="0" t="n">
        <v>4697.61</v>
      </c>
      <c r="M145" s="0" t="n">
        <v>9</v>
      </c>
      <c r="N145" s="0" t="n">
        <v>97</v>
      </c>
      <c r="O145" s="0" t="n">
        <v>0</v>
      </c>
    </row>
    <row r="146" customFormat="false" ht="15" hidden="false" customHeight="false" outlineLevel="0" collapsed="false">
      <c r="A146" s="0" t="s">
        <v>241</v>
      </c>
      <c r="B146" s="0" t="s">
        <v>90</v>
      </c>
      <c r="C146" s="0" t="s">
        <v>86</v>
      </c>
      <c r="D146" s="0" t="s">
        <v>87</v>
      </c>
      <c r="E146" s="0" t="s">
        <v>125</v>
      </c>
      <c r="F146" s="0" t="n">
        <v>34</v>
      </c>
      <c r="G146" s="0" t="n">
        <v>6.8</v>
      </c>
      <c r="H146" s="0" t="n">
        <v>36.6</v>
      </c>
      <c r="I146" s="0" t="n">
        <v>65.2</v>
      </c>
      <c r="J146" s="0" t="n">
        <v>71.8</v>
      </c>
      <c r="K146" s="0" t="n">
        <v>93.6</v>
      </c>
      <c r="L146" s="0" t="n">
        <v>6199.99</v>
      </c>
      <c r="M146" s="0" t="n">
        <v>10</v>
      </c>
      <c r="N146" s="0" t="n">
        <v>89.5</v>
      </c>
      <c r="O146" s="0" t="n">
        <v>0</v>
      </c>
    </row>
    <row r="147" customFormat="false" ht="15" hidden="false" customHeight="false" outlineLevel="0" collapsed="false">
      <c r="A147" s="0" t="s">
        <v>242</v>
      </c>
      <c r="B147" s="0" t="s">
        <v>99</v>
      </c>
      <c r="C147" s="0" t="s">
        <v>86</v>
      </c>
      <c r="D147" s="0" t="s">
        <v>92</v>
      </c>
      <c r="E147" s="0" t="s">
        <v>96</v>
      </c>
      <c r="F147" s="0" t="n">
        <v>39</v>
      </c>
      <c r="G147" s="0" t="n">
        <v>12.1</v>
      </c>
      <c r="H147" s="0" t="n">
        <v>33.9</v>
      </c>
      <c r="I147" s="0" t="n">
        <v>57.7</v>
      </c>
      <c r="J147" s="0" t="n">
        <v>68.8</v>
      </c>
      <c r="K147" s="0" t="n">
        <v>97.1</v>
      </c>
      <c r="L147" s="0" t="n">
        <v>7874.56</v>
      </c>
      <c r="M147" s="0" t="n">
        <v>8</v>
      </c>
      <c r="N147" s="0" t="n">
        <v>100</v>
      </c>
      <c r="O147" s="0" t="n">
        <v>1</v>
      </c>
    </row>
    <row r="148" customFormat="false" ht="15" hidden="false" customHeight="false" outlineLevel="0" collapsed="false">
      <c r="A148" s="0" t="s">
        <v>243</v>
      </c>
      <c r="B148" s="0" t="s">
        <v>90</v>
      </c>
      <c r="C148" s="0" t="s">
        <v>86</v>
      </c>
      <c r="D148" s="0" t="s">
        <v>87</v>
      </c>
      <c r="E148" s="0" t="s">
        <v>88</v>
      </c>
      <c r="F148" s="0" t="n">
        <v>27</v>
      </c>
      <c r="G148" s="0" t="n">
        <v>4.5</v>
      </c>
      <c r="H148" s="0" t="n">
        <v>56.8</v>
      </c>
      <c r="I148" s="0" t="n">
        <v>58.2</v>
      </c>
      <c r="J148" s="0" t="n">
        <v>56.5</v>
      </c>
      <c r="K148" s="0" t="n">
        <v>98.6</v>
      </c>
      <c r="L148" s="0" t="n">
        <v>7904.33</v>
      </c>
      <c r="M148" s="0" t="n">
        <v>8</v>
      </c>
      <c r="N148" s="0" t="n">
        <v>96.7</v>
      </c>
      <c r="O148" s="0" t="n">
        <v>1</v>
      </c>
    </row>
    <row r="149" customFormat="false" ht="15" hidden="false" customHeight="false" outlineLevel="0" collapsed="false">
      <c r="A149" s="0" t="s">
        <v>244</v>
      </c>
      <c r="B149" s="0" t="s">
        <v>90</v>
      </c>
      <c r="C149" s="0" t="s">
        <v>86</v>
      </c>
      <c r="D149" s="0" t="s">
        <v>95</v>
      </c>
      <c r="E149" s="0" t="s">
        <v>88</v>
      </c>
      <c r="F149" s="0" t="n">
        <v>36</v>
      </c>
      <c r="G149" s="0" t="n">
        <v>6.8</v>
      </c>
      <c r="H149" s="0" t="n">
        <v>27.4</v>
      </c>
      <c r="I149" s="0" t="n">
        <v>66</v>
      </c>
      <c r="J149" s="0" t="n">
        <v>79.1</v>
      </c>
      <c r="K149" s="0" t="n">
        <v>84.3</v>
      </c>
      <c r="L149" s="0" t="n">
        <v>6078.53</v>
      </c>
      <c r="M149" s="0" t="n">
        <v>8</v>
      </c>
      <c r="N149" s="0" t="n">
        <v>88</v>
      </c>
      <c r="O149" s="0" t="n">
        <v>1</v>
      </c>
    </row>
    <row r="150" customFormat="false" ht="15" hidden="false" customHeight="false" outlineLevel="0" collapsed="false">
      <c r="A150" s="0" t="s">
        <v>245</v>
      </c>
      <c r="B150" s="0" t="s">
        <v>90</v>
      </c>
      <c r="C150" s="0" t="s">
        <v>91</v>
      </c>
      <c r="D150" s="0" t="s">
        <v>95</v>
      </c>
      <c r="E150" s="0" t="s">
        <v>88</v>
      </c>
      <c r="F150" s="0" t="n">
        <v>40</v>
      </c>
      <c r="G150" s="0" t="n">
        <v>9.3</v>
      </c>
      <c r="H150" s="0" t="n">
        <v>30.4</v>
      </c>
      <c r="I150" s="0" t="n">
        <v>58.6</v>
      </c>
      <c r="J150" s="0" t="n">
        <v>72.5</v>
      </c>
      <c r="K150" s="0" t="n">
        <v>93.7</v>
      </c>
      <c r="L150" s="0" t="n">
        <v>5867.29</v>
      </c>
      <c r="M150" s="0" t="n">
        <v>5</v>
      </c>
      <c r="N150" s="0" t="n">
        <v>88.4</v>
      </c>
      <c r="O150" s="0" t="n">
        <v>1</v>
      </c>
    </row>
    <row r="151" customFormat="false" ht="15" hidden="false" customHeight="false" outlineLevel="0" collapsed="false">
      <c r="A151" s="0" t="s">
        <v>246</v>
      </c>
      <c r="B151" s="0" t="s">
        <v>99</v>
      </c>
      <c r="C151" s="0" t="s">
        <v>86</v>
      </c>
      <c r="D151" s="0" t="s">
        <v>92</v>
      </c>
      <c r="E151" s="0" t="s">
        <v>100</v>
      </c>
      <c r="F151" s="0" t="n">
        <v>35</v>
      </c>
      <c r="G151" s="0" t="n">
        <v>5.5</v>
      </c>
      <c r="H151" s="0" t="n">
        <v>42.5</v>
      </c>
      <c r="I151" s="0" t="n">
        <v>57.2</v>
      </c>
      <c r="J151" s="0" t="n">
        <v>65.3</v>
      </c>
      <c r="K151" s="0" t="n">
        <v>79.6</v>
      </c>
      <c r="L151" s="0" t="n">
        <v>6758.49</v>
      </c>
      <c r="M151" s="0" t="n">
        <v>6</v>
      </c>
      <c r="N151" s="0" t="n">
        <v>96</v>
      </c>
      <c r="O151" s="0" t="n">
        <v>1</v>
      </c>
    </row>
    <row r="152" customFormat="false" ht="15" hidden="false" customHeight="false" outlineLevel="0" collapsed="false">
      <c r="A152" s="0" t="s">
        <v>247</v>
      </c>
      <c r="B152" s="0" t="s">
        <v>94</v>
      </c>
      <c r="C152" s="0" t="s">
        <v>86</v>
      </c>
      <c r="D152" s="0" t="s">
        <v>87</v>
      </c>
      <c r="E152" s="0" t="s">
        <v>96</v>
      </c>
      <c r="F152" s="0" t="n">
        <v>34</v>
      </c>
      <c r="G152" s="0" t="n">
        <v>4.1</v>
      </c>
      <c r="H152" s="0" t="n">
        <v>44.7</v>
      </c>
      <c r="I152" s="0" t="n">
        <v>64.7</v>
      </c>
      <c r="J152" s="0" t="n">
        <v>74.9</v>
      </c>
      <c r="K152" s="0" t="n">
        <v>74.8</v>
      </c>
      <c r="L152" s="0" t="n">
        <v>5498.51</v>
      </c>
      <c r="M152" s="0" t="n">
        <v>6</v>
      </c>
      <c r="N152" s="0" t="n">
        <v>91.7</v>
      </c>
      <c r="O152" s="0" t="n">
        <v>0</v>
      </c>
    </row>
    <row r="153" customFormat="false" ht="15" hidden="false" customHeight="false" outlineLevel="0" collapsed="false">
      <c r="A153" s="0" t="s">
        <v>248</v>
      </c>
      <c r="B153" s="0" t="s">
        <v>94</v>
      </c>
      <c r="C153" s="0" t="s">
        <v>86</v>
      </c>
      <c r="D153" s="0" t="s">
        <v>92</v>
      </c>
      <c r="E153" s="0" t="s">
        <v>96</v>
      </c>
      <c r="F153" s="0" t="n">
        <v>22</v>
      </c>
      <c r="G153" s="0" t="n">
        <v>0</v>
      </c>
      <c r="H153" s="0" t="n">
        <v>46</v>
      </c>
      <c r="I153" s="0" t="n">
        <v>66.7</v>
      </c>
      <c r="J153" s="0" t="n">
        <v>76.9</v>
      </c>
      <c r="K153" s="0" t="n">
        <v>84</v>
      </c>
      <c r="L153" s="0" t="n">
        <v>6799.13</v>
      </c>
      <c r="M153" s="0" t="n">
        <v>8</v>
      </c>
      <c r="N153" s="0" t="n">
        <v>92.2</v>
      </c>
      <c r="O153" s="0" t="n">
        <v>1</v>
      </c>
    </row>
    <row r="154" customFormat="false" ht="15" hidden="false" customHeight="false" outlineLevel="0" collapsed="false">
      <c r="A154" s="0" t="s">
        <v>249</v>
      </c>
      <c r="B154" s="0" t="s">
        <v>99</v>
      </c>
      <c r="C154" s="0" t="s">
        <v>86</v>
      </c>
      <c r="D154" s="0" t="s">
        <v>92</v>
      </c>
      <c r="E154" s="0" t="s">
        <v>88</v>
      </c>
      <c r="F154" s="0" t="n">
        <v>34</v>
      </c>
      <c r="G154" s="0" t="n">
        <v>8.1</v>
      </c>
      <c r="H154" s="0" t="n">
        <v>50.9</v>
      </c>
      <c r="I154" s="0" t="n">
        <v>58.5</v>
      </c>
      <c r="J154" s="0" t="n">
        <v>63.9</v>
      </c>
      <c r="K154" s="0" t="n">
        <v>90.9</v>
      </c>
      <c r="L154" s="0" t="n">
        <v>7423.49</v>
      </c>
      <c r="M154" s="0" t="n">
        <v>7</v>
      </c>
      <c r="N154" s="0" t="n">
        <v>99.4</v>
      </c>
      <c r="O154" s="0" t="n">
        <v>1</v>
      </c>
    </row>
    <row r="155" customFormat="false" ht="15" hidden="false" customHeight="false" outlineLevel="0" collapsed="false">
      <c r="A155" s="0" t="s">
        <v>250</v>
      </c>
      <c r="B155" s="0" t="s">
        <v>90</v>
      </c>
      <c r="C155" s="0" t="s">
        <v>91</v>
      </c>
      <c r="D155" s="0" t="s">
        <v>92</v>
      </c>
      <c r="E155" s="0" t="s">
        <v>88</v>
      </c>
      <c r="F155" s="0" t="n">
        <v>35</v>
      </c>
      <c r="G155" s="0" t="n">
        <v>5.6</v>
      </c>
      <c r="H155" s="0" t="n">
        <v>42.4</v>
      </c>
      <c r="I155" s="0" t="n">
        <v>60.8</v>
      </c>
      <c r="J155" s="0" t="n">
        <v>71</v>
      </c>
      <c r="K155" s="0" t="n">
        <v>90.6</v>
      </c>
      <c r="L155" s="0" t="n">
        <v>4443.47</v>
      </c>
      <c r="M155" s="0" t="n">
        <v>7</v>
      </c>
      <c r="N155" s="0" t="n">
        <v>89.3</v>
      </c>
      <c r="O155" s="0" t="n">
        <v>0</v>
      </c>
    </row>
    <row r="156" customFormat="false" ht="15" hidden="false" customHeight="false" outlineLevel="0" collapsed="false">
      <c r="A156" s="0" t="s">
        <v>251</v>
      </c>
      <c r="B156" s="0" t="s">
        <v>99</v>
      </c>
      <c r="C156" s="0" t="s">
        <v>86</v>
      </c>
      <c r="D156" s="0" t="s">
        <v>95</v>
      </c>
      <c r="E156" s="0" t="s">
        <v>96</v>
      </c>
      <c r="F156" s="0" t="n">
        <v>29</v>
      </c>
      <c r="G156" s="0" t="n">
        <v>2.8</v>
      </c>
      <c r="H156" s="0" t="n">
        <v>45.9</v>
      </c>
      <c r="I156" s="0" t="n">
        <v>52.2</v>
      </c>
      <c r="J156" s="0" t="n">
        <v>57</v>
      </c>
      <c r="K156" s="0" t="n">
        <v>79</v>
      </c>
      <c r="L156" s="0" t="n">
        <v>6042.63</v>
      </c>
      <c r="M156" s="0" t="n">
        <v>9</v>
      </c>
      <c r="N156" s="0" t="n">
        <v>93.5</v>
      </c>
      <c r="O156" s="0" t="n">
        <v>1</v>
      </c>
    </row>
    <row r="157" customFormat="false" ht="15" hidden="false" customHeight="false" outlineLevel="0" collapsed="false">
      <c r="A157" s="0" t="s">
        <v>252</v>
      </c>
      <c r="B157" s="0" t="s">
        <v>85</v>
      </c>
      <c r="C157" s="0" t="s">
        <v>86</v>
      </c>
      <c r="D157" s="0" t="s">
        <v>95</v>
      </c>
      <c r="E157" s="0" t="s">
        <v>100</v>
      </c>
      <c r="F157" s="0" t="n">
        <v>29</v>
      </c>
      <c r="G157" s="0" t="n">
        <v>6.4</v>
      </c>
      <c r="H157" s="0" t="n">
        <v>36.9</v>
      </c>
      <c r="I157" s="0" t="n">
        <v>51.4</v>
      </c>
      <c r="J157" s="0" t="n">
        <v>57</v>
      </c>
      <c r="K157" s="0" t="n">
        <v>75.3</v>
      </c>
      <c r="L157" s="0" t="n">
        <v>7955.64</v>
      </c>
      <c r="M157" s="0" t="n">
        <v>8</v>
      </c>
      <c r="N157" s="0" t="n">
        <v>97.8</v>
      </c>
      <c r="O157" s="0" t="n">
        <v>1</v>
      </c>
    </row>
    <row r="158" customFormat="false" ht="15" hidden="false" customHeight="false" outlineLevel="0" collapsed="false">
      <c r="A158" s="0" t="s">
        <v>253</v>
      </c>
      <c r="B158" s="0" t="s">
        <v>99</v>
      </c>
      <c r="C158" s="0" t="s">
        <v>86</v>
      </c>
      <c r="D158" s="0" t="s">
        <v>95</v>
      </c>
      <c r="E158" s="0" t="s">
        <v>88</v>
      </c>
      <c r="F158" s="0" t="n">
        <v>25</v>
      </c>
      <c r="G158" s="0" t="n">
        <v>4.1</v>
      </c>
      <c r="H158" s="0" t="n">
        <v>40.8</v>
      </c>
      <c r="I158" s="0" t="n">
        <v>67.7</v>
      </c>
      <c r="J158" s="0" t="n">
        <v>80.2</v>
      </c>
      <c r="K158" s="0" t="n">
        <v>78.7</v>
      </c>
      <c r="L158" s="0" t="n">
        <v>7255.83</v>
      </c>
      <c r="M158" s="0" t="n">
        <v>7</v>
      </c>
      <c r="N158" s="0" t="n">
        <v>97</v>
      </c>
      <c r="O158" s="0" t="n">
        <v>0</v>
      </c>
    </row>
    <row r="159" customFormat="false" ht="15" hidden="false" customHeight="false" outlineLevel="0" collapsed="false">
      <c r="A159" s="0" t="s">
        <v>254</v>
      </c>
      <c r="B159" s="0" t="s">
        <v>85</v>
      </c>
      <c r="C159" s="0" t="s">
        <v>86</v>
      </c>
      <c r="D159" s="0" t="s">
        <v>87</v>
      </c>
      <c r="E159" s="0" t="s">
        <v>88</v>
      </c>
      <c r="F159" s="0" t="n">
        <v>30</v>
      </c>
      <c r="G159" s="0" t="n">
        <v>4.3</v>
      </c>
      <c r="H159" s="0" t="n">
        <v>41.3</v>
      </c>
      <c r="I159" s="0" t="n">
        <v>64.4</v>
      </c>
      <c r="J159" s="0" t="n">
        <v>76.3</v>
      </c>
      <c r="K159" s="0" t="n">
        <v>87.2</v>
      </c>
      <c r="L159" s="0" t="n">
        <v>7682.86</v>
      </c>
      <c r="M159" s="0" t="n">
        <v>6</v>
      </c>
      <c r="N159" s="0" t="n">
        <v>92.2</v>
      </c>
      <c r="O159" s="0" t="n">
        <v>1</v>
      </c>
    </row>
    <row r="160" customFormat="false" ht="15" hidden="false" customHeight="false" outlineLevel="0" collapsed="false">
      <c r="A160" s="0" t="s">
        <v>255</v>
      </c>
      <c r="B160" s="0" t="s">
        <v>85</v>
      </c>
      <c r="C160" s="0" t="s">
        <v>91</v>
      </c>
      <c r="D160" s="0" t="s">
        <v>87</v>
      </c>
      <c r="E160" s="0" t="s">
        <v>96</v>
      </c>
      <c r="F160" s="0" t="n">
        <v>34</v>
      </c>
      <c r="G160" s="0" t="n">
        <v>7.9</v>
      </c>
      <c r="H160" s="0" t="n">
        <v>42.6</v>
      </c>
      <c r="I160" s="0" t="n">
        <v>64.6</v>
      </c>
      <c r="J160" s="0" t="n">
        <v>69.8</v>
      </c>
      <c r="K160" s="0" t="n">
        <v>88</v>
      </c>
      <c r="L160" s="0" t="n">
        <v>6081.22</v>
      </c>
      <c r="M160" s="0" t="n">
        <v>9</v>
      </c>
      <c r="N160" s="0" t="n">
        <v>91.6</v>
      </c>
      <c r="O160" s="0" t="n">
        <v>0</v>
      </c>
    </row>
    <row r="161" customFormat="false" ht="15" hidden="false" customHeight="false" outlineLevel="0" collapsed="false">
      <c r="A161" s="0" t="s">
        <v>256</v>
      </c>
      <c r="B161" s="0" t="s">
        <v>85</v>
      </c>
      <c r="C161" s="0" t="s">
        <v>86</v>
      </c>
      <c r="D161" s="0" t="s">
        <v>87</v>
      </c>
      <c r="E161" s="0" t="s">
        <v>88</v>
      </c>
      <c r="F161" s="0" t="n">
        <v>25</v>
      </c>
      <c r="G161" s="0" t="n">
        <v>1.7</v>
      </c>
      <c r="H161" s="0" t="n">
        <v>49.3</v>
      </c>
      <c r="I161" s="0" t="n">
        <v>62.8</v>
      </c>
      <c r="J161" s="0" t="n">
        <v>67.9</v>
      </c>
      <c r="K161" s="0" t="n">
        <v>63.3</v>
      </c>
      <c r="L161" s="0" t="n">
        <v>6167.44</v>
      </c>
      <c r="M161" s="0" t="n">
        <v>8</v>
      </c>
      <c r="N161" s="0" t="n">
        <v>84.3</v>
      </c>
      <c r="O161" s="0" t="n">
        <v>1</v>
      </c>
    </row>
    <row r="162" customFormat="false" ht="15" hidden="false" customHeight="false" outlineLevel="0" collapsed="false">
      <c r="A162" s="0" t="s">
        <v>257</v>
      </c>
      <c r="B162" s="0" t="s">
        <v>99</v>
      </c>
      <c r="C162" s="0" t="s">
        <v>86</v>
      </c>
      <c r="D162" s="0" t="s">
        <v>87</v>
      </c>
      <c r="E162" s="0" t="s">
        <v>96</v>
      </c>
      <c r="F162" s="0" t="n">
        <v>40</v>
      </c>
      <c r="G162" s="0" t="n">
        <v>9.4</v>
      </c>
      <c r="H162" s="0" t="n">
        <v>46.7</v>
      </c>
      <c r="I162" s="0" t="n">
        <v>60.5</v>
      </c>
      <c r="J162" s="0" t="n">
        <v>65.9</v>
      </c>
      <c r="K162" s="0" t="n">
        <v>88.8</v>
      </c>
      <c r="L162" s="0" t="n">
        <v>6900.2</v>
      </c>
      <c r="M162" s="0" t="n">
        <v>4</v>
      </c>
      <c r="N162" s="0" t="n">
        <v>87.7</v>
      </c>
      <c r="O162" s="0" t="n">
        <v>1</v>
      </c>
    </row>
    <row r="163" customFormat="false" ht="15" hidden="false" customHeight="false" outlineLevel="0" collapsed="false">
      <c r="A163" s="0" t="s">
        <v>258</v>
      </c>
      <c r="B163" s="0" t="s">
        <v>94</v>
      </c>
      <c r="C163" s="0" t="s">
        <v>86</v>
      </c>
      <c r="D163" s="0" t="s">
        <v>87</v>
      </c>
      <c r="E163" s="0" t="s">
        <v>88</v>
      </c>
      <c r="F163" s="0" t="n">
        <v>27</v>
      </c>
      <c r="G163" s="0" t="n">
        <v>1.5</v>
      </c>
      <c r="H163" s="0" t="n">
        <v>40.5</v>
      </c>
      <c r="I163" s="0" t="n">
        <v>67</v>
      </c>
      <c r="J163" s="0" t="n">
        <v>77.9</v>
      </c>
      <c r="K163" s="0" t="n">
        <v>85.4</v>
      </c>
      <c r="L163" s="0" t="n">
        <v>5477.86</v>
      </c>
      <c r="M163" s="0" t="n">
        <v>6</v>
      </c>
      <c r="N163" s="0" t="n">
        <v>94.6</v>
      </c>
      <c r="O163" s="0" t="n">
        <v>0</v>
      </c>
    </row>
    <row r="164" customFormat="false" ht="15" hidden="false" customHeight="false" outlineLevel="0" collapsed="false">
      <c r="A164" s="0" t="s">
        <v>259</v>
      </c>
      <c r="B164" s="0" t="s">
        <v>99</v>
      </c>
      <c r="C164" s="0" t="s">
        <v>91</v>
      </c>
      <c r="D164" s="0" t="s">
        <v>92</v>
      </c>
      <c r="E164" s="0" t="s">
        <v>96</v>
      </c>
      <c r="F164" s="0" t="n">
        <v>32</v>
      </c>
      <c r="G164" s="0" t="n">
        <v>3.9</v>
      </c>
      <c r="H164" s="0" t="n">
        <v>30.3</v>
      </c>
      <c r="I164" s="0" t="n">
        <v>69.4</v>
      </c>
      <c r="J164" s="0" t="n">
        <v>73.4</v>
      </c>
      <c r="K164" s="0" t="n">
        <v>73.1</v>
      </c>
      <c r="L164" s="0" t="n">
        <v>4137.84</v>
      </c>
      <c r="M164" s="0" t="n">
        <v>7</v>
      </c>
      <c r="N164" s="0" t="n">
        <v>92.3</v>
      </c>
      <c r="O164" s="0" t="n">
        <v>1</v>
      </c>
    </row>
    <row r="165" customFormat="false" ht="15" hidden="false" customHeight="false" outlineLevel="0" collapsed="false">
      <c r="A165" s="0" t="s">
        <v>260</v>
      </c>
      <c r="B165" s="0" t="s">
        <v>99</v>
      </c>
      <c r="C165" s="0" t="s">
        <v>91</v>
      </c>
      <c r="D165" s="0" t="s">
        <v>92</v>
      </c>
      <c r="E165" s="0" t="s">
        <v>100</v>
      </c>
      <c r="F165" s="0" t="n">
        <v>36</v>
      </c>
      <c r="G165" s="0" t="n">
        <v>12.2</v>
      </c>
      <c r="H165" s="0" t="n">
        <v>40.8</v>
      </c>
      <c r="I165" s="0" t="n">
        <v>69.1</v>
      </c>
      <c r="J165" s="0" t="n">
        <v>78.5</v>
      </c>
      <c r="K165" s="0" t="n">
        <v>80.6</v>
      </c>
      <c r="L165" s="0" t="n">
        <v>7310.99</v>
      </c>
      <c r="M165" s="0" t="n">
        <v>8</v>
      </c>
      <c r="N165" s="0" t="n">
        <v>93.4</v>
      </c>
      <c r="O165" s="0" t="n">
        <v>1</v>
      </c>
    </row>
    <row r="166" customFormat="false" ht="15" hidden="false" customHeight="false" outlineLevel="0" collapsed="false">
      <c r="A166" s="0" t="s">
        <v>261</v>
      </c>
      <c r="B166" s="0" t="s">
        <v>90</v>
      </c>
      <c r="C166" s="0" t="s">
        <v>91</v>
      </c>
      <c r="D166" s="0" t="s">
        <v>95</v>
      </c>
      <c r="E166" s="0" t="s">
        <v>88</v>
      </c>
      <c r="F166" s="0" t="n">
        <v>38</v>
      </c>
      <c r="G166" s="0" t="n">
        <v>9.6</v>
      </c>
      <c r="H166" s="0" t="n">
        <v>39.7</v>
      </c>
      <c r="I166" s="0" t="n">
        <v>59</v>
      </c>
      <c r="J166" s="0" t="n">
        <v>70</v>
      </c>
      <c r="K166" s="0" t="n">
        <v>100</v>
      </c>
      <c r="L166" s="0" t="n">
        <v>6879.38</v>
      </c>
      <c r="M166" s="0" t="n">
        <v>8</v>
      </c>
      <c r="N166" s="0" t="n">
        <v>98.2</v>
      </c>
      <c r="O166" s="0" t="n">
        <v>1</v>
      </c>
    </row>
    <row r="167" customFormat="false" ht="15" hidden="false" customHeight="false" outlineLevel="0" collapsed="false">
      <c r="A167" s="0" t="s">
        <v>262</v>
      </c>
      <c r="B167" s="0" t="s">
        <v>90</v>
      </c>
      <c r="C167" s="0" t="s">
        <v>91</v>
      </c>
      <c r="D167" s="0" t="s">
        <v>87</v>
      </c>
      <c r="E167" s="0" t="s">
        <v>88</v>
      </c>
      <c r="F167" s="0" t="n">
        <v>34</v>
      </c>
      <c r="G167" s="0" t="n">
        <v>6.3</v>
      </c>
      <c r="H167" s="0" t="n">
        <v>42.3</v>
      </c>
      <c r="I167" s="0" t="n">
        <v>73.9</v>
      </c>
      <c r="J167" s="0" t="n">
        <v>81.5</v>
      </c>
      <c r="K167" s="0" t="n">
        <v>90.9</v>
      </c>
      <c r="L167" s="0" t="n">
        <v>7439.2</v>
      </c>
      <c r="M167" s="0" t="n">
        <v>7</v>
      </c>
      <c r="N167" s="0" t="n">
        <v>87.1</v>
      </c>
      <c r="O167" s="0" t="n">
        <v>1</v>
      </c>
    </row>
    <row r="168" customFormat="false" ht="15" hidden="false" customHeight="false" outlineLevel="0" collapsed="false">
      <c r="A168" s="0" t="s">
        <v>263</v>
      </c>
      <c r="B168" s="0" t="s">
        <v>94</v>
      </c>
      <c r="C168" s="0" t="s">
        <v>91</v>
      </c>
      <c r="D168" s="0" t="s">
        <v>95</v>
      </c>
      <c r="E168" s="0" t="s">
        <v>88</v>
      </c>
      <c r="F168" s="0" t="n">
        <v>22</v>
      </c>
      <c r="G168" s="0" t="n">
        <v>3</v>
      </c>
      <c r="H168" s="0" t="n">
        <v>66.5</v>
      </c>
      <c r="I168" s="0" t="n">
        <v>62.3</v>
      </c>
      <c r="J168" s="0" t="n">
        <v>74.3</v>
      </c>
      <c r="K168" s="0" t="n">
        <v>84.2</v>
      </c>
      <c r="L168" s="0" t="n">
        <v>7393.65</v>
      </c>
      <c r="M168" s="0" t="n">
        <v>8</v>
      </c>
      <c r="N168" s="0" t="n">
        <v>91.8</v>
      </c>
      <c r="O168" s="0" t="n">
        <v>1</v>
      </c>
    </row>
    <row r="169" customFormat="false" ht="15" hidden="false" customHeight="false" outlineLevel="0" collapsed="false">
      <c r="A169" s="0" t="s">
        <v>264</v>
      </c>
      <c r="B169" s="0" t="s">
        <v>94</v>
      </c>
      <c r="C169" s="0" t="s">
        <v>86</v>
      </c>
      <c r="D169" s="0" t="s">
        <v>92</v>
      </c>
      <c r="E169" s="0" t="s">
        <v>100</v>
      </c>
      <c r="F169" s="0" t="n">
        <v>27</v>
      </c>
      <c r="G169" s="0" t="n">
        <v>4.3</v>
      </c>
      <c r="H169" s="0" t="n">
        <v>33.7</v>
      </c>
      <c r="I169" s="0" t="n">
        <v>66.3</v>
      </c>
      <c r="J169" s="0" t="n">
        <v>73.1</v>
      </c>
      <c r="K169" s="0" t="n">
        <v>72.9</v>
      </c>
      <c r="L169" s="0" t="n">
        <v>5765.64</v>
      </c>
      <c r="M169" s="0" t="n">
        <v>7</v>
      </c>
      <c r="N169" s="0" t="n">
        <v>93.9</v>
      </c>
      <c r="O169" s="0" t="n">
        <v>0</v>
      </c>
    </row>
    <row r="170" customFormat="false" ht="15" hidden="false" customHeight="false" outlineLevel="0" collapsed="false">
      <c r="A170" s="0" t="s">
        <v>265</v>
      </c>
      <c r="B170" s="0" t="s">
        <v>90</v>
      </c>
      <c r="C170" s="0" t="s">
        <v>86</v>
      </c>
      <c r="D170" s="0" t="s">
        <v>87</v>
      </c>
      <c r="E170" s="0" t="s">
        <v>88</v>
      </c>
      <c r="F170" s="0" t="n">
        <v>29</v>
      </c>
      <c r="G170" s="0" t="n">
        <v>6.2</v>
      </c>
      <c r="H170" s="0" t="n">
        <v>45.1</v>
      </c>
      <c r="I170" s="0" t="n">
        <v>62.8</v>
      </c>
      <c r="J170" s="0" t="n">
        <v>69.9</v>
      </c>
      <c r="K170" s="0" t="n">
        <v>94.5</v>
      </c>
      <c r="L170" s="0" t="n">
        <v>5556.12</v>
      </c>
      <c r="M170" s="0" t="n">
        <v>6</v>
      </c>
      <c r="N170" s="0" t="n">
        <v>89.5</v>
      </c>
      <c r="O170" s="0" t="n">
        <v>1</v>
      </c>
    </row>
    <row r="171" customFormat="false" ht="15" hidden="false" customHeight="false" outlineLevel="0" collapsed="false">
      <c r="A171" s="0" t="s">
        <v>266</v>
      </c>
      <c r="B171" s="0" t="s">
        <v>94</v>
      </c>
      <c r="C171" s="0" t="s">
        <v>91</v>
      </c>
      <c r="D171" s="0" t="s">
        <v>92</v>
      </c>
      <c r="E171" s="0" t="s">
        <v>88</v>
      </c>
      <c r="F171" s="0" t="n">
        <v>32</v>
      </c>
      <c r="G171" s="0" t="n">
        <v>6.1</v>
      </c>
      <c r="H171" s="0" t="n">
        <v>52.8</v>
      </c>
      <c r="I171" s="0" t="n">
        <v>62.5</v>
      </c>
      <c r="J171" s="0" t="n">
        <v>66.6</v>
      </c>
      <c r="K171" s="0" t="n">
        <v>81.7</v>
      </c>
      <c r="L171" s="0" t="n">
        <v>6582.02</v>
      </c>
      <c r="M171" s="0" t="n">
        <v>7</v>
      </c>
      <c r="N171" s="0" t="n">
        <v>100</v>
      </c>
      <c r="O171" s="0" t="n">
        <v>0</v>
      </c>
    </row>
    <row r="172" customFormat="false" ht="15" hidden="false" customHeight="false" outlineLevel="0" collapsed="false">
      <c r="A172" s="0" t="s">
        <v>267</v>
      </c>
      <c r="B172" s="0" t="s">
        <v>99</v>
      </c>
      <c r="C172" s="0" t="s">
        <v>86</v>
      </c>
      <c r="D172" s="0" t="s">
        <v>92</v>
      </c>
      <c r="E172" s="0" t="s">
        <v>100</v>
      </c>
      <c r="F172" s="0" t="n">
        <v>36</v>
      </c>
      <c r="G172" s="0" t="n">
        <v>5.7</v>
      </c>
      <c r="H172" s="0" t="n">
        <v>41.2</v>
      </c>
      <c r="I172" s="0" t="n">
        <v>52.6</v>
      </c>
      <c r="J172" s="0" t="n">
        <v>64.7</v>
      </c>
      <c r="K172" s="0" t="n">
        <v>89.7</v>
      </c>
      <c r="L172" s="0" t="n">
        <v>5747</v>
      </c>
      <c r="M172" s="0" t="n">
        <v>7</v>
      </c>
      <c r="N172" s="0" t="n">
        <v>97.5</v>
      </c>
      <c r="O172" s="0" t="n">
        <v>1</v>
      </c>
    </row>
    <row r="173" customFormat="false" ht="15" hidden="false" customHeight="false" outlineLevel="0" collapsed="false">
      <c r="A173" s="0" t="s">
        <v>268</v>
      </c>
      <c r="B173" s="0" t="s">
        <v>90</v>
      </c>
      <c r="C173" s="0" t="s">
        <v>91</v>
      </c>
      <c r="D173" s="0" t="s">
        <v>92</v>
      </c>
      <c r="E173" s="0" t="s">
        <v>125</v>
      </c>
      <c r="F173" s="0" t="n">
        <v>38</v>
      </c>
      <c r="G173" s="0" t="n">
        <v>5.9</v>
      </c>
      <c r="H173" s="0" t="n">
        <v>68.1</v>
      </c>
      <c r="I173" s="0" t="n">
        <v>67</v>
      </c>
      <c r="J173" s="0" t="n">
        <v>71.9</v>
      </c>
      <c r="K173" s="0" t="n">
        <v>98.3</v>
      </c>
      <c r="L173" s="0" t="n">
        <v>8456.21</v>
      </c>
      <c r="M173" s="0" t="n">
        <v>7</v>
      </c>
      <c r="N173" s="0" t="n">
        <v>94.5</v>
      </c>
      <c r="O173" s="0" t="n">
        <v>0</v>
      </c>
    </row>
    <row r="174" customFormat="false" ht="15" hidden="false" customHeight="false" outlineLevel="0" collapsed="false">
      <c r="A174" s="0" t="s">
        <v>269</v>
      </c>
      <c r="B174" s="0" t="s">
        <v>99</v>
      </c>
      <c r="C174" s="0" t="s">
        <v>86</v>
      </c>
      <c r="D174" s="0" t="s">
        <v>92</v>
      </c>
      <c r="E174" s="0" t="s">
        <v>88</v>
      </c>
      <c r="F174" s="0" t="n">
        <v>28</v>
      </c>
      <c r="G174" s="0" t="n">
        <v>5.3</v>
      </c>
      <c r="H174" s="0" t="n">
        <v>35.5</v>
      </c>
      <c r="I174" s="0" t="n">
        <v>88.5</v>
      </c>
      <c r="J174" s="0" t="n">
        <v>97.9</v>
      </c>
      <c r="K174" s="0" t="n">
        <v>80.7</v>
      </c>
      <c r="L174" s="0" t="n">
        <v>7015.87</v>
      </c>
      <c r="M174" s="0" t="n">
        <v>4</v>
      </c>
      <c r="N174" s="0" t="n">
        <v>100</v>
      </c>
      <c r="O174" s="0" t="n">
        <v>1</v>
      </c>
    </row>
    <row r="175" customFormat="false" ht="15" hidden="false" customHeight="false" outlineLevel="0" collapsed="false">
      <c r="A175" s="0" t="s">
        <v>270</v>
      </c>
      <c r="B175" s="0" t="s">
        <v>94</v>
      </c>
      <c r="C175" s="0" t="s">
        <v>91</v>
      </c>
      <c r="D175" s="0" t="s">
        <v>95</v>
      </c>
      <c r="E175" s="0" t="s">
        <v>96</v>
      </c>
      <c r="F175" s="0" t="n">
        <v>26</v>
      </c>
      <c r="G175" s="0" t="n">
        <v>1.4</v>
      </c>
      <c r="H175" s="0" t="n">
        <v>43.9</v>
      </c>
      <c r="I175" s="0" t="n">
        <v>56.3</v>
      </c>
      <c r="J175" s="0" t="n">
        <v>64</v>
      </c>
      <c r="K175" s="0" t="n">
        <v>74.9</v>
      </c>
      <c r="L175" s="0" t="n">
        <v>6180.25</v>
      </c>
      <c r="M175" s="0" t="n">
        <v>6</v>
      </c>
      <c r="N175" s="0" t="n">
        <v>85.5</v>
      </c>
      <c r="O175" s="0" t="n">
        <v>0</v>
      </c>
    </row>
    <row r="176" customFormat="false" ht="15" hidden="false" customHeight="false" outlineLevel="0" collapsed="false">
      <c r="A176" s="0" t="s">
        <v>271</v>
      </c>
      <c r="B176" s="0" t="s">
        <v>99</v>
      </c>
      <c r="C176" s="0" t="s">
        <v>91</v>
      </c>
      <c r="D176" s="0" t="s">
        <v>92</v>
      </c>
      <c r="E176" s="0" t="s">
        <v>125</v>
      </c>
      <c r="F176" s="0" t="n">
        <v>31</v>
      </c>
      <c r="G176" s="0" t="n">
        <v>4.3</v>
      </c>
      <c r="H176" s="0" t="n">
        <v>30.4</v>
      </c>
      <c r="I176" s="0" t="n">
        <v>60.7</v>
      </c>
      <c r="J176" s="0" t="n">
        <v>64.5</v>
      </c>
      <c r="K176" s="0" t="n">
        <v>74.2</v>
      </c>
      <c r="L176" s="0" t="n">
        <v>4724.3</v>
      </c>
      <c r="M176" s="0" t="n">
        <v>7</v>
      </c>
      <c r="N176" s="0" t="n">
        <v>93</v>
      </c>
      <c r="O176" s="0" t="n">
        <v>0</v>
      </c>
    </row>
    <row r="177" customFormat="false" ht="15" hidden="false" customHeight="false" outlineLevel="0" collapsed="false">
      <c r="A177" s="0" t="s">
        <v>272</v>
      </c>
      <c r="B177" s="0" t="s">
        <v>99</v>
      </c>
      <c r="C177" s="0" t="s">
        <v>86</v>
      </c>
      <c r="D177" s="0" t="s">
        <v>87</v>
      </c>
      <c r="E177" s="0" t="s">
        <v>100</v>
      </c>
      <c r="F177" s="0" t="n">
        <v>37</v>
      </c>
      <c r="G177" s="0" t="n">
        <v>8.9</v>
      </c>
      <c r="H177" s="0" t="n">
        <v>35.8</v>
      </c>
      <c r="I177" s="0" t="n">
        <v>55.5</v>
      </c>
      <c r="J177" s="0" t="n">
        <v>61.1</v>
      </c>
      <c r="K177" s="0" t="n">
        <v>92.9</v>
      </c>
      <c r="L177" s="0" t="n">
        <v>4584.92</v>
      </c>
      <c r="M177" s="0" t="n">
        <v>7</v>
      </c>
      <c r="N177" s="0" t="n">
        <v>94.8</v>
      </c>
      <c r="O177" s="0" t="n">
        <v>1</v>
      </c>
    </row>
    <row r="178" customFormat="false" ht="15" hidden="false" customHeight="false" outlineLevel="0" collapsed="false">
      <c r="A178" s="0" t="s">
        <v>273</v>
      </c>
      <c r="B178" s="0" t="s">
        <v>90</v>
      </c>
      <c r="C178" s="0" t="s">
        <v>91</v>
      </c>
      <c r="D178" s="0" t="s">
        <v>87</v>
      </c>
      <c r="E178" s="0" t="s">
        <v>96</v>
      </c>
      <c r="F178" s="0" t="n">
        <v>26</v>
      </c>
      <c r="G178" s="0" t="n">
        <v>1.6</v>
      </c>
      <c r="H178" s="0" t="n">
        <v>43</v>
      </c>
      <c r="I178" s="0" t="n">
        <v>55.1</v>
      </c>
      <c r="J178" s="0" t="n">
        <v>68.6</v>
      </c>
      <c r="K178" s="0" t="n">
        <v>71.9</v>
      </c>
      <c r="L178" s="0" t="n">
        <v>3608.23</v>
      </c>
      <c r="M178" s="0" t="n">
        <v>7</v>
      </c>
      <c r="N178" s="0" t="n">
        <v>88.4</v>
      </c>
      <c r="O178" s="0" t="n">
        <v>0</v>
      </c>
    </row>
    <row r="179" customFormat="false" ht="15" hidden="false" customHeight="false" outlineLevel="0" collapsed="false">
      <c r="A179" s="0" t="s">
        <v>274</v>
      </c>
      <c r="B179" s="0" t="s">
        <v>94</v>
      </c>
      <c r="C179" s="0" t="s">
        <v>91</v>
      </c>
      <c r="D179" s="0" t="s">
        <v>87</v>
      </c>
      <c r="E179" s="0" t="s">
        <v>96</v>
      </c>
      <c r="F179" s="0" t="n">
        <v>32</v>
      </c>
      <c r="G179" s="0" t="n">
        <v>5.4</v>
      </c>
      <c r="H179" s="0" t="n">
        <v>50.2</v>
      </c>
      <c r="I179" s="0" t="n">
        <v>75.4</v>
      </c>
      <c r="J179" s="0" t="n">
        <v>84.2</v>
      </c>
      <c r="K179" s="0" t="n">
        <v>71.9</v>
      </c>
      <c r="L179" s="0" t="n">
        <v>7715.96</v>
      </c>
      <c r="M179" s="0" t="n">
        <v>8</v>
      </c>
      <c r="N179" s="0" t="n">
        <v>94.5</v>
      </c>
      <c r="O179" s="0" t="n">
        <v>1</v>
      </c>
    </row>
    <row r="180" customFormat="false" ht="15" hidden="false" customHeight="false" outlineLevel="0" collapsed="false">
      <c r="A180" s="0" t="s">
        <v>275</v>
      </c>
      <c r="B180" s="0" t="s">
        <v>94</v>
      </c>
      <c r="C180" s="0" t="s">
        <v>91</v>
      </c>
      <c r="D180" s="0" t="s">
        <v>87</v>
      </c>
      <c r="E180" s="0" t="s">
        <v>96</v>
      </c>
      <c r="F180" s="0" t="n">
        <v>33</v>
      </c>
      <c r="G180" s="0" t="n">
        <v>3.4</v>
      </c>
      <c r="H180" s="0" t="n">
        <v>43.8</v>
      </c>
      <c r="I180" s="0" t="n">
        <v>53.3</v>
      </c>
      <c r="J180" s="0" t="n">
        <v>57.3</v>
      </c>
      <c r="K180" s="0" t="n">
        <v>81.8</v>
      </c>
      <c r="L180" s="0" t="n">
        <v>5467.87</v>
      </c>
      <c r="M180" s="0" t="n">
        <v>5</v>
      </c>
      <c r="N180" s="0" t="n">
        <v>87.5</v>
      </c>
      <c r="O180" s="0" t="n">
        <v>0</v>
      </c>
    </row>
    <row r="181" customFormat="false" ht="15" hidden="false" customHeight="false" outlineLevel="0" collapsed="false">
      <c r="A181" s="0" t="s">
        <v>276</v>
      </c>
      <c r="B181" s="0" t="s">
        <v>85</v>
      </c>
      <c r="C181" s="0" t="s">
        <v>86</v>
      </c>
      <c r="D181" s="0" t="s">
        <v>92</v>
      </c>
      <c r="E181" s="0" t="s">
        <v>88</v>
      </c>
      <c r="F181" s="0" t="n">
        <v>36</v>
      </c>
      <c r="G181" s="0" t="n">
        <v>6.4</v>
      </c>
      <c r="H181" s="0" t="n">
        <v>55.1</v>
      </c>
      <c r="I181" s="0" t="n">
        <v>55.3</v>
      </c>
      <c r="J181" s="0" t="n">
        <v>64.5</v>
      </c>
      <c r="K181" s="0" t="n">
        <v>90.2</v>
      </c>
      <c r="L181" s="0" t="n">
        <v>6481.35</v>
      </c>
      <c r="M181" s="0" t="n">
        <v>4</v>
      </c>
      <c r="N181" s="0" t="n">
        <v>96.5</v>
      </c>
      <c r="O181" s="0" t="n">
        <v>1</v>
      </c>
    </row>
    <row r="182" customFormat="false" ht="15" hidden="false" customHeight="false" outlineLevel="0" collapsed="false">
      <c r="A182" s="0" t="s">
        <v>277</v>
      </c>
      <c r="B182" s="0" t="s">
        <v>94</v>
      </c>
      <c r="C182" s="0" t="s">
        <v>86</v>
      </c>
      <c r="D182" s="0" t="s">
        <v>95</v>
      </c>
      <c r="E182" s="0" t="s">
        <v>88</v>
      </c>
      <c r="F182" s="0" t="n">
        <v>26</v>
      </c>
      <c r="G182" s="0" t="n">
        <v>4.8</v>
      </c>
      <c r="H182" s="0" t="n">
        <v>38.9</v>
      </c>
      <c r="I182" s="0" t="n">
        <v>44.1</v>
      </c>
      <c r="J182" s="0" t="n">
        <v>51.5</v>
      </c>
      <c r="K182" s="0" t="n">
        <v>81.6</v>
      </c>
      <c r="L182" s="0" t="n">
        <v>7458.39</v>
      </c>
      <c r="M182" s="0" t="n">
        <v>6</v>
      </c>
      <c r="N182" s="0" t="n">
        <v>98.3</v>
      </c>
      <c r="O182" s="0" t="n">
        <v>0</v>
      </c>
    </row>
    <row r="183" customFormat="false" ht="15" hidden="false" customHeight="false" outlineLevel="0" collapsed="false">
      <c r="A183" s="0" t="s">
        <v>278</v>
      </c>
      <c r="B183" s="0" t="s">
        <v>94</v>
      </c>
      <c r="C183" s="0" t="s">
        <v>91</v>
      </c>
      <c r="D183" s="0" t="s">
        <v>95</v>
      </c>
      <c r="E183" s="0" t="s">
        <v>100</v>
      </c>
      <c r="F183" s="0" t="n">
        <v>42</v>
      </c>
      <c r="G183" s="0" t="n">
        <v>10.7</v>
      </c>
      <c r="H183" s="0" t="n">
        <v>36</v>
      </c>
      <c r="I183" s="0" t="n">
        <v>52.4</v>
      </c>
      <c r="J183" s="0" t="n">
        <v>74.2</v>
      </c>
      <c r="K183" s="0" t="n">
        <v>90.7</v>
      </c>
      <c r="L183" s="0" t="n">
        <v>8614.14</v>
      </c>
      <c r="M183" s="0" t="n">
        <v>8</v>
      </c>
      <c r="N183" s="0" t="n">
        <v>94.4</v>
      </c>
      <c r="O183" s="0" t="n">
        <v>1</v>
      </c>
    </row>
    <row r="184" customFormat="false" ht="15" hidden="false" customHeight="false" outlineLevel="0" collapsed="false">
      <c r="A184" s="0" t="s">
        <v>279</v>
      </c>
      <c r="B184" s="0" t="s">
        <v>90</v>
      </c>
      <c r="C184" s="0" t="s">
        <v>86</v>
      </c>
      <c r="D184" s="0" t="s">
        <v>87</v>
      </c>
      <c r="E184" s="0" t="s">
        <v>88</v>
      </c>
      <c r="F184" s="0" t="n">
        <v>37</v>
      </c>
      <c r="G184" s="0" t="n">
        <v>7.6</v>
      </c>
      <c r="H184" s="0" t="n">
        <v>72.4</v>
      </c>
      <c r="I184" s="0" t="n">
        <v>42.9</v>
      </c>
      <c r="J184" s="0" t="n">
        <v>52</v>
      </c>
      <c r="K184" s="0" t="n">
        <v>96.8</v>
      </c>
      <c r="L184" s="0" t="n">
        <v>8270</v>
      </c>
      <c r="M184" s="0" t="n">
        <v>10</v>
      </c>
      <c r="N184" s="0" t="n">
        <v>83.7</v>
      </c>
      <c r="O184" s="0" t="n">
        <v>1</v>
      </c>
    </row>
    <row r="185" customFormat="false" ht="15" hidden="false" customHeight="false" outlineLevel="0" collapsed="false">
      <c r="A185" s="0" t="s">
        <v>280</v>
      </c>
      <c r="B185" s="0" t="s">
        <v>90</v>
      </c>
      <c r="C185" s="0" t="s">
        <v>86</v>
      </c>
      <c r="D185" s="0" t="s">
        <v>87</v>
      </c>
      <c r="E185" s="0" t="s">
        <v>125</v>
      </c>
      <c r="F185" s="0" t="n">
        <v>26</v>
      </c>
      <c r="G185" s="0" t="n">
        <v>1.8</v>
      </c>
      <c r="H185" s="0" t="n">
        <v>44.7</v>
      </c>
      <c r="I185" s="0" t="n">
        <v>66.3</v>
      </c>
      <c r="J185" s="0" t="n">
        <v>72.8</v>
      </c>
      <c r="K185" s="0" t="n">
        <v>84.4</v>
      </c>
      <c r="L185" s="0" t="n">
        <v>5239.94</v>
      </c>
      <c r="M185" s="0" t="n">
        <v>8</v>
      </c>
      <c r="N185" s="0" t="n">
        <v>88.2</v>
      </c>
      <c r="O185" s="0" t="n">
        <v>1</v>
      </c>
    </row>
    <row r="186" customFormat="false" ht="15" hidden="false" customHeight="false" outlineLevel="0" collapsed="false">
      <c r="A186" s="0" t="s">
        <v>281</v>
      </c>
      <c r="B186" s="0" t="s">
        <v>85</v>
      </c>
      <c r="C186" s="0" t="s">
        <v>91</v>
      </c>
      <c r="D186" s="0" t="s">
        <v>92</v>
      </c>
      <c r="E186" s="0" t="s">
        <v>125</v>
      </c>
      <c r="F186" s="0" t="n">
        <v>38</v>
      </c>
      <c r="G186" s="0" t="n">
        <v>8.1</v>
      </c>
      <c r="H186" s="0" t="n">
        <v>31.4</v>
      </c>
      <c r="I186" s="0" t="n">
        <v>88</v>
      </c>
      <c r="J186" s="0" t="n">
        <v>100</v>
      </c>
      <c r="K186" s="0" t="n">
        <v>80.3</v>
      </c>
      <c r="L186" s="0" t="n">
        <v>6366.61</v>
      </c>
      <c r="M186" s="0" t="n">
        <v>5</v>
      </c>
      <c r="N186" s="0" t="n">
        <v>95.8</v>
      </c>
      <c r="O186" s="0" t="n">
        <v>1</v>
      </c>
    </row>
    <row r="187" customFormat="false" ht="15" hidden="false" customHeight="false" outlineLevel="0" collapsed="false">
      <c r="A187" s="0" t="s">
        <v>282</v>
      </c>
      <c r="B187" s="0" t="s">
        <v>85</v>
      </c>
      <c r="C187" s="0" t="s">
        <v>91</v>
      </c>
      <c r="D187" s="0" t="s">
        <v>95</v>
      </c>
      <c r="E187" s="0" t="s">
        <v>100</v>
      </c>
      <c r="F187" s="0" t="n">
        <v>28</v>
      </c>
      <c r="G187" s="0" t="n">
        <v>3.5</v>
      </c>
      <c r="H187" s="0" t="n">
        <v>31.7</v>
      </c>
      <c r="I187" s="0" t="n">
        <v>56.3</v>
      </c>
      <c r="J187" s="0" t="n">
        <v>56.9</v>
      </c>
      <c r="K187" s="0" t="n">
        <v>69</v>
      </c>
      <c r="L187" s="0" t="n">
        <v>5382.45</v>
      </c>
      <c r="M187" s="0" t="n">
        <v>7</v>
      </c>
      <c r="N187" s="0" t="n">
        <v>93.1</v>
      </c>
      <c r="O187" s="0" t="n">
        <v>1</v>
      </c>
    </row>
    <row r="188" customFormat="false" ht="15" hidden="false" customHeight="false" outlineLevel="0" collapsed="false">
      <c r="A188" s="0" t="s">
        <v>283</v>
      </c>
      <c r="B188" s="0" t="s">
        <v>90</v>
      </c>
      <c r="C188" s="0" t="s">
        <v>86</v>
      </c>
      <c r="D188" s="0" t="s">
        <v>92</v>
      </c>
      <c r="E188" s="0" t="s">
        <v>96</v>
      </c>
      <c r="F188" s="0" t="n">
        <v>29</v>
      </c>
      <c r="G188" s="0" t="n">
        <v>4.2</v>
      </c>
      <c r="H188" s="0" t="n">
        <v>28.7</v>
      </c>
      <c r="I188" s="0" t="n">
        <v>43.3</v>
      </c>
      <c r="J188" s="0" t="n">
        <v>51.7</v>
      </c>
      <c r="K188" s="0" t="n">
        <v>75.4</v>
      </c>
      <c r="L188" s="0" t="n">
        <v>6769.04</v>
      </c>
      <c r="M188" s="0" t="n">
        <v>7</v>
      </c>
      <c r="N188" s="0" t="n">
        <v>79.5</v>
      </c>
      <c r="O188" s="0" t="n">
        <v>0</v>
      </c>
    </row>
    <row r="189" customFormat="false" ht="15" hidden="false" customHeight="false" outlineLevel="0" collapsed="false">
      <c r="A189" s="0" t="s">
        <v>284</v>
      </c>
      <c r="B189" s="0" t="s">
        <v>99</v>
      </c>
      <c r="C189" s="0" t="s">
        <v>86</v>
      </c>
      <c r="D189" s="0" t="s">
        <v>92</v>
      </c>
      <c r="E189" s="0" t="s">
        <v>88</v>
      </c>
      <c r="F189" s="0" t="n">
        <v>34</v>
      </c>
      <c r="G189" s="0" t="n">
        <v>7</v>
      </c>
      <c r="H189" s="0" t="n">
        <v>51.2</v>
      </c>
      <c r="I189" s="0" t="n">
        <v>69</v>
      </c>
      <c r="J189" s="0" t="n">
        <v>85</v>
      </c>
      <c r="K189" s="0" t="n">
        <v>100</v>
      </c>
      <c r="L189" s="0" t="n">
        <v>7678.22</v>
      </c>
      <c r="M189" s="0" t="n">
        <v>7</v>
      </c>
      <c r="N189" s="0" t="n">
        <v>99.2</v>
      </c>
      <c r="O189" s="0" t="n">
        <v>1</v>
      </c>
    </row>
    <row r="190" customFormat="false" ht="15" hidden="false" customHeight="false" outlineLevel="0" collapsed="false">
      <c r="A190" s="0" t="s">
        <v>285</v>
      </c>
      <c r="B190" s="0" t="s">
        <v>85</v>
      </c>
      <c r="C190" s="0" t="s">
        <v>86</v>
      </c>
      <c r="D190" s="0" t="s">
        <v>92</v>
      </c>
      <c r="E190" s="0" t="s">
        <v>125</v>
      </c>
      <c r="F190" s="0" t="n">
        <v>23</v>
      </c>
      <c r="G190" s="0" t="n">
        <v>4.4</v>
      </c>
      <c r="H190" s="0" t="n">
        <v>35.6</v>
      </c>
      <c r="I190" s="0" t="n">
        <v>52.7</v>
      </c>
      <c r="J190" s="0" t="n">
        <v>60.2</v>
      </c>
      <c r="K190" s="0" t="n">
        <v>63.2</v>
      </c>
      <c r="L190" s="0" t="n">
        <v>6125.43</v>
      </c>
      <c r="M190" s="0" t="n">
        <v>8</v>
      </c>
      <c r="N190" s="0" t="n">
        <v>93.7</v>
      </c>
      <c r="O190" s="0" t="n">
        <v>0</v>
      </c>
    </row>
    <row r="191" customFormat="false" ht="15" hidden="false" customHeight="false" outlineLevel="0" collapsed="false">
      <c r="A191" s="0" t="s">
        <v>286</v>
      </c>
      <c r="B191" s="0" t="s">
        <v>99</v>
      </c>
      <c r="C191" s="0" t="s">
        <v>86</v>
      </c>
      <c r="D191" s="0" t="s">
        <v>95</v>
      </c>
      <c r="E191" s="0" t="s">
        <v>100</v>
      </c>
      <c r="F191" s="0" t="n">
        <v>36</v>
      </c>
      <c r="G191" s="0" t="n">
        <v>8.9</v>
      </c>
      <c r="H191" s="0" t="n">
        <v>41.5</v>
      </c>
      <c r="I191" s="0" t="n">
        <v>73</v>
      </c>
      <c r="J191" s="0" t="n">
        <v>74.1</v>
      </c>
      <c r="K191" s="0" t="n">
        <v>91</v>
      </c>
      <c r="L191" s="0" t="n">
        <v>8302.34</v>
      </c>
      <c r="M191" s="0" t="n">
        <v>6</v>
      </c>
      <c r="N191" s="0" t="n">
        <v>88.9</v>
      </c>
      <c r="O191" s="0" t="n">
        <v>1</v>
      </c>
    </row>
    <row r="192" customFormat="false" ht="15" hidden="false" customHeight="false" outlineLevel="0" collapsed="false">
      <c r="A192" s="0" t="s">
        <v>287</v>
      </c>
      <c r="B192" s="0" t="s">
        <v>94</v>
      </c>
      <c r="C192" s="0" t="s">
        <v>91</v>
      </c>
      <c r="D192" s="0" t="s">
        <v>87</v>
      </c>
      <c r="E192" s="0" t="s">
        <v>125</v>
      </c>
      <c r="F192" s="0" t="n">
        <v>26</v>
      </c>
      <c r="G192" s="0" t="n">
        <v>3.5</v>
      </c>
      <c r="H192" s="0" t="n">
        <v>39.2</v>
      </c>
      <c r="I192" s="0" t="n">
        <v>57.2</v>
      </c>
      <c r="J192" s="0" t="n">
        <v>63.6</v>
      </c>
      <c r="K192" s="0" t="n">
        <v>64.3</v>
      </c>
      <c r="L192" s="0" t="n">
        <v>4354.79</v>
      </c>
      <c r="M192" s="0" t="n">
        <v>7</v>
      </c>
      <c r="N192" s="0" t="n">
        <v>98</v>
      </c>
      <c r="O192" s="0" t="n">
        <v>1</v>
      </c>
    </row>
    <row r="193" customFormat="false" ht="15" hidden="false" customHeight="false" outlineLevel="0" collapsed="false">
      <c r="A193" s="0" t="s">
        <v>288</v>
      </c>
      <c r="B193" s="0" t="s">
        <v>99</v>
      </c>
      <c r="C193" s="0" t="s">
        <v>86</v>
      </c>
      <c r="D193" s="0" t="s">
        <v>95</v>
      </c>
      <c r="E193" s="0" t="s">
        <v>96</v>
      </c>
      <c r="F193" s="0" t="n">
        <v>25</v>
      </c>
      <c r="G193" s="0" t="n">
        <v>4</v>
      </c>
      <c r="H193" s="0" t="n">
        <v>48.8</v>
      </c>
      <c r="I193" s="0" t="n">
        <v>53.7</v>
      </c>
      <c r="J193" s="0" t="n">
        <v>67.5</v>
      </c>
      <c r="K193" s="0" t="n">
        <v>80.5</v>
      </c>
      <c r="L193" s="0" t="n">
        <v>6838.88</v>
      </c>
      <c r="M193" s="0" t="n">
        <v>8</v>
      </c>
      <c r="N193" s="0" t="n">
        <v>89.6</v>
      </c>
      <c r="O193" s="0" t="n">
        <v>1</v>
      </c>
    </row>
    <row r="194" customFormat="false" ht="15" hidden="false" customHeight="false" outlineLevel="0" collapsed="false">
      <c r="A194" s="0" t="s">
        <v>289</v>
      </c>
      <c r="B194" s="0" t="s">
        <v>99</v>
      </c>
      <c r="C194" s="0" t="s">
        <v>86</v>
      </c>
      <c r="D194" s="0" t="s">
        <v>95</v>
      </c>
      <c r="E194" s="0" t="s">
        <v>100</v>
      </c>
      <c r="F194" s="0" t="n">
        <v>33</v>
      </c>
      <c r="G194" s="0" t="n">
        <v>3.9</v>
      </c>
      <c r="H194" s="0" t="n">
        <v>29.8</v>
      </c>
      <c r="I194" s="0" t="n">
        <v>58.2</v>
      </c>
      <c r="J194" s="0" t="n">
        <v>67.7</v>
      </c>
      <c r="K194" s="0" t="n">
        <v>71.4</v>
      </c>
      <c r="L194" s="0" t="n">
        <v>4972.89</v>
      </c>
      <c r="M194" s="0" t="n">
        <v>8</v>
      </c>
      <c r="N194" s="0" t="n">
        <v>89.6</v>
      </c>
      <c r="O194" s="0" t="n">
        <v>1</v>
      </c>
    </row>
    <row r="195" customFormat="false" ht="15" hidden="false" customHeight="false" outlineLevel="0" collapsed="false">
      <c r="A195" s="0" t="s">
        <v>290</v>
      </c>
      <c r="B195" s="0" t="s">
        <v>94</v>
      </c>
      <c r="C195" s="0" t="s">
        <v>91</v>
      </c>
      <c r="D195" s="0" t="s">
        <v>92</v>
      </c>
      <c r="E195" s="0" t="s">
        <v>100</v>
      </c>
      <c r="F195" s="0" t="n">
        <v>30</v>
      </c>
      <c r="G195" s="0" t="n">
        <v>4.2</v>
      </c>
      <c r="H195" s="0" t="n">
        <v>27.1</v>
      </c>
      <c r="I195" s="0" t="n">
        <v>67.6</v>
      </c>
      <c r="J195" s="0" t="n">
        <v>72.2</v>
      </c>
      <c r="K195" s="0" t="n">
        <v>58.4</v>
      </c>
      <c r="L195" s="0" t="n">
        <v>2745.51</v>
      </c>
      <c r="M195" s="0" t="n">
        <v>6</v>
      </c>
      <c r="N195" s="0" t="n">
        <v>94.8</v>
      </c>
      <c r="O195" s="0" t="n">
        <v>0</v>
      </c>
    </row>
    <row r="196" customFormat="false" ht="15" hidden="false" customHeight="false" outlineLevel="0" collapsed="false">
      <c r="A196" s="0" t="s">
        <v>291</v>
      </c>
      <c r="B196" s="0" t="s">
        <v>99</v>
      </c>
      <c r="C196" s="0" t="s">
        <v>86</v>
      </c>
      <c r="D196" s="0" t="s">
        <v>95</v>
      </c>
      <c r="E196" s="0" t="s">
        <v>96</v>
      </c>
      <c r="F196" s="0" t="n">
        <v>37</v>
      </c>
      <c r="G196" s="0" t="n">
        <v>9.5</v>
      </c>
      <c r="H196" s="0" t="n">
        <v>42.7</v>
      </c>
      <c r="I196" s="0" t="n">
        <v>57.7</v>
      </c>
      <c r="J196" s="0" t="n">
        <v>63</v>
      </c>
      <c r="K196" s="0" t="n">
        <v>91.8</v>
      </c>
      <c r="L196" s="0" t="n">
        <v>5544.65</v>
      </c>
      <c r="M196" s="0" t="n">
        <v>6</v>
      </c>
      <c r="N196" s="0" t="n">
        <v>100</v>
      </c>
      <c r="O196" s="0" t="n">
        <v>1</v>
      </c>
    </row>
    <row r="197" customFormat="false" ht="15" hidden="false" customHeight="false" outlineLevel="0" collapsed="false">
      <c r="A197" s="0" t="s">
        <v>292</v>
      </c>
      <c r="B197" s="0" t="s">
        <v>99</v>
      </c>
      <c r="C197" s="0" t="s">
        <v>86</v>
      </c>
      <c r="D197" s="0" t="s">
        <v>87</v>
      </c>
      <c r="E197" s="0" t="s">
        <v>88</v>
      </c>
      <c r="F197" s="0" t="n">
        <v>33</v>
      </c>
      <c r="G197" s="0" t="n">
        <v>8</v>
      </c>
      <c r="H197" s="0" t="n">
        <v>47.2</v>
      </c>
      <c r="I197" s="0" t="n">
        <v>55</v>
      </c>
      <c r="J197" s="0" t="n">
        <v>60.8</v>
      </c>
      <c r="K197" s="0" t="n">
        <v>85.3</v>
      </c>
      <c r="L197" s="0" t="n">
        <v>6251.19</v>
      </c>
      <c r="M197" s="0" t="n">
        <v>3</v>
      </c>
      <c r="N197" s="0" t="n">
        <v>100</v>
      </c>
      <c r="O197" s="0" t="n">
        <v>1</v>
      </c>
    </row>
    <row r="198" customFormat="false" ht="15" hidden="false" customHeight="false" outlineLevel="0" collapsed="false">
      <c r="A198" s="0" t="s">
        <v>293</v>
      </c>
      <c r="B198" s="0" t="s">
        <v>90</v>
      </c>
      <c r="C198" s="0" t="s">
        <v>91</v>
      </c>
      <c r="D198" s="0" t="s">
        <v>87</v>
      </c>
      <c r="E198" s="0" t="s">
        <v>88</v>
      </c>
      <c r="F198" s="0" t="n">
        <v>41</v>
      </c>
      <c r="G198" s="0" t="n">
        <v>11.5</v>
      </c>
      <c r="H198" s="0" t="n">
        <v>44</v>
      </c>
      <c r="I198" s="0" t="n">
        <v>58</v>
      </c>
      <c r="J198" s="0" t="n">
        <v>67.4</v>
      </c>
      <c r="K198" s="0" t="n">
        <v>81.4</v>
      </c>
      <c r="L198" s="0" t="n">
        <v>8334.1</v>
      </c>
      <c r="M198" s="0" t="n">
        <v>6</v>
      </c>
      <c r="N198" s="0" t="n">
        <v>94.8</v>
      </c>
      <c r="O198" s="0" t="n">
        <v>0</v>
      </c>
    </row>
    <row r="199" customFormat="false" ht="15" hidden="false" customHeight="false" outlineLevel="0" collapsed="false">
      <c r="A199" s="0" t="s">
        <v>294</v>
      </c>
      <c r="B199" s="0" t="s">
        <v>94</v>
      </c>
      <c r="C199" s="0" t="s">
        <v>91</v>
      </c>
      <c r="D199" s="0" t="s">
        <v>92</v>
      </c>
      <c r="E199" s="0" t="s">
        <v>125</v>
      </c>
      <c r="F199" s="0" t="n">
        <v>46</v>
      </c>
      <c r="G199" s="0" t="n">
        <v>13.3</v>
      </c>
      <c r="H199" s="0" t="n">
        <v>30.3</v>
      </c>
      <c r="I199" s="0" t="n">
        <v>47.3</v>
      </c>
      <c r="J199" s="0" t="n">
        <v>60.7</v>
      </c>
      <c r="K199" s="0" t="n">
        <v>96.4</v>
      </c>
      <c r="L199" s="0" t="n">
        <v>8085.42</v>
      </c>
      <c r="M199" s="0" t="n">
        <v>6</v>
      </c>
      <c r="N199" s="0" t="n">
        <v>95.3</v>
      </c>
      <c r="O199" s="0" t="n">
        <v>1</v>
      </c>
    </row>
    <row r="200" customFormat="false" ht="15" hidden="false" customHeight="false" outlineLevel="0" collapsed="false">
      <c r="A200" s="0" t="s">
        <v>295</v>
      </c>
      <c r="B200" s="0" t="s">
        <v>99</v>
      </c>
      <c r="C200" s="0" t="s">
        <v>91</v>
      </c>
      <c r="D200" s="0" t="s">
        <v>95</v>
      </c>
      <c r="E200" s="0" t="s">
        <v>88</v>
      </c>
      <c r="F200" s="0" t="n">
        <v>24</v>
      </c>
      <c r="G200" s="0" t="n">
        <v>2.7</v>
      </c>
      <c r="H200" s="0" t="n">
        <v>48.1</v>
      </c>
      <c r="I200" s="0" t="n">
        <v>64</v>
      </c>
      <c r="J200" s="0" t="n">
        <v>76.2</v>
      </c>
      <c r="K200" s="0" t="n">
        <v>88.7</v>
      </c>
      <c r="L200" s="0" t="n">
        <v>6095.43</v>
      </c>
      <c r="M200" s="0" t="n">
        <v>5</v>
      </c>
      <c r="N200" s="0" t="n">
        <v>97</v>
      </c>
      <c r="O200" s="0" t="n">
        <v>1</v>
      </c>
    </row>
    <row r="201" customFormat="false" ht="15" hidden="false" customHeight="false" outlineLevel="0" collapsed="false">
      <c r="A201" s="0" t="s">
        <v>296</v>
      </c>
      <c r="B201" s="0" t="s">
        <v>90</v>
      </c>
      <c r="C201" s="0" t="s">
        <v>91</v>
      </c>
      <c r="D201" s="0" t="s">
        <v>92</v>
      </c>
      <c r="E201" s="0" t="s">
        <v>88</v>
      </c>
      <c r="F201" s="0" t="n">
        <v>32</v>
      </c>
      <c r="G201" s="0" t="n">
        <v>6.2</v>
      </c>
      <c r="H201" s="0" t="n">
        <v>31.1</v>
      </c>
      <c r="I201" s="0" t="n">
        <v>42.1</v>
      </c>
      <c r="J201" s="0" t="n">
        <v>51.9</v>
      </c>
      <c r="K201" s="0" t="n">
        <v>92.5</v>
      </c>
      <c r="L201" s="0" t="n">
        <v>7937.35</v>
      </c>
      <c r="M201" s="0" t="n">
        <v>7</v>
      </c>
      <c r="N201" s="0" t="n">
        <v>86.7</v>
      </c>
      <c r="O201" s="0" t="n">
        <v>1</v>
      </c>
    </row>
    <row r="202" customFormat="false" ht="15" hidden="false" customHeight="false" outlineLevel="0" collapsed="false">
      <c r="A202" s="0" t="s">
        <v>297</v>
      </c>
      <c r="B202" s="0" t="s">
        <v>85</v>
      </c>
      <c r="C202" s="0" t="s">
        <v>86</v>
      </c>
      <c r="D202" s="0" t="s">
        <v>92</v>
      </c>
      <c r="E202" s="0" t="s">
        <v>88</v>
      </c>
      <c r="F202" s="0" t="n">
        <v>28</v>
      </c>
      <c r="G202" s="0" t="n">
        <v>2.2</v>
      </c>
      <c r="H202" s="0" t="n">
        <v>33.7</v>
      </c>
      <c r="I202" s="0" t="n">
        <v>55.6</v>
      </c>
      <c r="J202" s="0" t="n">
        <v>58.3</v>
      </c>
      <c r="K202" s="0" t="n">
        <v>73.3</v>
      </c>
      <c r="L202" s="0" t="n">
        <v>3855.32</v>
      </c>
      <c r="M202" s="0" t="n">
        <v>7</v>
      </c>
      <c r="N202" s="0" t="n">
        <v>96.2</v>
      </c>
      <c r="O202" s="0" t="n">
        <v>0</v>
      </c>
    </row>
    <row r="203" customFormat="false" ht="15" hidden="false" customHeight="false" outlineLevel="0" collapsed="false">
      <c r="A203" s="0" t="s">
        <v>298</v>
      </c>
      <c r="B203" s="0" t="s">
        <v>94</v>
      </c>
      <c r="C203" s="0" t="s">
        <v>91</v>
      </c>
      <c r="D203" s="0" t="s">
        <v>87</v>
      </c>
      <c r="E203" s="0" t="s">
        <v>100</v>
      </c>
      <c r="F203" s="0" t="n">
        <v>22</v>
      </c>
      <c r="G203" s="0" t="n">
        <v>3.5</v>
      </c>
      <c r="H203" s="0" t="n">
        <v>28.7</v>
      </c>
      <c r="I203" s="0" t="n">
        <v>67.6</v>
      </c>
      <c r="J203" s="0" t="n">
        <v>70.3</v>
      </c>
      <c r="K203" s="0" t="n">
        <v>72.7</v>
      </c>
      <c r="L203" s="0" t="n">
        <v>5088.81</v>
      </c>
      <c r="M203" s="0" t="n">
        <v>3</v>
      </c>
      <c r="N203" s="0" t="n">
        <v>89.3</v>
      </c>
      <c r="O203" s="0" t="n">
        <v>0</v>
      </c>
    </row>
    <row r="204" customFormat="false" ht="15" hidden="false" customHeight="false" outlineLevel="0" collapsed="false">
      <c r="A204" s="0" t="s">
        <v>299</v>
      </c>
      <c r="B204" s="0" t="s">
        <v>90</v>
      </c>
      <c r="C204" s="0" t="s">
        <v>91</v>
      </c>
      <c r="D204" s="0" t="s">
        <v>92</v>
      </c>
      <c r="E204" s="0" t="s">
        <v>125</v>
      </c>
      <c r="F204" s="0" t="n">
        <v>28</v>
      </c>
      <c r="G204" s="0" t="n">
        <v>4</v>
      </c>
      <c r="H204" s="0" t="n">
        <v>55.6</v>
      </c>
      <c r="I204" s="0" t="n">
        <v>63</v>
      </c>
      <c r="J204" s="0" t="n">
        <v>73.1</v>
      </c>
      <c r="K204" s="0" t="n">
        <v>96</v>
      </c>
      <c r="L204" s="0" t="n">
        <v>6937.99</v>
      </c>
      <c r="M204" s="0" t="n">
        <v>7</v>
      </c>
      <c r="N204" s="0" t="n">
        <v>94.6</v>
      </c>
      <c r="O204" s="0" t="n">
        <v>1</v>
      </c>
    </row>
    <row r="205" customFormat="false" ht="15" hidden="false" customHeight="false" outlineLevel="0" collapsed="false">
      <c r="A205" s="0" t="s">
        <v>300</v>
      </c>
      <c r="B205" s="0" t="s">
        <v>99</v>
      </c>
      <c r="C205" s="0" t="s">
        <v>91</v>
      </c>
      <c r="D205" s="0" t="s">
        <v>92</v>
      </c>
      <c r="E205" s="0" t="s">
        <v>88</v>
      </c>
      <c r="F205" s="0" t="n">
        <v>25</v>
      </c>
      <c r="G205" s="0" t="n">
        <v>2.6</v>
      </c>
      <c r="H205" s="0" t="n">
        <v>47.6</v>
      </c>
      <c r="I205" s="0" t="n">
        <v>65.9</v>
      </c>
      <c r="J205" s="0" t="n">
        <v>68.5</v>
      </c>
      <c r="K205" s="0" t="n">
        <v>90.1</v>
      </c>
      <c r="L205" s="0" t="n">
        <v>5242.85</v>
      </c>
      <c r="M205" s="0" t="n">
        <v>6</v>
      </c>
      <c r="N205" s="0" t="n">
        <v>91.9</v>
      </c>
      <c r="O205" s="0" t="n">
        <v>0</v>
      </c>
    </row>
    <row r="206" customFormat="false" ht="15" hidden="false" customHeight="false" outlineLevel="0" collapsed="false">
      <c r="A206" s="0" t="s">
        <v>301</v>
      </c>
      <c r="B206" s="0" t="s">
        <v>99</v>
      </c>
      <c r="C206" s="0" t="s">
        <v>91</v>
      </c>
      <c r="D206" s="0" t="s">
        <v>87</v>
      </c>
      <c r="E206" s="0" t="s">
        <v>88</v>
      </c>
      <c r="F206" s="0" t="n">
        <v>26</v>
      </c>
      <c r="G206" s="0" t="n">
        <v>2.6</v>
      </c>
      <c r="H206" s="0" t="n">
        <v>47.3</v>
      </c>
      <c r="I206" s="0" t="n">
        <v>59.3</v>
      </c>
      <c r="J206" s="0" t="n">
        <v>66.4</v>
      </c>
      <c r="K206" s="0" t="n">
        <v>86.2</v>
      </c>
      <c r="L206" s="0" t="n">
        <v>5860.49</v>
      </c>
      <c r="M206" s="0" t="n">
        <v>8</v>
      </c>
      <c r="N206" s="0" t="n">
        <v>95.5</v>
      </c>
      <c r="O206" s="0" t="n">
        <v>1</v>
      </c>
    </row>
    <row r="207" customFormat="false" ht="15" hidden="false" customHeight="false" outlineLevel="0" collapsed="false">
      <c r="A207" s="0" t="s">
        <v>302</v>
      </c>
      <c r="B207" s="0" t="s">
        <v>99</v>
      </c>
      <c r="C207" s="0" t="s">
        <v>91</v>
      </c>
      <c r="D207" s="0" t="s">
        <v>92</v>
      </c>
      <c r="E207" s="0" t="s">
        <v>88</v>
      </c>
      <c r="F207" s="0" t="n">
        <v>29</v>
      </c>
      <c r="G207" s="0" t="n">
        <v>5.5</v>
      </c>
      <c r="H207" s="0" t="n">
        <v>55</v>
      </c>
      <c r="I207" s="0" t="n">
        <v>71.7</v>
      </c>
      <c r="J207" s="0" t="n">
        <v>80.9</v>
      </c>
      <c r="K207" s="0" t="n">
        <v>79.6</v>
      </c>
      <c r="L207" s="0" t="n">
        <v>5329.05</v>
      </c>
      <c r="M207" s="0" t="n">
        <v>5</v>
      </c>
      <c r="N207" s="0" t="n">
        <v>93.6</v>
      </c>
      <c r="O207" s="0" t="n">
        <v>1</v>
      </c>
    </row>
    <row r="208" customFormat="false" ht="15" hidden="false" customHeight="false" outlineLevel="0" collapsed="false">
      <c r="A208" s="0" t="s">
        <v>303</v>
      </c>
      <c r="B208" s="0" t="s">
        <v>99</v>
      </c>
      <c r="C208" s="0" t="s">
        <v>91</v>
      </c>
      <c r="D208" s="0" t="s">
        <v>95</v>
      </c>
      <c r="E208" s="0" t="s">
        <v>125</v>
      </c>
      <c r="F208" s="0" t="n">
        <v>26</v>
      </c>
      <c r="G208" s="0" t="n">
        <v>2.1</v>
      </c>
      <c r="H208" s="0" t="n">
        <v>73.8</v>
      </c>
      <c r="I208" s="0" t="n">
        <v>69.2</v>
      </c>
      <c r="J208" s="0" t="n">
        <v>72.6</v>
      </c>
      <c r="K208" s="0" t="n">
        <v>88</v>
      </c>
      <c r="L208" s="0" t="n">
        <v>8065.92</v>
      </c>
      <c r="M208" s="0" t="n">
        <v>7</v>
      </c>
      <c r="N208" s="0" t="n">
        <v>77.6</v>
      </c>
      <c r="O208" s="0" t="n">
        <v>0</v>
      </c>
    </row>
    <row r="209" customFormat="false" ht="15" hidden="false" customHeight="false" outlineLevel="0" collapsed="false">
      <c r="A209" s="0" t="s">
        <v>304</v>
      </c>
      <c r="B209" s="0" t="s">
        <v>85</v>
      </c>
      <c r="C209" s="0" t="s">
        <v>86</v>
      </c>
      <c r="D209" s="0" t="s">
        <v>92</v>
      </c>
      <c r="E209" s="0" t="s">
        <v>100</v>
      </c>
      <c r="F209" s="0" t="n">
        <v>42</v>
      </c>
      <c r="G209" s="0" t="n">
        <v>8.7</v>
      </c>
      <c r="H209" s="0" t="n">
        <v>19.5</v>
      </c>
      <c r="I209" s="0" t="n">
        <v>64.5</v>
      </c>
      <c r="J209" s="0" t="n">
        <v>68.4</v>
      </c>
      <c r="K209" s="0" t="n">
        <v>80.6</v>
      </c>
      <c r="L209" s="0" t="n">
        <v>5550.55</v>
      </c>
      <c r="M209" s="0" t="n">
        <v>7</v>
      </c>
      <c r="N209" s="0" t="n">
        <v>93.9</v>
      </c>
      <c r="O209" s="0" t="n">
        <v>1</v>
      </c>
    </row>
    <row r="210" customFormat="false" ht="15" hidden="false" customHeight="false" outlineLevel="0" collapsed="false">
      <c r="A210" s="0" t="s">
        <v>305</v>
      </c>
      <c r="B210" s="0" t="s">
        <v>99</v>
      </c>
      <c r="C210" s="0" t="s">
        <v>91</v>
      </c>
      <c r="D210" s="0" t="s">
        <v>87</v>
      </c>
      <c r="E210" s="0" t="s">
        <v>96</v>
      </c>
      <c r="F210" s="0" t="n">
        <v>26</v>
      </c>
      <c r="G210" s="0" t="n">
        <v>3.1</v>
      </c>
      <c r="H210" s="0" t="n">
        <v>31.1</v>
      </c>
      <c r="I210" s="0" t="n">
        <v>69.3</v>
      </c>
      <c r="J210" s="0" t="n">
        <v>76.9</v>
      </c>
      <c r="K210" s="0" t="n">
        <v>60.8</v>
      </c>
      <c r="L210" s="0" t="n">
        <v>6759.26</v>
      </c>
      <c r="M210" s="0" t="n">
        <v>7</v>
      </c>
      <c r="N210" s="0" t="n">
        <v>96.2</v>
      </c>
      <c r="O210" s="0" t="n">
        <v>0</v>
      </c>
    </row>
    <row r="211" customFormat="false" ht="15" hidden="false" customHeight="false" outlineLevel="0" collapsed="false">
      <c r="A211" s="0" t="s">
        <v>306</v>
      </c>
      <c r="B211" s="0" t="s">
        <v>90</v>
      </c>
      <c r="C211" s="0" t="s">
        <v>86</v>
      </c>
      <c r="D211" s="0" t="s">
        <v>87</v>
      </c>
      <c r="E211" s="0" t="s">
        <v>96</v>
      </c>
      <c r="F211" s="0" t="n">
        <v>47</v>
      </c>
      <c r="G211" s="0" t="n">
        <v>15</v>
      </c>
      <c r="H211" s="0" t="n">
        <v>32.6</v>
      </c>
      <c r="I211" s="0" t="n">
        <v>67.5</v>
      </c>
      <c r="J211" s="0" t="n">
        <v>77.5</v>
      </c>
      <c r="K211" s="0" t="n">
        <v>100</v>
      </c>
      <c r="L211" s="0" t="n">
        <v>8524.77</v>
      </c>
      <c r="M211" s="0" t="n">
        <v>7</v>
      </c>
      <c r="N211" s="0" t="n">
        <v>95.2</v>
      </c>
      <c r="O211" s="0" t="n">
        <v>1</v>
      </c>
    </row>
    <row r="212" customFormat="false" ht="15" hidden="false" customHeight="false" outlineLevel="0" collapsed="false">
      <c r="A212" s="0" t="s">
        <v>307</v>
      </c>
      <c r="B212" s="0" t="s">
        <v>85</v>
      </c>
      <c r="C212" s="0" t="s">
        <v>91</v>
      </c>
      <c r="D212" s="0" t="s">
        <v>87</v>
      </c>
      <c r="E212" s="0" t="s">
        <v>96</v>
      </c>
      <c r="F212" s="0" t="n">
        <v>35</v>
      </c>
      <c r="G212" s="0" t="n">
        <v>4.6</v>
      </c>
      <c r="H212" s="0" t="n">
        <v>29.8</v>
      </c>
      <c r="I212" s="0" t="n">
        <v>55.6</v>
      </c>
      <c r="J212" s="0" t="n">
        <v>67.8</v>
      </c>
      <c r="K212" s="0" t="n">
        <v>89.6</v>
      </c>
      <c r="L212" s="0" t="n">
        <v>6611.25</v>
      </c>
      <c r="M212" s="0" t="n">
        <v>7</v>
      </c>
      <c r="N212" s="0" t="n">
        <v>92.5</v>
      </c>
      <c r="O212" s="0" t="n">
        <v>0</v>
      </c>
    </row>
    <row r="213" customFormat="false" ht="15" hidden="false" customHeight="false" outlineLevel="0" collapsed="false">
      <c r="A213" s="0" t="s">
        <v>308</v>
      </c>
      <c r="B213" s="0" t="s">
        <v>90</v>
      </c>
      <c r="C213" s="0" t="s">
        <v>91</v>
      </c>
      <c r="D213" s="0" t="s">
        <v>87</v>
      </c>
      <c r="E213" s="0" t="s">
        <v>125</v>
      </c>
      <c r="F213" s="0" t="n">
        <v>30</v>
      </c>
      <c r="G213" s="0" t="n">
        <v>6.2</v>
      </c>
      <c r="I213" s="0" t="n">
        <v>46.6</v>
      </c>
      <c r="J213" s="0" t="n">
        <v>57</v>
      </c>
      <c r="K213" s="0" t="n">
        <v>85.1</v>
      </c>
      <c r="L213" s="0" t="n">
        <v>5862.53</v>
      </c>
      <c r="M213" s="0" t="n">
        <v>5</v>
      </c>
      <c r="N213" s="0" t="n">
        <v>100</v>
      </c>
      <c r="O213" s="0" t="n">
        <v>1</v>
      </c>
    </row>
    <row r="214" customFormat="false" ht="15" hidden="false" customHeight="false" outlineLevel="0" collapsed="false">
      <c r="A214" s="0" t="s">
        <v>309</v>
      </c>
      <c r="B214" s="0" t="s">
        <v>99</v>
      </c>
      <c r="C214" s="0" t="s">
        <v>91</v>
      </c>
      <c r="D214" s="0" t="s">
        <v>87</v>
      </c>
      <c r="E214" s="0" t="s">
        <v>96</v>
      </c>
      <c r="F214" s="0" t="n">
        <v>30</v>
      </c>
      <c r="G214" s="0" t="n">
        <v>1.9</v>
      </c>
      <c r="H214" s="0" t="n">
        <v>36.4</v>
      </c>
      <c r="I214" s="0" t="n">
        <v>64.2</v>
      </c>
      <c r="J214" s="0" t="n">
        <v>72.5</v>
      </c>
      <c r="K214" s="0" t="n">
        <v>83.5</v>
      </c>
      <c r="L214" s="0" t="n">
        <v>5155.83</v>
      </c>
      <c r="M214" s="0" t="n">
        <v>5</v>
      </c>
      <c r="N214" s="0" t="n">
        <v>94.6</v>
      </c>
      <c r="O214" s="0" t="n">
        <v>0</v>
      </c>
    </row>
    <row r="215" customFormat="false" ht="15" hidden="false" customHeight="false" outlineLevel="0" collapsed="false">
      <c r="A215" s="0" t="s">
        <v>310</v>
      </c>
      <c r="B215" s="0" t="s">
        <v>94</v>
      </c>
      <c r="C215" s="0" t="s">
        <v>91</v>
      </c>
      <c r="D215" s="0" t="s">
        <v>95</v>
      </c>
      <c r="E215" s="0" t="s">
        <v>125</v>
      </c>
      <c r="F215" s="0" t="n">
        <v>40</v>
      </c>
      <c r="G215" s="0" t="n">
        <v>11.5</v>
      </c>
      <c r="I215" s="0" t="n">
        <v>65.5</v>
      </c>
      <c r="J215" s="0" t="n">
        <v>70.5</v>
      </c>
      <c r="K215" s="0" t="n">
        <v>86.9</v>
      </c>
      <c r="L215" s="0" t="n">
        <v>6668.87</v>
      </c>
      <c r="O215" s="0" t="n">
        <v>1</v>
      </c>
    </row>
    <row r="216" customFormat="false" ht="15" hidden="false" customHeight="false" outlineLevel="0" collapsed="false">
      <c r="A216" s="0" t="s">
        <v>311</v>
      </c>
      <c r="B216" s="0" t="s">
        <v>85</v>
      </c>
      <c r="C216" s="0" t="s">
        <v>86</v>
      </c>
      <c r="D216" s="0" t="s">
        <v>92</v>
      </c>
      <c r="E216" s="0" t="s">
        <v>100</v>
      </c>
      <c r="F216" s="0" t="n">
        <v>43</v>
      </c>
      <c r="G216" s="0" t="n">
        <v>9.6</v>
      </c>
      <c r="H216" s="0" t="n">
        <v>44</v>
      </c>
      <c r="I216" s="0" t="n">
        <v>70.9</v>
      </c>
      <c r="J216" s="0" t="n">
        <v>74.6</v>
      </c>
      <c r="K216" s="0" t="n">
        <v>87.2</v>
      </c>
      <c r="L216" s="0" t="n">
        <v>7575.21</v>
      </c>
      <c r="M216" s="0" t="n">
        <v>7</v>
      </c>
      <c r="N216" s="0" t="n">
        <v>98.2</v>
      </c>
      <c r="O216" s="0" t="n">
        <v>1</v>
      </c>
    </row>
    <row r="217" customFormat="false" ht="15" hidden="false" customHeight="false" outlineLevel="0" collapsed="false">
      <c r="A217" s="0" t="s">
        <v>312</v>
      </c>
      <c r="B217" s="0" t="s">
        <v>85</v>
      </c>
      <c r="C217" s="0" t="s">
        <v>91</v>
      </c>
      <c r="D217" s="0" t="s">
        <v>92</v>
      </c>
      <c r="E217" s="0" t="s">
        <v>96</v>
      </c>
      <c r="F217" s="0" t="n">
        <v>35</v>
      </c>
      <c r="G217" s="0" t="n">
        <v>7</v>
      </c>
      <c r="I217" s="0" t="n">
        <v>50.6</v>
      </c>
      <c r="J217" s="0" t="n">
        <v>56.6</v>
      </c>
      <c r="K217" s="0" t="n">
        <v>84.5</v>
      </c>
      <c r="L217" s="0" t="n">
        <v>6927.7</v>
      </c>
      <c r="M217" s="0" t="n">
        <v>6</v>
      </c>
      <c r="N217" s="0" t="n">
        <v>94.8</v>
      </c>
      <c r="O217" s="0" t="n">
        <v>1</v>
      </c>
    </row>
    <row r="218" customFormat="false" ht="15" hidden="false" customHeight="false" outlineLevel="0" collapsed="false">
      <c r="A218" s="0" t="s">
        <v>313</v>
      </c>
      <c r="B218" s="0" t="s">
        <v>99</v>
      </c>
      <c r="C218" s="0" t="s">
        <v>91</v>
      </c>
      <c r="D218" s="0" t="s">
        <v>87</v>
      </c>
      <c r="E218" s="0" t="s">
        <v>88</v>
      </c>
      <c r="F218" s="0" t="n">
        <v>26</v>
      </c>
      <c r="G218" s="0" t="n">
        <v>1.7</v>
      </c>
      <c r="H218" s="0" t="n">
        <v>45.8</v>
      </c>
      <c r="I218" s="0" t="n">
        <v>50.9</v>
      </c>
      <c r="J218" s="0" t="n">
        <v>60.5</v>
      </c>
      <c r="K218" s="0" t="n">
        <v>70.4</v>
      </c>
      <c r="L218" s="0" t="n">
        <v>4607.17</v>
      </c>
      <c r="M218" s="0" t="n">
        <v>8</v>
      </c>
      <c r="N218" s="0" t="n">
        <v>88.5</v>
      </c>
      <c r="O218" s="0" t="n">
        <v>0</v>
      </c>
    </row>
    <row r="219" customFormat="false" ht="15" hidden="false" customHeight="false" outlineLevel="0" collapsed="false">
      <c r="A219" s="0" t="s">
        <v>314</v>
      </c>
      <c r="B219" s="0" t="s">
        <v>99</v>
      </c>
      <c r="C219" s="0" t="s">
        <v>86</v>
      </c>
      <c r="D219" s="0" t="s">
        <v>95</v>
      </c>
      <c r="E219" s="0" t="s">
        <v>88</v>
      </c>
      <c r="F219" s="0" t="n">
        <v>33</v>
      </c>
      <c r="G219" s="0" t="n">
        <v>6.7</v>
      </c>
      <c r="H219" s="0" t="n">
        <v>46.1</v>
      </c>
      <c r="I219" s="0" t="n">
        <v>64.6</v>
      </c>
      <c r="J219" s="0" t="n">
        <v>73.9</v>
      </c>
      <c r="K219" s="0" t="n">
        <v>78.4</v>
      </c>
      <c r="L219" s="0" t="n">
        <v>6582.46</v>
      </c>
      <c r="M219" s="0" t="n">
        <v>7</v>
      </c>
      <c r="O219" s="0" t="n">
        <v>1</v>
      </c>
    </row>
    <row r="220" customFormat="false" ht="15" hidden="false" customHeight="false" outlineLevel="0" collapsed="false">
      <c r="A220" s="0" t="s">
        <v>315</v>
      </c>
      <c r="B220" s="0" t="s">
        <v>94</v>
      </c>
      <c r="C220" s="0" t="s">
        <v>86</v>
      </c>
      <c r="D220" s="0" t="s">
        <v>92</v>
      </c>
      <c r="E220" s="0" t="s">
        <v>96</v>
      </c>
      <c r="F220" s="0" t="n">
        <v>24</v>
      </c>
      <c r="G220" s="0" t="n">
        <v>2.4</v>
      </c>
      <c r="H220" s="0" t="n">
        <v>47.2</v>
      </c>
      <c r="I220" s="0" t="n">
        <v>59.3</v>
      </c>
      <c r="J220" s="0" t="n">
        <v>58.9</v>
      </c>
      <c r="K220" s="0" t="n">
        <v>85.7</v>
      </c>
      <c r="L220" s="0" t="n">
        <v>5224.41</v>
      </c>
      <c r="M220" s="0" t="n">
        <v>5</v>
      </c>
      <c r="N220" s="0" t="n">
        <v>90.6</v>
      </c>
      <c r="O220" s="0" t="n">
        <v>0</v>
      </c>
    </row>
    <row r="221" customFormat="false" ht="15" hidden="false" customHeight="false" outlineLevel="0" collapsed="false">
      <c r="A221" s="0" t="s">
        <v>316</v>
      </c>
      <c r="B221" s="0" t="s">
        <v>90</v>
      </c>
      <c r="C221" s="0" t="s">
        <v>86</v>
      </c>
      <c r="D221" s="0" t="s">
        <v>87</v>
      </c>
      <c r="E221" s="0" t="s">
        <v>125</v>
      </c>
      <c r="F221" s="0" t="n">
        <v>39</v>
      </c>
      <c r="G221" s="0" t="n">
        <v>10.7</v>
      </c>
      <c r="H221" s="0" t="n">
        <v>35.5</v>
      </c>
      <c r="I221" s="0" t="n">
        <v>41.1</v>
      </c>
      <c r="J221" s="0" t="n">
        <v>46</v>
      </c>
      <c r="K221" s="0" t="n">
        <v>100</v>
      </c>
      <c r="L221" s="0" t="n">
        <v>9664.7</v>
      </c>
      <c r="M221" s="0" t="n">
        <v>7</v>
      </c>
      <c r="N221" s="0" t="n">
        <v>96.8</v>
      </c>
      <c r="O221" s="0" t="n">
        <v>1</v>
      </c>
    </row>
    <row r="222" customFormat="false" ht="15" hidden="false" customHeight="false" outlineLevel="0" collapsed="false">
      <c r="A222" s="0" t="s">
        <v>317</v>
      </c>
      <c r="B222" s="0" t="s">
        <v>90</v>
      </c>
      <c r="C222" s="0" t="s">
        <v>91</v>
      </c>
      <c r="D222" s="0" t="s">
        <v>95</v>
      </c>
      <c r="E222" s="0" t="s">
        <v>96</v>
      </c>
      <c r="F222" s="0" t="n">
        <v>38</v>
      </c>
      <c r="G222" s="0" t="n">
        <v>8.6</v>
      </c>
      <c r="H222" s="0" t="n">
        <v>65.5</v>
      </c>
      <c r="I222" s="0" t="n">
        <v>63.8</v>
      </c>
      <c r="J222" s="0" t="n">
        <v>76.6</v>
      </c>
      <c r="K222" s="0" t="n">
        <v>91.5</v>
      </c>
      <c r="L222" s="0" t="n">
        <v>8061.74</v>
      </c>
      <c r="M222" s="0" t="n">
        <v>7</v>
      </c>
      <c r="N222" s="0" t="n">
        <v>91.2</v>
      </c>
      <c r="O222" s="0" t="n">
        <v>1</v>
      </c>
    </row>
    <row r="223" customFormat="false" ht="15" hidden="false" customHeight="false" outlineLevel="0" collapsed="false">
      <c r="A223" s="0" t="s">
        <v>318</v>
      </c>
      <c r="B223" s="0" t="s">
        <v>90</v>
      </c>
      <c r="C223" s="0" t="s">
        <v>86</v>
      </c>
      <c r="D223" s="0" t="s">
        <v>87</v>
      </c>
      <c r="E223" s="0" t="s">
        <v>88</v>
      </c>
      <c r="F223" s="0" t="n">
        <v>32</v>
      </c>
      <c r="G223" s="0" t="n">
        <v>6.3</v>
      </c>
      <c r="H223" s="0" t="n">
        <v>42.8</v>
      </c>
      <c r="I223" s="0" t="n">
        <v>41.5</v>
      </c>
      <c r="J223" s="0" t="n">
        <v>49.8</v>
      </c>
      <c r="K223" s="0" t="n">
        <v>93.1</v>
      </c>
      <c r="L223" s="0" t="n">
        <v>8074.21</v>
      </c>
      <c r="M223" s="0" t="n">
        <v>8</v>
      </c>
      <c r="N223" s="0" t="n">
        <v>97</v>
      </c>
      <c r="O223" s="0" t="n">
        <v>0</v>
      </c>
    </row>
    <row r="224" customFormat="false" ht="15" hidden="false" customHeight="false" outlineLevel="0" collapsed="false">
      <c r="A224" s="0" t="s">
        <v>319</v>
      </c>
      <c r="B224" s="0" t="s">
        <v>85</v>
      </c>
      <c r="C224" s="0" t="s">
        <v>91</v>
      </c>
      <c r="D224" s="0" t="s">
        <v>95</v>
      </c>
      <c r="E224" s="0" t="s">
        <v>88</v>
      </c>
      <c r="F224" s="0" t="n">
        <v>21</v>
      </c>
      <c r="G224" s="0" t="n">
        <v>0</v>
      </c>
      <c r="H224" s="0" t="n">
        <v>17.7</v>
      </c>
      <c r="I224" s="0" t="n">
        <v>50.5</v>
      </c>
      <c r="J224" s="0" t="n">
        <v>52.8</v>
      </c>
      <c r="K224" s="0" t="n">
        <v>60.6</v>
      </c>
      <c r="L224" s="0" t="n">
        <v>3440.94</v>
      </c>
      <c r="M224" s="0" t="n">
        <v>10</v>
      </c>
      <c r="N224" s="0" t="n">
        <v>93.7</v>
      </c>
      <c r="O224" s="0" t="n">
        <v>0</v>
      </c>
    </row>
    <row r="225" customFormat="false" ht="15" hidden="false" customHeight="false" outlineLevel="0" collapsed="false">
      <c r="A225" s="0" t="s">
        <v>320</v>
      </c>
      <c r="B225" s="0" t="s">
        <v>94</v>
      </c>
      <c r="C225" s="0" t="s">
        <v>86</v>
      </c>
      <c r="D225" s="0" t="s">
        <v>87</v>
      </c>
      <c r="E225" s="0" t="s">
        <v>88</v>
      </c>
      <c r="F225" s="0" t="n">
        <v>26</v>
      </c>
      <c r="G225" s="0" t="n">
        <v>2.9</v>
      </c>
      <c r="H225" s="0" t="n">
        <v>28</v>
      </c>
      <c r="I225" s="0" t="n">
        <v>73.5</v>
      </c>
      <c r="J225" s="0" t="n">
        <v>90.9</v>
      </c>
      <c r="K225" s="0" t="n">
        <v>73.4</v>
      </c>
      <c r="L225" s="0" t="n">
        <v>5179.36</v>
      </c>
      <c r="M225" s="0" t="n">
        <v>6</v>
      </c>
      <c r="N225" s="0" t="n">
        <v>99.4</v>
      </c>
      <c r="O225" s="0" t="n">
        <v>0</v>
      </c>
    </row>
    <row r="226" customFormat="false" ht="15" hidden="false" customHeight="false" outlineLevel="0" collapsed="false">
      <c r="A226" s="0" t="s">
        <v>321</v>
      </c>
      <c r="B226" s="0" t="s">
        <v>99</v>
      </c>
      <c r="C226" s="0" t="s">
        <v>91</v>
      </c>
      <c r="D226" s="0" t="s">
        <v>87</v>
      </c>
      <c r="E226" s="0" t="s">
        <v>88</v>
      </c>
      <c r="F226" s="0" t="n">
        <v>38</v>
      </c>
      <c r="G226" s="0" t="n">
        <v>8.2</v>
      </c>
      <c r="H226" s="0" t="n">
        <v>19.1</v>
      </c>
      <c r="I226" s="0" t="n">
        <v>78.2</v>
      </c>
      <c r="J226" s="0" t="n">
        <v>86.1</v>
      </c>
      <c r="K226" s="0" t="n">
        <v>81.7</v>
      </c>
      <c r="L226" s="0" t="n">
        <v>4850.27</v>
      </c>
      <c r="M226" s="0" t="n">
        <v>7</v>
      </c>
      <c r="N226" s="0" t="n">
        <v>91.5</v>
      </c>
      <c r="O226" s="0" t="n">
        <v>1</v>
      </c>
    </row>
    <row r="227" customFormat="false" ht="15" hidden="false" customHeight="false" outlineLevel="0" collapsed="false">
      <c r="A227" s="0" t="s">
        <v>322</v>
      </c>
      <c r="B227" s="0" t="s">
        <v>94</v>
      </c>
      <c r="C227" s="0" t="s">
        <v>86</v>
      </c>
      <c r="D227" s="0" t="s">
        <v>92</v>
      </c>
      <c r="E227" s="0" t="s">
        <v>88</v>
      </c>
      <c r="F227" s="0" t="n">
        <v>42</v>
      </c>
      <c r="G227" s="0" t="n">
        <v>9.9</v>
      </c>
      <c r="H227" s="0" t="n">
        <v>40.2</v>
      </c>
      <c r="I227" s="0" t="n">
        <v>47.8</v>
      </c>
      <c r="J227" s="0" t="n">
        <v>57.3</v>
      </c>
      <c r="K227" s="0" t="n">
        <v>94.9</v>
      </c>
      <c r="L227" s="0" t="n">
        <v>7104.13</v>
      </c>
      <c r="M227" s="0" t="n">
        <v>8</v>
      </c>
      <c r="N227" s="0" t="n">
        <v>95.3</v>
      </c>
      <c r="O227" s="0" t="n">
        <v>1</v>
      </c>
    </row>
    <row r="228" customFormat="false" ht="15" hidden="false" customHeight="false" outlineLevel="0" collapsed="false">
      <c r="A228" s="0" t="s">
        <v>323</v>
      </c>
      <c r="B228" s="0" t="s">
        <v>99</v>
      </c>
      <c r="C228" s="0" t="s">
        <v>91</v>
      </c>
      <c r="D228" s="0" t="s">
        <v>95</v>
      </c>
      <c r="E228" s="0" t="s">
        <v>100</v>
      </c>
      <c r="F228" s="0" t="n">
        <v>35</v>
      </c>
      <c r="G228" s="0" t="n">
        <v>9.5</v>
      </c>
      <c r="H228" s="0" t="n">
        <v>38.5</v>
      </c>
      <c r="I228" s="0" t="n">
        <v>56.7</v>
      </c>
      <c r="J228" s="0" t="n">
        <v>66.3</v>
      </c>
      <c r="K228" s="0" t="n">
        <v>88.2</v>
      </c>
      <c r="L228" s="0" t="n">
        <v>7427.48</v>
      </c>
      <c r="M228" s="0" t="n">
        <v>7</v>
      </c>
      <c r="N228" s="0" t="n">
        <v>95.5</v>
      </c>
      <c r="O228" s="0" t="n">
        <v>1</v>
      </c>
    </row>
    <row r="229" customFormat="false" ht="15" hidden="false" customHeight="false" outlineLevel="0" collapsed="false">
      <c r="A229" s="0" t="s">
        <v>324</v>
      </c>
      <c r="B229" s="0" t="s">
        <v>90</v>
      </c>
      <c r="C229" s="0" t="s">
        <v>86</v>
      </c>
      <c r="D229" s="0" t="s">
        <v>92</v>
      </c>
      <c r="E229" s="0" t="s">
        <v>100</v>
      </c>
      <c r="F229" s="0" t="n">
        <v>21</v>
      </c>
      <c r="G229" s="0" t="n">
        <v>0.9</v>
      </c>
      <c r="H229" s="0" t="n">
        <v>34.4</v>
      </c>
      <c r="I229" s="0" t="n">
        <v>60.4</v>
      </c>
      <c r="J229" s="0" t="n">
        <v>66.9</v>
      </c>
      <c r="K229" s="0" t="n">
        <v>83.5</v>
      </c>
      <c r="L229" s="0" t="n">
        <v>6280.9</v>
      </c>
      <c r="M229" s="0" t="n">
        <v>6</v>
      </c>
      <c r="N229" s="0" t="n">
        <v>100</v>
      </c>
      <c r="O229" s="0" t="n">
        <v>0</v>
      </c>
    </row>
    <row r="230" customFormat="false" ht="15" hidden="false" customHeight="false" outlineLevel="0" collapsed="false">
      <c r="A230" s="0" t="s">
        <v>325</v>
      </c>
      <c r="B230" s="0" t="s">
        <v>85</v>
      </c>
      <c r="C230" s="0" t="s">
        <v>91</v>
      </c>
      <c r="D230" s="0" t="s">
        <v>87</v>
      </c>
      <c r="E230" s="0" t="s">
        <v>96</v>
      </c>
      <c r="F230" s="0" t="n">
        <v>34</v>
      </c>
      <c r="G230" s="0" t="n">
        <v>7</v>
      </c>
      <c r="H230" s="0" t="n">
        <v>64.1</v>
      </c>
      <c r="I230" s="0" t="n">
        <v>77.8</v>
      </c>
      <c r="J230" s="0" t="n">
        <v>82.9</v>
      </c>
      <c r="K230" s="0" t="n">
        <v>92.2</v>
      </c>
      <c r="L230" s="0" t="n">
        <v>7896.78</v>
      </c>
      <c r="M230" s="0" t="n">
        <v>5</v>
      </c>
      <c r="N230" s="0" t="n">
        <v>84.5</v>
      </c>
      <c r="O230" s="0" t="n">
        <v>1</v>
      </c>
    </row>
    <row r="231" customFormat="false" ht="15" hidden="false" customHeight="false" outlineLevel="0" collapsed="false">
      <c r="A231" s="0" t="s">
        <v>326</v>
      </c>
      <c r="B231" s="0" t="s">
        <v>99</v>
      </c>
      <c r="C231" s="0" t="s">
        <v>91</v>
      </c>
      <c r="D231" s="0" t="s">
        <v>87</v>
      </c>
      <c r="E231" s="0" t="s">
        <v>88</v>
      </c>
      <c r="F231" s="0" t="n">
        <v>41</v>
      </c>
      <c r="G231" s="0" t="n">
        <v>9.2</v>
      </c>
      <c r="H231" s="0" t="n">
        <v>46.6</v>
      </c>
      <c r="I231" s="0" t="n">
        <v>55.1</v>
      </c>
      <c r="J231" s="0" t="n">
        <v>71.6</v>
      </c>
      <c r="K231" s="0" t="n">
        <v>94.2</v>
      </c>
      <c r="L231" s="0" t="n">
        <v>8822.35</v>
      </c>
      <c r="M231" s="0" t="n">
        <v>6</v>
      </c>
      <c r="N231" s="0" t="n">
        <v>90.7</v>
      </c>
      <c r="O231" s="0" t="n">
        <v>1</v>
      </c>
    </row>
    <row r="232" customFormat="false" ht="15" hidden="false" customHeight="false" outlineLevel="0" collapsed="false">
      <c r="A232" s="0" t="s">
        <v>327</v>
      </c>
      <c r="B232" s="0" t="s">
        <v>99</v>
      </c>
      <c r="C232" s="0" t="s">
        <v>91</v>
      </c>
      <c r="D232" s="0" t="s">
        <v>87</v>
      </c>
      <c r="E232" s="0" t="s">
        <v>125</v>
      </c>
      <c r="F232" s="0" t="n">
        <v>27</v>
      </c>
      <c r="G232" s="0" t="n">
        <v>0.7</v>
      </c>
      <c r="H232" s="0" t="n">
        <v>48.7</v>
      </c>
      <c r="I232" s="0" t="n">
        <v>55.2</v>
      </c>
      <c r="J232" s="0" t="n">
        <v>67.2</v>
      </c>
      <c r="K232" s="0" t="n">
        <v>69.5</v>
      </c>
      <c r="L232" s="0" t="n">
        <v>5742.16</v>
      </c>
      <c r="M232" s="0" t="n">
        <v>5</v>
      </c>
      <c r="N232" s="0" t="n">
        <v>97.2</v>
      </c>
      <c r="O232" s="0" t="n">
        <v>0</v>
      </c>
    </row>
    <row r="233" customFormat="false" ht="15" hidden="false" customHeight="false" outlineLevel="0" collapsed="false">
      <c r="A233" s="0" t="s">
        <v>328</v>
      </c>
      <c r="B233" s="0" t="s">
        <v>90</v>
      </c>
      <c r="C233" s="0" t="s">
        <v>91</v>
      </c>
      <c r="D233" s="0" t="s">
        <v>87</v>
      </c>
      <c r="E233" s="0" t="s">
        <v>96</v>
      </c>
      <c r="F233" s="0" t="n">
        <v>28</v>
      </c>
      <c r="G233" s="0" t="n">
        <v>6</v>
      </c>
      <c r="H233" s="0" t="n">
        <v>28.8</v>
      </c>
      <c r="I233" s="0" t="n">
        <v>75.5</v>
      </c>
      <c r="J233" s="0" t="n">
        <v>86.8</v>
      </c>
      <c r="K233" s="0" t="n">
        <v>96</v>
      </c>
      <c r="L233" s="0" t="n">
        <v>7556.66</v>
      </c>
      <c r="M233" s="0" t="n">
        <v>4</v>
      </c>
      <c r="N233" s="0" t="n">
        <v>100</v>
      </c>
      <c r="O233" s="0" t="n">
        <v>0</v>
      </c>
    </row>
    <row r="234" customFormat="false" ht="15" hidden="false" customHeight="false" outlineLevel="0" collapsed="false">
      <c r="A234" s="0" t="s">
        <v>329</v>
      </c>
      <c r="B234" s="0" t="s">
        <v>94</v>
      </c>
      <c r="C234" s="0" t="s">
        <v>86</v>
      </c>
      <c r="D234" s="0" t="s">
        <v>87</v>
      </c>
      <c r="E234" s="0" t="s">
        <v>100</v>
      </c>
      <c r="F234" s="0" t="n">
        <v>32</v>
      </c>
      <c r="G234" s="0" t="n">
        <v>6.9</v>
      </c>
      <c r="H234" s="0" t="n">
        <v>28</v>
      </c>
      <c r="I234" s="0" t="n">
        <v>56.3</v>
      </c>
      <c r="J234" s="0" t="n">
        <v>66.6</v>
      </c>
      <c r="K234" s="0" t="n">
        <v>81.5</v>
      </c>
      <c r="L234" s="0" t="n">
        <v>6014.36</v>
      </c>
      <c r="M234" s="0" t="n">
        <v>6</v>
      </c>
      <c r="N234" s="0" t="n">
        <v>94.2</v>
      </c>
      <c r="O234" s="0" t="n">
        <v>1</v>
      </c>
    </row>
    <row r="235" customFormat="false" ht="15" hidden="false" customHeight="false" outlineLevel="0" collapsed="false">
      <c r="A235" s="0" t="s">
        <v>330</v>
      </c>
      <c r="B235" s="0" t="s">
        <v>90</v>
      </c>
      <c r="C235" s="0" t="s">
        <v>86</v>
      </c>
      <c r="D235" s="0" t="s">
        <v>95</v>
      </c>
      <c r="E235" s="0" t="s">
        <v>88</v>
      </c>
      <c r="F235" s="0" t="n">
        <v>27</v>
      </c>
      <c r="G235" s="0" t="n">
        <v>5</v>
      </c>
      <c r="H235" s="0" t="n">
        <v>40.4</v>
      </c>
      <c r="I235" s="0" t="n">
        <v>67.2</v>
      </c>
      <c r="J235" s="0" t="n">
        <v>71.2</v>
      </c>
      <c r="K235" s="0" t="n">
        <v>88.1</v>
      </c>
      <c r="L235" s="0" t="n">
        <v>8338.7</v>
      </c>
      <c r="M235" s="0" t="n">
        <v>5</v>
      </c>
      <c r="N235" s="0" t="n">
        <v>91.5</v>
      </c>
      <c r="O235" s="0" t="n">
        <v>1</v>
      </c>
    </row>
    <row r="236" customFormat="false" ht="15" hidden="false" customHeight="false" outlineLevel="0" collapsed="false">
      <c r="A236" s="0" t="s">
        <v>331</v>
      </c>
      <c r="B236" s="0" t="s">
        <v>94</v>
      </c>
      <c r="C236" s="0" t="s">
        <v>86</v>
      </c>
      <c r="D236" s="0" t="s">
        <v>87</v>
      </c>
      <c r="E236" s="0" t="s">
        <v>88</v>
      </c>
      <c r="F236" s="0" t="n">
        <v>21</v>
      </c>
      <c r="G236" s="0" t="n">
        <v>0.1</v>
      </c>
      <c r="H236" s="0" t="n">
        <v>42.1</v>
      </c>
      <c r="I236" s="0" t="n">
        <v>45.2</v>
      </c>
      <c r="J236" s="0" t="n">
        <v>58.3</v>
      </c>
      <c r="K236" s="0" t="n">
        <v>59.7</v>
      </c>
      <c r="L236" s="0" t="n">
        <v>4167.64</v>
      </c>
      <c r="M236" s="0" t="n">
        <v>8</v>
      </c>
      <c r="N236" s="0" t="n">
        <v>96.8</v>
      </c>
      <c r="O236" s="0" t="n">
        <v>0</v>
      </c>
    </row>
    <row r="237" customFormat="false" ht="15" hidden="false" customHeight="false" outlineLevel="0" collapsed="false">
      <c r="A237" s="0" t="s">
        <v>332</v>
      </c>
      <c r="B237" s="0" t="s">
        <v>94</v>
      </c>
      <c r="C237" s="0" t="s">
        <v>86</v>
      </c>
      <c r="D237" s="0" t="s">
        <v>87</v>
      </c>
      <c r="E237" s="0" t="s">
        <v>125</v>
      </c>
      <c r="F237" s="0" t="n">
        <v>35</v>
      </c>
      <c r="G237" s="0" t="n">
        <v>5</v>
      </c>
      <c r="H237" s="0" t="n">
        <v>17.7</v>
      </c>
      <c r="I237" s="0" t="n">
        <v>58.3</v>
      </c>
      <c r="J237" s="0" t="n">
        <v>62.9</v>
      </c>
      <c r="K237" s="0" t="n">
        <v>65.4</v>
      </c>
      <c r="L237" s="0" t="n">
        <v>4249.18</v>
      </c>
      <c r="M237" s="0" t="n">
        <v>8</v>
      </c>
      <c r="N237" s="0" t="n">
        <v>97.3</v>
      </c>
      <c r="O237" s="0" t="n">
        <v>0</v>
      </c>
    </row>
    <row r="238" customFormat="false" ht="15" hidden="false" customHeight="false" outlineLevel="0" collapsed="false">
      <c r="A238" s="0" t="s">
        <v>333</v>
      </c>
      <c r="B238" s="0" t="s">
        <v>90</v>
      </c>
      <c r="C238" s="0" t="s">
        <v>91</v>
      </c>
      <c r="D238" s="0" t="s">
        <v>92</v>
      </c>
      <c r="E238" s="0" t="s">
        <v>88</v>
      </c>
      <c r="F238" s="0" t="n">
        <v>26</v>
      </c>
      <c r="G238" s="0" t="n">
        <v>5</v>
      </c>
      <c r="H238" s="0" t="n">
        <v>37.8</v>
      </c>
      <c r="I238" s="0" t="n">
        <v>43.4</v>
      </c>
      <c r="J238" s="0" t="n">
        <v>52.5</v>
      </c>
      <c r="K238" s="0" t="n">
        <v>90.9</v>
      </c>
      <c r="L238" s="0" t="n">
        <v>5036.45</v>
      </c>
      <c r="M238" s="0" t="n">
        <v>6</v>
      </c>
      <c r="N238" s="0" t="n">
        <v>91.2</v>
      </c>
      <c r="O238" s="0" t="n">
        <v>1</v>
      </c>
    </row>
    <row r="239" customFormat="false" ht="15" hidden="false" customHeight="false" outlineLevel="0" collapsed="false">
      <c r="A239" s="0" t="s">
        <v>334</v>
      </c>
      <c r="B239" s="0" t="s">
        <v>85</v>
      </c>
      <c r="C239" s="0" t="s">
        <v>91</v>
      </c>
      <c r="D239" s="0" t="s">
        <v>87</v>
      </c>
      <c r="E239" s="0" t="s">
        <v>88</v>
      </c>
      <c r="F239" s="0" t="n">
        <v>26</v>
      </c>
      <c r="G239" s="0" t="n">
        <v>5.5</v>
      </c>
      <c r="H239" s="0" t="n">
        <v>40.2</v>
      </c>
      <c r="I239" s="0" t="n">
        <v>49.4</v>
      </c>
      <c r="J239" s="0" t="n">
        <v>50.8</v>
      </c>
      <c r="K239" s="0" t="n">
        <v>81</v>
      </c>
      <c r="L239" s="0" t="n">
        <v>8295.92</v>
      </c>
      <c r="M239" s="0" t="n">
        <v>7</v>
      </c>
      <c r="N239" s="0" t="n">
        <v>94.7</v>
      </c>
      <c r="O239" s="0" t="n">
        <v>0</v>
      </c>
    </row>
    <row r="240" customFormat="false" ht="15" hidden="false" customHeight="false" outlineLevel="0" collapsed="false">
      <c r="A240" s="0" t="s">
        <v>335</v>
      </c>
      <c r="B240" s="0" t="s">
        <v>99</v>
      </c>
      <c r="C240" s="0" t="s">
        <v>91</v>
      </c>
      <c r="D240" s="0" t="s">
        <v>87</v>
      </c>
      <c r="E240" s="0" t="s">
        <v>125</v>
      </c>
      <c r="F240" s="0" t="n">
        <v>26</v>
      </c>
      <c r="G240" s="0" t="n">
        <v>4.2</v>
      </c>
      <c r="H240" s="0" t="n">
        <v>37.4</v>
      </c>
      <c r="I240" s="0" t="n">
        <v>68.4</v>
      </c>
      <c r="J240" s="0" t="n">
        <v>68.2</v>
      </c>
      <c r="K240" s="0" t="n">
        <v>64.3</v>
      </c>
      <c r="L240" s="0" t="n">
        <v>6248</v>
      </c>
      <c r="M240" s="0" t="n">
        <v>4</v>
      </c>
      <c r="N240" s="0" t="n">
        <v>98.9</v>
      </c>
      <c r="O240" s="0" t="n">
        <v>0</v>
      </c>
    </row>
    <row r="241" customFormat="false" ht="15" hidden="false" customHeight="false" outlineLevel="0" collapsed="false">
      <c r="A241" s="0" t="s">
        <v>336</v>
      </c>
      <c r="B241" s="0" t="s">
        <v>99</v>
      </c>
      <c r="C241" s="0" t="s">
        <v>91</v>
      </c>
      <c r="D241" s="0" t="s">
        <v>92</v>
      </c>
      <c r="E241" s="0" t="s">
        <v>125</v>
      </c>
      <c r="F241" s="0" t="n">
        <v>30</v>
      </c>
      <c r="G241" s="0" t="n">
        <v>4.6</v>
      </c>
      <c r="H241" s="0" t="n">
        <v>30.2</v>
      </c>
      <c r="I241" s="0" t="n">
        <v>59.5</v>
      </c>
      <c r="J241" s="0" t="n">
        <v>68.8</v>
      </c>
      <c r="K241" s="0" t="n">
        <v>83.1</v>
      </c>
      <c r="L241" s="0" t="n">
        <v>5303.79</v>
      </c>
      <c r="M241" s="0" t="n">
        <v>6</v>
      </c>
      <c r="N241" s="0" t="n">
        <v>100</v>
      </c>
      <c r="O241" s="0" t="n">
        <v>0</v>
      </c>
    </row>
    <row r="242" customFormat="false" ht="15" hidden="false" customHeight="false" outlineLevel="0" collapsed="false">
      <c r="A242" s="0" t="s">
        <v>337</v>
      </c>
      <c r="B242" s="0" t="s">
        <v>94</v>
      </c>
      <c r="C242" s="0" t="s">
        <v>91</v>
      </c>
      <c r="D242" s="0" t="s">
        <v>92</v>
      </c>
      <c r="E242" s="0" t="s">
        <v>88</v>
      </c>
      <c r="F242" s="0" t="n">
        <v>33</v>
      </c>
      <c r="G242" s="0" t="n">
        <v>5.9</v>
      </c>
      <c r="H242" s="0" t="n">
        <v>33.5</v>
      </c>
      <c r="I242" s="0" t="n">
        <v>56.8</v>
      </c>
      <c r="J242" s="0" t="n">
        <v>61.6</v>
      </c>
      <c r="K242" s="0" t="n">
        <v>74.5</v>
      </c>
      <c r="L242" s="0" t="n">
        <v>7056.62</v>
      </c>
      <c r="M242" s="0" t="n">
        <v>8</v>
      </c>
      <c r="N242" s="0" t="n">
        <v>96.7</v>
      </c>
      <c r="O242" s="0" t="n">
        <v>1</v>
      </c>
    </row>
    <row r="243" customFormat="false" ht="15" hidden="false" customHeight="false" outlineLevel="0" collapsed="false">
      <c r="A243" s="0" t="s">
        <v>338</v>
      </c>
      <c r="B243" s="0" t="s">
        <v>85</v>
      </c>
      <c r="C243" s="0" t="s">
        <v>91</v>
      </c>
      <c r="D243" s="0" t="s">
        <v>87</v>
      </c>
      <c r="E243" s="0" t="s">
        <v>100</v>
      </c>
      <c r="F243" s="0" t="n">
        <v>35</v>
      </c>
      <c r="G243" s="0" t="n">
        <v>7.4</v>
      </c>
      <c r="H243" s="0" t="n">
        <v>37.9</v>
      </c>
      <c r="I243" s="0" t="n">
        <v>52.5</v>
      </c>
      <c r="J243" s="0" t="n">
        <v>52.5</v>
      </c>
      <c r="K243" s="0" t="n">
        <v>91.5</v>
      </c>
      <c r="L243" s="0" t="n">
        <v>7357.42</v>
      </c>
      <c r="M243" s="0" t="n">
        <v>8</v>
      </c>
      <c r="N243" s="0" t="n">
        <v>93.2</v>
      </c>
      <c r="O243" s="0" t="n">
        <v>1</v>
      </c>
    </row>
    <row r="244" customFormat="false" ht="15" hidden="false" customHeight="false" outlineLevel="0" collapsed="false">
      <c r="A244" s="0" t="s">
        <v>339</v>
      </c>
      <c r="B244" s="0" t="s">
        <v>99</v>
      </c>
      <c r="C244" s="0" t="s">
        <v>86</v>
      </c>
      <c r="D244" s="0" t="s">
        <v>87</v>
      </c>
      <c r="E244" s="0" t="s">
        <v>88</v>
      </c>
      <c r="F244" s="0" t="n">
        <v>34</v>
      </c>
      <c r="G244" s="0" t="n">
        <v>5</v>
      </c>
      <c r="H244" s="0" t="n">
        <v>41.1</v>
      </c>
      <c r="I244" s="0" t="n">
        <v>57.8</v>
      </c>
      <c r="J244" s="0" t="n">
        <v>68</v>
      </c>
      <c r="K244" s="0" t="n">
        <v>79.8</v>
      </c>
      <c r="L244" s="0" t="n">
        <v>7860.51</v>
      </c>
      <c r="M244" s="0" t="n">
        <v>6</v>
      </c>
      <c r="N244" s="0" t="n">
        <v>92.7</v>
      </c>
      <c r="O244" s="0" t="n">
        <v>0</v>
      </c>
    </row>
    <row r="245" customFormat="false" ht="15" hidden="false" customHeight="false" outlineLevel="0" collapsed="false">
      <c r="A245" s="0" t="s">
        <v>340</v>
      </c>
      <c r="B245" s="0" t="s">
        <v>90</v>
      </c>
      <c r="C245" s="0" t="s">
        <v>86</v>
      </c>
      <c r="D245" s="0" t="s">
        <v>87</v>
      </c>
      <c r="E245" s="0" t="s">
        <v>100</v>
      </c>
      <c r="F245" s="0" t="n">
        <v>24</v>
      </c>
      <c r="G245" s="0" t="n">
        <v>4.7</v>
      </c>
      <c r="H245" s="0" t="n">
        <v>47.3</v>
      </c>
      <c r="I245" s="0" t="n">
        <v>63</v>
      </c>
      <c r="J245" s="0" t="n">
        <v>79.5</v>
      </c>
      <c r="K245" s="0" t="n">
        <v>86.4</v>
      </c>
      <c r="L245" s="0" t="n">
        <v>4969.95</v>
      </c>
      <c r="M245" s="0" t="n">
        <v>9</v>
      </c>
      <c r="N245" s="0" t="n">
        <v>95.8</v>
      </c>
      <c r="O245" s="0" t="n">
        <v>1</v>
      </c>
    </row>
    <row r="246" customFormat="false" ht="15" hidden="false" customHeight="false" outlineLevel="0" collapsed="false">
      <c r="A246" s="0" t="s">
        <v>341</v>
      </c>
      <c r="B246" s="0" t="s">
        <v>85</v>
      </c>
      <c r="C246" s="0" t="s">
        <v>91</v>
      </c>
      <c r="D246" s="0" t="s">
        <v>92</v>
      </c>
      <c r="E246" s="0" t="s">
        <v>88</v>
      </c>
      <c r="F246" s="0" t="n">
        <v>36</v>
      </c>
      <c r="G246" s="0" t="n">
        <v>6.3</v>
      </c>
      <c r="H246" s="0" t="n">
        <v>53</v>
      </c>
      <c r="I246" s="0" t="n">
        <v>69.8</v>
      </c>
      <c r="J246" s="0" t="n">
        <v>83.4</v>
      </c>
      <c r="K246" s="0" t="n">
        <v>93.1</v>
      </c>
      <c r="L246" s="0" t="n">
        <v>6852.68</v>
      </c>
      <c r="M246" s="0" t="n">
        <v>5</v>
      </c>
      <c r="N246" s="0" t="n">
        <v>92.4</v>
      </c>
      <c r="O246" s="0" t="n">
        <v>1</v>
      </c>
    </row>
    <row r="247" customFormat="false" ht="15" hidden="false" customHeight="false" outlineLevel="0" collapsed="false">
      <c r="A247" s="0" t="s">
        <v>342</v>
      </c>
      <c r="B247" s="0" t="s">
        <v>94</v>
      </c>
      <c r="C247" s="0" t="s">
        <v>91</v>
      </c>
      <c r="D247" s="0" t="s">
        <v>92</v>
      </c>
      <c r="E247" s="0" t="s">
        <v>88</v>
      </c>
      <c r="F247" s="0" t="n">
        <v>21</v>
      </c>
      <c r="G247" s="0" t="n">
        <v>0</v>
      </c>
      <c r="H247" s="0" t="n">
        <v>36.5</v>
      </c>
      <c r="I247" s="0" t="n">
        <v>33.7</v>
      </c>
      <c r="J247" s="0" t="n">
        <v>40.7</v>
      </c>
      <c r="K247" s="0" t="n">
        <v>62.5</v>
      </c>
      <c r="L247" s="0" t="n">
        <v>3981.23</v>
      </c>
      <c r="M247" s="0" t="n">
        <v>5</v>
      </c>
      <c r="N247" s="0" t="n">
        <v>93.9</v>
      </c>
      <c r="O247" s="0" t="n">
        <v>0</v>
      </c>
    </row>
    <row r="248" customFormat="false" ht="15" hidden="false" customHeight="false" outlineLevel="0" collapsed="false">
      <c r="A248" s="0" t="s">
        <v>343</v>
      </c>
      <c r="B248" s="0" t="s">
        <v>85</v>
      </c>
      <c r="C248" s="0" t="s">
        <v>86</v>
      </c>
      <c r="D248" s="0" t="s">
        <v>92</v>
      </c>
      <c r="E248" s="0" t="s">
        <v>125</v>
      </c>
      <c r="F248" s="0" t="n">
        <v>36</v>
      </c>
      <c r="G248" s="0" t="n">
        <v>7.5</v>
      </c>
      <c r="H248" s="0" t="n">
        <v>34.5</v>
      </c>
      <c r="I248" s="0" t="n">
        <v>51.7</v>
      </c>
      <c r="J248" s="0" t="n">
        <v>59.7</v>
      </c>
      <c r="K248" s="0" t="n">
        <v>73.6</v>
      </c>
      <c r="L248" s="0" t="n">
        <v>4582.69</v>
      </c>
      <c r="M248" s="0" t="n">
        <v>8</v>
      </c>
      <c r="N248" s="0" t="n">
        <v>87.7</v>
      </c>
      <c r="O248" s="0" t="n">
        <v>1</v>
      </c>
    </row>
    <row r="249" customFormat="false" ht="15" hidden="false" customHeight="false" outlineLevel="0" collapsed="false">
      <c r="A249" s="0" t="s">
        <v>344</v>
      </c>
      <c r="B249" s="0" t="s">
        <v>90</v>
      </c>
      <c r="C249" s="0" t="s">
        <v>86</v>
      </c>
      <c r="D249" s="0" t="s">
        <v>95</v>
      </c>
      <c r="E249" s="0" t="s">
        <v>88</v>
      </c>
      <c r="F249" s="0" t="n">
        <v>28</v>
      </c>
      <c r="G249" s="0" t="n">
        <v>6</v>
      </c>
      <c r="H249" s="0" t="n">
        <v>45.3</v>
      </c>
      <c r="I249" s="0" t="n">
        <v>61.6</v>
      </c>
      <c r="J249" s="0" t="n">
        <v>73.2</v>
      </c>
      <c r="K249" s="0" t="n">
        <v>85.3</v>
      </c>
      <c r="L249" s="0" t="n">
        <v>7545.79</v>
      </c>
      <c r="M249" s="0" t="n">
        <v>10</v>
      </c>
      <c r="N249" s="0" t="n">
        <v>99.5</v>
      </c>
      <c r="O249" s="0" t="n">
        <v>1</v>
      </c>
    </row>
    <row r="250" customFormat="false" ht="15" hidden="false" customHeight="false" outlineLevel="0" collapsed="false">
      <c r="A250" s="0" t="s">
        <v>345</v>
      </c>
      <c r="B250" s="0" t="s">
        <v>90</v>
      </c>
      <c r="C250" s="0" t="s">
        <v>91</v>
      </c>
      <c r="D250" s="0" t="s">
        <v>95</v>
      </c>
      <c r="E250" s="0" t="s">
        <v>96</v>
      </c>
      <c r="F250" s="0" t="n">
        <v>32</v>
      </c>
      <c r="G250" s="0" t="n">
        <v>6.1</v>
      </c>
      <c r="H250" s="0" t="n">
        <v>47.3</v>
      </c>
      <c r="I250" s="0" t="n">
        <v>59</v>
      </c>
      <c r="J250" s="0" t="n">
        <v>71.5</v>
      </c>
      <c r="K250" s="0" t="n">
        <v>93.3</v>
      </c>
      <c r="L250" s="0" t="n">
        <v>6573.14</v>
      </c>
      <c r="M250" s="0" t="n">
        <v>8</v>
      </c>
      <c r="N250" s="0" t="n">
        <v>87.3</v>
      </c>
      <c r="O250" s="0" t="n">
        <v>1</v>
      </c>
    </row>
    <row r="251" customFormat="false" ht="15" hidden="false" customHeight="false" outlineLevel="0" collapsed="false">
      <c r="A251" s="0" t="s">
        <v>346</v>
      </c>
      <c r="B251" s="0" t="s">
        <v>90</v>
      </c>
      <c r="C251" s="0" t="s">
        <v>86</v>
      </c>
      <c r="D251" s="0" t="s">
        <v>92</v>
      </c>
      <c r="E251" s="0" t="s">
        <v>88</v>
      </c>
      <c r="F251" s="0" t="n">
        <v>37</v>
      </c>
      <c r="G251" s="0" t="n">
        <v>9.1</v>
      </c>
      <c r="H251" s="0" t="n">
        <v>34.8</v>
      </c>
      <c r="I251" s="0" t="n">
        <v>64</v>
      </c>
      <c r="J251" s="0" t="n">
        <v>70.6</v>
      </c>
      <c r="K251" s="0" t="n">
        <v>79.2</v>
      </c>
      <c r="L251" s="0" t="n">
        <v>7520.67</v>
      </c>
      <c r="M251" s="0" t="n">
        <v>7</v>
      </c>
      <c r="N251" s="0" t="n">
        <v>90.8</v>
      </c>
      <c r="O251" s="0" t="n">
        <v>1</v>
      </c>
    </row>
    <row r="252" customFormat="false" ht="15" hidden="false" customHeight="false" outlineLevel="0" collapsed="false">
      <c r="A252" s="0" t="s">
        <v>347</v>
      </c>
      <c r="B252" s="0" t="s">
        <v>85</v>
      </c>
      <c r="C252" s="0" t="s">
        <v>86</v>
      </c>
      <c r="D252" s="0" t="s">
        <v>87</v>
      </c>
      <c r="E252" s="0" t="s">
        <v>96</v>
      </c>
      <c r="F252" s="0" t="n">
        <v>25</v>
      </c>
      <c r="G252" s="0" t="n">
        <v>0</v>
      </c>
      <c r="H252" s="0" t="n">
        <v>49.5</v>
      </c>
      <c r="I252" s="0" t="n">
        <v>62.7</v>
      </c>
      <c r="J252" s="0" t="n">
        <v>70.8</v>
      </c>
      <c r="K252" s="0" t="n">
        <v>60.6</v>
      </c>
      <c r="L252" s="0" t="n">
        <v>7012.79</v>
      </c>
      <c r="M252" s="0" t="n">
        <v>3</v>
      </c>
      <c r="N252" s="0" t="n">
        <v>93.5</v>
      </c>
      <c r="O252" s="0" t="n">
        <v>0</v>
      </c>
    </row>
    <row r="253" customFormat="false" ht="15" hidden="false" customHeight="false" outlineLevel="0" collapsed="false">
      <c r="A253" s="0" t="s">
        <v>348</v>
      </c>
      <c r="B253" s="0" t="s">
        <v>94</v>
      </c>
      <c r="C253" s="0" t="s">
        <v>91</v>
      </c>
      <c r="D253" s="0" t="s">
        <v>92</v>
      </c>
      <c r="E253" s="0" t="s">
        <v>96</v>
      </c>
      <c r="F253" s="0" t="n">
        <v>21</v>
      </c>
      <c r="G253" s="0" t="n">
        <v>0</v>
      </c>
      <c r="H253" s="0" t="n">
        <v>51.8</v>
      </c>
      <c r="I253" s="0" t="n">
        <v>57</v>
      </c>
      <c r="J253" s="0" t="n">
        <v>66.2</v>
      </c>
      <c r="K253" s="0" t="n">
        <v>79.9</v>
      </c>
      <c r="L253" s="0" t="n">
        <v>4952.58</v>
      </c>
      <c r="M253" s="0" t="n">
        <v>4</v>
      </c>
      <c r="N253" s="0" t="n">
        <v>100</v>
      </c>
      <c r="O253" s="0" t="n">
        <v>0</v>
      </c>
    </row>
    <row r="254" customFormat="false" ht="15" hidden="false" customHeight="false" outlineLevel="0" collapsed="false">
      <c r="A254" s="0" t="s">
        <v>349</v>
      </c>
      <c r="B254" s="0" t="s">
        <v>90</v>
      </c>
      <c r="C254" s="0" t="s">
        <v>91</v>
      </c>
      <c r="D254" s="0" t="s">
        <v>92</v>
      </c>
      <c r="E254" s="0" t="s">
        <v>96</v>
      </c>
      <c r="F254" s="0" t="n">
        <v>33</v>
      </c>
      <c r="G254" s="0" t="n">
        <v>6.9</v>
      </c>
      <c r="H254" s="0" t="n">
        <v>55.5</v>
      </c>
      <c r="I254" s="0" t="n">
        <v>54.7</v>
      </c>
      <c r="J254" s="0" t="n">
        <v>64.9</v>
      </c>
      <c r="K254" s="0" t="n">
        <v>87.6</v>
      </c>
      <c r="L254" s="0" t="n">
        <v>6879.96</v>
      </c>
      <c r="M254" s="0" t="n">
        <v>7</v>
      </c>
      <c r="N254" s="0" t="n">
        <v>90.9</v>
      </c>
      <c r="O254" s="0" t="n">
        <v>1</v>
      </c>
    </row>
    <row r="255" customFormat="false" ht="15" hidden="false" customHeight="false" outlineLevel="0" collapsed="false">
      <c r="A255" s="0" t="s">
        <v>350</v>
      </c>
      <c r="B255" s="0" t="s">
        <v>99</v>
      </c>
      <c r="C255" s="0" t="s">
        <v>86</v>
      </c>
      <c r="D255" s="0" t="s">
        <v>92</v>
      </c>
      <c r="E255" s="0" t="s">
        <v>125</v>
      </c>
      <c r="F255" s="0" t="n">
        <v>28</v>
      </c>
      <c r="G255" s="0" t="n">
        <v>6</v>
      </c>
      <c r="H255" s="0" t="n">
        <v>61.3</v>
      </c>
      <c r="I255" s="0" t="n">
        <v>57.5</v>
      </c>
      <c r="J255" s="0" t="n">
        <v>65</v>
      </c>
      <c r="K255" s="0" t="n">
        <v>86.5</v>
      </c>
      <c r="L255" s="0" t="n">
        <v>7356.3</v>
      </c>
      <c r="M255" s="0" t="n">
        <v>6</v>
      </c>
      <c r="N255" s="0" t="n">
        <v>89.7</v>
      </c>
      <c r="O255" s="0" t="n">
        <v>1</v>
      </c>
    </row>
    <row r="256" customFormat="false" ht="15" hidden="false" customHeight="false" outlineLevel="0" collapsed="false">
      <c r="A256" s="0" t="s">
        <v>351</v>
      </c>
      <c r="B256" s="0" t="s">
        <v>99</v>
      </c>
      <c r="C256" s="0" t="s">
        <v>91</v>
      </c>
      <c r="D256" s="0" t="s">
        <v>92</v>
      </c>
      <c r="E256" s="0" t="s">
        <v>88</v>
      </c>
      <c r="F256" s="0" t="n">
        <v>34</v>
      </c>
      <c r="G256" s="0" t="n">
        <v>6.5</v>
      </c>
      <c r="H256" s="0" t="n">
        <v>29.6</v>
      </c>
      <c r="I256" s="0" t="n">
        <v>71.5</v>
      </c>
      <c r="J256" s="0" t="n">
        <v>79</v>
      </c>
      <c r="K256" s="0" t="n">
        <v>66.1</v>
      </c>
      <c r="L256" s="0" t="n">
        <v>6689.02</v>
      </c>
      <c r="M256" s="0" t="n">
        <v>5</v>
      </c>
      <c r="N256" s="0" t="n">
        <v>90.2</v>
      </c>
      <c r="O256" s="0" t="n">
        <v>1</v>
      </c>
    </row>
    <row r="257" customFormat="false" ht="15" hidden="false" customHeight="false" outlineLevel="0" collapsed="false">
      <c r="A257" s="0" t="s">
        <v>352</v>
      </c>
      <c r="B257" s="0" t="s">
        <v>85</v>
      </c>
      <c r="C257" s="0" t="s">
        <v>86</v>
      </c>
      <c r="D257" s="0" t="s">
        <v>87</v>
      </c>
      <c r="E257" s="0" t="s">
        <v>100</v>
      </c>
      <c r="F257" s="0" t="n">
        <v>32</v>
      </c>
      <c r="G257" s="0" t="n">
        <v>4.5</v>
      </c>
      <c r="H257" s="0" t="n">
        <v>40.2</v>
      </c>
      <c r="I257" s="0" t="n">
        <v>52.7</v>
      </c>
      <c r="J257" s="0" t="n">
        <v>66.2</v>
      </c>
      <c r="K257" s="0" t="n">
        <v>72.4</v>
      </c>
      <c r="L257" s="0" t="n">
        <v>5308.96</v>
      </c>
      <c r="M257" s="0" t="n">
        <v>7</v>
      </c>
      <c r="N257" s="0" t="n">
        <v>100</v>
      </c>
      <c r="O257" s="0" t="n">
        <v>0</v>
      </c>
    </row>
    <row r="258" customFormat="false" ht="15" hidden="false" customHeight="false" outlineLevel="0" collapsed="false">
      <c r="A258" s="0" t="s">
        <v>353</v>
      </c>
      <c r="B258" s="0" t="s">
        <v>94</v>
      </c>
      <c r="C258" s="0" t="s">
        <v>91</v>
      </c>
      <c r="D258" s="0" t="s">
        <v>95</v>
      </c>
      <c r="E258" s="0" t="s">
        <v>88</v>
      </c>
      <c r="F258" s="0" t="n">
        <v>39</v>
      </c>
      <c r="G258" s="0" t="n">
        <v>8.1</v>
      </c>
      <c r="H258" s="0" t="n">
        <v>40.1</v>
      </c>
      <c r="I258" s="0" t="n">
        <v>59.4</v>
      </c>
      <c r="J258" s="0" t="n">
        <v>72.2</v>
      </c>
      <c r="K258" s="0" t="n">
        <v>84.6</v>
      </c>
      <c r="L258" s="0" t="n">
        <v>6330.13</v>
      </c>
      <c r="M258" s="0" t="n">
        <v>7</v>
      </c>
      <c r="N258" s="0" t="n">
        <v>78.9</v>
      </c>
      <c r="O258" s="0" t="n">
        <v>0</v>
      </c>
    </row>
    <row r="259" customFormat="false" ht="15" hidden="false" customHeight="false" outlineLevel="0" collapsed="false">
      <c r="A259" s="0" t="s">
        <v>354</v>
      </c>
      <c r="B259" s="0" t="s">
        <v>99</v>
      </c>
      <c r="C259" s="0" t="s">
        <v>86</v>
      </c>
      <c r="D259" s="0" t="s">
        <v>92</v>
      </c>
      <c r="E259" s="0" t="s">
        <v>88</v>
      </c>
      <c r="F259" s="0" t="n">
        <v>35</v>
      </c>
      <c r="G259" s="0" t="n">
        <v>9</v>
      </c>
      <c r="H259" s="0" t="n">
        <v>38.8</v>
      </c>
      <c r="I259" s="0" t="n">
        <v>61.8</v>
      </c>
      <c r="J259" s="0" t="n">
        <v>71.7</v>
      </c>
      <c r="K259" s="0" t="n">
        <v>93.3</v>
      </c>
      <c r="L259" s="0" t="n">
        <v>8152.97</v>
      </c>
      <c r="M259" s="0" t="n">
        <v>9</v>
      </c>
      <c r="N259" s="0" t="n">
        <v>88</v>
      </c>
      <c r="O259" s="0" t="n">
        <v>1</v>
      </c>
    </row>
    <row r="260" customFormat="false" ht="15" hidden="false" customHeight="false" outlineLevel="0" collapsed="false">
      <c r="A260" s="0" t="s">
        <v>355</v>
      </c>
      <c r="B260" s="0" t="s">
        <v>99</v>
      </c>
      <c r="C260" s="0" t="s">
        <v>91</v>
      </c>
      <c r="D260" s="0" t="s">
        <v>87</v>
      </c>
      <c r="E260" s="0" t="s">
        <v>125</v>
      </c>
      <c r="F260" s="0" t="n">
        <v>37</v>
      </c>
      <c r="G260" s="0" t="n">
        <v>7.5</v>
      </c>
      <c r="H260" s="0" t="n">
        <v>32.2</v>
      </c>
      <c r="I260" s="0" t="n">
        <v>75.6</v>
      </c>
      <c r="J260" s="0" t="n">
        <v>90.5</v>
      </c>
      <c r="K260" s="0" t="n">
        <v>76.4</v>
      </c>
      <c r="L260" s="0" t="n">
        <v>6649.78</v>
      </c>
      <c r="M260" s="0" t="n">
        <v>7</v>
      </c>
      <c r="N260" s="0" t="n">
        <v>100</v>
      </c>
      <c r="O260" s="0" t="n">
        <v>1</v>
      </c>
    </row>
    <row r="261" customFormat="false" ht="15" hidden="false" customHeight="false" outlineLevel="0" collapsed="false">
      <c r="A261" s="0" t="s">
        <v>356</v>
      </c>
      <c r="B261" s="0" t="s">
        <v>90</v>
      </c>
      <c r="C261" s="0" t="s">
        <v>86</v>
      </c>
      <c r="D261" s="0" t="s">
        <v>87</v>
      </c>
      <c r="E261" s="0" t="s">
        <v>88</v>
      </c>
      <c r="F261" s="0" t="n">
        <v>34</v>
      </c>
      <c r="G261" s="0" t="n">
        <v>5.2</v>
      </c>
      <c r="H261" s="0" t="n">
        <v>22.2</v>
      </c>
      <c r="I261" s="0" t="n">
        <v>57</v>
      </c>
      <c r="J261" s="0" t="n">
        <v>63.5</v>
      </c>
      <c r="K261" s="0" t="n">
        <v>88.7</v>
      </c>
      <c r="L261" s="0" t="n">
        <v>3678.24</v>
      </c>
      <c r="M261" s="0" t="n">
        <v>9</v>
      </c>
      <c r="N261" s="0" t="n">
        <v>96</v>
      </c>
      <c r="O261" s="0" t="n">
        <v>1</v>
      </c>
    </row>
    <row r="262" customFormat="false" ht="15" hidden="false" customHeight="false" outlineLevel="0" collapsed="false">
      <c r="A262" s="0" t="s">
        <v>357</v>
      </c>
      <c r="B262" s="0" t="s">
        <v>99</v>
      </c>
      <c r="C262" s="0" t="s">
        <v>86</v>
      </c>
      <c r="D262" s="0" t="s">
        <v>95</v>
      </c>
      <c r="E262" s="0" t="s">
        <v>96</v>
      </c>
      <c r="F262" s="0" t="n">
        <v>21</v>
      </c>
      <c r="G262" s="0" t="n">
        <v>0</v>
      </c>
      <c r="H262" s="0" t="n">
        <v>41.1</v>
      </c>
      <c r="I262" s="0" t="n">
        <v>69.6</v>
      </c>
      <c r="J262" s="0" t="n">
        <v>84.1</v>
      </c>
      <c r="K262" s="0" t="n">
        <v>66.6</v>
      </c>
      <c r="L262" s="0" t="n">
        <v>3540.15</v>
      </c>
      <c r="M262" s="0" t="n">
        <v>7</v>
      </c>
      <c r="N262" s="0" t="n">
        <v>87.5</v>
      </c>
      <c r="O262" s="0" t="n">
        <v>0</v>
      </c>
    </row>
    <row r="263" customFormat="false" ht="15" hidden="false" customHeight="false" outlineLevel="0" collapsed="false">
      <c r="A263" s="0" t="s">
        <v>358</v>
      </c>
      <c r="B263" s="0" t="s">
        <v>94</v>
      </c>
      <c r="C263" s="0" t="s">
        <v>91</v>
      </c>
      <c r="D263" s="0" t="s">
        <v>87</v>
      </c>
      <c r="E263" s="0" t="s">
        <v>88</v>
      </c>
      <c r="F263" s="0" t="n">
        <v>37</v>
      </c>
      <c r="G263" s="0" t="n">
        <v>8.5</v>
      </c>
      <c r="H263" s="0" t="n">
        <v>30.8</v>
      </c>
      <c r="I263" s="0" t="n">
        <v>72.3</v>
      </c>
      <c r="J263" s="0" t="n">
        <v>82.5</v>
      </c>
      <c r="K263" s="0" t="n">
        <v>77.3</v>
      </c>
      <c r="L263" s="0" t="n">
        <v>7867.61</v>
      </c>
      <c r="M263" s="0" t="n">
        <v>7</v>
      </c>
      <c r="N263" s="0" t="n">
        <v>92.8</v>
      </c>
      <c r="O263" s="0" t="n">
        <v>0</v>
      </c>
    </row>
    <row r="264" customFormat="false" ht="15" hidden="false" customHeight="false" outlineLevel="0" collapsed="false">
      <c r="A264" s="0" t="s">
        <v>359</v>
      </c>
      <c r="B264" s="0" t="s">
        <v>90</v>
      </c>
      <c r="C264" s="0" t="s">
        <v>86</v>
      </c>
      <c r="D264" s="0" t="s">
        <v>92</v>
      </c>
      <c r="E264" s="0" t="s">
        <v>88</v>
      </c>
      <c r="F264" s="0" t="n">
        <v>41</v>
      </c>
      <c r="G264" s="0" t="n">
        <v>9.9</v>
      </c>
      <c r="H264" s="0" t="n">
        <v>41</v>
      </c>
      <c r="I264" s="0" t="n">
        <v>59.4</v>
      </c>
      <c r="J264" s="0" t="n">
        <v>80.5</v>
      </c>
      <c r="K264" s="0" t="n">
        <v>100</v>
      </c>
      <c r="L264" s="0" t="n">
        <v>7976.74</v>
      </c>
      <c r="M264" s="0" t="n">
        <v>9</v>
      </c>
      <c r="N264" s="0" t="n">
        <v>93.3</v>
      </c>
      <c r="O264" s="0" t="n">
        <v>1</v>
      </c>
    </row>
    <row r="265" customFormat="false" ht="15" hidden="false" customHeight="false" outlineLevel="0" collapsed="false">
      <c r="A265" s="0" t="s">
        <v>360</v>
      </c>
      <c r="B265" s="0" t="s">
        <v>99</v>
      </c>
      <c r="C265" s="0" t="s">
        <v>86</v>
      </c>
      <c r="D265" s="0" t="s">
        <v>87</v>
      </c>
      <c r="E265" s="0" t="s">
        <v>88</v>
      </c>
      <c r="F265" s="0" t="n">
        <v>34</v>
      </c>
      <c r="G265" s="0" t="n">
        <v>8.1</v>
      </c>
      <c r="H265" s="0" t="n">
        <v>30.5</v>
      </c>
      <c r="I265" s="0" t="n">
        <v>57.9</v>
      </c>
      <c r="J265" s="0" t="n">
        <v>61.1</v>
      </c>
      <c r="K265" s="0" t="n">
        <v>83.7</v>
      </c>
      <c r="L265" s="0" t="n">
        <v>5814.52</v>
      </c>
      <c r="M265" s="0" t="n">
        <v>5</v>
      </c>
      <c r="N265" s="0" t="n">
        <v>97.2</v>
      </c>
      <c r="O265" s="0" t="n">
        <v>1</v>
      </c>
    </row>
    <row r="266" customFormat="false" ht="15" hidden="false" customHeight="false" outlineLevel="0" collapsed="false">
      <c r="A266" s="0" t="s">
        <v>361</v>
      </c>
      <c r="B266" s="0" t="s">
        <v>94</v>
      </c>
      <c r="C266" s="0" t="s">
        <v>86</v>
      </c>
      <c r="D266" s="0" t="s">
        <v>92</v>
      </c>
      <c r="E266" s="0" t="s">
        <v>96</v>
      </c>
      <c r="F266" s="0" t="n">
        <v>23</v>
      </c>
      <c r="G266" s="0" t="n">
        <v>3.2</v>
      </c>
      <c r="H266" s="0" t="n">
        <v>26.8</v>
      </c>
      <c r="I266" s="0" t="n">
        <v>56.7</v>
      </c>
      <c r="J266" s="0" t="n">
        <v>61.9</v>
      </c>
      <c r="K266" s="0" t="n">
        <v>67.3</v>
      </c>
      <c r="L266" s="0" t="n">
        <v>4728.13</v>
      </c>
      <c r="N266" s="0" t="n">
        <v>100</v>
      </c>
      <c r="O266" s="0" t="n">
        <v>0</v>
      </c>
    </row>
    <row r="267" customFormat="false" ht="15" hidden="false" customHeight="false" outlineLevel="0" collapsed="false">
      <c r="A267" s="0" t="s">
        <v>362</v>
      </c>
      <c r="B267" s="0" t="s">
        <v>99</v>
      </c>
      <c r="C267" s="0" t="s">
        <v>91</v>
      </c>
      <c r="D267" s="0" t="s">
        <v>95</v>
      </c>
      <c r="E267" s="0" t="s">
        <v>96</v>
      </c>
      <c r="F267" s="0" t="n">
        <v>38</v>
      </c>
      <c r="G267" s="0" t="n">
        <v>8.2</v>
      </c>
      <c r="H267" s="0" t="n">
        <v>42.8</v>
      </c>
      <c r="I267" s="0" t="n">
        <v>57.4</v>
      </c>
      <c r="J267" s="0" t="n">
        <v>67.1</v>
      </c>
      <c r="K267" s="0" t="n">
        <v>85.7</v>
      </c>
      <c r="L267" s="0" t="n">
        <v>7059.41</v>
      </c>
      <c r="M267" s="0" t="n">
        <v>8</v>
      </c>
      <c r="N267" s="0" t="n">
        <v>94.9</v>
      </c>
      <c r="O267" s="0" t="n">
        <v>0</v>
      </c>
    </row>
    <row r="268" customFormat="false" ht="15" hidden="false" customHeight="false" outlineLevel="0" collapsed="false">
      <c r="A268" s="0" t="s">
        <v>363</v>
      </c>
      <c r="B268" s="0" t="s">
        <v>99</v>
      </c>
      <c r="C268" s="0" t="s">
        <v>91</v>
      </c>
      <c r="D268" s="0" t="s">
        <v>92</v>
      </c>
      <c r="E268" s="0" t="s">
        <v>88</v>
      </c>
      <c r="F268" s="0" t="n">
        <v>32</v>
      </c>
      <c r="G268" s="0" t="n">
        <v>8.8</v>
      </c>
      <c r="H268" s="0" t="n">
        <v>41.8</v>
      </c>
      <c r="I268" s="0" t="n">
        <v>68.5</v>
      </c>
      <c r="J268" s="0" t="n">
        <v>78.1</v>
      </c>
      <c r="K268" s="0" t="n">
        <v>96.9</v>
      </c>
      <c r="L268" s="0" t="n">
        <v>38815.7924268404</v>
      </c>
      <c r="M268" s="0" t="n">
        <v>8</v>
      </c>
      <c r="N268" s="0" t="n">
        <v>90.3</v>
      </c>
      <c r="O268" s="0" t="n">
        <v>1</v>
      </c>
    </row>
    <row r="269" customFormat="false" ht="15" hidden="false" customHeight="false" outlineLevel="0" collapsed="false">
      <c r="A269" s="0" t="s">
        <v>364</v>
      </c>
      <c r="B269" s="0" t="s">
        <v>99</v>
      </c>
      <c r="C269" s="0" t="s">
        <v>91</v>
      </c>
      <c r="D269" s="0" t="s">
        <v>87</v>
      </c>
      <c r="E269" s="0" t="s">
        <v>88</v>
      </c>
      <c r="F269" s="0" t="n">
        <v>39</v>
      </c>
      <c r="G269" s="0" t="n">
        <v>11</v>
      </c>
      <c r="H269" s="0" t="n">
        <v>47</v>
      </c>
      <c r="I269" s="0" t="n">
        <v>62.3</v>
      </c>
      <c r="J269" s="0" t="n">
        <v>78.1</v>
      </c>
      <c r="K269" s="0" t="n">
        <v>100</v>
      </c>
      <c r="L269" s="0" t="n">
        <v>6907.56</v>
      </c>
      <c r="M269" s="0" t="n">
        <v>8</v>
      </c>
      <c r="N269" s="0" t="n">
        <v>96.9</v>
      </c>
      <c r="O269" s="0" t="n">
        <v>1</v>
      </c>
    </row>
    <row r="270" customFormat="false" ht="15" hidden="false" customHeight="false" outlineLevel="0" collapsed="false">
      <c r="A270" s="0" t="s">
        <v>365</v>
      </c>
      <c r="B270" s="0" t="s">
        <v>99</v>
      </c>
      <c r="C270" s="0" t="s">
        <v>86</v>
      </c>
      <c r="D270" s="0" t="s">
        <v>92</v>
      </c>
      <c r="E270" s="0" t="s">
        <v>96</v>
      </c>
      <c r="F270" s="0" t="n">
        <v>27</v>
      </c>
      <c r="G270" s="0" t="n">
        <v>3.2</v>
      </c>
      <c r="H270" s="0" t="n">
        <v>66.2</v>
      </c>
      <c r="I270" s="0" t="n">
        <v>62.4</v>
      </c>
      <c r="J270" s="0" t="n">
        <v>67.7</v>
      </c>
      <c r="K270" s="0" t="n">
        <v>80.2</v>
      </c>
      <c r="L270" s="0" t="n">
        <v>5894.15</v>
      </c>
      <c r="M270" s="0" t="n">
        <v>10</v>
      </c>
      <c r="N270" s="0" t="n">
        <v>89.5</v>
      </c>
      <c r="O270" s="0" t="n">
        <v>0</v>
      </c>
    </row>
    <row r="271" customFormat="false" ht="15" hidden="false" customHeight="false" outlineLevel="0" collapsed="false">
      <c r="A271" s="0" t="s">
        <v>366</v>
      </c>
      <c r="B271" s="0" t="s">
        <v>99</v>
      </c>
      <c r="C271" s="0" t="s">
        <v>86</v>
      </c>
      <c r="D271" s="0" t="s">
        <v>87</v>
      </c>
      <c r="E271" s="0" t="s">
        <v>88</v>
      </c>
      <c r="F271" s="0" t="n">
        <v>33</v>
      </c>
      <c r="G271" s="0" t="n">
        <v>5.3</v>
      </c>
      <c r="H271" s="0" t="n">
        <v>43.3</v>
      </c>
      <c r="I271" s="0" t="n">
        <v>48.7</v>
      </c>
      <c r="J271" s="0" t="n">
        <v>60.3</v>
      </c>
      <c r="K271" s="0" t="n">
        <v>81.4</v>
      </c>
      <c r="L271" s="0" t="n">
        <v>6523.66</v>
      </c>
      <c r="M271" s="0" t="n">
        <v>8</v>
      </c>
      <c r="N271" s="0" t="n">
        <v>87.8</v>
      </c>
      <c r="O271" s="0" t="n">
        <v>1</v>
      </c>
    </row>
    <row r="272" customFormat="false" ht="15" hidden="false" customHeight="false" outlineLevel="0" collapsed="false">
      <c r="A272" s="0" t="s">
        <v>367</v>
      </c>
      <c r="B272" s="0" t="s">
        <v>99</v>
      </c>
      <c r="C272" s="0" t="s">
        <v>86</v>
      </c>
      <c r="D272" s="0" t="s">
        <v>95</v>
      </c>
      <c r="E272" s="0" t="s">
        <v>125</v>
      </c>
      <c r="F272" s="0" t="n">
        <v>34</v>
      </c>
      <c r="G272" s="0" t="n">
        <v>8.4</v>
      </c>
      <c r="H272" s="0" t="n">
        <v>45.8</v>
      </c>
      <c r="I272" s="0" t="n">
        <v>50.3</v>
      </c>
      <c r="J272" s="0" t="n">
        <v>62.9</v>
      </c>
      <c r="K272" s="0" t="n">
        <v>88.8</v>
      </c>
      <c r="L272" s="0" t="n">
        <v>7174.15</v>
      </c>
      <c r="M272" s="0" t="n">
        <v>4</v>
      </c>
      <c r="N272" s="0" t="n">
        <v>84.2</v>
      </c>
      <c r="O272" s="0" t="n">
        <v>0</v>
      </c>
    </row>
    <row r="273" customFormat="false" ht="15" hidden="false" customHeight="false" outlineLevel="0" collapsed="false">
      <c r="A273" s="0" t="s">
        <v>368</v>
      </c>
      <c r="B273" s="0" t="s">
        <v>99</v>
      </c>
      <c r="C273" s="0" t="s">
        <v>91</v>
      </c>
      <c r="D273" s="0" t="s">
        <v>87</v>
      </c>
      <c r="E273" s="0" t="s">
        <v>88</v>
      </c>
      <c r="F273" s="0" t="n">
        <v>30</v>
      </c>
      <c r="G273" s="0" t="n">
        <v>6.2</v>
      </c>
      <c r="H273" s="0" t="n">
        <v>27.1</v>
      </c>
      <c r="I273" s="0" t="n">
        <v>81.4</v>
      </c>
      <c r="J273" s="0" t="n">
        <v>92.2</v>
      </c>
      <c r="K273" s="0" t="n">
        <v>70.7</v>
      </c>
      <c r="L273" s="0" t="n">
        <v>6209.17</v>
      </c>
      <c r="M273" s="0" t="n">
        <v>9</v>
      </c>
      <c r="N273" s="0" t="n">
        <v>85.2</v>
      </c>
      <c r="O273" s="0" t="n">
        <v>1</v>
      </c>
    </row>
    <row r="274" customFormat="false" ht="15" hidden="false" customHeight="false" outlineLevel="0" collapsed="false">
      <c r="A274" s="0" t="s">
        <v>369</v>
      </c>
      <c r="B274" s="0" t="s">
        <v>99</v>
      </c>
      <c r="C274" s="0" t="s">
        <v>91</v>
      </c>
      <c r="D274" s="0" t="s">
        <v>87</v>
      </c>
      <c r="E274" s="0" t="s">
        <v>100</v>
      </c>
      <c r="F274" s="0" t="n">
        <v>26</v>
      </c>
      <c r="G274" s="0" t="n">
        <v>2.4</v>
      </c>
      <c r="H274" s="0" t="n">
        <v>24.6</v>
      </c>
      <c r="I274" s="0" t="n">
        <v>58.2</v>
      </c>
      <c r="J274" s="0" t="n">
        <v>62.4</v>
      </c>
      <c r="K274" s="0" t="n">
        <v>69.5</v>
      </c>
      <c r="L274" s="0" t="n">
        <v>3519.94</v>
      </c>
      <c r="M274" s="0" t="n">
        <v>6</v>
      </c>
      <c r="N274" s="0" t="n">
        <v>88.5</v>
      </c>
      <c r="O274" s="0" t="n">
        <v>0</v>
      </c>
    </row>
    <row r="275" customFormat="false" ht="15" hidden="false" customHeight="false" outlineLevel="0" collapsed="false">
      <c r="A275" s="0" t="s">
        <v>370</v>
      </c>
      <c r="B275" s="0" t="s">
        <v>90</v>
      </c>
      <c r="C275" s="0" t="s">
        <v>91</v>
      </c>
      <c r="D275" s="0" t="s">
        <v>95</v>
      </c>
      <c r="E275" s="0" t="s">
        <v>88</v>
      </c>
      <c r="F275" s="0" t="n">
        <v>37</v>
      </c>
      <c r="G275" s="0" t="n">
        <v>7.3</v>
      </c>
      <c r="H275" s="0" t="n">
        <v>59</v>
      </c>
      <c r="I275" s="0" t="n">
        <v>52.3</v>
      </c>
      <c r="J275" s="0" t="n">
        <v>65.9</v>
      </c>
      <c r="K275" s="0" t="n">
        <v>93.8</v>
      </c>
      <c r="L275" s="0" t="n">
        <v>7913.42</v>
      </c>
      <c r="M275" s="0" t="n">
        <v>7</v>
      </c>
      <c r="N275" s="0" t="n">
        <v>87.1</v>
      </c>
      <c r="O275" s="0" t="n">
        <v>1</v>
      </c>
    </row>
    <row r="276" customFormat="false" ht="15" hidden="false" customHeight="false" outlineLevel="0" collapsed="false">
      <c r="A276" s="0" t="s">
        <v>371</v>
      </c>
      <c r="B276" s="0" t="s">
        <v>85</v>
      </c>
      <c r="C276" s="0" t="s">
        <v>91</v>
      </c>
      <c r="D276" s="0" t="s">
        <v>95</v>
      </c>
      <c r="E276" s="0" t="s">
        <v>88</v>
      </c>
      <c r="F276" s="0" t="n">
        <v>42</v>
      </c>
      <c r="G276" s="0" t="n">
        <v>7.9</v>
      </c>
      <c r="H276" s="0" t="n">
        <v>28.9</v>
      </c>
      <c r="I276" s="0" t="n">
        <v>74.3</v>
      </c>
      <c r="J276" s="0" t="n">
        <v>87.2</v>
      </c>
      <c r="K276" s="0" t="n">
        <v>87.3</v>
      </c>
      <c r="L276" s="0" t="n">
        <v>7422.93</v>
      </c>
      <c r="M276" s="0" t="n">
        <v>5</v>
      </c>
      <c r="O276" s="0" t="n">
        <v>1</v>
      </c>
    </row>
    <row r="277" customFormat="false" ht="15" hidden="false" customHeight="false" outlineLevel="0" collapsed="false">
      <c r="A277" s="0" t="s">
        <v>372</v>
      </c>
      <c r="B277" s="0" t="s">
        <v>90</v>
      </c>
      <c r="C277" s="0" t="s">
        <v>86</v>
      </c>
      <c r="D277" s="0" t="s">
        <v>92</v>
      </c>
      <c r="E277" s="0" t="s">
        <v>88</v>
      </c>
      <c r="F277" s="0" t="n">
        <v>28</v>
      </c>
      <c r="G277" s="0" t="n">
        <v>6.3</v>
      </c>
      <c r="H277" s="0" t="n">
        <v>27.5</v>
      </c>
      <c r="I277" s="0" t="n">
        <v>62.8</v>
      </c>
      <c r="J277" s="0" t="n">
        <v>73.2</v>
      </c>
      <c r="K277" s="0" t="n">
        <v>89.4</v>
      </c>
      <c r="L277" s="0" t="n">
        <v>6454.14</v>
      </c>
      <c r="M277" s="0" t="n">
        <v>8</v>
      </c>
      <c r="N277" s="0" t="n">
        <v>87</v>
      </c>
      <c r="O277" s="0" t="n">
        <v>1</v>
      </c>
    </row>
    <row r="278" customFormat="false" ht="15" hidden="false" customHeight="false" outlineLevel="0" collapsed="false">
      <c r="A278" s="0" t="s">
        <v>373</v>
      </c>
      <c r="B278" s="0" t="s">
        <v>90</v>
      </c>
      <c r="C278" s="0" t="s">
        <v>91</v>
      </c>
      <c r="D278" s="0" t="s">
        <v>87</v>
      </c>
      <c r="E278" s="0" t="s">
        <v>88</v>
      </c>
      <c r="F278" s="0" t="n">
        <v>34</v>
      </c>
      <c r="G278" s="0" t="n">
        <v>6.7</v>
      </c>
      <c r="H278" s="0" t="n">
        <v>39.5</v>
      </c>
      <c r="I278" s="0" t="n">
        <v>65.8</v>
      </c>
      <c r="J278" s="0" t="n">
        <v>74.6</v>
      </c>
      <c r="K278" s="0" t="n">
        <v>83.6</v>
      </c>
      <c r="L278" s="0" t="n">
        <v>6634.2</v>
      </c>
      <c r="M278" s="0" t="n">
        <v>6</v>
      </c>
      <c r="N278" s="0" t="n">
        <v>77.3</v>
      </c>
      <c r="O278" s="0" t="n">
        <v>1</v>
      </c>
    </row>
    <row r="279" customFormat="false" ht="15" hidden="false" customHeight="false" outlineLevel="0" collapsed="false">
      <c r="A279" s="0" t="s">
        <v>374</v>
      </c>
      <c r="B279" s="0" t="s">
        <v>90</v>
      </c>
      <c r="C279" s="0" t="s">
        <v>86</v>
      </c>
      <c r="D279" s="0" t="s">
        <v>87</v>
      </c>
      <c r="E279" s="0" t="s">
        <v>125</v>
      </c>
      <c r="F279" s="0" t="n">
        <v>27</v>
      </c>
      <c r="G279" s="0" t="n">
        <v>5.2</v>
      </c>
      <c r="H279" s="0" t="n">
        <v>38.9</v>
      </c>
      <c r="I279" s="0" t="n">
        <v>58.6</v>
      </c>
      <c r="J279" s="0" t="n">
        <v>67.5</v>
      </c>
      <c r="K279" s="0" t="n">
        <v>81.5</v>
      </c>
      <c r="L279" s="0" t="n">
        <v>5992.2</v>
      </c>
      <c r="M279" s="0" t="n">
        <v>7</v>
      </c>
      <c r="N279" s="0" t="n">
        <v>87.8</v>
      </c>
      <c r="O279" s="0" t="n">
        <v>1</v>
      </c>
    </row>
    <row r="280" customFormat="false" ht="15" hidden="false" customHeight="false" outlineLevel="0" collapsed="false">
      <c r="A280" s="0" t="s">
        <v>375</v>
      </c>
      <c r="B280" s="0" t="s">
        <v>94</v>
      </c>
      <c r="C280" s="0" t="s">
        <v>86</v>
      </c>
      <c r="D280" s="0" t="s">
        <v>87</v>
      </c>
      <c r="E280" s="0" t="s">
        <v>88</v>
      </c>
      <c r="F280" s="0" t="n">
        <v>42</v>
      </c>
      <c r="G280" s="0" t="n">
        <v>10.7</v>
      </c>
      <c r="H280" s="0" t="n">
        <v>29.2</v>
      </c>
      <c r="I280" s="0" t="n">
        <v>56.8</v>
      </c>
      <c r="J280" s="0" t="n">
        <v>64.5</v>
      </c>
      <c r="K280" s="0" t="n">
        <v>90.1</v>
      </c>
      <c r="L280" s="0" t="n">
        <v>6443.13</v>
      </c>
      <c r="M280" s="0" t="n">
        <v>7</v>
      </c>
      <c r="N280" s="0" t="n">
        <v>90.6</v>
      </c>
      <c r="O280" s="0" t="n">
        <v>1</v>
      </c>
    </row>
    <row r="281" customFormat="false" ht="15" hidden="false" customHeight="false" outlineLevel="0" collapsed="false">
      <c r="A281" s="0" t="s">
        <v>376</v>
      </c>
      <c r="B281" s="0" t="s">
        <v>94</v>
      </c>
      <c r="C281" s="0" t="s">
        <v>86</v>
      </c>
      <c r="D281" s="0" t="s">
        <v>92</v>
      </c>
      <c r="E281" s="0" t="s">
        <v>88</v>
      </c>
      <c r="F281" s="0" t="n">
        <v>24</v>
      </c>
      <c r="G281" s="0" t="n">
        <v>3.1</v>
      </c>
      <c r="H281" s="0" t="n">
        <v>36.3</v>
      </c>
      <c r="I281" s="0" t="n">
        <v>58.3</v>
      </c>
      <c r="J281" s="0" t="n">
        <v>68.9</v>
      </c>
      <c r="K281" s="0" t="n">
        <v>70.2</v>
      </c>
      <c r="L281" s="0" t="n">
        <v>5215.2</v>
      </c>
      <c r="M281" s="0" t="n">
        <v>10</v>
      </c>
      <c r="N281" s="0" t="n">
        <v>90</v>
      </c>
      <c r="O281" s="0" t="n">
        <v>0</v>
      </c>
    </row>
    <row r="282" customFormat="false" ht="15" hidden="false" customHeight="false" outlineLevel="0" collapsed="false">
      <c r="A282" s="0" t="s">
        <v>377</v>
      </c>
      <c r="B282" s="0" t="s">
        <v>99</v>
      </c>
      <c r="C282" s="0" t="s">
        <v>86</v>
      </c>
      <c r="D282" s="0" t="s">
        <v>92</v>
      </c>
      <c r="E282" s="0" t="s">
        <v>88</v>
      </c>
      <c r="F282" s="0" t="n">
        <v>27</v>
      </c>
      <c r="G282" s="0" t="n">
        <v>4.1</v>
      </c>
      <c r="H282" s="0" t="n">
        <v>54.8</v>
      </c>
      <c r="I282" s="0" t="n">
        <v>46.2</v>
      </c>
      <c r="J282" s="0" t="n">
        <v>54.3</v>
      </c>
      <c r="K282" s="0" t="n">
        <v>87.7</v>
      </c>
      <c r="L282" s="0" t="n">
        <v>7666.24</v>
      </c>
      <c r="M282" s="0" t="n">
        <v>10</v>
      </c>
      <c r="N282" s="0" t="n">
        <v>100</v>
      </c>
      <c r="O282" s="0" t="n">
        <v>1</v>
      </c>
    </row>
    <row r="283" customFormat="false" ht="15" hidden="false" customHeight="false" outlineLevel="0" collapsed="false">
      <c r="A283" s="0" t="s">
        <v>378</v>
      </c>
      <c r="B283" s="0" t="s">
        <v>99</v>
      </c>
      <c r="C283" s="0" t="s">
        <v>86</v>
      </c>
      <c r="D283" s="0" t="s">
        <v>95</v>
      </c>
      <c r="E283" s="0" t="s">
        <v>100</v>
      </c>
      <c r="F283" s="0" t="n">
        <v>30</v>
      </c>
      <c r="G283" s="0" t="n">
        <v>6</v>
      </c>
      <c r="H283" s="0" t="n">
        <v>30.3</v>
      </c>
      <c r="I283" s="0" t="n">
        <v>59.1</v>
      </c>
      <c r="J283" s="0" t="n">
        <v>63.7</v>
      </c>
      <c r="K283" s="0" t="n">
        <v>77.8</v>
      </c>
      <c r="L283" s="0" t="n">
        <v>5771.87</v>
      </c>
      <c r="M283" s="0" t="n">
        <v>7</v>
      </c>
      <c r="N283" s="0" t="n">
        <v>89.9</v>
      </c>
      <c r="O283" s="0" t="n">
        <v>1</v>
      </c>
    </row>
    <row r="284" customFormat="false" ht="15" hidden="false" customHeight="false" outlineLevel="0" collapsed="false">
      <c r="A284" s="0" t="s">
        <v>379</v>
      </c>
      <c r="B284" s="0" t="s">
        <v>99</v>
      </c>
      <c r="C284" s="0" t="s">
        <v>86</v>
      </c>
      <c r="D284" s="0" t="s">
        <v>95</v>
      </c>
      <c r="E284" s="0" t="s">
        <v>88</v>
      </c>
      <c r="F284" s="0" t="n">
        <v>36</v>
      </c>
      <c r="G284" s="0" t="n">
        <v>8.8</v>
      </c>
      <c r="H284" s="0" t="n">
        <v>23.3</v>
      </c>
      <c r="I284" s="0" t="n">
        <v>63</v>
      </c>
      <c r="J284" s="0" t="n">
        <v>66.8</v>
      </c>
      <c r="K284" s="0" t="n">
        <v>74.2</v>
      </c>
      <c r="L284" s="0" t="n">
        <v>5444.18</v>
      </c>
      <c r="M284" s="0" t="n">
        <v>7</v>
      </c>
      <c r="N284" s="0" t="n">
        <v>97.4</v>
      </c>
      <c r="O284" s="0" t="n">
        <v>0</v>
      </c>
    </row>
    <row r="285" customFormat="false" ht="15" hidden="false" customHeight="false" outlineLevel="0" collapsed="false">
      <c r="A285" s="0" t="s">
        <v>380</v>
      </c>
      <c r="B285" s="0" t="s">
        <v>99</v>
      </c>
      <c r="C285" s="0" t="s">
        <v>86</v>
      </c>
      <c r="D285" s="0" t="s">
        <v>95</v>
      </c>
      <c r="E285" s="0" t="s">
        <v>88</v>
      </c>
      <c r="F285" s="0" t="n">
        <v>25</v>
      </c>
      <c r="G285" s="0" t="n">
        <v>1.2</v>
      </c>
      <c r="H285" s="0" t="n">
        <v>51.3</v>
      </c>
      <c r="I285" s="0" t="n">
        <v>78.5</v>
      </c>
      <c r="J285" s="0" t="n">
        <v>83.5</v>
      </c>
      <c r="K285" s="0" t="n">
        <v>70.4</v>
      </c>
      <c r="L285" s="0" t="n">
        <v>4964.98</v>
      </c>
      <c r="M285" s="0" t="n">
        <v>6</v>
      </c>
      <c r="N285" s="0" t="n">
        <v>92.9</v>
      </c>
      <c r="O285" s="0" t="n">
        <v>0</v>
      </c>
    </row>
    <row r="286" customFormat="false" ht="15" hidden="false" customHeight="false" outlineLevel="0" collapsed="false">
      <c r="A286" s="0" t="s">
        <v>381</v>
      </c>
      <c r="B286" s="0" t="s">
        <v>90</v>
      </c>
      <c r="C286" s="0" t="s">
        <v>91</v>
      </c>
      <c r="D286" s="0" t="s">
        <v>95</v>
      </c>
      <c r="E286" s="0" t="s">
        <v>96</v>
      </c>
      <c r="F286" s="0" t="n">
        <v>26</v>
      </c>
      <c r="G286" s="0" t="n">
        <v>1.8</v>
      </c>
      <c r="H286" s="0" t="n">
        <v>45.9</v>
      </c>
      <c r="I286" s="0" t="n">
        <v>60.9</v>
      </c>
      <c r="J286" s="0" t="n">
        <v>69.8</v>
      </c>
      <c r="K286" s="0" t="n">
        <v>89.4</v>
      </c>
      <c r="L286" s="0" t="n">
        <v>5807.77</v>
      </c>
      <c r="M286" s="0" t="n">
        <v>9</v>
      </c>
      <c r="N286" s="0" t="n">
        <v>92.8</v>
      </c>
      <c r="O286" s="0" t="n">
        <v>1</v>
      </c>
    </row>
    <row r="287" customFormat="false" ht="15" hidden="false" customHeight="false" outlineLevel="0" collapsed="false">
      <c r="A287" s="0" t="s">
        <v>382</v>
      </c>
      <c r="B287" s="0" t="s">
        <v>90</v>
      </c>
      <c r="C287" s="0" t="s">
        <v>86</v>
      </c>
      <c r="D287" s="0" t="s">
        <v>87</v>
      </c>
      <c r="E287" s="0" t="s">
        <v>100</v>
      </c>
      <c r="F287" s="0" t="n">
        <v>22</v>
      </c>
      <c r="G287" s="0" t="n">
        <v>0</v>
      </c>
      <c r="H287" s="0" t="n">
        <v>32.6</v>
      </c>
      <c r="I287" s="0" t="n">
        <v>36.7</v>
      </c>
      <c r="J287" s="0" t="n">
        <v>44.6</v>
      </c>
      <c r="K287" s="0" t="n">
        <v>70.3</v>
      </c>
      <c r="L287" s="0" t="n">
        <v>4022.34</v>
      </c>
      <c r="M287" s="0" t="n">
        <v>6</v>
      </c>
      <c r="N287" s="0" t="n">
        <v>88.8</v>
      </c>
      <c r="O287" s="0" t="n">
        <v>0</v>
      </c>
    </row>
    <row r="288" customFormat="false" ht="15" hidden="false" customHeight="false" outlineLevel="0" collapsed="false">
      <c r="A288" s="0" t="s">
        <v>383</v>
      </c>
      <c r="B288" s="0" t="s">
        <v>99</v>
      </c>
      <c r="C288" s="0" t="s">
        <v>86</v>
      </c>
      <c r="D288" s="0" t="s">
        <v>95</v>
      </c>
      <c r="E288" s="0" t="s">
        <v>125</v>
      </c>
      <c r="F288" s="0" t="n">
        <v>28</v>
      </c>
      <c r="G288" s="0" t="n">
        <v>6.1</v>
      </c>
      <c r="H288" s="0" t="n">
        <v>21</v>
      </c>
      <c r="I288" s="0" t="n">
        <v>59.1</v>
      </c>
      <c r="J288" s="0" t="n">
        <v>68</v>
      </c>
      <c r="K288" s="0" t="n">
        <v>86.8</v>
      </c>
      <c r="L288" s="0" t="n">
        <v>6103.77</v>
      </c>
      <c r="M288" s="0" t="n">
        <v>6</v>
      </c>
      <c r="N288" s="0" t="n">
        <v>92.7</v>
      </c>
      <c r="O288" s="0" t="n">
        <v>0</v>
      </c>
    </row>
    <row r="289" customFormat="false" ht="15" hidden="false" customHeight="false" outlineLevel="0" collapsed="false">
      <c r="A289" s="0" t="s">
        <v>384</v>
      </c>
      <c r="B289" s="0" t="s">
        <v>90</v>
      </c>
      <c r="C289" s="0" t="s">
        <v>91</v>
      </c>
      <c r="D289" s="0" t="s">
        <v>95</v>
      </c>
      <c r="E289" s="0" t="s">
        <v>88</v>
      </c>
      <c r="F289" s="0" t="n">
        <v>28</v>
      </c>
      <c r="G289" s="0" t="n">
        <v>2.4</v>
      </c>
      <c r="H289" s="0" t="n">
        <v>31.1</v>
      </c>
      <c r="I289" s="0" t="n">
        <v>87.4</v>
      </c>
      <c r="J289" s="0" t="n">
        <v>97.4</v>
      </c>
      <c r="K289" s="0" t="n">
        <v>71.6</v>
      </c>
      <c r="L289" s="0" t="n">
        <v>5388.56</v>
      </c>
      <c r="M289" s="0" t="n">
        <v>9</v>
      </c>
      <c r="N289" s="0" t="n">
        <v>89.2</v>
      </c>
      <c r="O289" s="0" t="n">
        <v>0</v>
      </c>
    </row>
    <row r="290" customFormat="false" ht="15" hidden="false" customHeight="false" outlineLevel="0" collapsed="false">
      <c r="A290" s="0" t="s">
        <v>385</v>
      </c>
      <c r="B290" s="0" t="s">
        <v>90</v>
      </c>
      <c r="C290" s="0" t="s">
        <v>91</v>
      </c>
      <c r="D290" s="0" t="s">
        <v>87</v>
      </c>
      <c r="E290" s="0" t="s">
        <v>96</v>
      </c>
      <c r="F290" s="0" t="n">
        <v>30</v>
      </c>
      <c r="G290" s="0" t="n">
        <v>4.8</v>
      </c>
      <c r="H290" s="0" t="n">
        <v>39.3</v>
      </c>
      <c r="I290" s="0" t="n">
        <v>68.7</v>
      </c>
      <c r="J290" s="0" t="n">
        <v>74.2</v>
      </c>
      <c r="K290" s="0" t="n">
        <v>84.4</v>
      </c>
      <c r="L290" s="0" t="n">
        <v>6838.08</v>
      </c>
      <c r="M290" s="0" t="n">
        <v>6</v>
      </c>
      <c r="N290" s="0" t="n">
        <v>93.9</v>
      </c>
      <c r="O290" s="0" t="n">
        <v>1</v>
      </c>
    </row>
    <row r="291" customFormat="false" ht="15" hidden="false" customHeight="false" outlineLevel="0" collapsed="false">
      <c r="A291" s="0" t="s">
        <v>386</v>
      </c>
      <c r="B291" s="0" t="s">
        <v>99</v>
      </c>
      <c r="C291" s="0" t="s">
        <v>91</v>
      </c>
      <c r="D291" s="0" t="s">
        <v>87</v>
      </c>
      <c r="E291" s="0" t="s">
        <v>88</v>
      </c>
      <c r="F291" s="0" t="n">
        <v>38</v>
      </c>
      <c r="G291" s="0" t="n">
        <v>8.1</v>
      </c>
      <c r="H291" s="0" t="n">
        <v>54</v>
      </c>
      <c r="I291" s="0" t="n">
        <v>51.9</v>
      </c>
      <c r="J291" s="0" t="n">
        <v>65.8</v>
      </c>
      <c r="K291" s="0" t="n">
        <v>100</v>
      </c>
      <c r="L291" s="0" t="n">
        <v>8966.2</v>
      </c>
      <c r="M291" s="0" t="n">
        <v>7</v>
      </c>
      <c r="N291" s="0" t="n">
        <v>91.8</v>
      </c>
      <c r="O291" s="0" t="n">
        <v>1</v>
      </c>
    </row>
    <row r="292" customFormat="false" ht="15" hidden="false" customHeight="false" outlineLevel="0" collapsed="false">
      <c r="A292" s="0" t="s">
        <v>387</v>
      </c>
      <c r="B292" s="0" t="s">
        <v>94</v>
      </c>
      <c r="C292" s="0" t="s">
        <v>86</v>
      </c>
      <c r="D292" s="0" t="s">
        <v>92</v>
      </c>
      <c r="E292" s="0" t="s">
        <v>100</v>
      </c>
      <c r="F292" s="0" t="n">
        <v>26</v>
      </c>
      <c r="G292" s="0" t="n">
        <v>3.9</v>
      </c>
      <c r="H292" s="0" t="n">
        <v>27.6</v>
      </c>
      <c r="I292" s="0" t="n">
        <v>65.9</v>
      </c>
      <c r="J292" s="0" t="n">
        <v>72.8</v>
      </c>
      <c r="K292" s="0" t="n">
        <v>65.3</v>
      </c>
      <c r="L292" s="0" t="n">
        <v>5954.77</v>
      </c>
      <c r="M292" s="0" t="n">
        <v>4</v>
      </c>
      <c r="N292" s="0" t="n">
        <v>88.3</v>
      </c>
      <c r="O292" s="0" t="n">
        <v>1</v>
      </c>
    </row>
    <row r="293" customFormat="false" ht="15" hidden="false" customHeight="false" outlineLevel="0" collapsed="false">
      <c r="A293" s="0" t="s">
        <v>388</v>
      </c>
      <c r="B293" s="0" t="s">
        <v>99</v>
      </c>
      <c r="C293" s="0" t="s">
        <v>91</v>
      </c>
      <c r="D293" s="0" t="s">
        <v>87</v>
      </c>
      <c r="E293" s="0" t="s">
        <v>96</v>
      </c>
      <c r="F293" s="0" t="n">
        <v>28</v>
      </c>
      <c r="G293" s="0" t="n">
        <v>6.7</v>
      </c>
      <c r="H293" s="0" t="n">
        <v>39</v>
      </c>
      <c r="I293" s="0" t="n">
        <v>52.6</v>
      </c>
      <c r="J293" s="0" t="n">
        <v>58.9</v>
      </c>
      <c r="K293" s="0" t="n">
        <v>69.4</v>
      </c>
      <c r="L293" s="0" t="n">
        <v>5435.18</v>
      </c>
      <c r="M293" s="0" t="n">
        <v>8</v>
      </c>
      <c r="N293" s="0" t="n">
        <v>98</v>
      </c>
      <c r="O293" s="0" t="n">
        <v>1</v>
      </c>
    </row>
    <row r="294" customFormat="false" ht="15" hidden="false" customHeight="false" outlineLevel="0" collapsed="false">
      <c r="A294" s="0" t="s">
        <v>389</v>
      </c>
      <c r="B294" s="0" t="s">
        <v>94</v>
      </c>
      <c r="C294" s="0" t="s">
        <v>86</v>
      </c>
      <c r="D294" s="0" t="s">
        <v>92</v>
      </c>
      <c r="E294" s="0" t="s">
        <v>96</v>
      </c>
      <c r="F294" s="0" t="n">
        <v>30</v>
      </c>
      <c r="G294" s="0" t="n">
        <v>5</v>
      </c>
      <c r="H294" s="0" t="n">
        <v>48.1</v>
      </c>
      <c r="I294" s="0" t="n">
        <v>46.5</v>
      </c>
      <c r="J294" s="0" t="n">
        <v>56.4</v>
      </c>
      <c r="K294" s="0" t="n">
        <v>90.8</v>
      </c>
      <c r="L294" s="0" t="n">
        <v>5722.82</v>
      </c>
      <c r="M294" s="0" t="n">
        <v>10</v>
      </c>
      <c r="N294" s="0" t="n">
        <v>95.1</v>
      </c>
      <c r="O294" s="0" t="n">
        <v>1</v>
      </c>
    </row>
    <row r="295" customFormat="false" ht="15" hidden="false" customHeight="false" outlineLevel="0" collapsed="false">
      <c r="A295" s="0" t="s">
        <v>390</v>
      </c>
      <c r="B295" s="0" t="s">
        <v>99</v>
      </c>
      <c r="C295" s="0" t="s">
        <v>86</v>
      </c>
      <c r="D295" s="0" t="s">
        <v>92</v>
      </c>
      <c r="E295" s="0" t="s">
        <v>96</v>
      </c>
      <c r="F295" s="0" t="n">
        <v>39</v>
      </c>
      <c r="G295" s="0" t="n">
        <v>8.2</v>
      </c>
      <c r="H295" s="0" t="n">
        <v>11.4</v>
      </c>
      <c r="I295" s="0" t="n">
        <v>56.5</v>
      </c>
      <c r="J295" s="0" t="n">
        <v>57.2</v>
      </c>
      <c r="K295" s="0" t="n">
        <v>70</v>
      </c>
      <c r="L295" s="0" t="n">
        <v>5487.81</v>
      </c>
      <c r="M295" s="0" t="n">
        <v>8</v>
      </c>
      <c r="N295" s="0" t="n">
        <v>90.8</v>
      </c>
      <c r="O295" s="0" t="n">
        <v>0</v>
      </c>
    </row>
    <row r="296" customFormat="false" ht="15" hidden="false" customHeight="false" outlineLevel="0" collapsed="false">
      <c r="A296" s="0" t="s">
        <v>391</v>
      </c>
      <c r="B296" s="0" t="s">
        <v>94</v>
      </c>
      <c r="C296" s="0" t="s">
        <v>91</v>
      </c>
      <c r="D296" s="0" t="s">
        <v>87</v>
      </c>
      <c r="F296" s="0" t="n">
        <v>34</v>
      </c>
      <c r="G296" s="0" t="n">
        <v>7.5</v>
      </c>
      <c r="H296" s="0" t="n">
        <v>52.4</v>
      </c>
      <c r="I296" s="0" t="n">
        <v>60.9</v>
      </c>
      <c r="J296" s="0" t="n">
        <v>65.7</v>
      </c>
      <c r="K296" s="0" t="n">
        <v>87.7</v>
      </c>
      <c r="L296" s="0" t="n">
        <v>6880.44</v>
      </c>
      <c r="M296" s="0" t="n">
        <v>9</v>
      </c>
      <c r="N296" s="0" t="n">
        <v>93.7</v>
      </c>
      <c r="O296" s="0" t="n">
        <v>1</v>
      </c>
    </row>
    <row r="297" customFormat="false" ht="15" hidden="false" customHeight="false" outlineLevel="0" collapsed="false">
      <c r="A297" s="0" t="s">
        <v>392</v>
      </c>
      <c r="B297" s="0" t="s">
        <v>94</v>
      </c>
      <c r="C297" s="0" t="s">
        <v>91</v>
      </c>
      <c r="D297" s="0" t="s">
        <v>87</v>
      </c>
      <c r="E297" s="0" t="s">
        <v>96</v>
      </c>
      <c r="F297" s="0" t="n">
        <v>27</v>
      </c>
      <c r="G297" s="0" t="n">
        <v>3.8</v>
      </c>
      <c r="H297" s="0" t="n">
        <v>25.8</v>
      </c>
      <c r="I297" s="0" t="n">
        <v>41.3</v>
      </c>
      <c r="J297" s="0" t="n">
        <v>53.2</v>
      </c>
      <c r="K297" s="0" t="n">
        <v>67.8</v>
      </c>
      <c r="L297" s="0" t="n">
        <v>3974.51</v>
      </c>
      <c r="M297" s="0" t="n">
        <v>6</v>
      </c>
      <c r="N297" s="0" t="n">
        <v>92.6</v>
      </c>
      <c r="O297" s="0" t="n">
        <v>1</v>
      </c>
    </row>
    <row r="298" customFormat="false" ht="15" hidden="false" customHeight="false" outlineLevel="0" collapsed="false">
      <c r="A298" s="0" t="s">
        <v>393</v>
      </c>
      <c r="B298" s="0" t="s">
        <v>94</v>
      </c>
      <c r="C298" s="0" t="s">
        <v>91</v>
      </c>
      <c r="D298" s="0" t="s">
        <v>92</v>
      </c>
      <c r="E298" s="0" t="s">
        <v>96</v>
      </c>
      <c r="F298" s="0" t="n">
        <v>28</v>
      </c>
      <c r="G298" s="0" t="n">
        <v>5.5</v>
      </c>
      <c r="H298" s="0" t="n">
        <v>44</v>
      </c>
      <c r="I298" s="0" t="n">
        <v>48.5</v>
      </c>
      <c r="J298" s="0" t="n">
        <v>49.6</v>
      </c>
      <c r="K298" s="0" t="n">
        <v>83.2</v>
      </c>
      <c r="L298" s="0" t="n">
        <v>5985.48</v>
      </c>
      <c r="M298" s="0" t="n">
        <v>7</v>
      </c>
      <c r="N298" s="0" t="n">
        <v>88.7</v>
      </c>
      <c r="O298" s="0" t="n">
        <v>1</v>
      </c>
    </row>
    <row r="299" customFormat="false" ht="15" hidden="false" customHeight="false" outlineLevel="0" collapsed="false">
      <c r="A299" s="0" t="s">
        <v>394</v>
      </c>
      <c r="B299" s="0" t="s">
        <v>94</v>
      </c>
      <c r="C299" s="0" t="s">
        <v>91</v>
      </c>
      <c r="D299" s="0" t="s">
        <v>95</v>
      </c>
      <c r="E299" s="0" t="s">
        <v>96</v>
      </c>
      <c r="F299" s="0" t="n">
        <v>42</v>
      </c>
      <c r="G299" s="0" t="n">
        <v>9.3</v>
      </c>
      <c r="H299" s="0" t="n">
        <v>43</v>
      </c>
      <c r="I299" s="0" t="n">
        <v>60.1</v>
      </c>
      <c r="J299" s="0" t="n">
        <v>72.6</v>
      </c>
      <c r="K299" s="0" t="n">
        <v>81.1</v>
      </c>
      <c r="L299" s="0" t="n">
        <v>6834.44</v>
      </c>
      <c r="M299" s="0" t="n">
        <v>5</v>
      </c>
      <c r="N299" s="0" t="n">
        <v>93.4</v>
      </c>
      <c r="O299" s="0" t="n">
        <v>1</v>
      </c>
    </row>
    <row r="300" customFormat="false" ht="15" hidden="false" customHeight="false" outlineLevel="0" collapsed="false">
      <c r="A300" s="0" t="s">
        <v>395</v>
      </c>
      <c r="B300" s="0" t="s">
        <v>85</v>
      </c>
      <c r="C300" s="0" t="s">
        <v>91</v>
      </c>
      <c r="D300" s="0" t="s">
        <v>95</v>
      </c>
      <c r="E300" s="0" t="s">
        <v>88</v>
      </c>
      <c r="F300" s="0" t="n">
        <v>31</v>
      </c>
      <c r="G300" s="0" t="n">
        <v>7.3</v>
      </c>
      <c r="H300" s="0" t="n">
        <v>53</v>
      </c>
      <c r="I300" s="0" t="n">
        <v>55.9</v>
      </c>
      <c r="J300" s="0" t="n">
        <v>69.9</v>
      </c>
      <c r="K300" s="0" t="n">
        <v>85.4</v>
      </c>
      <c r="L300" s="0" t="n">
        <v>6621.34</v>
      </c>
      <c r="M300" s="0" t="n">
        <v>7</v>
      </c>
      <c r="N300" s="0" t="n">
        <v>89.9</v>
      </c>
      <c r="O300" s="0" t="n">
        <v>1</v>
      </c>
    </row>
    <row r="301" customFormat="false" ht="15" hidden="false" customHeight="false" outlineLevel="0" collapsed="false">
      <c r="A301" s="0" t="s">
        <v>396</v>
      </c>
      <c r="B301" s="0" t="s">
        <v>85</v>
      </c>
      <c r="C301" s="0" t="s">
        <v>86</v>
      </c>
      <c r="D301" s="0" t="s">
        <v>92</v>
      </c>
      <c r="E301" s="0" t="s">
        <v>96</v>
      </c>
      <c r="F301" s="0" t="n">
        <v>22</v>
      </c>
      <c r="G301" s="0" t="n">
        <v>1.5</v>
      </c>
      <c r="I301" s="0" t="n">
        <v>63.9</v>
      </c>
      <c r="J301" s="0" t="n">
        <v>70.4</v>
      </c>
      <c r="K301" s="0" t="n">
        <v>77.2</v>
      </c>
      <c r="L301" s="0" t="n">
        <v>5112.79</v>
      </c>
      <c r="M301" s="0" t="n">
        <v>8</v>
      </c>
      <c r="N301" s="0" t="n">
        <v>88.3</v>
      </c>
      <c r="O301" s="0" t="n">
        <v>1</v>
      </c>
    </row>
    <row r="302" customFormat="false" ht="15" hidden="false" customHeight="false" outlineLevel="0" collapsed="false">
      <c r="A302" s="0" t="s">
        <v>397</v>
      </c>
      <c r="B302" s="0" t="s">
        <v>85</v>
      </c>
      <c r="C302" s="0" t="s">
        <v>86</v>
      </c>
      <c r="D302" s="0" t="s">
        <v>92</v>
      </c>
      <c r="E302" s="0" t="s">
        <v>96</v>
      </c>
      <c r="F302" s="0" t="n">
        <v>37</v>
      </c>
      <c r="G302" s="0" t="n">
        <v>8.1</v>
      </c>
      <c r="H302" s="0" t="n">
        <v>11.5</v>
      </c>
      <c r="I302" s="0" t="n">
        <v>47.9</v>
      </c>
      <c r="J302" s="0" t="n">
        <v>57.1</v>
      </c>
      <c r="K302" s="0" t="n">
        <v>66.5</v>
      </c>
      <c r="L302" s="0" t="n">
        <v>6543.11</v>
      </c>
      <c r="M302" s="0" t="n">
        <v>7</v>
      </c>
      <c r="N302" s="0" t="n">
        <v>84.9</v>
      </c>
      <c r="O302" s="0" t="n">
        <v>0</v>
      </c>
    </row>
    <row r="303" customFormat="false" ht="15" hidden="false" customHeight="false" outlineLevel="0" collapsed="false">
      <c r="A303" s="0" t="s">
        <v>398</v>
      </c>
      <c r="B303" s="0" t="s">
        <v>99</v>
      </c>
      <c r="C303" s="0" t="s">
        <v>86</v>
      </c>
      <c r="D303" s="0" t="s">
        <v>92</v>
      </c>
      <c r="E303" s="0" t="s">
        <v>125</v>
      </c>
      <c r="F303" s="0" t="n">
        <v>21</v>
      </c>
      <c r="G303" s="0" t="n">
        <v>2.5</v>
      </c>
      <c r="H303" s="0" t="n">
        <v>30.6</v>
      </c>
      <c r="I303" s="0" t="n">
        <v>67.1</v>
      </c>
      <c r="J303" s="0" t="n">
        <v>79.6</v>
      </c>
      <c r="K303" s="0" t="n">
        <v>67.3</v>
      </c>
      <c r="L303" s="0" t="n">
        <v>5037.81</v>
      </c>
      <c r="N303" s="0" t="n">
        <v>91.2</v>
      </c>
      <c r="O303" s="0" t="n">
        <v>0</v>
      </c>
    </row>
    <row r="304" customFormat="false" ht="15" hidden="false" customHeight="false" outlineLevel="0" collapsed="false">
      <c r="A304" s="0" t="s">
        <v>399</v>
      </c>
      <c r="B304" s="0" t="s">
        <v>90</v>
      </c>
      <c r="C304" s="0" t="s">
        <v>86</v>
      </c>
      <c r="D304" s="0" t="s">
        <v>95</v>
      </c>
      <c r="E304" s="0" t="s">
        <v>88</v>
      </c>
      <c r="F304" s="0" t="n">
        <v>43</v>
      </c>
      <c r="G304" s="0" t="n">
        <v>10.5</v>
      </c>
      <c r="H304" s="0" t="n">
        <v>41.7</v>
      </c>
      <c r="I304" s="0" t="n">
        <v>48.2</v>
      </c>
      <c r="J304" s="0" t="n">
        <v>54.3</v>
      </c>
      <c r="K304" s="0" t="n">
        <v>91.1</v>
      </c>
      <c r="L304" s="0" t="n">
        <v>9884.13</v>
      </c>
      <c r="M304" s="0" t="n">
        <v>5</v>
      </c>
      <c r="N304" s="0" t="n">
        <v>95.8</v>
      </c>
      <c r="O304" s="0" t="n">
        <v>1</v>
      </c>
    </row>
    <row r="305" customFormat="false" ht="15" hidden="false" customHeight="false" outlineLevel="0" collapsed="false">
      <c r="A305" s="0" t="s">
        <v>400</v>
      </c>
      <c r="B305" s="0" t="s">
        <v>90</v>
      </c>
      <c r="C305" s="0" t="s">
        <v>91</v>
      </c>
      <c r="D305" s="0" t="s">
        <v>95</v>
      </c>
      <c r="E305" s="0" t="s">
        <v>88</v>
      </c>
      <c r="F305" s="0" t="n">
        <v>39</v>
      </c>
      <c r="G305" s="0" t="n">
        <v>9.3</v>
      </c>
      <c r="H305" s="0" t="n">
        <v>37.7</v>
      </c>
      <c r="I305" s="0" t="n">
        <v>76.4</v>
      </c>
      <c r="J305" s="0" t="n">
        <v>87.9</v>
      </c>
      <c r="K305" s="0" t="n">
        <v>79.9</v>
      </c>
      <c r="L305" s="0" t="n">
        <v>7184.96</v>
      </c>
      <c r="M305" s="0" t="n">
        <v>5</v>
      </c>
      <c r="N305" s="0" t="n">
        <v>89.5</v>
      </c>
      <c r="O305" s="0" t="n">
        <v>1</v>
      </c>
    </row>
    <row r="306" customFormat="false" ht="15" hidden="false" customHeight="false" outlineLevel="0" collapsed="false">
      <c r="A306" s="0" t="s">
        <v>401</v>
      </c>
      <c r="B306" s="0" t="s">
        <v>94</v>
      </c>
      <c r="C306" s="0" t="s">
        <v>86</v>
      </c>
      <c r="D306" s="0" t="s">
        <v>92</v>
      </c>
      <c r="E306" s="0" t="s">
        <v>96</v>
      </c>
      <c r="F306" s="0" t="n">
        <v>36</v>
      </c>
      <c r="G306" s="0" t="n">
        <v>6.9</v>
      </c>
      <c r="H306" s="0" t="n">
        <v>45.7</v>
      </c>
      <c r="I306" s="0" t="n">
        <v>42.8</v>
      </c>
      <c r="J306" s="0" t="n">
        <v>48.1</v>
      </c>
      <c r="K306" s="0" t="n">
        <v>81.5</v>
      </c>
      <c r="L306" s="0" t="n">
        <v>6514.44</v>
      </c>
      <c r="M306" s="0" t="n">
        <v>8</v>
      </c>
      <c r="O306" s="0" t="n">
        <v>1</v>
      </c>
    </row>
    <row r="307" customFormat="false" ht="15" hidden="false" customHeight="false" outlineLevel="0" collapsed="false">
      <c r="A307" s="0" t="s">
        <v>402</v>
      </c>
      <c r="B307" s="0" t="s">
        <v>90</v>
      </c>
      <c r="C307" s="0" t="s">
        <v>91</v>
      </c>
      <c r="D307" s="0" t="s">
        <v>95</v>
      </c>
      <c r="E307" s="0" t="s">
        <v>88</v>
      </c>
      <c r="F307" s="0" t="n">
        <v>34</v>
      </c>
      <c r="G307" s="0" t="n">
        <v>6.5</v>
      </c>
      <c r="H307" s="0" t="n">
        <v>49.5</v>
      </c>
      <c r="I307" s="0" t="n">
        <v>49.1</v>
      </c>
      <c r="J307" s="0" t="n">
        <v>55.2</v>
      </c>
      <c r="K307" s="0" t="n">
        <v>89.9</v>
      </c>
      <c r="L307" s="0" t="n">
        <v>6957.22</v>
      </c>
      <c r="M307" s="0" t="n">
        <v>10</v>
      </c>
      <c r="N307" s="0" t="n">
        <v>97.4</v>
      </c>
      <c r="O307" s="0" t="n">
        <v>1</v>
      </c>
    </row>
    <row r="308" customFormat="false" ht="15" hidden="false" customHeight="false" outlineLevel="0" collapsed="false">
      <c r="A308" s="0" t="s">
        <v>403</v>
      </c>
      <c r="B308" s="0" t="s">
        <v>90</v>
      </c>
      <c r="C308" s="0" t="s">
        <v>91</v>
      </c>
      <c r="D308" s="0" t="s">
        <v>92</v>
      </c>
      <c r="E308" s="0" t="s">
        <v>96</v>
      </c>
      <c r="F308" s="0" t="n">
        <v>30</v>
      </c>
      <c r="G308" s="0" t="n">
        <v>5.3</v>
      </c>
      <c r="H308" s="0" t="n">
        <v>47.3</v>
      </c>
      <c r="I308" s="0" t="n">
        <v>64.2</v>
      </c>
      <c r="J308" s="0" t="n">
        <v>69</v>
      </c>
      <c r="K308" s="0" t="n">
        <v>83.3</v>
      </c>
      <c r="L308" s="0" t="n">
        <v>6697.34</v>
      </c>
      <c r="M308" s="0" t="n">
        <v>9</v>
      </c>
      <c r="N308" s="0" t="n">
        <v>99.5</v>
      </c>
      <c r="O308" s="0" t="n">
        <v>1</v>
      </c>
    </row>
    <row r="309" customFormat="false" ht="15" hidden="false" customHeight="false" outlineLevel="0" collapsed="false">
      <c r="A309" s="0" t="s">
        <v>404</v>
      </c>
      <c r="B309" s="0" t="s">
        <v>85</v>
      </c>
      <c r="C309" s="0" t="s">
        <v>91</v>
      </c>
      <c r="D309" s="0" t="s">
        <v>92</v>
      </c>
      <c r="E309" s="0" t="s">
        <v>88</v>
      </c>
      <c r="F309" s="0" t="n">
        <v>32</v>
      </c>
      <c r="G309" s="0" t="n">
        <v>8.2</v>
      </c>
      <c r="H309" s="0" t="n">
        <v>37.4</v>
      </c>
      <c r="I309" s="0" t="n">
        <v>76.6</v>
      </c>
      <c r="J309" s="0" t="n">
        <v>86</v>
      </c>
      <c r="K309" s="0" t="n">
        <v>81</v>
      </c>
      <c r="L309" s="0" t="n">
        <v>7152.73</v>
      </c>
      <c r="M309" s="0" t="n">
        <v>4</v>
      </c>
      <c r="N309" s="0" t="n">
        <v>97</v>
      </c>
      <c r="O309" s="0" t="n">
        <v>0</v>
      </c>
    </row>
    <row r="310" customFormat="false" ht="15" hidden="false" customHeight="false" outlineLevel="0" collapsed="false">
      <c r="A310" s="0" t="s">
        <v>405</v>
      </c>
      <c r="B310" s="0" t="s">
        <v>99</v>
      </c>
      <c r="C310" s="0" t="s">
        <v>86</v>
      </c>
      <c r="D310" s="0" t="s">
        <v>95</v>
      </c>
      <c r="E310" s="0" t="s">
        <v>88</v>
      </c>
      <c r="F310" s="0" t="n">
        <v>29</v>
      </c>
      <c r="G310" s="0" t="n">
        <v>4.8</v>
      </c>
      <c r="H310" s="0" t="n">
        <v>17.8</v>
      </c>
      <c r="I310" s="0" t="n">
        <v>63.2</v>
      </c>
      <c r="J310" s="0" t="n">
        <v>75.8</v>
      </c>
      <c r="K310" s="0" t="n">
        <v>71.7</v>
      </c>
      <c r="L310" s="0" t="n">
        <v>6856.54</v>
      </c>
      <c r="M310" s="0" t="n">
        <v>9</v>
      </c>
      <c r="N310" s="0" t="n">
        <v>100</v>
      </c>
      <c r="O310" s="0" t="n">
        <v>1</v>
      </c>
    </row>
    <row r="311" customFormat="false" ht="15" hidden="false" customHeight="false" outlineLevel="0" collapsed="false">
      <c r="A311" s="0" t="s">
        <v>406</v>
      </c>
      <c r="B311" s="0" t="s">
        <v>99</v>
      </c>
      <c r="C311" s="0" t="s">
        <v>86</v>
      </c>
      <c r="D311" s="0" t="s">
        <v>92</v>
      </c>
      <c r="E311" s="0" t="s">
        <v>96</v>
      </c>
      <c r="F311" s="0" t="n">
        <v>30</v>
      </c>
      <c r="G311" s="0" t="n">
        <v>6.8</v>
      </c>
      <c r="H311" s="0" t="n">
        <v>34.5</v>
      </c>
      <c r="I311" s="0" t="n">
        <v>65.6</v>
      </c>
      <c r="J311" s="0" t="n">
        <v>72.9</v>
      </c>
      <c r="K311" s="0" t="n">
        <v>76.7</v>
      </c>
      <c r="L311" s="0" t="n">
        <v>24729.838213579</v>
      </c>
      <c r="M311" s="0" t="n">
        <v>8</v>
      </c>
      <c r="N311" s="0" t="n">
        <v>89.1</v>
      </c>
      <c r="O311" s="0" t="n">
        <v>1</v>
      </c>
    </row>
    <row r="312" customFormat="false" ht="15" hidden="false" customHeight="false" outlineLevel="0" collapsed="false">
      <c r="A312" s="0" t="s">
        <v>407</v>
      </c>
      <c r="B312" s="0" t="s">
        <v>90</v>
      </c>
      <c r="C312" s="0" t="s">
        <v>91</v>
      </c>
      <c r="D312" s="0" t="s">
        <v>92</v>
      </c>
      <c r="E312" s="0" t="s">
        <v>100</v>
      </c>
      <c r="F312" s="0" t="n">
        <v>38</v>
      </c>
      <c r="G312" s="0" t="n">
        <v>8.8</v>
      </c>
      <c r="H312" s="0" t="n">
        <v>45</v>
      </c>
      <c r="I312" s="0" t="n">
        <v>60.2</v>
      </c>
      <c r="J312" s="0" t="n">
        <v>63.1</v>
      </c>
      <c r="K312" s="0" t="n">
        <v>96.4</v>
      </c>
      <c r="L312" s="0" t="n">
        <v>8219.14</v>
      </c>
      <c r="M312" s="0" t="n">
        <v>5</v>
      </c>
      <c r="N312" s="0" t="n">
        <v>80.2</v>
      </c>
      <c r="O312" s="0" t="n">
        <v>1</v>
      </c>
    </row>
    <row r="313" customFormat="false" ht="15" hidden="false" customHeight="false" outlineLevel="0" collapsed="false">
      <c r="A313" s="0" t="s">
        <v>408</v>
      </c>
      <c r="B313" s="0" t="s">
        <v>90</v>
      </c>
      <c r="C313" s="0" t="s">
        <v>91</v>
      </c>
      <c r="D313" s="0" t="s">
        <v>87</v>
      </c>
      <c r="E313" s="0" t="s">
        <v>88</v>
      </c>
      <c r="F313" s="0" t="n">
        <v>31</v>
      </c>
      <c r="G313" s="0" t="n">
        <v>4.2</v>
      </c>
      <c r="H313" s="0" t="n">
        <v>26.9</v>
      </c>
      <c r="I313" s="0" t="n">
        <v>49.7</v>
      </c>
      <c r="J313" s="0" t="n">
        <v>53.4</v>
      </c>
      <c r="K313" s="0" t="n">
        <v>87</v>
      </c>
      <c r="L313" s="0" t="n">
        <v>5617.98</v>
      </c>
      <c r="M313" s="0" t="n">
        <v>7</v>
      </c>
      <c r="N313" s="0" t="n">
        <v>90.8</v>
      </c>
      <c r="O313" s="0" t="n">
        <v>0</v>
      </c>
    </row>
    <row r="314" customFormat="false" ht="15" hidden="false" customHeight="false" outlineLevel="0" collapsed="false">
      <c r="A314" s="0" t="s">
        <v>409</v>
      </c>
      <c r="B314" s="0" t="s">
        <v>99</v>
      </c>
      <c r="C314" s="0" t="s">
        <v>91</v>
      </c>
      <c r="D314" s="0" t="s">
        <v>87</v>
      </c>
      <c r="E314" s="0" t="s">
        <v>96</v>
      </c>
      <c r="F314" s="0" t="n">
        <v>33</v>
      </c>
      <c r="G314" s="0" t="n">
        <v>4</v>
      </c>
      <c r="H314" s="0" t="n">
        <v>47.6</v>
      </c>
      <c r="I314" s="0" t="n">
        <v>55.1</v>
      </c>
      <c r="J314" s="0" t="n">
        <v>64.7</v>
      </c>
      <c r="K314" s="0" t="n">
        <v>77.6</v>
      </c>
      <c r="L314" s="0" t="n">
        <v>4654.01</v>
      </c>
      <c r="M314" s="0" t="n">
        <v>9</v>
      </c>
      <c r="N314" s="0" t="n">
        <v>95.8</v>
      </c>
      <c r="O314" s="0" t="n">
        <v>0</v>
      </c>
    </row>
    <row r="315" customFormat="false" ht="15" hidden="false" customHeight="false" outlineLevel="0" collapsed="false">
      <c r="A315" s="0" t="s">
        <v>410</v>
      </c>
      <c r="B315" s="0" t="s">
        <v>90</v>
      </c>
      <c r="C315" s="0" t="s">
        <v>91</v>
      </c>
      <c r="D315" s="0" t="s">
        <v>95</v>
      </c>
      <c r="E315" s="0" t="s">
        <v>96</v>
      </c>
      <c r="F315" s="0" t="n">
        <v>27</v>
      </c>
      <c r="G315" s="0" t="n">
        <v>2.2</v>
      </c>
      <c r="H315" s="0" t="n">
        <v>50.9</v>
      </c>
      <c r="I315" s="0" t="n">
        <v>47.9</v>
      </c>
      <c r="J315" s="0" t="n">
        <v>63.3</v>
      </c>
      <c r="K315" s="0" t="n">
        <v>85.2</v>
      </c>
      <c r="L315" s="0" t="n">
        <v>6557.63</v>
      </c>
      <c r="M315" s="0" t="n">
        <v>8</v>
      </c>
      <c r="N315" s="0" t="n">
        <v>93.8</v>
      </c>
      <c r="O315" s="0" t="n">
        <v>0</v>
      </c>
    </row>
    <row r="316" customFormat="false" ht="15" hidden="false" customHeight="false" outlineLevel="0" collapsed="false">
      <c r="A316" s="0" t="s">
        <v>411</v>
      </c>
      <c r="B316" s="0" t="s">
        <v>90</v>
      </c>
      <c r="C316" s="0" t="s">
        <v>91</v>
      </c>
      <c r="D316" s="0" t="s">
        <v>95</v>
      </c>
      <c r="E316" s="0" t="s">
        <v>96</v>
      </c>
      <c r="F316" s="0" t="n">
        <v>29</v>
      </c>
      <c r="G316" s="0" t="n">
        <v>2.6</v>
      </c>
      <c r="H316" s="0" t="n">
        <v>41.5</v>
      </c>
      <c r="I316" s="0" t="n">
        <v>47.2</v>
      </c>
      <c r="J316" s="0" t="n">
        <v>56.8</v>
      </c>
      <c r="K316" s="0" t="n">
        <v>77.5</v>
      </c>
      <c r="L316" s="0" t="n">
        <v>6613.36</v>
      </c>
      <c r="M316" s="0" t="n">
        <v>5</v>
      </c>
      <c r="N316" s="0" t="n">
        <v>94.4</v>
      </c>
      <c r="O316" s="0" t="n">
        <v>1</v>
      </c>
    </row>
    <row r="317" customFormat="false" ht="15" hidden="false" customHeight="false" outlineLevel="0" collapsed="false">
      <c r="A317" s="0" t="s">
        <v>412</v>
      </c>
      <c r="B317" s="0" t="s">
        <v>90</v>
      </c>
      <c r="C317" s="0" t="s">
        <v>86</v>
      </c>
      <c r="D317" s="0" t="s">
        <v>92</v>
      </c>
      <c r="E317" s="0" t="s">
        <v>88</v>
      </c>
      <c r="F317" s="0" t="n">
        <v>21</v>
      </c>
      <c r="G317" s="0" t="n">
        <v>0.1</v>
      </c>
      <c r="H317" s="0" t="n">
        <v>5</v>
      </c>
      <c r="I317" s="0" t="n">
        <v>64</v>
      </c>
      <c r="J317" s="0" t="n">
        <v>70.5</v>
      </c>
      <c r="K317" s="0" t="n">
        <v>64.5</v>
      </c>
      <c r="L317" s="0" t="n">
        <v>2421.04</v>
      </c>
      <c r="M317" s="0" t="n">
        <v>8</v>
      </c>
      <c r="N317" s="0" t="n">
        <v>99.6</v>
      </c>
      <c r="O317" s="0" t="n">
        <v>0</v>
      </c>
    </row>
    <row r="318" customFormat="false" ht="15" hidden="false" customHeight="false" outlineLevel="0" collapsed="false">
      <c r="A318" s="0" t="s">
        <v>413</v>
      </c>
      <c r="B318" s="0" t="s">
        <v>90</v>
      </c>
      <c r="C318" s="0" t="s">
        <v>91</v>
      </c>
      <c r="D318" s="0" t="s">
        <v>92</v>
      </c>
      <c r="E318" s="0" t="s">
        <v>100</v>
      </c>
      <c r="F318" s="0" t="n">
        <v>34</v>
      </c>
      <c r="G318" s="0" t="n">
        <v>8.3</v>
      </c>
      <c r="H318" s="0" t="n">
        <v>24.7</v>
      </c>
      <c r="I318" s="0" t="n">
        <v>48.8</v>
      </c>
      <c r="J318" s="0" t="n">
        <v>59.9</v>
      </c>
      <c r="K318" s="0" t="n">
        <v>94.5</v>
      </c>
      <c r="L318" s="0" t="n">
        <v>6472.46</v>
      </c>
      <c r="M318" s="0" t="n">
        <v>4</v>
      </c>
      <c r="N318" s="0" t="n">
        <v>94.9</v>
      </c>
      <c r="O318" s="0" t="n">
        <v>0</v>
      </c>
    </row>
    <row r="319" customFormat="false" ht="15" hidden="false" customHeight="false" outlineLevel="0" collapsed="false">
      <c r="A319" s="0" t="s">
        <v>414</v>
      </c>
      <c r="B319" s="0" t="s">
        <v>85</v>
      </c>
      <c r="C319" s="0" t="s">
        <v>86</v>
      </c>
      <c r="D319" s="0" t="s">
        <v>95</v>
      </c>
      <c r="E319" s="0" t="s">
        <v>125</v>
      </c>
      <c r="F319" s="0" t="n">
        <v>42</v>
      </c>
      <c r="G319" s="0" t="n">
        <v>11.8</v>
      </c>
      <c r="H319" s="0" t="n">
        <v>62.6</v>
      </c>
      <c r="I319" s="0" t="n">
        <v>63.2</v>
      </c>
      <c r="J319" s="0" t="n">
        <v>70.2</v>
      </c>
      <c r="K319" s="0" t="n">
        <v>100</v>
      </c>
      <c r="L319" s="0" t="n">
        <v>7401.18</v>
      </c>
      <c r="M319" s="0" t="n">
        <v>7</v>
      </c>
      <c r="N319" s="0" t="n">
        <v>97</v>
      </c>
      <c r="O319" s="0" t="n">
        <v>1</v>
      </c>
    </row>
    <row r="320" customFormat="false" ht="15" hidden="false" customHeight="false" outlineLevel="0" collapsed="false">
      <c r="A320" s="0" t="s">
        <v>415</v>
      </c>
      <c r="B320" s="0" t="s">
        <v>99</v>
      </c>
      <c r="C320" s="0" t="s">
        <v>91</v>
      </c>
      <c r="D320" s="0" t="s">
        <v>92</v>
      </c>
      <c r="E320" s="0" t="s">
        <v>88</v>
      </c>
      <c r="F320" s="0" t="n">
        <v>38</v>
      </c>
      <c r="G320" s="0" t="n">
        <v>10.6</v>
      </c>
      <c r="H320" s="0" t="n">
        <v>33.4</v>
      </c>
      <c r="I320" s="0" t="n">
        <v>47</v>
      </c>
      <c r="J320" s="0" t="n">
        <v>53.5</v>
      </c>
      <c r="K320" s="0" t="n">
        <v>75.4</v>
      </c>
      <c r="L320" s="0" t="n">
        <v>5984.07</v>
      </c>
      <c r="M320" s="0" t="n">
        <v>9</v>
      </c>
      <c r="N320" s="0" t="n">
        <v>88.3</v>
      </c>
      <c r="O320" s="0" t="n">
        <v>1</v>
      </c>
    </row>
    <row r="321" customFormat="false" ht="15" hidden="false" customHeight="false" outlineLevel="0" collapsed="false">
      <c r="A321" s="0" t="s">
        <v>416</v>
      </c>
      <c r="B321" s="0" t="s">
        <v>94</v>
      </c>
      <c r="C321" s="0" t="s">
        <v>91</v>
      </c>
      <c r="D321" s="0" t="s">
        <v>95</v>
      </c>
      <c r="E321" s="0" t="s">
        <v>88</v>
      </c>
      <c r="F321" s="0" t="n">
        <v>24</v>
      </c>
      <c r="G321" s="0" t="n">
        <v>0.8</v>
      </c>
      <c r="H321" s="0" t="n">
        <v>16.2</v>
      </c>
      <c r="I321" s="0" t="n">
        <v>63</v>
      </c>
      <c r="J321" s="0" t="n">
        <v>67.2</v>
      </c>
      <c r="K321" s="0" t="n">
        <v>66.3</v>
      </c>
      <c r="L321" s="0" t="n">
        <v>23113.1646172151</v>
      </c>
      <c r="M321" s="0" t="n">
        <v>7</v>
      </c>
      <c r="N321" s="0" t="n">
        <v>87.5</v>
      </c>
      <c r="O321" s="0" t="n">
        <v>0</v>
      </c>
    </row>
    <row r="322" customFormat="false" ht="15" hidden="false" customHeight="false" outlineLevel="0" collapsed="false">
      <c r="A322" s="0" t="s">
        <v>417</v>
      </c>
      <c r="B322" s="0" t="s">
        <v>94</v>
      </c>
      <c r="C322" s="0" t="s">
        <v>86</v>
      </c>
      <c r="D322" s="0" t="s">
        <v>87</v>
      </c>
      <c r="E322" s="0" t="s">
        <v>88</v>
      </c>
      <c r="F322" s="0" t="n">
        <v>32</v>
      </c>
      <c r="G322" s="0" t="n">
        <v>8.3</v>
      </c>
      <c r="H322" s="0" t="n">
        <v>54.8</v>
      </c>
      <c r="I322" s="0" t="n">
        <v>55.1</v>
      </c>
      <c r="J322" s="0" t="n">
        <v>68.7</v>
      </c>
      <c r="K322" s="0" t="n">
        <v>98.8</v>
      </c>
      <c r="L322" s="0" t="n">
        <v>7329.23</v>
      </c>
      <c r="M322" s="0" t="n">
        <v>6</v>
      </c>
      <c r="N322" s="0" t="n">
        <v>100</v>
      </c>
      <c r="O322" s="0" t="n">
        <v>1</v>
      </c>
    </row>
    <row r="323" customFormat="false" ht="15" hidden="false" customHeight="false" outlineLevel="0" collapsed="false">
      <c r="A323" s="0" t="s">
        <v>418</v>
      </c>
      <c r="B323" s="0" t="s">
        <v>90</v>
      </c>
      <c r="C323" s="0" t="s">
        <v>86</v>
      </c>
      <c r="D323" s="0" t="s">
        <v>92</v>
      </c>
      <c r="E323" s="0" t="s">
        <v>88</v>
      </c>
      <c r="F323" s="0" t="n">
        <v>36</v>
      </c>
      <c r="G323" s="0" t="n">
        <v>10.6</v>
      </c>
      <c r="H323" s="0" t="n">
        <v>40.2</v>
      </c>
      <c r="I323" s="0" t="n">
        <v>74.1</v>
      </c>
      <c r="J323" s="0" t="n">
        <v>71.9</v>
      </c>
      <c r="K323" s="0" t="n">
        <v>91.6</v>
      </c>
      <c r="L323" s="0" t="n">
        <v>6634.08</v>
      </c>
      <c r="M323" s="0" t="n">
        <v>8</v>
      </c>
      <c r="N323" s="0" t="n">
        <v>93.5</v>
      </c>
      <c r="O323" s="0" t="n">
        <v>1</v>
      </c>
    </row>
    <row r="324" customFormat="false" ht="15" hidden="false" customHeight="false" outlineLevel="0" collapsed="false">
      <c r="A324" s="0" t="s">
        <v>419</v>
      </c>
      <c r="B324" s="0" t="s">
        <v>90</v>
      </c>
      <c r="C324" s="0" t="s">
        <v>86</v>
      </c>
      <c r="D324" s="0" t="s">
        <v>95</v>
      </c>
      <c r="E324" s="0" t="s">
        <v>96</v>
      </c>
      <c r="F324" s="0" t="n">
        <v>31</v>
      </c>
      <c r="G324" s="0" t="n">
        <v>4.5</v>
      </c>
      <c r="H324" s="0" t="n">
        <v>53.3</v>
      </c>
      <c r="I324" s="0" t="n">
        <v>63.2</v>
      </c>
      <c r="J324" s="0" t="n">
        <v>74.4</v>
      </c>
      <c r="K324" s="0" t="n">
        <v>93.7</v>
      </c>
      <c r="L324" s="0" t="n">
        <v>6869.01</v>
      </c>
      <c r="N324" s="0" t="n">
        <v>89.9</v>
      </c>
      <c r="O324" s="0" t="n">
        <v>1</v>
      </c>
    </row>
    <row r="325" customFormat="false" ht="15" hidden="false" customHeight="false" outlineLevel="0" collapsed="false">
      <c r="A325" s="0" t="s">
        <v>420</v>
      </c>
      <c r="B325" s="0" t="s">
        <v>90</v>
      </c>
      <c r="C325" s="0" t="s">
        <v>91</v>
      </c>
      <c r="D325" s="0" t="s">
        <v>92</v>
      </c>
      <c r="E325" s="0" t="s">
        <v>96</v>
      </c>
      <c r="F325" s="0" t="n">
        <v>35</v>
      </c>
      <c r="G325" s="0" t="n">
        <v>6.3</v>
      </c>
      <c r="H325" s="0" t="n">
        <v>43.3</v>
      </c>
      <c r="I325" s="0" t="n">
        <v>72.4</v>
      </c>
      <c r="J325" s="0" t="n">
        <v>78.5</v>
      </c>
      <c r="K325" s="0" t="n">
        <v>81.7</v>
      </c>
      <c r="L325" s="0" t="n">
        <v>6062.33</v>
      </c>
      <c r="M325" s="0" t="n">
        <v>9</v>
      </c>
      <c r="N325" s="0" t="n">
        <v>89.9</v>
      </c>
      <c r="O325" s="0" t="n">
        <v>1</v>
      </c>
    </row>
    <row r="326" customFormat="false" ht="15" hidden="false" customHeight="false" outlineLevel="0" collapsed="false">
      <c r="A326" s="0" t="s">
        <v>421</v>
      </c>
      <c r="B326" s="0" t="s">
        <v>94</v>
      </c>
      <c r="C326" s="0" t="s">
        <v>86</v>
      </c>
      <c r="D326" s="0" t="s">
        <v>87</v>
      </c>
      <c r="E326" s="0" t="s">
        <v>96</v>
      </c>
      <c r="F326" s="0" t="n">
        <v>21</v>
      </c>
      <c r="G326" s="0" t="n">
        <v>0</v>
      </c>
      <c r="H326" s="0" t="n">
        <v>45.5</v>
      </c>
      <c r="I326" s="0" t="n">
        <v>52.4</v>
      </c>
      <c r="J326" s="0" t="n">
        <v>58.8</v>
      </c>
      <c r="K326" s="0" t="n">
        <v>61.5</v>
      </c>
      <c r="L326" s="0" t="n">
        <v>4318.76</v>
      </c>
      <c r="M326" s="0" t="n">
        <v>8</v>
      </c>
      <c r="N326" s="0" t="n">
        <v>89.8</v>
      </c>
      <c r="O326" s="0" t="n">
        <v>0</v>
      </c>
    </row>
    <row r="327" customFormat="false" ht="15" hidden="false" customHeight="false" outlineLevel="0" collapsed="false">
      <c r="A327" s="0" t="s">
        <v>422</v>
      </c>
      <c r="B327" s="0" t="s">
        <v>85</v>
      </c>
      <c r="C327" s="0" t="s">
        <v>86</v>
      </c>
      <c r="D327" s="0" t="s">
        <v>87</v>
      </c>
      <c r="E327" s="0" t="s">
        <v>88</v>
      </c>
      <c r="F327" s="0" t="n">
        <v>35</v>
      </c>
      <c r="G327" s="0" t="n">
        <v>6.9</v>
      </c>
      <c r="H327" s="0" t="n">
        <v>44.4</v>
      </c>
      <c r="I327" s="0" t="n">
        <v>60.6</v>
      </c>
      <c r="J327" s="0" t="n">
        <v>75.4</v>
      </c>
      <c r="K327" s="0" t="n">
        <v>83.9</v>
      </c>
      <c r="L327" s="0" t="n">
        <v>7424.89</v>
      </c>
      <c r="M327" s="0" t="n">
        <v>9</v>
      </c>
      <c r="N327" s="0" t="n">
        <v>89.5</v>
      </c>
      <c r="O327" s="0" t="n">
        <v>1</v>
      </c>
    </row>
    <row r="328" customFormat="false" ht="15" hidden="false" customHeight="false" outlineLevel="0" collapsed="false">
      <c r="A328" s="0" t="s">
        <v>423</v>
      </c>
      <c r="B328" s="0" t="s">
        <v>94</v>
      </c>
      <c r="C328" s="0" t="s">
        <v>86</v>
      </c>
      <c r="D328" s="0" t="s">
        <v>87</v>
      </c>
      <c r="E328" s="0" t="s">
        <v>88</v>
      </c>
      <c r="F328" s="0" t="n">
        <v>25</v>
      </c>
      <c r="G328" s="0" t="n">
        <v>2.6</v>
      </c>
      <c r="H328" s="0" t="n">
        <v>48.4</v>
      </c>
      <c r="I328" s="0" t="n">
        <v>50.2</v>
      </c>
      <c r="J328" s="0" t="n">
        <v>55.3</v>
      </c>
      <c r="K328" s="0" t="n">
        <v>65.3</v>
      </c>
      <c r="L328" s="0" t="n">
        <v>4519.94</v>
      </c>
      <c r="M328" s="0" t="n">
        <v>8</v>
      </c>
      <c r="N328" s="0" t="n">
        <v>86.6</v>
      </c>
      <c r="O328" s="0" t="n">
        <v>1</v>
      </c>
    </row>
    <row r="329" customFormat="false" ht="15" hidden="false" customHeight="false" outlineLevel="0" collapsed="false">
      <c r="A329" s="0" t="s">
        <v>424</v>
      </c>
      <c r="B329" s="0" t="s">
        <v>90</v>
      </c>
      <c r="C329" s="0" t="s">
        <v>86</v>
      </c>
      <c r="D329" s="0" t="s">
        <v>87</v>
      </c>
      <c r="E329" s="0" t="s">
        <v>88</v>
      </c>
      <c r="F329" s="0" t="n">
        <v>33</v>
      </c>
      <c r="G329" s="0" t="n">
        <v>6.6</v>
      </c>
      <c r="H329" s="0" t="n">
        <v>67.3</v>
      </c>
      <c r="I329" s="0" t="n">
        <v>55.9</v>
      </c>
      <c r="J329" s="0" t="n">
        <v>61.2</v>
      </c>
      <c r="K329" s="0" t="n">
        <v>93.8</v>
      </c>
      <c r="L329" s="0" t="n">
        <v>6934.17</v>
      </c>
      <c r="M329" s="0" t="n">
        <v>7</v>
      </c>
      <c r="N329" s="0" t="n">
        <v>85.5</v>
      </c>
      <c r="O329" s="0" t="n">
        <v>1</v>
      </c>
    </row>
    <row r="330" customFormat="false" ht="15" hidden="false" customHeight="false" outlineLevel="0" collapsed="false">
      <c r="A330" s="0" t="s">
        <v>425</v>
      </c>
      <c r="B330" s="0" t="s">
        <v>85</v>
      </c>
      <c r="C330" s="0" t="s">
        <v>86</v>
      </c>
      <c r="D330" s="0" t="s">
        <v>87</v>
      </c>
      <c r="E330" s="0" t="s">
        <v>100</v>
      </c>
      <c r="F330" s="0" t="n">
        <v>28</v>
      </c>
      <c r="G330" s="0" t="n">
        <v>1</v>
      </c>
      <c r="H330" s="0" t="n">
        <v>51.7</v>
      </c>
      <c r="I330" s="0" t="n">
        <v>57.4</v>
      </c>
      <c r="J330" s="0" t="n">
        <v>64.9</v>
      </c>
      <c r="K330" s="0" t="n">
        <v>83.9</v>
      </c>
      <c r="L330" s="0" t="n">
        <v>5715.17</v>
      </c>
      <c r="N330" s="0" t="n">
        <v>92</v>
      </c>
      <c r="O330" s="0" t="n">
        <v>1</v>
      </c>
    </row>
    <row r="331" customFormat="false" ht="15" hidden="false" customHeight="false" outlineLevel="0" collapsed="false">
      <c r="A331" s="0" t="s">
        <v>426</v>
      </c>
      <c r="B331" s="0" t="s">
        <v>99</v>
      </c>
      <c r="C331" s="0" t="s">
        <v>86</v>
      </c>
      <c r="D331" s="0" t="s">
        <v>95</v>
      </c>
      <c r="E331" s="0" t="s">
        <v>88</v>
      </c>
      <c r="F331" s="0" t="n">
        <v>37</v>
      </c>
      <c r="G331" s="0" t="n">
        <v>7.7</v>
      </c>
      <c r="H331" s="0" t="n">
        <v>21</v>
      </c>
      <c r="I331" s="0" t="n">
        <v>52.7</v>
      </c>
      <c r="J331" s="0" t="n">
        <v>62.4</v>
      </c>
      <c r="K331" s="0" t="n">
        <v>64.8</v>
      </c>
      <c r="L331" s="0" t="n">
        <v>6609.47</v>
      </c>
      <c r="M331" s="0" t="n">
        <v>7</v>
      </c>
      <c r="N331" s="0" t="n">
        <v>90</v>
      </c>
      <c r="O331" s="0" t="n">
        <v>0</v>
      </c>
    </row>
    <row r="332" customFormat="false" ht="15" hidden="false" customHeight="false" outlineLevel="0" collapsed="false">
      <c r="A332" s="0" t="s">
        <v>427</v>
      </c>
      <c r="B332" s="0" t="s">
        <v>85</v>
      </c>
      <c r="C332" s="0" t="s">
        <v>86</v>
      </c>
      <c r="D332" s="0" t="s">
        <v>95</v>
      </c>
      <c r="E332" s="0" t="s">
        <v>88</v>
      </c>
      <c r="F332" s="0" t="n">
        <v>39</v>
      </c>
      <c r="G332" s="0" t="n">
        <v>9.3</v>
      </c>
      <c r="H332" s="0" t="n">
        <v>45.4</v>
      </c>
      <c r="I332" s="0" t="n">
        <v>47.8</v>
      </c>
      <c r="J332" s="0" t="n">
        <v>54</v>
      </c>
      <c r="K332" s="0" t="n">
        <v>78.7</v>
      </c>
      <c r="L332" s="0" t="n">
        <v>8435.84</v>
      </c>
      <c r="M332" s="0" t="n">
        <v>5</v>
      </c>
      <c r="N332" s="0" t="n">
        <v>98.5</v>
      </c>
      <c r="O332" s="0" t="n">
        <v>1</v>
      </c>
    </row>
    <row r="333" customFormat="false" ht="15" hidden="false" customHeight="false" outlineLevel="0" collapsed="false">
      <c r="A333" s="0" t="s">
        <v>428</v>
      </c>
      <c r="B333" s="0" t="s">
        <v>99</v>
      </c>
      <c r="C333" s="0" t="s">
        <v>86</v>
      </c>
      <c r="D333" s="0" t="s">
        <v>87</v>
      </c>
      <c r="E333" s="0" t="s">
        <v>100</v>
      </c>
      <c r="F333" s="0" t="n">
        <v>33</v>
      </c>
      <c r="G333" s="0" t="n">
        <v>3.5</v>
      </c>
      <c r="H333" s="0" t="n">
        <v>53.7</v>
      </c>
      <c r="I333" s="0" t="n">
        <v>45.9</v>
      </c>
      <c r="J333" s="0" t="n">
        <v>47.6</v>
      </c>
      <c r="K333" s="0" t="n">
        <v>74.9</v>
      </c>
      <c r="L333" s="0" t="n">
        <v>5547.94</v>
      </c>
      <c r="M333" s="0" t="n">
        <v>5</v>
      </c>
      <c r="N333" s="0" t="n">
        <v>94.5</v>
      </c>
      <c r="O333" s="0" t="n">
        <v>1</v>
      </c>
    </row>
    <row r="334" customFormat="false" ht="15" hidden="false" customHeight="false" outlineLevel="0" collapsed="false">
      <c r="A334" s="0" t="s">
        <v>429</v>
      </c>
      <c r="B334" s="0" t="s">
        <v>85</v>
      </c>
      <c r="C334" s="0" t="s">
        <v>86</v>
      </c>
      <c r="D334" s="0" t="s">
        <v>92</v>
      </c>
      <c r="E334" s="0" t="s">
        <v>88</v>
      </c>
      <c r="F334" s="0" t="n">
        <v>24</v>
      </c>
      <c r="G334" s="0" t="n">
        <v>2.4</v>
      </c>
      <c r="H334" s="0" t="n">
        <v>54.4</v>
      </c>
      <c r="I334" s="0" t="n">
        <v>36.6</v>
      </c>
      <c r="J334" s="0" t="n">
        <v>41.1</v>
      </c>
      <c r="K334" s="0" t="n">
        <v>77.9</v>
      </c>
      <c r="L334" s="0" t="n">
        <v>6788.14</v>
      </c>
      <c r="M334" s="0" t="n">
        <v>7</v>
      </c>
      <c r="N334" s="0" t="n">
        <v>94.3</v>
      </c>
      <c r="O334" s="0" t="n">
        <v>0</v>
      </c>
    </row>
    <row r="335" customFormat="false" ht="15" hidden="false" customHeight="false" outlineLevel="0" collapsed="false">
      <c r="A335" s="0" t="s">
        <v>430</v>
      </c>
      <c r="B335" s="0" t="s">
        <v>94</v>
      </c>
      <c r="C335" s="0" t="s">
        <v>86</v>
      </c>
      <c r="D335" s="0" t="s">
        <v>87</v>
      </c>
      <c r="E335" s="0" t="s">
        <v>96</v>
      </c>
      <c r="F335" s="0" t="n">
        <v>21</v>
      </c>
      <c r="G335" s="0" t="n">
        <v>0</v>
      </c>
      <c r="H335" s="0" t="n">
        <v>34.9</v>
      </c>
      <c r="I335" s="0" t="n">
        <v>49.4</v>
      </c>
      <c r="J335" s="0" t="n">
        <v>62.5</v>
      </c>
      <c r="K335" s="0" t="n">
        <v>65.7</v>
      </c>
      <c r="L335" s="0" t="n">
        <v>3675.77</v>
      </c>
      <c r="M335" s="0" t="n">
        <v>7</v>
      </c>
      <c r="N335" s="0" t="n">
        <v>89.3</v>
      </c>
      <c r="O335" s="0" t="n">
        <v>0</v>
      </c>
    </row>
    <row r="336" customFormat="false" ht="15" hidden="false" customHeight="false" outlineLevel="0" collapsed="false">
      <c r="A336" s="0" t="s">
        <v>431</v>
      </c>
      <c r="B336" s="0" t="s">
        <v>99</v>
      </c>
      <c r="C336" s="0" t="s">
        <v>86</v>
      </c>
      <c r="D336" s="0" t="s">
        <v>95</v>
      </c>
      <c r="E336" s="0" t="s">
        <v>100</v>
      </c>
      <c r="F336" s="0" t="n">
        <v>28</v>
      </c>
      <c r="G336" s="0" t="n">
        <v>5.1</v>
      </c>
      <c r="H336" s="0" t="n">
        <v>54</v>
      </c>
      <c r="I336" s="0" t="n">
        <v>66.3</v>
      </c>
      <c r="J336" s="0" t="n">
        <v>74.6</v>
      </c>
      <c r="K336" s="0" t="n">
        <v>94.9</v>
      </c>
      <c r="L336" s="0" t="n">
        <v>8502.09</v>
      </c>
      <c r="M336" s="0" t="n">
        <v>9</v>
      </c>
      <c r="N336" s="0" t="n">
        <v>92.4</v>
      </c>
      <c r="O336" s="0" t="n">
        <v>0</v>
      </c>
    </row>
    <row r="337" customFormat="false" ht="15" hidden="false" customHeight="false" outlineLevel="0" collapsed="false">
      <c r="A337" s="0" t="s">
        <v>432</v>
      </c>
      <c r="B337" s="0" t="s">
        <v>85</v>
      </c>
      <c r="C337" s="0" t="s">
        <v>91</v>
      </c>
      <c r="D337" s="0" t="s">
        <v>92</v>
      </c>
      <c r="E337" s="0" t="s">
        <v>88</v>
      </c>
      <c r="F337" s="0" t="n">
        <v>28</v>
      </c>
      <c r="G337" s="0" t="n">
        <v>4.1</v>
      </c>
      <c r="H337" s="0" t="n">
        <v>51.1</v>
      </c>
      <c r="I337" s="0" t="n">
        <v>44</v>
      </c>
      <c r="J337" s="0" t="n">
        <v>53.8</v>
      </c>
      <c r="K337" s="0" t="n">
        <v>86.9</v>
      </c>
      <c r="L337" s="0" t="n">
        <v>5352.11</v>
      </c>
      <c r="M337" s="0" t="n">
        <v>7</v>
      </c>
      <c r="N337" s="0" t="n">
        <v>94.8</v>
      </c>
      <c r="O337" s="0" t="n">
        <v>0</v>
      </c>
    </row>
    <row r="338" customFormat="false" ht="15" hidden="false" customHeight="false" outlineLevel="0" collapsed="false">
      <c r="A338" s="0" t="s">
        <v>433</v>
      </c>
      <c r="B338" s="0" t="s">
        <v>99</v>
      </c>
      <c r="C338" s="0" t="s">
        <v>86</v>
      </c>
      <c r="D338" s="0" t="s">
        <v>87</v>
      </c>
      <c r="E338" s="0" t="s">
        <v>96</v>
      </c>
      <c r="F338" s="0" t="n">
        <v>21</v>
      </c>
      <c r="G338" s="0" t="n">
        <v>1</v>
      </c>
      <c r="H338" s="0" t="n">
        <v>70.9</v>
      </c>
      <c r="I338" s="0" t="n">
        <v>46.3</v>
      </c>
      <c r="J338" s="0" t="n">
        <v>53.3</v>
      </c>
      <c r="K338" s="0" t="n">
        <v>87.1</v>
      </c>
      <c r="L338" s="0" t="n">
        <v>7588.13</v>
      </c>
      <c r="M338" s="0" t="n">
        <v>9</v>
      </c>
      <c r="N338" s="0" t="n">
        <v>96.6</v>
      </c>
      <c r="O338" s="0" t="n">
        <v>1</v>
      </c>
    </row>
    <row r="339" customFormat="false" ht="15" hidden="false" customHeight="false" outlineLevel="0" collapsed="false">
      <c r="A339" s="0" t="s">
        <v>434</v>
      </c>
      <c r="B339" s="0" t="s">
        <v>85</v>
      </c>
      <c r="C339" s="0" t="s">
        <v>86</v>
      </c>
      <c r="D339" s="0" t="s">
        <v>87</v>
      </c>
      <c r="E339" s="0" t="s">
        <v>96</v>
      </c>
      <c r="F339" s="0" t="n">
        <v>33</v>
      </c>
      <c r="G339" s="0" t="n">
        <v>7.4</v>
      </c>
      <c r="H339" s="0" t="n">
        <v>31</v>
      </c>
      <c r="I339" s="0" t="n">
        <v>77.9</v>
      </c>
      <c r="J339" s="0" t="n">
        <v>83.3</v>
      </c>
      <c r="K339" s="0" t="n">
        <v>80.2</v>
      </c>
      <c r="L339" s="0" t="n">
        <v>5702.16</v>
      </c>
      <c r="M339" s="0" t="n">
        <v>9</v>
      </c>
      <c r="N339" s="0" t="n">
        <v>92.5</v>
      </c>
      <c r="O339" s="0" t="n">
        <v>1</v>
      </c>
    </row>
    <row r="340" customFormat="false" ht="15" hidden="false" customHeight="false" outlineLevel="0" collapsed="false">
      <c r="A340" s="0" t="s">
        <v>435</v>
      </c>
      <c r="B340" s="0" t="s">
        <v>99</v>
      </c>
      <c r="C340" s="0" t="s">
        <v>86</v>
      </c>
      <c r="D340" s="0" t="s">
        <v>92</v>
      </c>
      <c r="E340" s="0" t="s">
        <v>96</v>
      </c>
      <c r="F340" s="0" t="n">
        <v>28</v>
      </c>
      <c r="G340" s="0" t="n">
        <v>4.6</v>
      </c>
      <c r="H340" s="0" t="n">
        <v>33.9</v>
      </c>
      <c r="I340" s="0" t="n">
        <v>53.6</v>
      </c>
      <c r="J340" s="0" t="n">
        <v>68.3</v>
      </c>
      <c r="K340" s="0" t="n">
        <v>79.9</v>
      </c>
      <c r="L340" s="0" t="n">
        <v>7516.42</v>
      </c>
      <c r="M340" s="0" t="n">
        <v>7</v>
      </c>
      <c r="N340" s="0" t="n">
        <v>98.4</v>
      </c>
      <c r="O340" s="0" t="n">
        <v>1</v>
      </c>
    </row>
    <row r="341" customFormat="false" ht="15" hidden="false" customHeight="false" outlineLevel="0" collapsed="false">
      <c r="A341" s="0" t="s">
        <v>436</v>
      </c>
      <c r="B341" s="0" t="s">
        <v>94</v>
      </c>
      <c r="C341" s="0" t="s">
        <v>86</v>
      </c>
      <c r="D341" s="0" t="s">
        <v>87</v>
      </c>
      <c r="E341" s="0" t="s">
        <v>88</v>
      </c>
      <c r="F341" s="0" t="n">
        <v>29</v>
      </c>
      <c r="G341" s="0" t="n">
        <v>2.6</v>
      </c>
      <c r="H341" s="0" t="n">
        <v>36.3</v>
      </c>
      <c r="I341" s="0" t="n">
        <v>63.2</v>
      </c>
      <c r="J341" s="0" t="n">
        <v>70.4</v>
      </c>
      <c r="K341" s="0" t="n">
        <v>67.4</v>
      </c>
      <c r="L341" s="0" t="n">
        <v>5645.19</v>
      </c>
      <c r="M341" s="0" t="n">
        <v>8</v>
      </c>
      <c r="N341" s="0" t="n">
        <v>93</v>
      </c>
      <c r="O341" s="0" t="n">
        <v>1</v>
      </c>
    </row>
    <row r="342" customFormat="false" ht="15" hidden="false" customHeight="false" outlineLevel="0" collapsed="false">
      <c r="A342" s="0" t="s">
        <v>437</v>
      </c>
      <c r="B342" s="0" t="s">
        <v>99</v>
      </c>
      <c r="C342" s="0" t="s">
        <v>86</v>
      </c>
      <c r="D342" s="0" t="s">
        <v>92</v>
      </c>
      <c r="E342" s="0" t="s">
        <v>96</v>
      </c>
      <c r="F342" s="0" t="n">
        <v>30</v>
      </c>
      <c r="G342" s="0" t="n">
        <v>4.2</v>
      </c>
      <c r="I342" s="0" t="n">
        <v>66.4</v>
      </c>
      <c r="J342" s="0" t="n">
        <v>72.6</v>
      </c>
      <c r="K342" s="0" t="n">
        <v>82.5</v>
      </c>
      <c r="L342" s="0" t="n">
        <v>4737.09</v>
      </c>
      <c r="M342" s="0" t="n">
        <v>7</v>
      </c>
      <c r="N342" s="0" t="n">
        <v>97</v>
      </c>
      <c r="O342" s="0" t="n">
        <v>1</v>
      </c>
    </row>
    <row r="343" customFormat="false" ht="15" hidden="false" customHeight="false" outlineLevel="0" collapsed="false">
      <c r="A343" s="0" t="s">
        <v>438</v>
      </c>
      <c r="B343" s="0" t="s">
        <v>94</v>
      </c>
      <c r="C343" s="0" t="s">
        <v>86</v>
      </c>
      <c r="D343" s="0" t="s">
        <v>95</v>
      </c>
      <c r="E343" s="0" t="s">
        <v>88</v>
      </c>
      <c r="F343" s="0" t="n">
        <v>35</v>
      </c>
      <c r="G343" s="0" t="n">
        <v>9.4</v>
      </c>
      <c r="H343" s="0" t="n">
        <v>29.3</v>
      </c>
      <c r="I343" s="0" t="n">
        <v>66.6</v>
      </c>
      <c r="J343" s="0" t="n">
        <v>79</v>
      </c>
      <c r="K343" s="0" t="n">
        <v>75.4</v>
      </c>
      <c r="L343" s="0" t="n">
        <v>6182.99</v>
      </c>
      <c r="M343" s="0" t="n">
        <v>9</v>
      </c>
      <c r="N343" s="0" t="n">
        <v>90.6</v>
      </c>
      <c r="O343" s="0" t="n">
        <v>1</v>
      </c>
    </row>
    <row r="344" customFormat="false" ht="15" hidden="false" customHeight="false" outlineLevel="0" collapsed="false">
      <c r="A344" s="0" t="s">
        <v>439</v>
      </c>
      <c r="B344" s="0" t="s">
        <v>94</v>
      </c>
      <c r="C344" s="0" t="s">
        <v>91</v>
      </c>
      <c r="D344" s="0" t="s">
        <v>95</v>
      </c>
      <c r="E344" s="0" t="s">
        <v>88</v>
      </c>
      <c r="F344" s="0" t="n">
        <v>36</v>
      </c>
      <c r="G344" s="0" t="n">
        <v>7.9</v>
      </c>
      <c r="H344" s="0" t="n">
        <v>6.8</v>
      </c>
      <c r="I344" s="0" t="n">
        <v>44.8</v>
      </c>
      <c r="J344" s="0" t="n">
        <v>49.9</v>
      </c>
      <c r="K344" s="0" t="n">
        <v>78.4</v>
      </c>
      <c r="L344" s="0" t="n">
        <v>6126.06</v>
      </c>
      <c r="M344" s="0" t="n">
        <v>8</v>
      </c>
      <c r="N344" s="0" t="n">
        <v>83.9</v>
      </c>
      <c r="O344" s="0" t="n">
        <v>1</v>
      </c>
    </row>
    <row r="345" customFormat="false" ht="15" hidden="false" customHeight="false" outlineLevel="0" collapsed="false">
      <c r="A345" s="0" t="s">
        <v>440</v>
      </c>
      <c r="B345" s="0" t="s">
        <v>90</v>
      </c>
      <c r="C345" s="0" t="s">
        <v>86</v>
      </c>
      <c r="D345" s="0" t="s">
        <v>95</v>
      </c>
      <c r="E345" s="0" t="s">
        <v>88</v>
      </c>
      <c r="F345" s="0" t="n">
        <v>33</v>
      </c>
      <c r="G345" s="0" t="n">
        <v>5.6</v>
      </c>
      <c r="H345" s="0" t="n">
        <v>34.8</v>
      </c>
      <c r="I345" s="0" t="n">
        <v>57.7</v>
      </c>
      <c r="J345" s="0" t="n">
        <v>63.3</v>
      </c>
      <c r="K345" s="0" t="n">
        <v>90.6</v>
      </c>
      <c r="L345" s="0" t="n">
        <v>7098.38</v>
      </c>
      <c r="M345" s="0" t="n">
        <v>5</v>
      </c>
      <c r="N345" s="0" t="n">
        <v>94.3</v>
      </c>
      <c r="O345" s="0" t="n">
        <v>1</v>
      </c>
    </row>
    <row r="346" customFormat="false" ht="15" hidden="false" customHeight="false" outlineLevel="0" collapsed="false">
      <c r="A346" s="0" t="s">
        <v>441</v>
      </c>
      <c r="B346" s="0" t="s">
        <v>85</v>
      </c>
      <c r="C346" s="0" t="s">
        <v>86</v>
      </c>
      <c r="D346" s="0" t="s">
        <v>87</v>
      </c>
      <c r="E346" s="0" t="s">
        <v>88</v>
      </c>
      <c r="F346" s="0" t="n">
        <v>32</v>
      </c>
      <c r="G346" s="0" t="n">
        <v>8</v>
      </c>
      <c r="H346" s="0" t="n">
        <v>44.4</v>
      </c>
      <c r="I346" s="0" t="n">
        <v>43.8</v>
      </c>
      <c r="J346" s="0" t="n">
        <v>51.8</v>
      </c>
      <c r="K346" s="0" t="n">
        <v>86.4</v>
      </c>
      <c r="L346" s="0" t="n">
        <v>7008.36</v>
      </c>
      <c r="M346" s="0" t="n">
        <v>7</v>
      </c>
      <c r="N346" s="0" t="n">
        <v>96.6</v>
      </c>
      <c r="O346" s="0" t="n">
        <v>1</v>
      </c>
    </row>
    <row r="347" customFormat="false" ht="15" hidden="false" customHeight="false" outlineLevel="0" collapsed="false">
      <c r="A347" s="0" t="s">
        <v>442</v>
      </c>
      <c r="B347" s="0" t="s">
        <v>85</v>
      </c>
      <c r="C347" s="0" t="s">
        <v>86</v>
      </c>
      <c r="D347" s="0" t="s">
        <v>92</v>
      </c>
      <c r="E347" s="0" t="s">
        <v>88</v>
      </c>
      <c r="F347" s="0" t="n">
        <v>24</v>
      </c>
      <c r="G347" s="0" t="n">
        <v>2.3</v>
      </c>
      <c r="H347" s="0" t="n">
        <v>34.1</v>
      </c>
      <c r="I347" s="0" t="n">
        <v>84.5</v>
      </c>
      <c r="J347" s="0" t="n">
        <v>92.5</v>
      </c>
      <c r="K347" s="0" t="n">
        <v>69.8</v>
      </c>
      <c r="L347" s="0" t="n">
        <v>5026.19</v>
      </c>
      <c r="M347" s="0" t="n">
        <v>10</v>
      </c>
      <c r="N347" s="0" t="n">
        <v>95.9</v>
      </c>
      <c r="O347" s="0" t="n">
        <v>1</v>
      </c>
    </row>
    <row r="348" customFormat="false" ht="15" hidden="false" customHeight="false" outlineLevel="0" collapsed="false">
      <c r="A348" s="0" t="s">
        <v>443</v>
      </c>
      <c r="B348" s="0" t="s">
        <v>94</v>
      </c>
      <c r="C348" s="0" t="s">
        <v>86</v>
      </c>
      <c r="D348" s="0" t="s">
        <v>87</v>
      </c>
      <c r="E348" s="0" t="s">
        <v>88</v>
      </c>
      <c r="F348" s="0" t="n">
        <v>25</v>
      </c>
      <c r="G348" s="0" t="n">
        <v>6.1</v>
      </c>
      <c r="H348" s="0" t="n">
        <v>63.2</v>
      </c>
      <c r="I348" s="0" t="n">
        <v>44.1</v>
      </c>
      <c r="J348" s="0" t="n">
        <v>53.1</v>
      </c>
      <c r="K348" s="0" t="n">
        <v>91.9</v>
      </c>
      <c r="L348" s="0" t="n">
        <v>8114.02</v>
      </c>
      <c r="M348" s="0" t="n">
        <v>7</v>
      </c>
      <c r="N348" s="0" t="n">
        <v>95.1</v>
      </c>
      <c r="O348" s="0" t="n">
        <v>1</v>
      </c>
    </row>
    <row r="349" customFormat="false" ht="15" hidden="false" customHeight="false" outlineLevel="0" collapsed="false">
      <c r="A349" s="0" t="s">
        <v>444</v>
      </c>
      <c r="B349" s="0" t="s">
        <v>99</v>
      </c>
      <c r="C349" s="0" t="s">
        <v>86</v>
      </c>
      <c r="D349" s="0" t="s">
        <v>95</v>
      </c>
      <c r="E349" s="0" t="s">
        <v>96</v>
      </c>
      <c r="F349" s="0" t="n">
        <v>29</v>
      </c>
      <c r="G349" s="0" t="n">
        <v>6.5</v>
      </c>
      <c r="I349" s="0" t="n">
        <v>49.5</v>
      </c>
      <c r="J349" s="0" t="n">
        <v>65.9</v>
      </c>
      <c r="K349" s="0" t="n">
        <v>62.7</v>
      </c>
      <c r="L349" s="0" t="n">
        <v>6292.12</v>
      </c>
      <c r="M349" s="0" t="n">
        <v>8</v>
      </c>
      <c r="N349" s="0" t="n">
        <v>91.3</v>
      </c>
      <c r="O349" s="0" t="n">
        <v>1</v>
      </c>
    </row>
    <row r="350" customFormat="false" ht="15" hidden="false" customHeight="false" outlineLevel="0" collapsed="false">
      <c r="A350" s="0" t="s">
        <v>445</v>
      </c>
      <c r="B350" s="0" t="s">
        <v>90</v>
      </c>
      <c r="C350" s="0" t="s">
        <v>91</v>
      </c>
      <c r="D350" s="0" t="s">
        <v>87</v>
      </c>
      <c r="E350" s="0" t="s">
        <v>88</v>
      </c>
      <c r="F350" s="0" t="n">
        <v>27</v>
      </c>
      <c r="G350" s="0" t="n">
        <v>4.5</v>
      </c>
      <c r="H350" s="0" t="n">
        <v>55.5</v>
      </c>
      <c r="I350" s="0" t="n">
        <v>49.6</v>
      </c>
      <c r="J350" s="0" t="n">
        <v>58.9</v>
      </c>
      <c r="K350" s="0" t="n">
        <v>89.6</v>
      </c>
      <c r="L350" s="0" t="n">
        <v>5524.85</v>
      </c>
      <c r="M350" s="0" t="n">
        <v>8</v>
      </c>
      <c r="N350" s="0" t="n">
        <v>89</v>
      </c>
      <c r="O350" s="0" t="n">
        <v>1</v>
      </c>
    </row>
    <row r="351" customFormat="false" ht="15" hidden="false" customHeight="false" outlineLevel="0" collapsed="false">
      <c r="A351" s="0" t="s">
        <v>446</v>
      </c>
      <c r="B351" s="0" t="s">
        <v>99</v>
      </c>
      <c r="C351" s="0" t="s">
        <v>91</v>
      </c>
      <c r="D351" s="0" t="s">
        <v>95</v>
      </c>
      <c r="E351" s="0" t="s">
        <v>88</v>
      </c>
      <c r="F351" s="0" t="n">
        <v>34</v>
      </c>
      <c r="G351" s="0" t="n">
        <v>7.4</v>
      </c>
      <c r="H351" s="0" t="n">
        <v>43.1</v>
      </c>
      <c r="I351" s="0" t="n">
        <v>45</v>
      </c>
      <c r="J351" s="0" t="n">
        <v>43.5</v>
      </c>
      <c r="K351" s="0" t="n">
        <v>84.6</v>
      </c>
      <c r="L351" s="0" t="n">
        <v>6111.32</v>
      </c>
      <c r="M351" s="0" t="n">
        <v>5</v>
      </c>
      <c r="N351" s="0" t="n">
        <v>95.8</v>
      </c>
      <c r="O351" s="0" t="n">
        <v>1</v>
      </c>
    </row>
    <row r="352" customFormat="false" ht="15" hidden="false" customHeight="false" outlineLevel="0" collapsed="false">
      <c r="A352" s="0" t="s">
        <v>447</v>
      </c>
      <c r="B352" s="0" t="s">
        <v>85</v>
      </c>
      <c r="C352" s="0" t="s">
        <v>86</v>
      </c>
      <c r="D352" s="0" t="s">
        <v>92</v>
      </c>
      <c r="E352" s="0" t="s">
        <v>100</v>
      </c>
      <c r="F352" s="0" t="n">
        <v>25</v>
      </c>
      <c r="G352" s="0" t="n">
        <v>3.5</v>
      </c>
      <c r="H352" s="0" t="n">
        <v>49.9</v>
      </c>
      <c r="I352" s="0" t="n">
        <v>73.5</v>
      </c>
      <c r="J352" s="0" t="n">
        <v>82.8</v>
      </c>
      <c r="K352" s="0" t="n">
        <v>78.4</v>
      </c>
      <c r="L352" s="0" t="n">
        <v>6258.61</v>
      </c>
      <c r="M352" s="0" t="n">
        <v>8</v>
      </c>
      <c r="N352" s="0" t="n">
        <v>95.1</v>
      </c>
      <c r="O352" s="0" t="n">
        <v>1</v>
      </c>
    </row>
    <row r="353" customFormat="false" ht="15" hidden="false" customHeight="false" outlineLevel="0" collapsed="false">
      <c r="A353" s="0" t="s">
        <v>448</v>
      </c>
      <c r="B353" s="0" t="s">
        <v>99</v>
      </c>
      <c r="C353" s="0" t="s">
        <v>86</v>
      </c>
      <c r="D353" s="0" t="s">
        <v>95</v>
      </c>
      <c r="E353" s="0" t="s">
        <v>88</v>
      </c>
      <c r="F353" s="0" t="n">
        <v>33</v>
      </c>
      <c r="G353" s="0" t="n">
        <v>7.6</v>
      </c>
      <c r="H353" s="0" t="n">
        <v>43.4</v>
      </c>
      <c r="I353" s="0" t="n">
        <v>84.2</v>
      </c>
      <c r="J353" s="0" t="n">
        <v>92.4</v>
      </c>
      <c r="K353" s="0" t="n">
        <v>90.8</v>
      </c>
      <c r="L353" s="0" t="n">
        <v>8091.93</v>
      </c>
      <c r="M353" s="0" t="n">
        <v>5</v>
      </c>
      <c r="O353" s="0" t="n">
        <v>1</v>
      </c>
    </row>
    <row r="354" customFormat="false" ht="15" hidden="false" customHeight="false" outlineLevel="0" collapsed="false">
      <c r="A354" s="0" t="s">
        <v>449</v>
      </c>
      <c r="B354" s="0" t="s">
        <v>90</v>
      </c>
      <c r="C354" s="0" t="s">
        <v>86</v>
      </c>
      <c r="D354" s="0" t="s">
        <v>92</v>
      </c>
      <c r="E354" s="0" t="s">
        <v>88</v>
      </c>
      <c r="F354" s="0" t="n">
        <v>31</v>
      </c>
      <c r="G354" s="0" t="n">
        <v>7.8</v>
      </c>
      <c r="H354" s="0" t="n">
        <v>56.4</v>
      </c>
      <c r="I354" s="0" t="n">
        <v>55.2</v>
      </c>
      <c r="J354" s="0" t="n">
        <v>63.4</v>
      </c>
      <c r="K354" s="0" t="n">
        <v>93.3</v>
      </c>
      <c r="L354" s="0" t="n">
        <v>35453.7227162403</v>
      </c>
      <c r="M354" s="0" t="n">
        <v>6</v>
      </c>
      <c r="N354" s="0" t="n">
        <v>98.5</v>
      </c>
      <c r="O354" s="0" t="n">
        <v>1</v>
      </c>
    </row>
    <row r="355" customFormat="false" ht="15" hidden="false" customHeight="false" outlineLevel="0" collapsed="false">
      <c r="A355" s="0" t="s">
        <v>450</v>
      </c>
      <c r="B355" s="0" t="s">
        <v>90</v>
      </c>
      <c r="C355" s="0" t="s">
        <v>86</v>
      </c>
      <c r="D355" s="0" t="s">
        <v>92</v>
      </c>
      <c r="E355" s="0" t="s">
        <v>88</v>
      </c>
      <c r="F355" s="0" t="n">
        <v>23</v>
      </c>
      <c r="G355" s="0" t="n">
        <v>0</v>
      </c>
      <c r="H355" s="0" t="n">
        <v>40.7</v>
      </c>
      <c r="I355" s="0" t="n">
        <v>46.8</v>
      </c>
      <c r="J355" s="0" t="n">
        <v>55.8</v>
      </c>
      <c r="K355" s="0" t="n">
        <v>66.3</v>
      </c>
      <c r="L355" s="0" t="n">
        <v>5324.08</v>
      </c>
      <c r="M355" s="0" t="n">
        <v>9</v>
      </c>
      <c r="N355" s="0" t="n">
        <v>88.6</v>
      </c>
      <c r="O355" s="0" t="n">
        <v>0</v>
      </c>
    </row>
    <row r="356" customFormat="false" ht="15" hidden="false" customHeight="false" outlineLevel="0" collapsed="false">
      <c r="A356" s="0" t="s">
        <v>451</v>
      </c>
      <c r="B356" s="0" t="s">
        <v>90</v>
      </c>
      <c r="C356" s="0" t="s">
        <v>91</v>
      </c>
      <c r="D356" s="0" t="s">
        <v>87</v>
      </c>
      <c r="E356" s="0" t="s">
        <v>88</v>
      </c>
      <c r="F356" s="0" t="n">
        <v>39</v>
      </c>
      <c r="G356" s="0" t="n">
        <v>9.8</v>
      </c>
      <c r="H356" s="0" t="n">
        <v>46</v>
      </c>
      <c r="I356" s="0" t="n">
        <v>37.6</v>
      </c>
      <c r="J356" s="0" t="n">
        <v>45.5</v>
      </c>
      <c r="K356" s="0" t="n">
        <v>92.8</v>
      </c>
      <c r="L356" s="0" t="n">
        <v>7940.56</v>
      </c>
      <c r="M356" s="0" t="n">
        <v>8</v>
      </c>
      <c r="N356" s="0" t="n">
        <v>90.1</v>
      </c>
      <c r="O356" s="0" t="n">
        <v>1</v>
      </c>
    </row>
    <row r="357" customFormat="false" ht="15" hidden="false" customHeight="false" outlineLevel="0" collapsed="false">
      <c r="A357" s="0" t="s">
        <v>452</v>
      </c>
      <c r="B357" s="0" t="s">
        <v>90</v>
      </c>
      <c r="C357" s="0" t="s">
        <v>86</v>
      </c>
      <c r="D357" s="0" t="s">
        <v>92</v>
      </c>
      <c r="E357" s="0" t="s">
        <v>96</v>
      </c>
      <c r="F357" s="0" t="n">
        <v>23</v>
      </c>
      <c r="G357" s="0" t="n">
        <v>0</v>
      </c>
      <c r="H357" s="0" t="n">
        <v>44.4</v>
      </c>
      <c r="I357" s="0" t="n">
        <v>57.6</v>
      </c>
      <c r="J357" s="0" t="n">
        <v>65.4</v>
      </c>
      <c r="K357" s="0" t="n">
        <v>76</v>
      </c>
      <c r="L357" s="0" t="n">
        <v>5589.93</v>
      </c>
      <c r="M357" s="0" t="n">
        <v>7</v>
      </c>
      <c r="N357" s="0" t="n">
        <v>100</v>
      </c>
      <c r="O357" s="0" t="n">
        <v>0</v>
      </c>
    </row>
    <row r="358" customFormat="false" ht="15" hidden="false" customHeight="false" outlineLevel="0" collapsed="false">
      <c r="A358" s="0" t="s">
        <v>453</v>
      </c>
      <c r="B358" s="0" t="s">
        <v>85</v>
      </c>
      <c r="C358" s="0" t="s">
        <v>86</v>
      </c>
      <c r="D358" s="0" t="s">
        <v>92</v>
      </c>
      <c r="E358" s="0" t="s">
        <v>125</v>
      </c>
      <c r="F358" s="0" t="n">
        <v>28</v>
      </c>
      <c r="G358" s="0" t="n">
        <v>4</v>
      </c>
      <c r="H358" s="0" t="n">
        <v>36.5</v>
      </c>
      <c r="I358" s="0" t="n">
        <v>56.8</v>
      </c>
      <c r="J358" s="0" t="n">
        <v>67.3</v>
      </c>
      <c r="K358" s="0" t="n">
        <v>75.8</v>
      </c>
      <c r="L358" s="0" t="n">
        <v>4996.92</v>
      </c>
      <c r="M358" s="0" t="n">
        <v>8</v>
      </c>
      <c r="N358" s="0" t="n">
        <v>97.3</v>
      </c>
      <c r="O358" s="0" t="n">
        <v>0</v>
      </c>
    </row>
    <row r="359" customFormat="false" ht="15" hidden="false" customHeight="false" outlineLevel="0" collapsed="false">
      <c r="A359" s="0" t="s">
        <v>454</v>
      </c>
      <c r="B359" s="0" t="s">
        <v>85</v>
      </c>
      <c r="C359" s="0" t="s">
        <v>91</v>
      </c>
      <c r="D359" s="0" t="s">
        <v>92</v>
      </c>
      <c r="E359" s="0" t="s">
        <v>88</v>
      </c>
      <c r="F359" s="0" t="n">
        <v>32</v>
      </c>
      <c r="G359" s="0" t="n">
        <v>9.3</v>
      </c>
      <c r="H359" s="0" t="n">
        <v>44.9</v>
      </c>
      <c r="I359" s="0" t="n">
        <v>53.5</v>
      </c>
      <c r="J359" s="0" t="n">
        <v>59.3</v>
      </c>
      <c r="K359" s="0" t="n">
        <v>88.6</v>
      </c>
      <c r="L359" s="0" t="n">
        <v>7312.09</v>
      </c>
      <c r="M359" s="0" t="n">
        <v>7</v>
      </c>
      <c r="N359" s="0" t="n">
        <v>91.2</v>
      </c>
      <c r="O359" s="0" t="n">
        <v>1</v>
      </c>
    </row>
    <row r="360" customFormat="false" ht="15" hidden="false" customHeight="false" outlineLevel="0" collapsed="false">
      <c r="A360" s="0" t="s">
        <v>455</v>
      </c>
      <c r="B360" s="0" t="s">
        <v>90</v>
      </c>
      <c r="C360" s="0" t="s">
        <v>86</v>
      </c>
      <c r="D360" s="0" t="s">
        <v>87</v>
      </c>
      <c r="E360" s="0" t="s">
        <v>96</v>
      </c>
      <c r="F360" s="0" t="n">
        <v>28</v>
      </c>
      <c r="G360" s="0" t="n">
        <v>5</v>
      </c>
      <c r="H360" s="0" t="n">
        <v>66.8</v>
      </c>
      <c r="I360" s="0" t="n">
        <v>62.2</v>
      </c>
      <c r="J360" s="0" t="n">
        <v>66.4</v>
      </c>
      <c r="K360" s="0" t="n">
        <v>99.7</v>
      </c>
      <c r="L360" s="0" t="n">
        <v>6675.78</v>
      </c>
      <c r="M360" s="0" t="n">
        <v>7</v>
      </c>
      <c r="N360" s="0" t="n">
        <v>94.4</v>
      </c>
      <c r="O360" s="0" t="n">
        <v>1</v>
      </c>
    </row>
    <row r="361" customFormat="false" ht="15" hidden="false" customHeight="false" outlineLevel="0" collapsed="false">
      <c r="A361" s="0" t="s">
        <v>456</v>
      </c>
      <c r="B361" s="0" t="s">
        <v>90</v>
      </c>
      <c r="C361" s="0" t="s">
        <v>86</v>
      </c>
      <c r="D361" s="0" t="s">
        <v>95</v>
      </c>
      <c r="E361" s="0" t="s">
        <v>96</v>
      </c>
      <c r="F361" s="0" t="n">
        <v>23</v>
      </c>
      <c r="G361" s="0" t="n">
        <v>1.3</v>
      </c>
      <c r="H361" s="0" t="n">
        <v>36.8</v>
      </c>
      <c r="I361" s="0" t="n">
        <v>64</v>
      </c>
      <c r="J361" s="0" t="n">
        <v>84.1</v>
      </c>
      <c r="K361" s="0" t="n">
        <v>67.6</v>
      </c>
      <c r="L361" s="0" t="n">
        <v>3687.13</v>
      </c>
      <c r="M361" s="0" t="n">
        <v>8</v>
      </c>
      <c r="N361" s="0" t="n">
        <v>93.8</v>
      </c>
      <c r="O361" s="0" t="n">
        <v>1</v>
      </c>
    </row>
    <row r="362" customFormat="false" ht="15" hidden="false" customHeight="false" outlineLevel="0" collapsed="false">
      <c r="A362" s="0" t="s">
        <v>457</v>
      </c>
      <c r="B362" s="0" t="s">
        <v>94</v>
      </c>
      <c r="C362" s="0" t="s">
        <v>91</v>
      </c>
      <c r="D362" s="0" t="s">
        <v>92</v>
      </c>
      <c r="E362" s="0" t="s">
        <v>125</v>
      </c>
      <c r="F362" s="0" t="n">
        <v>25</v>
      </c>
      <c r="G362" s="0" t="n">
        <v>2.5</v>
      </c>
      <c r="H362" s="0" t="n">
        <v>45</v>
      </c>
      <c r="I362" s="0" t="n">
        <v>63.2</v>
      </c>
      <c r="J362" s="0" t="n">
        <v>68.3</v>
      </c>
      <c r="K362" s="0" t="n">
        <v>77.5</v>
      </c>
      <c r="L362" s="0" t="n">
        <v>5887.69</v>
      </c>
      <c r="M362" s="0" t="n">
        <v>6</v>
      </c>
      <c r="N362" s="0" t="n">
        <v>79.3</v>
      </c>
      <c r="O362" s="0" t="n">
        <v>0</v>
      </c>
    </row>
    <row r="363" customFormat="false" ht="15" hidden="false" customHeight="false" outlineLevel="0" collapsed="false">
      <c r="A363" s="0" t="s">
        <v>458</v>
      </c>
      <c r="B363" s="0" t="s">
        <v>99</v>
      </c>
      <c r="C363" s="0" t="s">
        <v>86</v>
      </c>
      <c r="D363" s="0" t="s">
        <v>87</v>
      </c>
      <c r="E363" s="0" t="s">
        <v>96</v>
      </c>
      <c r="F363" s="0" t="n">
        <v>37</v>
      </c>
      <c r="G363" s="0" t="n">
        <v>9.3</v>
      </c>
      <c r="H363" s="0" t="n">
        <v>55.1</v>
      </c>
      <c r="I363" s="0" t="n">
        <v>56.8</v>
      </c>
      <c r="J363" s="0" t="n">
        <v>65.2</v>
      </c>
      <c r="K363" s="0" t="n">
        <v>100</v>
      </c>
      <c r="L363" s="0" t="n">
        <v>8195.96</v>
      </c>
      <c r="M363" s="0" t="n">
        <v>7</v>
      </c>
      <c r="N363" s="0" t="n">
        <v>88.5</v>
      </c>
      <c r="O363" s="0" t="n">
        <v>1</v>
      </c>
    </row>
    <row r="364" customFormat="false" ht="15" hidden="false" customHeight="false" outlineLevel="0" collapsed="false">
      <c r="A364" s="0" t="s">
        <v>459</v>
      </c>
      <c r="B364" s="0" t="s">
        <v>99</v>
      </c>
      <c r="C364" s="0" t="s">
        <v>86</v>
      </c>
      <c r="D364" s="0" t="s">
        <v>95</v>
      </c>
      <c r="E364" s="0" t="s">
        <v>96</v>
      </c>
      <c r="F364" s="0" t="n">
        <v>26</v>
      </c>
      <c r="G364" s="0" t="n">
        <v>0</v>
      </c>
      <c r="H364" s="0" t="n">
        <v>53.7</v>
      </c>
      <c r="I364" s="0" t="n">
        <v>49</v>
      </c>
      <c r="J364" s="0" t="n">
        <v>51</v>
      </c>
      <c r="K364" s="0" t="n">
        <v>63.7</v>
      </c>
      <c r="L364" s="0" t="n">
        <v>5722.39</v>
      </c>
      <c r="M364" s="0" t="n">
        <v>7</v>
      </c>
      <c r="N364" s="0" t="n">
        <v>92.7</v>
      </c>
      <c r="O364" s="0" t="n">
        <v>1</v>
      </c>
    </row>
    <row r="365" customFormat="false" ht="15" hidden="false" customHeight="false" outlineLevel="0" collapsed="false">
      <c r="A365" s="0" t="s">
        <v>460</v>
      </c>
      <c r="B365" s="0" t="s">
        <v>99</v>
      </c>
      <c r="C365" s="0" t="s">
        <v>86</v>
      </c>
      <c r="D365" s="0" t="s">
        <v>92</v>
      </c>
      <c r="E365" s="0" t="s">
        <v>125</v>
      </c>
      <c r="F365" s="0" t="n">
        <v>40</v>
      </c>
      <c r="G365" s="0" t="n">
        <v>9.6</v>
      </c>
      <c r="H365" s="0" t="n">
        <v>40.1</v>
      </c>
      <c r="I365" s="0" t="n">
        <v>66.7</v>
      </c>
      <c r="J365" s="0" t="n">
        <v>75.2</v>
      </c>
      <c r="K365" s="0" t="n">
        <v>89.6</v>
      </c>
      <c r="L365" s="0" t="n">
        <v>7839.5</v>
      </c>
      <c r="M365" s="0" t="n">
        <v>4</v>
      </c>
      <c r="N365" s="0" t="n">
        <v>91.2</v>
      </c>
      <c r="O365" s="0" t="n">
        <v>1</v>
      </c>
    </row>
    <row r="366" customFormat="false" ht="15" hidden="false" customHeight="false" outlineLevel="0" collapsed="false">
      <c r="A366" s="0" t="s">
        <v>461</v>
      </c>
      <c r="B366" s="0" t="s">
        <v>85</v>
      </c>
      <c r="C366" s="0" t="s">
        <v>91</v>
      </c>
      <c r="D366" s="0" t="s">
        <v>92</v>
      </c>
      <c r="E366" s="0" t="s">
        <v>96</v>
      </c>
      <c r="F366" s="0" t="n">
        <v>28</v>
      </c>
      <c r="G366" s="0" t="n">
        <v>5.8</v>
      </c>
      <c r="H366" s="0" t="n">
        <v>11.4</v>
      </c>
      <c r="I366" s="0" t="n">
        <v>60.1</v>
      </c>
      <c r="J366" s="0" t="n">
        <v>64.4</v>
      </c>
      <c r="K366" s="0" t="n">
        <v>65.3</v>
      </c>
      <c r="L366" s="0" t="n">
        <v>5103.88</v>
      </c>
      <c r="M366" s="0" t="n">
        <v>6</v>
      </c>
      <c r="N366" s="0" t="n">
        <v>94.2</v>
      </c>
      <c r="O366" s="0" t="n">
        <v>1</v>
      </c>
    </row>
    <row r="367" customFormat="false" ht="15" hidden="false" customHeight="false" outlineLevel="0" collapsed="false">
      <c r="A367" s="0" t="s">
        <v>462</v>
      </c>
      <c r="B367" s="0" t="s">
        <v>90</v>
      </c>
      <c r="C367" s="0" t="s">
        <v>86</v>
      </c>
      <c r="D367" s="0" t="s">
        <v>95</v>
      </c>
      <c r="E367" s="0" t="s">
        <v>88</v>
      </c>
      <c r="F367" s="0" t="n">
        <v>28</v>
      </c>
      <c r="G367" s="0" t="n">
        <v>2.2</v>
      </c>
      <c r="H367" s="0" t="n">
        <v>46.2</v>
      </c>
      <c r="I367" s="0" t="n">
        <v>68.9</v>
      </c>
      <c r="J367" s="0" t="n">
        <v>75.1</v>
      </c>
      <c r="K367" s="0" t="n">
        <v>77.5</v>
      </c>
      <c r="L367" s="0" t="n">
        <v>6061.45</v>
      </c>
      <c r="M367" s="0" t="n">
        <v>10</v>
      </c>
      <c r="N367" s="0" t="n">
        <v>98.6</v>
      </c>
      <c r="O367" s="0" t="n">
        <v>1</v>
      </c>
    </row>
    <row r="368" customFormat="false" ht="15" hidden="false" customHeight="false" outlineLevel="0" collapsed="false">
      <c r="A368" s="0" t="s">
        <v>463</v>
      </c>
      <c r="B368" s="0" t="s">
        <v>85</v>
      </c>
      <c r="C368" s="0" t="s">
        <v>86</v>
      </c>
      <c r="D368" s="0" t="s">
        <v>95</v>
      </c>
      <c r="E368" s="0" t="s">
        <v>100</v>
      </c>
      <c r="F368" s="0" t="n">
        <v>30</v>
      </c>
      <c r="G368" s="0" t="n">
        <v>4.1</v>
      </c>
      <c r="H368" s="0" t="n">
        <v>13.4</v>
      </c>
      <c r="I368" s="0" t="n">
        <v>67.9</v>
      </c>
      <c r="J368" s="0" t="n">
        <v>80.1</v>
      </c>
      <c r="K368" s="0" t="n">
        <v>60.7</v>
      </c>
      <c r="L368" s="0" t="n">
        <v>4433.09</v>
      </c>
      <c r="M368" s="0" t="n">
        <v>8</v>
      </c>
      <c r="N368" s="0" t="n">
        <v>91.4</v>
      </c>
      <c r="O368" s="0" t="n">
        <v>0</v>
      </c>
    </row>
    <row r="369" customFormat="false" ht="15" hidden="false" customHeight="false" outlineLevel="0" collapsed="false">
      <c r="A369" s="0" t="s">
        <v>464</v>
      </c>
      <c r="B369" s="0" t="s">
        <v>85</v>
      </c>
      <c r="C369" s="0" t="s">
        <v>86</v>
      </c>
      <c r="D369" s="0" t="s">
        <v>87</v>
      </c>
      <c r="E369" s="0" t="s">
        <v>100</v>
      </c>
      <c r="F369" s="0" t="n">
        <v>24</v>
      </c>
      <c r="G369" s="0" t="n">
        <v>2.7</v>
      </c>
      <c r="H369" s="0" t="n">
        <v>57.6</v>
      </c>
      <c r="I369" s="0" t="n">
        <v>45.8</v>
      </c>
      <c r="J369" s="0" t="n">
        <v>55.7</v>
      </c>
      <c r="K369" s="0" t="n">
        <v>78.8</v>
      </c>
      <c r="L369" s="0" t="n">
        <v>6532.6</v>
      </c>
      <c r="M369" s="0" t="n">
        <v>5</v>
      </c>
      <c r="N369" s="0" t="n">
        <v>87.7</v>
      </c>
      <c r="O369" s="0" t="n">
        <v>0</v>
      </c>
    </row>
    <row r="370" customFormat="false" ht="15" hidden="false" customHeight="false" outlineLevel="0" collapsed="false">
      <c r="A370" s="0" t="s">
        <v>465</v>
      </c>
      <c r="B370" s="0" t="s">
        <v>90</v>
      </c>
      <c r="C370" s="0" t="s">
        <v>86</v>
      </c>
      <c r="D370" s="0" t="s">
        <v>95</v>
      </c>
      <c r="E370" s="0" t="s">
        <v>88</v>
      </c>
      <c r="F370" s="0" t="n">
        <v>39</v>
      </c>
      <c r="G370" s="0" t="n">
        <v>8.8</v>
      </c>
      <c r="H370" s="0" t="n">
        <v>42</v>
      </c>
      <c r="I370" s="0" t="n">
        <v>45.7</v>
      </c>
      <c r="J370" s="0" t="n">
        <v>56</v>
      </c>
      <c r="K370" s="0" t="n">
        <v>100</v>
      </c>
      <c r="L370" s="0" t="n">
        <v>6726.47</v>
      </c>
      <c r="M370" s="0" t="n">
        <v>5</v>
      </c>
      <c r="N370" s="0" t="n">
        <v>94.6</v>
      </c>
      <c r="O370" s="0" t="n">
        <v>1</v>
      </c>
    </row>
    <row r="371" customFormat="false" ht="15" hidden="false" customHeight="false" outlineLevel="0" collapsed="false">
      <c r="A371" s="0" t="s">
        <v>466</v>
      </c>
      <c r="B371" s="0" t="s">
        <v>94</v>
      </c>
      <c r="C371" s="0" t="s">
        <v>91</v>
      </c>
      <c r="D371" s="0" t="s">
        <v>92</v>
      </c>
      <c r="E371" s="0" t="s">
        <v>88</v>
      </c>
      <c r="F371" s="0" t="n">
        <v>35</v>
      </c>
      <c r="G371" s="0" t="n">
        <v>8.3</v>
      </c>
      <c r="H371" s="0" t="n">
        <v>52</v>
      </c>
      <c r="I371" s="0" t="n">
        <v>52.4</v>
      </c>
      <c r="J371" s="0" t="n">
        <v>53.3</v>
      </c>
      <c r="K371" s="0" t="n">
        <v>80.3</v>
      </c>
      <c r="L371" s="0" t="n">
        <v>7692.24</v>
      </c>
      <c r="M371" s="0" t="n">
        <v>7</v>
      </c>
      <c r="N371" s="0" t="n">
        <v>91.4</v>
      </c>
      <c r="O371" s="0" t="n">
        <v>1</v>
      </c>
    </row>
    <row r="372" customFormat="false" ht="15" hidden="false" customHeight="false" outlineLevel="0" collapsed="false">
      <c r="A372" s="0" t="s">
        <v>467</v>
      </c>
      <c r="B372" s="0" t="s">
        <v>85</v>
      </c>
      <c r="C372" s="0" t="s">
        <v>86</v>
      </c>
      <c r="D372" s="0" t="s">
        <v>92</v>
      </c>
      <c r="E372" s="0" t="s">
        <v>88</v>
      </c>
      <c r="F372" s="0" t="n">
        <v>21</v>
      </c>
      <c r="G372" s="0" t="n">
        <v>0.5</v>
      </c>
      <c r="H372" s="0" t="n">
        <v>29.2</v>
      </c>
      <c r="I372" s="0" t="n">
        <v>49.4</v>
      </c>
      <c r="J372" s="0" t="n">
        <v>64.7</v>
      </c>
      <c r="K372" s="0" t="n">
        <v>57.9</v>
      </c>
      <c r="L372" s="0" t="n">
        <v>4763.08</v>
      </c>
      <c r="M372" s="0" t="n">
        <v>9</v>
      </c>
      <c r="N372" s="0" t="n">
        <v>92.2</v>
      </c>
      <c r="O372" s="0" t="n">
        <v>0</v>
      </c>
    </row>
    <row r="373" customFormat="false" ht="15" hidden="false" customHeight="false" outlineLevel="0" collapsed="false">
      <c r="A373" s="0" t="s">
        <v>468</v>
      </c>
      <c r="B373" s="0" t="s">
        <v>99</v>
      </c>
      <c r="C373" s="0" t="s">
        <v>91</v>
      </c>
      <c r="D373" s="0" t="s">
        <v>87</v>
      </c>
      <c r="E373" s="0" t="s">
        <v>88</v>
      </c>
      <c r="F373" s="0" t="n">
        <v>31</v>
      </c>
      <c r="G373" s="0" t="n">
        <v>4.7</v>
      </c>
      <c r="H373" s="0" t="n">
        <v>21.4</v>
      </c>
      <c r="I373" s="0" t="n">
        <v>67.6</v>
      </c>
      <c r="J373" s="0" t="n">
        <v>70.8</v>
      </c>
      <c r="K373" s="0" t="n">
        <v>63.8</v>
      </c>
      <c r="L373" s="0" t="n">
        <v>4385.29</v>
      </c>
      <c r="M373" s="0" t="n">
        <v>7</v>
      </c>
      <c r="N373" s="0" t="n">
        <v>91.5</v>
      </c>
      <c r="O373" s="0" t="n">
        <v>0</v>
      </c>
    </row>
    <row r="374" customFormat="false" ht="15" hidden="false" customHeight="false" outlineLevel="0" collapsed="false">
      <c r="A374" s="0" t="s">
        <v>469</v>
      </c>
      <c r="B374" s="0" t="s">
        <v>90</v>
      </c>
      <c r="C374" s="0" t="s">
        <v>91</v>
      </c>
      <c r="D374" s="0" t="s">
        <v>92</v>
      </c>
      <c r="E374" s="0" t="s">
        <v>88</v>
      </c>
      <c r="F374" s="0" t="n">
        <v>28</v>
      </c>
      <c r="G374" s="0" t="n">
        <v>3.2</v>
      </c>
      <c r="H374" s="0" t="n">
        <v>43.1</v>
      </c>
      <c r="I374" s="0" t="n">
        <v>63.5</v>
      </c>
      <c r="J374" s="0" t="n">
        <v>77.6</v>
      </c>
      <c r="K374" s="0" t="n">
        <v>92.9</v>
      </c>
      <c r="L374" s="0" t="n">
        <v>5964.15</v>
      </c>
      <c r="M374" s="0" t="n">
        <v>9</v>
      </c>
      <c r="N374" s="0" t="n">
        <v>100</v>
      </c>
      <c r="O374" s="0" t="n">
        <v>1</v>
      </c>
    </row>
    <row r="375" customFormat="false" ht="15" hidden="false" customHeight="false" outlineLevel="0" collapsed="false">
      <c r="A375" s="0" t="s">
        <v>470</v>
      </c>
      <c r="B375" s="0" t="s">
        <v>90</v>
      </c>
      <c r="C375" s="0" t="s">
        <v>91</v>
      </c>
      <c r="D375" s="0" t="s">
        <v>95</v>
      </c>
      <c r="E375" s="0" t="s">
        <v>96</v>
      </c>
      <c r="F375" s="0" t="n">
        <v>37</v>
      </c>
      <c r="G375" s="0" t="n">
        <v>10.1</v>
      </c>
      <c r="H375" s="0" t="n">
        <v>39.6</v>
      </c>
      <c r="I375" s="0" t="n">
        <v>71</v>
      </c>
      <c r="J375" s="0" t="n">
        <v>83.1</v>
      </c>
      <c r="K375" s="0" t="n">
        <v>88.8</v>
      </c>
      <c r="L375" s="0" t="n">
        <v>6879.76</v>
      </c>
      <c r="M375" s="0" t="n">
        <v>8</v>
      </c>
      <c r="N375" s="0" t="n">
        <v>81.8</v>
      </c>
      <c r="O375" s="0" t="n">
        <v>1</v>
      </c>
    </row>
    <row r="376" customFormat="false" ht="15" hidden="false" customHeight="false" outlineLevel="0" collapsed="false">
      <c r="A376" s="0" t="s">
        <v>471</v>
      </c>
      <c r="B376" s="0" t="s">
        <v>99</v>
      </c>
      <c r="C376" s="0" t="s">
        <v>86</v>
      </c>
      <c r="D376" s="0" t="s">
        <v>87</v>
      </c>
      <c r="E376" s="0" t="s">
        <v>100</v>
      </c>
      <c r="F376" s="0" t="n">
        <v>25</v>
      </c>
      <c r="G376" s="0" t="n">
        <v>1.7</v>
      </c>
      <c r="H376" s="0" t="n">
        <v>34.1</v>
      </c>
      <c r="I376" s="0" t="n">
        <v>64</v>
      </c>
      <c r="J376" s="0" t="n">
        <v>74.3</v>
      </c>
      <c r="K376" s="0" t="n">
        <v>71.8</v>
      </c>
      <c r="L376" s="0" t="n">
        <v>4392.14</v>
      </c>
      <c r="M376" s="0" t="n">
        <v>8</v>
      </c>
      <c r="N376" s="0" t="n">
        <v>91.1</v>
      </c>
      <c r="O376" s="0" t="n">
        <v>0</v>
      </c>
    </row>
    <row r="377" customFormat="false" ht="15" hidden="false" customHeight="false" outlineLevel="0" collapsed="false">
      <c r="A377" s="0" t="s">
        <v>472</v>
      </c>
      <c r="B377" s="0" t="s">
        <v>99</v>
      </c>
      <c r="C377" s="0" t="s">
        <v>91</v>
      </c>
      <c r="D377" s="0" t="s">
        <v>95</v>
      </c>
      <c r="E377" s="0" t="s">
        <v>88</v>
      </c>
      <c r="F377" s="0" t="n">
        <v>38</v>
      </c>
      <c r="G377" s="0" t="n">
        <v>11.1</v>
      </c>
      <c r="H377" s="0" t="n">
        <v>41</v>
      </c>
      <c r="I377" s="0" t="n">
        <v>62.1</v>
      </c>
      <c r="J377" s="0" t="n">
        <v>66.7</v>
      </c>
      <c r="K377" s="0" t="n">
        <v>88.5</v>
      </c>
      <c r="L377" s="0" t="n">
        <v>6730.06</v>
      </c>
      <c r="M377" s="0" t="n">
        <v>5</v>
      </c>
      <c r="N377" s="0" t="n">
        <v>93</v>
      </c>
      <c r="O377" s="0" t="n">
        <v>1</v>
      </c>
    </row>
    <row r="378" customFormat="false" ht="15" hidden="false" customHeight="false" outlineLevel="0" collapsed="false">
      <c r="A378" s="0" t="s">
        <v>473</v>
      </c>
      <c r="B378" s="0" t="s">
        <v>94</v>
      </c>
      <c r="C378" s="0" t="s">
        <v>91</v>
      </c>
      <c r="D378" s="0" t="s">
        <v>87</v>
      </c>
      <c r="E378" s="0" t="s">
        <v>96</v>
      </c>
      <c r="F378" s="0" t="n">
        <v>33</v>
      </c>
      <c r="G378" s="0" t="n">
        <v>5.9</v>
      </c>
      <c r="H378" s="0" t="n">
        <v>73.2</v>
      </c>
      <c r="I378" s="0" t="n">
        <v>72</v>
      </c>
      <c r="J378" s="0" t="n">
        <v>80.6</v>
      </c>
      <c r="K378" s="0" t="n">
        <v>85.6</v>
      </c>
      <c r="L378" s="0" t="n">
        <v>8826.2</v>
      </c>
      <c r="M378" s="0" t="n">
        <v>9</v>
      </c>
      <c r="N378" s="0" t="n">
        <v>89.1</v>
      </c>
      <c r="O378" s="0" t="n">
        <v>1</v>
      </c>
    </row>
    <row r="379" customFormat="false" ht="15" hidden="false" customHeight="false" outlineLevel="0" collapsed="false">
      <c r="A379" s="0" t="s">
        <v>474</v>
      </c>
      <c r="B379" s="0" t="s">
        <v>90</v>
      </c>
      <c r="C379" s="0" t="s">
        <v>86</v>
      </c>
      <c r="D379" s="0" t="s">
        <v>92</v>
      </c>
      <c r="E379" s="0" t="s">
        <v>96</v>
      </c>
      <c r="F379" s="0" t="n">
        <v>26</v>
      </c>
      <c r="G379" s="0" t="n">
        <v>2.3</v>
      </c>
      <c r="H379" s="0" t="n">
        <v>50</v>
      </c>
      <c r="I379" s="0" t="n">
        <v>64.7</v>
      </c>
      <c r="J379" s="0" t="n">
        <v>70.8</v>
      </c>
      <c r="K379" s="0" t="n">
        <v>80</v>
      </c>
      <c r="L379" s="0" t="n">
        <v>6734.12</v>
      </c>
      <c r="M379" s="0" t="n">
        <v>6</v>
      </c>
      <c r="N379" s="0" t="n">
        <v>97.5</v>
      </c>
      <c r="O379" s="0" t="n">
        <v>0</v>
      </c>
    </row>
    <row r="380" customFormat="false" ht="15" hidden="false" customHeight="false" outlineLevel="0" collapsed="false">
      <c r="A380" s="0" t="s">
        <v>475</v>
      </c>
      <c r="B380" s="0" t="s">
        <v>90</v>
      </c>
      <c r="C380" s="0" t="s">
        <v>91</v>
      </c>
      <c r="D380" s="0" t="s">
        <v>92</v>
      </c>
      <c r="E380" s="0" t="s">
        <v>125</v>
      </c>
      <c r="F380" s="0" t="n">
        <v>29</v>
      </c>
      <c r="G380" s="0" t="n">
        <v>3.8</v>
      </c>
      <c r="H380" s="0" t="n">
        <v>52.6</v>
      </c>
      <c r="I380" s="0" t="n">
        <v>60.7</v>
      </c>
      <c r="J380" s="0" t="n">
        <v>68.8</v>
      </c>
      <c r="K380" s="0" t="n">
        <v>100</v>
      </c>
      <c r="L380" s="0" t="n">
        <v>7037.69</v>
      </c>
      <c r="M380" s="0" t="n">
        <v>8</v>
      </c>
      <c r="N380" s="0" t="n">
        <v>97.1</v>
      </c>
      <c r="O380" s="0" t="n">
        <v>1</v>
      </c>
    </row>
    <row r="381" customFormat="false" ht="15" hidden="false" customHeight="false" outlineLevel="0" collapsed="false">
      <c r="A381" s="0" t="s">
        <v>476</v>
      </c>
      <c r="B381" s="0" t="s">
        <v>85</v>
      </c>
      <c r="C381" s="0" t="s">
        <v>91</v>
      </c>
      <c r="D381" s="0" t="s">
        <v>92</v>
      </c>
      <c r="E381" s="0" t="s">
        <v>96</v>
      </c>
      <c r="F381" s="0" t="n">
        <v>29</v>
      </c>
      <c r="G381" s="0" t="n">
        <v>3.4</v>
      </c>
      <c r="H381" s="0" t="n">
        <v>50.1</v>
      </c>
      <c r="I381" s="0" t="n">
        <v>74.8</v>
      </c>
      <c r="J381" s="0" t="n">
        <v>81.8</v>
      </c>
      <c r="K381" s="0" t="n">
        <v>88.4</v>
      </c>
      <c r="L381" s="0" t="n">
        <v>7954.98</v>
      </c>
      <c r="N381" s="0" t="n">
        <v>92.8</v>
      </c>
      <c r="O381" s="0" t="n">
        <v>1</v>
      </c>
    </row>
    <row r="382" customFormat="false" ht="15" hidden="false" customHeight="false" outlineLevel="0" collapsed="false">
      <c r="A382" s="0" t="s">
        <v>477</v>
      </c>
      <c r="B382" s="0" t="s">
        <v>90</v>
      </c>
      <c r="C382" s="0" t="s">
        <v>86</v>
      </c>
      <c r="D382" s="0" t="s">
        <v>95</v>
      </c>
      <c r="E382" s="0" t="s">
        <v>96</v>
      </c>
      <c r="F382" s="0" t="n">
        <v>22</v>
      </c>
      <c r="G382" s="0" t="n">
        <v>1.9</v>
      </c>
      <c r="H382" s="0" t="n">
        <v>57.8</v>
      </c>
      <c r="I382" s="0" t="n">
        <v>61.2</v>
      </c>
      <c r="J382" s="0" t="n">
        <v>61</v>
      </c>
      <c r="K382" s="0" t="n">
        <v>77.7</v>
      </c>
      <c r="L382" s="0" t="n">
        <v>5782.18</v>
      </c>
      <c r="M382" s="0" t="n">
        <v>7</v>
      </c>
      <c r="N382" s="0" t="n">
        <v>91.6</v>
      </c>
      <c r="O382" s="0" t="n">
        <v>0</v>
      </c>
    </row>
    <row r="383" customFormat="false" ht="15" hidden="false" customHeight="false" outlineLevel="0" collapsed="false">
      <c r="A383" s="0" t="s">
        <v>478</v>
      </c>
      <c r="B383" s="0" t="s">
        <v>94</v>
      </c>
      <c r="C383" s="0" t="s">
        <v>91</v>
      </c>
      <c r="D383" s="0" t="s">
        <v>92</v>
      </c>
      <c r="E383" s="0" t="s">
        <v>88</v>
      </c>
      <c r="F383" s="0" t="n">
        <v>29</v>
      </c>
      <c r="G383" s="0" t="n">
        <v>6.3</v>
      </c>
      <c r="H383" s="0" t="n">
        <v>37.7</v>
      </c>
      <c r="I383" s="0" t="n">
        <v>57</v>
      </c>
      <c r="J383" s="0" t="n">
        <v>69.5</v>
      </c>
      <c r="K383" s="0" t="n">
        <v>85.1</v>
      </c>
      <c r="L383" s="0" t="n">
        <v>9088.09</v>
      </c>
      <c r="M383" s="0" t="n">
        <v>8</v>
      </c>
      <c r="N383" s="0" t="n">
        <v>92.4</v>
      </c>
      <c r="O383" s="0" t="n">
        <v>1</v>
      </c>
    </row>
    <row r="384" customFormat="false" ht="15" hidden="false" customHeight="false" outlineLevel="0" collapsed="false">
      <c r="A384" s="0" t="s">
        <v>479</v>
      </c>
      <c r="B384" s="0" t="s">
        <v>85</v>
      </c>
      <c r="C384" s="0" t="s">
        <v>86</v>
      </c>
      <c r="D384" s="0" t="s">
        <v>92</v>
      </c>
      <c r="E384" s="0" t="s">
        <v>88</v>
      </c>
      <c r="F384" s="0" t="n">
        <v>21</v>
      </c>
      <c r="G384" s="0" t="n">
        <v>2.1</v>
      </c>
      <c r="H384" s="0" t="n">
        <v>15.3</v>
      </c>
      <c r="I384" s="0" t="n">
        <v>51.6</v>
      </c>
      <c r="J384" s="0" t="n">
        <v>59.3</v>
      </c>
      <c r="K384" s="0" t="n">
        <v>58.3</v>
      </c>
      <c r="L384" s="0" t="n">
        <v>3806.72</v>
      </c>
      <c r="M384" s="0" t="n">
        <v>7</v>
      </c>
      <c r="N384" s="0" t="n">
        <v>92.5</v>
      </c>
      <c r="O384" s="0" t="n">
        <v>0</v>
      </c>
    </row>
    <row r="385" customFormat="false" ht="15" hidden="false" customHeight="false" outlineLevel="0" collapsed="false">
      <c r="A385" s="0" t="s">
        <v>480</v>
      </c>
      <c r="B385" s="0" t="s">
        <v>90</v>
      </c>
      <c r="C385" s="0" t="s">
        <v>91</v>
      </c>
      <c r="D385" s="0" t="s">
        <v>92</v>
      </c>
      <c r="E385" s="0" t="s">
        <v>88</v>
      </c>
      <c r="F385" s="0" t="n">
        <v>24</v>
      </c>
      <c r="G385" s="0" t="n">
        <v>0</v>
      </c>
      <c r="H385" s="0" t="n">
        <v>37.7</v>
      </c>
      <c r="I385" s="0" t="n">
        <v>67</v>
      </c>
      <c r="J385" s="0" t="n">
        <v>73.1</v>
      </c>
      <c r="K385" s="0" t="n">
        <v>60.8</v>
      </c>
      <c r="L385" s="0" t="n">
        <v>4649.67</v>
      </c>
      <c r="M385" s="0" t="n">
        <v>8</v>
      </c>
      <c r="N385" s="0" t="n">
        <v>92.6</v>
      </c>
      <c r="O385" s="0" t="n">
        <v>0</v>
      </c>
    </row>
    <row r="386" customFormat="false" ht="15" hidden="false" customHeight="false" outlineLevel="0" collapsed="false">
      <c r="A386" s="0" t="s">
        <v>481</v>
      </c>
      <c r="B386" s="0" t="s">
        <v>90</v>
      </c>
      <c r="C386" s="0" t="s">
        <v>91</v>
      </c>
      <c r="D386" s="0" t="s">
        <v>92</v>
      </c>
      <c r="E386" s="0" t="s">
        <v>96</v>
      </c>
      <c r="F386" s="0" t="n">
        <v>26</v>
      </c>
      <c r="G386" s="0" t="n">
        <v>4.8</v>
      </c>
      <c r="H386" s="0" t="n">
        <v>49.7</v>
      </c>
      <c r="I386" s="0" t="n">
        <v>72.4</v>
      </c>
      <c r="J386" s="0" t="n">
        <v>78.2</v>
      </c>
      <c r="K386" s="0" t="n">
        <v>93.2</v>
      </c>
      <c r="L386" s="0" t="n">
        <v>6228</v>
      </c>
      <c r="M386" s="0" t="n">
        <v>7</v>
      </c>
      <c r="O386" s="0" t="n">
        <v>1</v>
      </c>
    </row>
    <row r="387" customFormat="false" ht="15" hidden="false" customHeight="false" outlineLevel="0" collapsed="false">
      <c r="A387" s="0" t="s">
        <v>482</v>
      </c>
      <c r="B387" s="0" t="s">
        <v>94</v>
      </c>
      <c r="C387" s="0" t="s">
        <v>86</v>
      </c>
      <c r="D387" s="0" t="s">
        <v>95</v>
      </c>
      <c r="E387" s="0" t="s">
        <v>125</v>
      </c>
      <c r="F387" s="0" t="n">
        <v>23</v>
      </c>
      <c r="G387" s="0" t="n">
        <v>0.2</v>
      </c>
      <c r="H387" s="0" t="n">
        <v>28.4</v>
      </c>
      <c r="I387" s="0" t="n">
        <v>59.5</v>
      </c>
      <c r="J387" s="0" t="n">
        <v>68.9</v>
      </c>
      <c r="K387" s="0" t="n">
        <v>74.4</v>
      </c>
      <c r="L387" s="0" t="n">
        <v>4637.09</v>
      </c>
      <c r="M387" s="0" t="n">
        <v>6</v>
      </c>
      <c r="N387" s="0" t="n">
        <v>94.3</v>
      </c>
      <c r="O387" s="0" t="n">
        <v>0</v>
      </c>
    </row>
    <row r="388" customFormat="false" ht="15" hidden="false" customHeight="false" outlineLevel="0" collapsed="false">
      <c r="A388" s="0" t="s">
        <v>483</v>
      </c>
      <c r="B388" s="0" t="s">
        <v>85</v>
      </c>
      <c r="C388" s="0" t="s">
        <v>91</v>
      </c>
      <c r="D388" s="0" t="s">
        <v>92</v>
      </c>
      <c r="E388" s="0" t="s">
        <v>88</v>
      </c>
      <c r="F388" s="0" t="n">
        <v>29</v>
      </c>
      <c r="G388" s="0" t="n">
        <v>3.6</v>
      </c>
      <c r="H388" s="0" t="n">
        <v>37.9</v>
      </c>
      <c r="I388" s="0" t="n">
        <v>73.1</v>
      </c>
      <c r="J388" s="0" t="n">
        <v>77.5</v>
      </c>
      <c r="K388" s="0" t="n">
        <v>82.1</v>
      </c>
      <c r="L388" s="0" t="n">
        <v>6399.55</v>
      </c>
      <c r="M388" s="0" t="n">
        <v>10</v>
      </c>
      <c r="N388" s="0" t="n">
        <v>96.8</v>
      </c>
      <c r="O388" s="0" t="n">
        <v>1</v>
      </c>
    </row>
    <row r="389" customFormat="false" ht="15" hidden="false" customHeight="false" outlineLevel="0" collapsed="false">
      <c r="A389" s="0" t="s">
        <v>484</v>
      </c>
      <c r="B389" s="0" t="s">
        <v>94</v>
      </c>
      <c r="C389" s="0" t="s">
        <v>86</v>
      </c>
      <c r="D389" s="0" t="s">
        <v>95</v>
      </c>
      <c r="F389" s="0" t="n">
        <v>29</v>
      </c>
      <c r="G389" s="0" t="n">
        <v>3.1</v>
      </c>
      <c r="H389" s="0" t="n">
        <v>31.7</v>
      </c>
      <c r="I389" s="0" t="n">
        <v>40.3</v>
      </c>
      <c r="J389" s="0" t="n">
        <v>39.3</v>
      </c>
      <c r="K389" s="0" t="n">
        <v>69.4</v>
      </c>
      <c r="L389" s="0" t="n">
        <v>4981.48</v>
      </c>
      <c r="M389" s="0" t="n">
        <v>9</v>
      </c>
      <c r="N389" s="0" t="n">
        <v>86.8</v>
      </c>
      <c r="O389" s="0" t="n">
        <v>1</v>
      </c>
    </row>
    <row r="390" customFormat="false" ht="15" hidden="false" customHeight="false" outlineLevel="0" collapsed="false">
      <c r="A390" s="0" t="s">
        <v>485</v>
      </c>
      <c r="B390" s="0" t="s">
        <v>99</v>
      </c>
      <c r="C390" s="0" t="s">
        <v>91</v>
      </c>
      <c r="D390" s="0" t="s">
        <v>92</v>
      </c>
      <c r="E390" s="0" t="s">
        <v>88</v>
      </c>
      <c r="F390" s="0" t="n">
        <v>24</v>
      </c>
      <c r="G390" s="0" t="n">
        <v>3.2</v>
      </c>
      <c r="H390" s="0" t="n">
        <v>58</v>
      </c>
      <c r="I390" s="0" t="n">
        <v>59.4</v>
      </c>
      <c r="J390" s="0" t="n">
        <v>69</v>
      </c>
      <c r="K390" s="0" t="n">
        <v>81.9</v>
      </c>
      <c r="L390" s="0" t="n">
        <v>7947.55</v>
      </c>
      <c r="M390" s="0" t="n">
        <v>6</v>
      </c>
      <c r="N390" s="0" t="n">
        <v>87.7</v>
      </c>
      <c r="O390" s="0" t="n">
        <v>1</v>
      </c>
    </row>
    <row r="391" customFormat="false" ht="15" hidden="false" customHeight="false" outlineLevel="0" collapsed="false">
      <c r="A391" s="0" t="s">
        <v>486</v>
      </c>
      <c r="B391" s="0" t="s">
        <v>94</v>
      </c>
      <c r="C391" s="0" t="s">
        <v>91</v>
      </c>
      <c r="D391" s="0" t="s">
        <v>87</v>
      </c>
      <c r="E391" s="0" t="s">
        <v>88</v>
      </c>
      <c r="F391" s="0" t="n">
        <v>42</v>
      </c>
      <c r="G391" s="0" t="n">
        <v>12.4</v>
      </c>
      <c r="H391" s="0" t="n">
        <v>49</v>
      </c>
      <c r="I391" s="0" t="n">
        <v>59.6</v>
      </c>
      <c r="J391" s="0" t="n">
        <v>69.7</v>
      </c>
      <c r="K391" s="0" t="n">
        <v>100</v>
      </c>
      <c r="L391" s="0" t="n">
        <v>8775.23</v>
      </c>
      <c r="M391" s="0" t="n">
        <v>8</v>
      </c>
      <c r="N391" s="0" t="n">
        <v>84.3</v>
      </c>
      <c r="O391" s="0" t="n">
        <v>1</v>
      </c>
    </row>
    <row r="392" customFormat="false" ht="15" hidden="false" customHeight="false" outlineLevel="0" collapsed="false">
      <c r="A392" s="0" t="s">
        <v>487</v>
      </c>
      <c r="B392" s="0" t="s">
        <v>85</v>
      </c>
      <c r="C392" s="0" t="s">
        <v>86</v>
      </c>
      <c r="D392" s="0" t="s">
        <v>87</v>
      </c>
      <c r="E392" s="0" t="s">
        <v>88</v>
      </c>
      <c r="F392" s="0" t="n">
        <v>37</v>
      </c>
      <c r="G392" s="0" t="n">
        <v>6.2</v>
      </c>
      <c r="H392" s="0" t="n">
        <v>47.8</v>
      </c>
      <c r="I392" s="0" t="n">
        <v>52.7</v>
      </c>
      <c r="J392" s="0" t="n">
        <v>59.9</v>
      </c>
      <c r="K392" s="0" t="n">
        <v>85.6</v>
      </c>
      <c r="L392" s="0" t="n">
        <v>6989.44</v>
      </c>
      <c r="M392" s="0" t="n">
        <v>6</v>
      </c>
      <c r="N392" s="0" t="n">
        <v>97.3</v>
      </c>
      <c r="O392" s="0" t="n">
        <v>0</v>
      </c>
    </row>
    <row r="393" customFormat="false" ht="15" hidden="false" customHeight="false" outlineLevel="0" collapsed="false">
      <c r="A393" s="0" t="s">
        <v>488</v>
      </c>
      <c r="B393" s="0" t="s">
        <v>99</v>
      </c>
      <c r="C393" s="0" t="s">
        <v>86</v>
      </c>
      <c r="D393" s="0" t="s">
        <v>92</v>
      </c>
      <c r="E393" s="0" t="s">
        <v>100</v>
      </c>
      <c r="F393" s="0" t="n">
        <v>38</v>
      </c>
      <c r="G393" s="0" t="n">
        <v>6.8</v>
      </c>
      <c r="H393" s="0" t="n">
        <v>47.5</v>
      </c>
      <c r="I393" s="0" t="n">
        <v>83.8</v>
      </c>
      <c r="J393" s="0" t="n">
        <v>87.2</v>
      </c>
      <c r="K393" s="0" t="n">
        <v>83.1</v>
      </c>
      <c r="L393" s="0" t="n">
        <v>6028.4</v>
      </c>
      <c r="M393" s="0" t="n">
        <v>5</v>
      </c>
      <c r="O393" s="0" t="n">
        <v>1</v>
      </c>
    </row>
    <row r="394" customFormat="false" ht="15" hidden="false" customHeight="false" outlineLevel="0" collapsed="false">
      <c r="A394" s="0" t="s">
        <v>489</v>
      </c>
      <c r="B394" s="0" t="s">
        <v>90</v>
      </c>
      <c r="C394" s="0" t="s">
        <v>86</v>
      </c>
      <c r="D394" s="0" t="s">
        <v>95</v>
      </c>
      <c r="E394" s="0" t="s">
        <v>125</v>
      </c>
      <c r="F394" s="0" t="n">
        <v>25</v>
      </c>
      <c r="G394" s="0" t="n">
        <v>0.3</v>
      </c>
      <c r="H394" s="0" t="n">
        <v>39.6</v>
      </c>
      <c r="I394" s="0" t="n">
        <v>59.3</v>
      </c>
      <c r="J394" s="0" t="n">
        <v>67.7</v>
      </c>
      <c r="K394" s="0" t="n">
        <v>63.1</v>
      </c>
      <c r="L394" s="0" t="n">
        <v>4982.15</v>
      </c>
      <c r="M394" s="0" t="n">
        <v>9</v>
      </c>
      <c r="N394" s="0" t="n">
        <v>95.5</v>
      </c>
      <c r="O394" s="0" t="n">
        <v>0</v>
      </c>
    </row>
    <row r="395" customFormat="false" ht="15" hidden="false" customHeight="false" outlineLevel="0" collapsed="false">
      <c r="A395" s="0" t="s">
        <v>490</v>
      </c>
      <c r="B395" s="0" t="s">
        <v>85</v>
      </c>
      <c r="C395" s="0" t="s">
        <v>86</v>
      </c>
      <c r="D395" s="0" t="s">
        <v>95</v>
      </c>
      <c r="F395" s="0" t="n">
        <v>29</v>
      </c>
      <c r="G395" s="0" t="n">
        <v>3.9</v>
      </c>
      <c r="H395" s="0" t="n">
        <v>42.4</v>
      </c>
      <c r="I395" s="0" t="n">
        <v>55.9</v>
      </c>
      <c r="J395" s="0" t="n">
        <v>58</v>
      </c>
      <c r="K395" s="0" t="n">
        <v>77.7</v>
      </c>
      <c r="L395" s="0" t="n">
        <v>5715.88</v>
      </c>
      <c r="M395" s="0" t="n">
        <v>4</v>
      </c>
      <c r="N395" s="0" t="n">
        <v>85.9</v>
      </c>
      <c r="O395" s="0" t="n">
        <v>0</v>
      </c>
    </row>
    <row r="396" customFormat="false" ht="15" hidden="false" customHeight="false" outlineLevel="0" collapsed="false">
      <c r="A396" s="0" t="s">
        <v>491</v>
      </c>
      <c r="B396" s="0" t="s">
        <v>99</v>
      </c>
      <c r="C396" s="0" t="s">
        <v>86</v>
      </c>
      <c r="D396" s="0" t="s">
        <v>95</v>
      </c>
      <c r="E396" s="0" t="s">
        <v>96</v>
      </c>
      <c r="F396" s="0" t="n">
        <v>30</v>
      </c>
      <c r="G396" s="0" t="n">
        <v>6.7</v>
      </c>
      <c r="H396" s="0" t="n">
        <v>25.8</v>
      </c>
      <c r="I396" s="0" t="n">
        <v>60.3</v>
      </c>
      <c r="J396" s="0" t="n">
        <v>64.2</v>
      </c>
      <c r="K396" s="0" t="n">
        <v>85.6</v>
      </c>
      <c r="L396" s="0" t="n">
        <v>5443.58</v>
      </c>
      <c r="M396" s="0" t="n">
        <v>8</v>
      </c>
      <c r="N396" s="0" t="n">
        <v>100</v>
      </c>
      <c r="O396" s="0" t="n">
        <v>0</v>
      </c>
    </row>
    <row r="397" customFormat="false" ht="15" hidden="false" customHeight="false" outlineLevel="0" collapsed="false">
      <c r="A397" s="0" t="s">
        <v>492</v>
      </c>
      <c r="B397" s="0" t="s">
        <v>90</v>
      </c>
      <c r="C397" s="0" t="s">
        <v>86</v>
      </c>
      <c r="D397" s="0" t="s">
        <v>92</v>
      </c>
      <c r="E397" s="0" t="s">
        <v>96</v>
      </c>
      <c r="F397" s="0" t="n">
        <v>28</v>
      </c>
      <c r="G397" s="0" t="n">
        <v>2.7</v>
      </c>
      <c r="H397" s="0" t="n">
        <v>13.8</v>
      </c>
      <c r="I397" s="0" t="n">
        <v>40</v>
      </c>
      <c r="J397" s="0" t="n">
        <v>45</v>
      </c>
      <c r="K397" s="0" t="n">
        <v>61.3</v>
      </c>
      <c r="L397" s="0" t="n">
        <v>3447.67</v>
      </c>
      <c r="M397" s="0" t="n">
        <v>7</v>
      </c>
      <c r="N397" s="0" t="n">
        <v>90</v>
      </c>
      <c r="O397" s="0" t="n">
        <v>0</v>
      </c>
    </row>
    <row r="398" customFormat="false" ht="15" hidden="false" customHeight="false" outlineLevel="0" collapsed="false">
      <c r="A398" s="0" t="s">
        <v>493</v>
      </c>
      <c r="B398" s="0" t="s">
        <v>94</v>
      </c>
      <c r="C398" s="0" t="s">
        <v>86</v>
      </c>
      <c r="D398" s="0" t="s">
        <v>92</v>
      </c>
      <c r="E398" s="0" t="s">
        <v>88</v>
      </c>
      <c r="F398" s="0" t="n">
        <v>36</v>
      </c>
      <c r="G398" s="0" t="n">
        <v>8.9</v>
      </c>
      <c r="H398" s="0" t="n">
        <v>41.8</v>
      </c>
      <c r="I398" s="0" t="n">
        <v>52.4</v>
      </c>
      <c r="J398" s="0" t="n">
        <v>63.8</v>
      </c>
      <c r="K398" s="0" t="n">
        <v>91.1</v>
      </c>
      <c r="L398" s="0" t="n">
        <v>38170.4438868551</v>
      </c>
      <c r="M398" s="0" t="n">
        <v>7</v>
      </c>
      <c r="N398" s="0" t="n">
        <v>93.8</v>
      </c>
      <c r="O398" s="0" t="n">
        <v>1</v>
      </c>
    </row>
    <row r="399" customFormat="false" ht="15" hidden="false" customHeight="false" outlineLevel="0" collapsed="false">
      <c r="A399" s="0" t="s">
        <v>494</v>
      </c>
      <c r="B399" s="0" t="s">
        <v>99</v>
      </c>
      <c r="C399" s="0" t="s">
        <v>86</v>
      </c>
      <c r="D399" s="0" t="s">
        <v>87</v>
      </c>
      <c r="E399" s="0" t="s">
        <v>88</v>
      </c>
      <c r="F399" s="0" t="n">
        <v>27</v>
      </c>
      <c r="G399" s="0" t="n">
        <v>2.2</v>
      </c>
      <c r="H399" s="0" t="n">
        <v>43.9</v>
      </c>
      <c r="I399" s="0" t="n">
        <v>69.8</v>
      </c>
      <c r="J399" s="0" t="n">
        <v>76.3</v>
      </c>
      <c r="K399" s="0" t="n">
        <v>78.6</v>
      </c>
      <c r="L399" s="0" t="n">
        <v>5247.87</v>
      </c>
      <c r="M399" s="0" t="n">
        <v>8</v>
      </c>
      <c r="N399" s="0" t="n">
        <v>97.3</v>
      </c>
      <c r="O399" s="0" t="n">
        <v>0</v>
      </c>
    </row>
    <row r="400" customFormat="false" ht="15" hidden="false" customHeight="false" outlineLevel="0" collapsed="false">
      <c r="A400" s="0" t="s">
        <v>495</v>
      </c>
      <c r="B400" s="0" t="s">
        <v>90</v>
      </c>
      <c r="C400" s="0" t="s">
        <v>91</v>
      </c>
      <c r="D400" s="0" t="s">
        <v>92</v>
      </c>
      <c r="E400" s="0" t="s">
        <v>96</v>
      </c>
      <c r="F400" s="0" t="n">
        <v>28</v>
      </c>
      <c r="G400" s="0" t="n">
        <v>5.1</v>
      </c>
      <c r="H400" s="0" t="n">
        <v>54.5</v>
      </c>
      <c r="I400" s="0" t="n">
        <v>53.7</v>
      </c>
      <c r="J400" s="0" t="n">
        <v>59.9</v>
      </c>
      <c r="K400" s="0" t="n">
        <v>93.5</v>
      </c>
      <c r="L400" s="0" t="n">
        <v>5546.21</v>
      </c>
      <c r="M400" s="0" t="n">
        <v>8</v>
      </c>
      <c r="N400" s="0" t="n">
        <v>88.1</v>
      </c>
      <c r="O400" s="0" t="n">
        <v>1</v>
      </c>
    </row>
    <row r="401" customFormat="false" ht="15" hidden="false" customHeight="false" outlineLevel="0" collapsed="false">
      <c r="A401" s="0" t="s">
        <v>496</v>
      </c>
      <c r="B401" s="0" t="s">
        <v>90</v>
      </c>
      <c r="C401" s="0" t="s">
        <v>91</v>
      </c>
      <c r="D401" s="0" t="s">
        <v>87</v>
      </c>
      <c r="E401" s="0" t="s">
        <v>88</v>
      </c>
      <c r="F401" s="0" t="n">
        <v>28</v>
      </c>
      <c r="G401" s="0" t="n">
        <v>4.1</v>
      </c>
      <c r="H401" s="0" t="n">
        <v>58.9</v>
      </c>
      <c r="I401" s="0" t="n">
        <v>51.7</v>
      </c>
      <c r="J401" s="0" t="n">
        <v>67.5</v>
      </c>
      <c r="K401" s="0" t="n">
        <v>94.1</v>
      </c>
      <c r="L401" s="0" t="n">
        <v>6164.1</v>
      </c>
      <c r="M401" s="0" t="n">
        <v>6</v>
      </c>
      <c r="N401" s="0" t="n">
        <v>90.3</v>
      </c>
      <c r="O401" s="0" t="n">
        <v>1</v>
      </c>
    </row>
    <row r="403" customFormat="false" ht="15" hidden="false" customHeight="false" outlineLevel="0" collapsed="false">
      <c r="B403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26.85" hidden="false" customHeight="false" outlineLevel="0" collapsed="false">
      <c r="A1" s="9" t="s">
        <v>75</v>
      </c>
      <c r="B1" s="9" t="s">
        <v>78</v>
      </c>
      <c r="C1" s="9" t="s">
        <v>80</v>
      </c>
      <c r="D1" s="9" t="s">
        <v>82</v>
      </c>
    </row>
    <row r="2" customFormat="false" ht="15" hidden="false" customHeight="false" outlineLevel="0" collapsed="false">
      <c r="A2" s="0" t="s">
        <v>497</v>
      </c>
      <c r="B2" s="0" t="n">
        <v>15802.19</v>
      </c>
      <c r="C2" s="0" t="n">
        <v>2001.85</v>
      </c>
      <c r="D2" s="0" t="n">
        <v>393</v>
      </c>
    </row>
    <row r="3" customFormat="false" ht="15" hidden="false" customHeight="false" outlineLevel="0" collapsed="false">
      <c r="A3" s="0" t="s">
        <v>498</v>
      </c>
      <c r="B3" s="0" t="n">
        <v>16186.81</v>
      </c>
      <c r="C3" s="0" t="n">
        <v>2272.19</v>
      </c>
      <c r="D3" s="0" t="n">
        <v>379</v>
      </c>
    </row>
    <row r="4" customFormat="false" ht="15" hidden="false" customHeight="false" outlineLevel="0" collapsed="false">
      <c r="A4" s="0" t="s">
        <v>499</v>
      </c>
      <c r="B4" s="0" t="n">
        <v>17881.72</v>
      </c>
      <c r="C4" s="0" t="n">
        <v>2501.13</v>
      </c>
      <c r="D4" s="0" t="n">
        <v>403</v>
      </c>
    </row>
    <row r="5" customFormat="false" ht="15" hidden="false" customHeight="false" outlineLevel="0" collapsed="false">
      <c r="A5" s="0" t="s">
        <v>500</v>
      </c>
      <c r="B5" s="0" t="n">
        <v>17799.53</v>
      </c>
      <c r="C5" s="0" t="n">
        <v>2551.06</v>
      </c>
      <c r="D5" s="0" t="n">
        <v>427</v>
      </c>
    </row>
    <row r="6" customFormat="false" ht="15" hidden="false" customHeight="false" outlineLevel="0" collapsed="false">
      <c r="A6" s="0" t="s">
        <v>501</v>
      </c>
      <c r="B6" s="0" t="n">
        <v>17581.83</v>
      </c>
      <c r="C6" s="0" t="n">
        <v>2400.32</v>
      </c>
      <c r="D6" s="0" t="n">
        <v>391</v>
      </c>
    </row>
    <row r="7" customFormat="false" ht="15" hidden="false" customHeight="false" outlineLevel="0" collapsed="false">
      <c r="A7" s="0" t="s">
        <v>502</v>
      </c>
      <c r="B7" s="0" t="n">
        <v>17564.93</v>
      </c>
      <c r="C7" s="0" t="n">
        <v>2421.55</v>
      </c>
      <c r="D7" s="0" t="n">
        <v>518</v>
      </c>
    </row>
    <row r="8" customFormat="false" ht="15" hidden="false" customHeight="false" outlineLevel="0" collapsed="false">
      <c r="A8" s="0" t="s">
        <v>503</v>
      </c>
      <c r="B8" s="0" t="n">
        <v>16858.43</v>
      </c>
      <c r="C8" s="0" t="n">
        <v>2430.51</v>
      </c>
      <c r="D8" s="0" t="n">
        <v>381</v>
      </c>
    </row>
    <row r="9" customFormat="false" ht="15" hidden="false" customHeight="false" outlineLevel="0" collapsed="false">
      <c r="A9" s="0" t="s">
        <v>504</v>
      </c>
      <c r="B9" s="0" t="n">
        <v>15057.21</v>
      </c>
      <c r="C9" s="0" t="n">
        <v>1986.13</v>
      </c>
      <c r="D9" s="0" t="n">
        <v>342</v>
      </c>
    </row>
    <row r="10" customFormat="false" ht="15" hidden="false" customHeight="false" outlineLevel="0" collapsed="false">
      <c r="A10" s="0" t="s">
        <v>505</v>
      </c>
      <c r="B10" s="0" t="n">
        <v>14749.83</v>
      </c>
      <c r="C10" s="0" t="n">
        <v>1972.99</v>
      </c>
      <c r="D10" s="0" t="n">
        <v>259</v>
      </c>
    </row>
    <row r="11" customFormat="false" ht="15" hidden="false" customHeight="false" outlineLevel="0" collapsed="false">
      <c r="A11" s="0" t="s">
        <v>506</v>
      </c>
      <c r="B11" s="0" t="n">
        <v>14650.98</v>
      </c>
      <c r="C11" s="0" t="n">
        <v>1823.46</v>
      </c>
      <c r="D11" s="0" t="n">
        <v>304</v>
      </c>
    </row>
    <row r="12" customFormat="false" ht="15" hidden="false" customHeight="false" outlineLevel="0" collapsed="false">
      <c r="A12" s="0" t="s">
        <v>507</v>
      </c>
      <c r="B12" s="0" t="n">
        <v>15501.77</v>
      </c>
      <c r="C12" s="0" t="n">
        <v>1791.9</v>
      </c>
      <c r="D12" s="0" t="n">
        <v>390</v>
      </c>
    </row>
    <row r="13" customFormat="false" ht="15" hidden="false" customHeight="false" outlineLevel="0" collapsed="false">
      <c r="A13" s="0" t="s">
        <v>508</v>
      </c>
      <c r="B13" s="0" t="n">
        <v>17148.68</v>
      </c>
      <c r="C13" s="0" t="n">
        <v>2260.72</v>
      </c>
      <c r="D13" s="0" t="n">
        <v>328</v>
      </c>
    </row>
    <row r="14" customFormat="false" ht="15" hidden="false" customHeight="false" outlineLevel="0" collapsed="false">
      <c r="A14" s="0" t="s">
        <v>509</v>
      </c>
      <c r="B14" s="0" t="n">
        <v>18884.93</v>
      </c>
      <c r="C14" s="0" t="n">
        <v>2221.19</v>
      </c>
      <c r="D14" s="0" t="n">
        <v>333</v>
      </c>
    </row>
    <row r="15" customFormat="false" ht="15" hidden="false" customHeight="false" outlineLevel="0" collapsed="false">
      <c r="A15" s="0" t="s">
        <v>510</v>
      </c>
      <c r="B15" s="0" t="n">
        <v>18575.49</v>
      </c>
      <c r="C15" s="0" t="n">
        <v>2686.54</v>
      </c>
      <c r="D15" s="0" t="n">
        <v>414</v>
      </c>
    </row>
    <row r="16" customFormat="false" ht="15" hidden="false" customHeight="false" outlineLevel="0" collapsed="false">
      <c r="A16" s="0" t="s">
        <v>511</v>
      </c>
      <c r="B16" s="0" t="n">
        <v>18860.69</v>
      </c>
      <c r="C16" s="0" t="n">
        <v>2773.47</v>
      </c>
      <c r="D16" s="0" t="n">
        <v>474</v>
      </c>
    </row>
    <row r="17" customFormat="false" ht="15" hidden="false" customHeight="false" outlineLevel="0" collapsed="false">
      <c r="A17" s="0" t="s">
        <v>512</v>
      </c>
      <c r="B17" s="0" t="n">
        <v>20515.6</v>
      </c>
      <c r="C17" s="0" t="n">
        <v>2774.02</v>
      </c>
      <c r="D17" s="0" t="n">
        <v>458</v>
      </c>
    </row>
    <row r="18" customFormat="false" ht="15" hidden="false" customHeight="false" outlineLevel="0" collapsed="false">
      <c r="A18" s="0" t="s">
        <v>513</v>
      </c>
      <c r="B18" s="0" t="n">
        <v>20318.53</v>
      </c>
      <c r="C18" s="0" t="n">
        <v>2744.37</v>
      </c>
      <c r="D18" s="0" t="n">
        <v>438</v>
      </c>
    </row>
    <row r="19" customFormat="false" ht="15" hidden="false" customHeight="false" outlineLevel="0" collapsed="false">
      <c r="A19" s="0" t="s">
        <v>514</v>
      </c>
      <c r="B19" s="0" t="n">
        <v>19666.46</v>
      </c>
      <c r="C19" s="0" t="n">
        <v>2582.97</v>
      </c>
      <c r="D19" s="0" t="n">
        <v>363</v>
      </c>
    </row>
    <row r="20" customFormat="false" ht="15" hidden="false" customHeight="false" outlineLevel="0" collapsed="false">
      <c r="A20" s="0" t="s">
        <v>515</v>
      </c>
      <c r="B20" s="0" t="n">
        <v>19484.95</v>
      </c>
      <c r="C20" s="0" t="n">
        <v>2128.55</v>
      </c>
      <c r="D20" s="0" t="n">
        <v>451</v>
      </c>
    </row>
    <row r="21" customFormat="false" ht="15" hidden="false" customHeight="false" outlineLevel="0" collapsed="false">
      <c r="A21" s="0" t="s">
        <v>516</v>
      </c>
      <c r="B21" s="0" t="n">
        <v>18508.1</v>
      </c>
      <c r="C21" s="0" t="n">
        <v>2465.72</v>
      </c>
      <c r="D21" s="0" t="n">
        <v>438</v>
      </c>
    </row>
    <row r="22" customFormat="false" ht="15" hidden="false" customHeight="false" outlineLevel="0" collapsed="false">
      <c r="A22" s="0" t="s">
        <v>517</v>
      </c>
      <c r="B22" s="0" t="n">
        <v>17563.26</v>
      </c>
      <c r="C22" s="0" t="n">
        <v>2311.48</v>
      </c>
      <c r="D22" s="0" t="n">
        <v>319</v>
      </c>
    </row>
    <row r="23" customFormat="false" ht="15" hidden="false" customHeight="false" outlineLevel="0" collapsed="false">
      <c r="A23" s="0" t="s">
        <v>518</v>
      </c>
      <c r="B23" s="0" t="n">
        <v>17550.88</v>
      </c>
      <c r="C23" s="0" t="n">
        <v>2442.42</v>
      </c>
      <c r="D23" s="0" t="n">
        <v>435</v>
      </c>
    </row>
    <row r="24" customFormat="false" ht="15" hidden="false" customHeight="false" outlineLevel="0" collapsed="false">
      <c r="A24" s="0" t="s">
        <v>519</v>
      </c>
      <c r="B24" s="0" t="n">
        <v>19755.65</v>
      </c>
      <c r="C24" s="0" t="n">
        <v>2180.73</v>
      </c>
      <c r="D24" s="0" t="n">
        <v>470</v>
      </c>
    </row>
    <row r="25" customFormat="false" ht="15" hidden="false" customHeight="false" outlineLevel="0" collapsed="false">
      <c r="A25" s="0" t="s">
        <v>520</v>
      </c>
      <c r="B25" s="0" t="n">
        <v>19592.83</v>
      </c>
      <c r="C25" s="0" t="n">
        <v>2963.85</v>
      </c>
      <c r="D25" s="0" t="n">
        <v>481</v>
      </c>
    </row>
    <row r="26" customFormat="false" ht="15" hidden="false" customHeight="false" outlineLevel="0" collapsed="false">
      <c r="A26" s="0" t="s">
        <v>521</v>
      </c>
      <c r="B26" s="0" t="n">
        <v>21343.82</v>
      </c>
      <c r="C26" s="0" t="n">
        <v>2625.07</v>
      </c>
      <c r="D26" s="0" t="n">
        <v>498</v>
      </c>
    </row>
    <row r="27" customFormat="false" ht="15" hidden="false" customHeight="false" outlineLevel="0" collapsed="false">
      <c r="A27" s="0" t="s">
        <v>522</v>
      </c>
      <c r="B27" s="0" t="n">
        <v>20519.47</v>
      </c>
      <c r="C27" s="0" t="n">
        <v>2731.22</v>
      </c>
      <c r="D27" s="0" t="n">
        <v>482</v>
      </c>
    </row>
    <row r="28" customFormat="false" ht="15" hidden="false" customHeight="false" outlineLevel="0" collapsed="false">
      <c r="A28" s="0" t="s">
        <v>523</v>
      </c>
      <c r="B28" s="0" t="n">
        <v>21639.42</v>
      </c>
      <c r="C28" s="0" t="n">
        <v>2877.99</v>
      </c>
      <c r="D28" s="0" t="n">
        <v>502</v>
      </c>
    </row>
    <row r="29" customFormat="false" ht="15" hidden="false" customHeight="false" outlineLevel="0" collapsed="false">
      <c r="A29" s="0" t="s">
        <v>524</v>
      </c>
      <c r="B29" s="0" t="n">
        <v>23000.17</v>
      </c>
      <c r="C29" s="0" t="n">
        <v>2776.52</v>
      </c>
      <c r="D29" s="0" t="n">
        <v>546</v>
      </c>
    </row>
    <row r="30" customFormat="false" ht="15" hidden="false" customHeight="false" outlineLevel="0" collapsed="false">
      <c r="A30" s="0" t="s">
        <v>525</v>
      </c>
      <c r="B30" s="0" t="n">
        <v>22700.47</v>
      </c>
      <c r="C30" s="0" t="n">
        <v>3569.57</v>
      </c>
      <c r="D30" s="0" t="n">
        <v>432</v>
      </c>
    </row>
    <row r="31" customFormat="false" ht="15" hidden="false" customHeight="false" outlineLevel="0" collapsed="false">
      <c r="A31" s="0" t="s">
        <v>526</v>
      </c>
      <c r="B31" s="0" t="n">
        <v>19507.62</v>
      </c>
      <c r="C31" s="0" t="n">
        <v>3412.77</v>
      </c>
      <c r="D31" s="0" t="n">
        <v>373</v>
      </c>
    </row>
    <row r="32" customFormat="false" ht="15" hidden="false" customHeight="false" outlineLevel="0" collapsed="false">
      <c r="A32" s="0" t="s">
        <v>527</v>
      </c>
      <c r="B32" s="0" t="n">
        <v>22671.82</v>
      </c>
      <c r="C32" s="0" t="n">
        <v>3050.19</v>
      </c>
      <c r="D32" s="0" t="n">
        <v>474</v>
      </c>
    </row>
    <row r="33" customFormat="false" ht="15" hidden="false" customHeight="false" outlineLevel="0" collapsed="false">
      <c r="A33" s="0" t="s">
        <v>528</v>
      </c>
      <c r="B33" s="0" t="n">
        <v>22562.72</v>
      </c>
      <c r="C33" s="0" t="n">
        <v>2505.98</v>
      </c>
      <c r="D33" s="0" t="n">
        <v>496</v>
      </c>
    </row>
    <row r="34" customFormat="false" ht="15" hidden="false" customHeight="false" outlineLevel="0" collapsed="false">
      <c r="A34" s="0" t="s">
        <v>529</v>
      </c>
      <c r="B34" s="0" t="n">
        <v>18784.02</v>
      </c>
      <c r="C34" s="0" t="n">
        <v>3066.41</v>
      </c>
      <c r="D34" s="0" t="n">
        <v>433</v>
      </c>
    </row>
    <row r="35" customFormat="false" ht="15" hidden="false" customHeight="false" outlineLevel="0" collapsed="false">
      <c r="A35" s="0" t="s">
        <v>530</v>
      </c>
      <c r="B35" s="0" t="n">
        <v>20923.57</v>
      </c>
      <c r="C35" s="0" t="n">
        <v>2502.07</v>
      </c>
      <c r="D35" s="0" t="n">
        <v>478</v>
      </c>
    </row>
    <row r="36" customFormat="false" ht="15" hidden="false" customHeight="false" outlineLevel="0" collapsed="false">
      <c r="A36" s="0" t="s">
        <v>531</v>
      </c>
      <c r="B36" s="0" t="n">
        <v>18680.79</v>
      </c>
      <c r="C36" s="0" t="n">
        <v>2606.33</v>
      </c>
      <c r="D36" s="0" t="n">
        <v>460</v>
      </c>
    </row>
    <row r="37" customFormat="false" ht="15" hidden="false" customHeight="false" outlineLevel="0" collapsed="false">
      <c r="A37" s="0" t="s">
        <v>532</v>
      </c>
      <c r="B37" s="0" t="n">
        <v>22756.6</v>
      </c>
      <c r="C37" s="0" t="n">
        <v>3209.31</v>
      </c>
      <c r="D37" s="0" t="n">
        <v>552</v>
      </c>
    </row>
    <row r="38" customFormat="false" ht="15" hidden="false" customHeight="false" outlineLevel="0" collapsed="false">
      <c r="A38" s="0" t="s">
        <v>533</v>
      </c>
      <c r="B38" s="0" t="n">
        <v>23513.95</v>
      </c>
      <c r="C38" s="0" t="n">
        <v>3244.73</v>
      </c>
      <c r="D38" s="0" t="n">
        <v>488</v>
      </c>
    </row>
    <row r="39" customFormat="false" ht="15" hidden="false" customHeight="false" outlineLevel="0" collapsed="false">
      <c r="A39" s="0" t="s">
        <v>534</v>
      </c>
      <c r="B39" s="0" t="n">
        <v>22695.02</v>
      </c>
      <c r="C39" s="0" t="n">
        <v>3860.28</v>
      </c>
      <c r="D39" s="0" t="n">
        <v>514</v>
      </c>
    </row>
    <row r="40" customFormat="false" ht="15" hidden="false" customHeight="false" outlineLevel="0" collapsed="false">
      <c r="A40" s="0" t="s">
        <v>535</v>
      </c>
      <c r="B40" s="0" t="n">
        <v>24931.14</v>
      </c>
      <c r="C40" s="0" t="n">
        <v>3548.59</v>
      </c>
      <c r="D40" s="0" t="n">
        <v>520</v>
      </c>
    </row>
    <row r="41" customFormat="false" ht="15" hidden="false" customHeight="false" outlineLevel="0" collapsed="false">
      <c r="A41" s="0" t="s">
        <v>536</v>
      </c>
      <c r="B41" s="0" t="n">
        <v>25585.59</v>
      </c>
      <c r="C41" s="0" t="n">
        <v>3470.74</v>
      </c>
      <c r="D41" s="0" t="n">
        <v>561</v>
      </c>
    </row>
    <row r="42" customFormat="false" ht="15" hidden="false" customHeight="false" outlineLevel="0" collapsed="false">
      <c r="A42" s="0" t="s">
        <v>537</v>
      </c>
      <c r="B42" s="0" t="n">
        <v>25313.57</v>
      </c>
      <c r="C42" s="0" t="n">
        <v>3393.46</v>
      </c>
      <c r="D42" s="0" t="n">
        <v>575</v>
      </c>
    </row>
    <row r="43" customFormat="false" ht="15" hidden="false" customHeight="false" outlineLevel="0" collapsed="false">
      <c r="A43" s="0" t="s">
        <v>538</v>
      </c>
      <c r="B43" s="0" t="n">
        <v>25629.38</v>
      </c>
      <c r="C43" s="0" t="n">
        <v>2968.25</v>
      </c>
      <c r="D43" s="0" t="n">
        <v>433</v>
      </c>
    </row>
    <row r="44" customFormat="false" ht="15" hidden="false" customHeight="false" outlineLevel="0" collapsed="false">
      <c r="A44" s="0" t="s">
        <v>539</v>
      </c>
      <c r="B44" s="0" t="n">
        <v>24551.83</v>
      </c>
      <c r="C44" s="0" t="n">
        <v>3190.35</v>
      </c>
      <c r="D44" s="0" t="n">
        <v>642</v>
      </c>
    </row>
    <row r="45" customFormat="false" ht="15" hidden="false" customHeight="false" outlineLevel="0" collapsed="false">
      <c r="A45" s="0" t="s">
        <v>540</v>
      </c>
      <c r="B45" s="0" t="n">
        <v>22557.03</v>
      </c>
      <c r="C45" s="0" t="n">
        <v>3376.15</v>
      </c>
      <c r="D45" s="0" t="n">
        <v>524</v>
      </c>
    </row>
    <row r="46" customFormat="false" ht="15" hidden="false" customHeight="false" outlineLevel="0" collapsed="false">
      <c r="A46" s="0" t="s">
        <v>541</v>
      </c>
      <c r="B46" s="0" t="n">
        <v>23305.46</v>
      </c>
      <c r="C46" s="0" t="n">
        <v>3123.3</v>
      </c>
      <c r="D46" s="0" t="n">
        <v>494</v>
      </c>
    </row>
    <row r="47" customFormat="false" ht="15" hidden="false" customHeight="false" outlineLevel="0" collapsed="false">
      <c r="A47" s="0" t="s">
        <v>542</v>
      </c>
      <c r="B47" s="0" t="n">
        <v>23724.83</v>
      </c>
      <c r="C47" s="0" t="n">
        <v>2955.08</v>
      </c>
      <c r="D47" s="0" t="n">
        <v>604</v>
      </c>
    </row>
    <row r="48" customFormat="false" ht="15" hidden="false" customHeight="false" outlineLevel="0" collapsed="false">
      <c r="A48" s="0" t="s">
        <v>543</v>
      </c>
      <c r="B48" s="0" t="n">
        <v>24051.86</v>
      </c>
      <c r="C48" s="0" t="n">
        <v>2784.86</v>
      </c>
      <c r="D48" s="0" t="n">
        <v>521</v>
      </c>
    </row>
    <row r="49" customFormat="false" ht="15" hidden="false" customHeight="false" outlineLevel="0" collapsed="false">
      <c r="A49" s="0" t="s">
        <v>544</v>
      </c>
      <c r="B49" s="0" t="n">
        <v>23348.49</v>
      </c>
      <c r="C49" s="0" t="n">
        <v>3266.72</v>
      </c>
      <c r="D49" s="0" t="n">
        <v>524</v>
      </c>
    </row>
    <row r="50" customFormat="false" ht="15" hidden="false" customHeight="false" outlineLevel="0" collapsed="false">
      <c r="A50" s="0" t="s">
        <v>545</v>
      </c>
      <c r="B50" s="0" t="n">
        <v>25099.57</v>
      </c>
      <c r="C50" s="0" t="n">
        <v>3693.2</v>
      </c>
      <c r="D50" s="0" t="n">
        <v>538</v>
      </c>
    </row>
    <row r="51" customFormat="false" ht="15" hidden="false" customHeight="false" outlineLevel="0" collapsed="false">
      <c r="A51" s="0" t="s">
        <v>546</v>
      </c>
      <c r="B51" s="0" t="n">
        <v>26387.82</v>
      </c>
      <c r="C51" s="0" t="n">
        <v>3777.68</v>
      </c>
      <c r="D51" s="0" t="n">
        <v>652</v>
      </c>
    </row>
    <row r="52" customFormat="false" ht="15" hidden="false" customHeight="false" outlineLevel="0" collapsed="false">
      <c r="A52" s="0" t="s">
        <v>547</v>
      </c>
      <c r="B52" s="0" t="n">
        <v>26143.76</v>
      </c>
      <c r="C52" s="0" t="n">
        <v>3888.09</v>
      </c>
      <c r="D52" s="0" t="n">
        <v>577</v>
      </c>
    </row>
    <row r="53" customFormat="false" ht="15" hidden="false" customHeight="false" outlineLevel="0" collapsed="false">
      <c r="A53" s="0" t="s">
        <v>548</v>
      </c>
      <c r="B53" s="0" t="n">
        <v>27450.93</v>
      </c>
      <c r="C53" s="0" t="n">
        <v>3730.76</v>
      </c>
      <c r="D53" s="0" t="n">
        <v>616</v>
      </c>
    </row>
    <row r="54" customFormat="false" ht="15" hidden="false" customHeight="false" outlineLevel="0" collapsed="false">
      <c r="A54" s="0" t="s">
        <v>549</v>
      </c>
      <c r="B54" s="0" t="n">
        <v>27974.24</v>
      </c>
      <c r="C54" s="0" t="n">
        <v>4123.21</v>
      </c>
      <c r="D54" s="0" t="n">
        <v>670</v>
      </c>
    </row>
    <row r="55" customFormat="false" ht="15" hidden="false" customHeight="false" outlineLevel="0" collapsed="false">
      <c r="A55" s="0" t="s">
        <v>550</v>
      </c>
      <c r="B55" s="0" t="n">
        <v>26858.82</v>
      </c>
      <c r="C55" s="0" t="n">
        <v>3007.02</v>
      </c>
      <c r="D55" s="0" t="n">
        <v>620</v>
      </c>
    </row>
    <row r="56" customFormat="false" ht="15" hidden="false" customHeight="false" outlineLevel="0" collapsed="false">
      <c r="A56" s="0" t="s">
        <v>551</v>
      </c>
      <c r="B56" s="0" t="n">
        <v>28023.99</v>
      </c>
      <c r="C56" s="0" t="n">
        <v>3715.71</v>
      </c>
      <c r="D56" s="0" t="n">
        <v>621</v>
      </c>
    </row>
    <row r="57" customFormat="false" ht="15" hidden="false" customHeight="false" outlineLevel="0" collapsed="false">
      <c r="A57" s="0" t="s">
        <v>552</v>
      </c>
      <c r="B57" s="0" t="n">
        <v>26920.77</v>
      </c>
      <c r="C57" s="0" t="n">
        <v>4092.58</v>
      </c>
      <c r="D57" s="0" t="n">
        <v>643</v>
      </c>
    </row>
    <row r="58" customFormat="false" ht="15" hidden="false" customHeight="false" outlineLevel="0" collapsed="false">
      <c r="A58" s="0" t="s">
        <v>553</v>
      </c>
      <c r="B58" s="0" t="n">
        <v>25077.44</v>
      </c>
      <c r="C58" s="0" t="n">
        <v>2956.5</v>
      </c>
      <c r="D58" s="0" t="n">
        <v>659</v>
      </c>
    </row>
    <row r="59" customFormat="false" ht="15" hidden="false" customHeight="false" outlineLevel="0" collapsed="false">
      <c r="A59" s="0" t="s">
        <v>554</v>
      </c>
      <c r="B59" s="0" t="n">
        <v>25019.23</v>
      </c>
      <c r="C59" s="0" t="n">
        <v>3249.66</v>
      </c>
      <c r="D59" s="0" t="n">
        <v>569</v>
      </c>
    </row>
    <row r="60" customFormat="false" ht="15" hidden="false" customHeight="false" outlineLevel="0" collapsed="false">
      <c r="A60" s="0" t="s">
        <v>555</v>
      </c>
      <c r="B60" s="0" t="n">
        <v>24536.29</v>
      </c>
      <c r="C60" s="0" t="n">
        <v>3391.61</v>
      </c>
      <c r="D60" s="0" t="n">
        <v>550</v>
      </c>
    </row>
    <row r="61" customFormat="false" ht="15" hidden="false" customHeight="false" outlineLevel="0" collapsed="false">
      <c r="A61" s="0" t="s">
        <v>556</v>
      </c>
      <c r="B61" s="0" t="n">
        <v>27147.42</v>
      </c>
      <c r="C61" s="0" t="n">
        <v>3454.35</v>
      </c>
      <c r="D61" s="0" t="n">
        <v>610</v>
      </c>
    </row>
    <row r="63" customFormat="false" ht="15" hidden="false" customHeight="false" outlineLevel="0" collapsed="false">
      <c r="B63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11" min="3" style="0" width="15"/>
  </cols>
  <sheetData>
    <row r="2" customFormat="false" ht="16.15" hidden="false" customHeight="false" outlineLevel="0" collapsed="false">
      <c r="B2" s="5" t="s">
        <v>557</v>
      </c>
    </row>
    <row r="4" customFormat="false" ht="26.85" hidden="false" customHeight="false" outlineLevel="0" collapsed="false">
      <c r="B4" s="9" t="s">
        <v>558</v>
      </c>
      <c r="C4" s="9" t="s">
        <v>48</v>
      </c>
      <c r="D4" s="9" t="s">
        <v>51</v>
      </c>
      <c r="E4" s="9" t="s">
        <v>54</v>
      </c>
      <c r="F4" s="9" t="s">
        <v>56</v>
      </c>
      <c r="G4" s="9" t="s">
        <v>58</v>
      </c>
      <c r="H4" s="9" t="s">
        <v>60</v>
      </c>
      <c r="I4" s="9" t="s">
        <v>63</v>
      </c>
      <c r="J4" s="9" t="s">
        <v>65</v>
      </c>
      <c r="K4" s="9" t="s">
        <v>68</v>
      </c>
    </row>
    <row r="5" customFormat="false" ht="15" hidden="false" customHeight="false" outlineLevel="0" collapsed="false">
      <c r="B5" s="12" t="s">
        <v>559</v>
      </c>
      <c r="C5" s="13" t="n">
        <f aca="false">COUNT(Raw_Data!$F$2:$F$401)</f>
        <v>400</v>
      </c>
      <c r="D5" s="13" t="n">
        <f aca="false">COUNT(Raw_Data!$G$2:$G$401)</f>
        <v>400</v>
      </c>
      <c r="E5" s="13" t="n">
        <f aca="false">COUNT(Raw_Data!$H$2:$H$401)</f>
        <v>388</v>
      </c>
      <c r="F5" s="13" t="n">
        <f aca="false">COUNT(Raw_Data!$I$2:$I$401)</f>
        <v>400</v>
      </c>
      <c r="G5" s="13" t="n">
        <f aca="false">COUNT(Raw_Data!$J$2:$J$401)</f>
        <v>400</v>
      </c>
      <c r="H5" s="13" t="n">
        <f aca="false">COUNT(Raw_Data!$K$2:$K$401)</f>
        <v>400</v>
      </c>
      <c r="I5" s="13" t="n">
        <f aca="false">COUNT(Raw_Data!$L$2:$L$401)</f>
        <v>400</v>
      </c>
      <c r="J5" s="13" t="n">
        <f aca="false">COUNT(Raw_Data!$M$2:$M$401)</f>
        <v>390</v>
      </c>
      <c r="K5" s="13" t="n">
        <f aca="false">COUNT(Raw_Data!$N$2:$N$401)</f>
        <v>392</v>
      </c>
    </row>
    <row r="6" customFormat="false" ht="15" hidden="false" customHeight="false" outlineLevel="0" collapsed="false">
      <c r="B6" s="12" t="s">
        <v>560</v>
      </c>
      <c r="C6" s="13" t="n">
        <f aca="false">400-COUNT(Raw_Data!$F$2:$F$401)</f>
        <v>0</v>
      </c>
      <c r="D6" s="13" t="n">
        <f aca="false">400-COUNT(Raw_Data!$G$2:$G$401)</f>
        <v>0</v>
      </c>
      <c r="E6" s="13" t="n">
        <f aca="false">400-COUNT(Raw_Data!$H$2:$H$401)</f>
        <v>12</v>
      </c>
      <c r="F6" s="13" t="n">
        <f aca="false">400-COUNT(Raw_Data!$I$2:$I$401)</f>
        <v>0</v>
      </c>
      <c r="G6" s="13" t="n">
        <f aca="false">400-COUNT(Raw_Data!$J$2:$J$401)</f>
        <v>0</v>
      </c>
      <c r="H6" s="13" t="n">
        <f aca="false">400-COUNT(Raw_Data!$K$2:$K$401)</f>
        <v>0</v>
      </c>
      <c r="I6" s="13" t="n">
        <f aca="false">400-COUNT(Raw_Data!$L$2:$L$401)</f>
        <v>0</v>
      </c>
      <c r="J6" s="13" t="n">
        <f aca="false">400-COUNT(Raw_Data!$M$2:$M$401)</f>
        <v>10</v>
      </c>
      <c r="K6" s="13" t="n">
        <f aca="false">400-COUNT(Raw_Data!$N$2:$N$401)</f>
        <v>8</v>
      </c>
    </row>
    <row r="7" customFormat="false" ht="15" hidden="false" customHeight="false" outlineLevel="0" collapsed="false">
      <c r="B7" s="12" t="s">
        <v>561</v>
      </c>
      <c r="C7" s="13" t="n">
        <f aca="false">AVERAGE(Raw_Data!$F$2:$F$401)</f>
        <v>31.0175</v>
      </c>
      <c r="D7" s="13" t="n">
        <f aca="false">AVERAGE(Raw_Data!$G$2:$G$401)</f>
        <v>5.495</v>
      </c>
      <c r="E7" s="13" t="n">
        <f aca="false">AVERAGE(Raw_Data!$H$2:$H$401)</f>
        <v>40.5201030927835</v>
      </c>
      <c r="F7" s="13" t="n">
        <f aca="false">AVERAGE(Raw_Data!$I$2:$I$401)</f>
        <v>59.85575</v>
      </c>
      <c r="G7" s="13" t="n">
        <f aca="false">AVERAGE(Raw_Data!$J$2:$J$401)</f>
        <v>67.92775</v>
      </c>
      <c r="H7" s="13" t="n">
        <f aca="false">AVERAGE(Raw_Data!$K$2:$K$401)</f>
        <v>81.38175</v>
      </c>
      <c r="I7" s="13" t="n">
        <f aca="false">AVERAGE(Raw_Data!$L$2:$L$401)</f>
        <v>6587.50747965183</v>
      </c>
      <c r="J7" s="13" t="n">
        <f aca="false">AVERAGE(Raw_Data!$M$2:$M$401)</f>
        <v>6.98461538461539</v>
      </c>
      <c r="K7" s="13" t="n">
        <f aca="false">AVERAGE(Raw_Data!$N$2:$N$401)</f>
        <v>92.6688775510204</v>
      </c>
    </row>
    <row r="8" customFormat="false" ht="15" hidden="false" customHeight="false" outlineLevel="0" collapsed="false">
      <c r="B8" s="12" t="s">
        <v>562</v>
      </c>
      <c r="C8" s="13" t="n">
        <f aca="false">MEDIAN(Raw_Data!$F$2:$F$401)</f>
        <v>30</v>
      </c>
      <c r="D8" s="13" t="n">
        <f aca="false">MEDIAN(Raw_Data!$G$2:$G$401)</f>
        <v>5.5</v>
      </c>
      <c r="E8" s="13" t="n">
        <f aca="false">MEDIAN(Raw_Data!$H$2:$H$401)</f>
        <v>41.2</v>
      </c>
      <c r="F8" s="13" t="n">
        <f aca="false">MEDIAN(Raw_Data!$I$2:$I$401)</f>
        <v>59.5</v>
      </c>
      <c r="G8" s="13" t="n">
        <f aca="false">MEDIAN(Raw_Data!$J$2:$J$401)</f>
        <v>67.95</v>
      </c>
      <c r="H8" s="13" t="n">
        <f aca="false">MEDIAN(Raw_Data!$K$2:$K$401)</f>
        <v>81.7</v>
      </c>
      <c r="I8" s="13" t="n">
        <f aca="false">MEDIAN(Raw_Data!$L$2:$L$401)</f>
        <v>6269.755</v>
      </c>
      <c r="J8" s="13" t="n">
        <f aca="false">MEDIAN(Raw_Data!$M$2:$M$401)</f>
        <v>7</v>
      </c>
      <c r="K8" s="13" t="n">
        <f aca="false">MEDIAN(Raw_Data!$N$2:$N$401)</f>
        <v>92.85</v>
      </c>
    </row>
    <row r="9" customFormat="false" ht="15" hidden="false" customHeight="false" outlineLevel="0" collapsed="false">
      <c r="B9" s="12" t="s">
        <v>563</v>
      </c>
      <c r="C9" s="13" t="n">
        <f aca="false">IFERROR(_xlfn.MODE.SNGL(Raw_Data!$F$2:$F$401),"No exact mode")</f>
        <v>28</v>
      </c>
      <c r="D9" s="13" t="n">
        <f aca="false">IFERROR(_xlfn.MODE.SNGL(Raw_Data!$G$2:$G$401),"No exact mode")</f>
        <v>0</v>
      </c>
      <c r="E9" s="13" t="n">
        <f aca="false">IFERROR(_xlfn.MODE.SNGL(Raw_Data!$H$2:$H$401),"No exact mode")</f>
        <v>38.9</v>
      </c>
      <c r="F9" s="13" t="n">
        <f aca="false">IFERROR(_xlfn.MODE.SNGL(Raw_Data!$I$2:$I$401),"No exact mode")</f>
        <v>58.3</v>
      </c>
      <c r="G9" s="13" t="n">
        <f aca="false">IFERROR(_xlfn.MODE.SNGL(Raw_Data!$J$2:$J$401),"No exact mode")</f>
        <v>64.5</v>
      </c>
      <c r="H9" s="13" t="n">
        <f aca="false">IFERROR(_xlfn.MODE.SNGL(Raw_Data!$K$2:$K$401),"No exact mode")</f>
        <v>100</v>
      </c>
      <c r="I9" s="13" t="str">
        <f aca="false">IFERROR(_xlfn.MODE.SNGL(Raw_Data!$L$2:$L$401),"No exact mode")</f>
        <v>No exact mode</v>
      </c>
      <c r="J9" s="13" t="n">
        <f aca="false">IFERROR(_xlfn.MODE.SNGL(Raw_Data!$M$2:$M$401),"No exact mode")</f>
        <v>7</v>
      </c>
      <c r="K9" s="13" t="n">
        <f aca="false">IFERROR(_xlfn.MODE.SNGL(Raw_Data!$N$2:$N$401),"No exact mode")</f>
        <v>100</v>
      </c>
    </row>
    <row r="10" customFormat="false" ht="15" hidden="false" customHeight="false" outlineLevel="0" collapsed="false">
      <c r="B10" s="12" t="s">
        <v>564</v>
      </c>
      <c r="C10" s="13" t="n">
        <f aca="false">_xlfn.STDEV.S(Raw_Data!$F$2:$F$401)</f>
        <v>5.88504700027865</v>
      </c>
      <c r="D10" s="13" t="n">
        <f aca="false">_xlfn.STDEV.S(Raw_Data!$G$2:$G$401)</f>
        <v>3.11547596302563</v>
      </c>
      <c r="E10" s="13" t="n">
        <f aca="false">_xlfn.STDEV.S(Raw_Data!$H$2:$H$401)</f>
        <v>11.9010675476982</v>
      </c>
      <c r="F10" s="13" t="n">
        <f aca="false">_xlfn.STDEV.S(Raw_Data!$I$2:$I$401)</f>
        <v>10.1676062807921</v>
      </c>
      <c r="G10" s="13" t="n">
        <f aca="false">_xlfn.STDEV.S(Raw_Data!$J$2:$J$401)</f>
        <v>10.8967243445497</v>
      </c>
      <c r="H10" s="13" t="n">
        <f aca="false">_xlfn.STDEV.S(Raw_Data!$K$2:$K$401)</f>
        <v>10.2578091500523</v>
      </c>
      <c r="I10" s="13" t="n">
        <f aca="false">_xlfn.STDEV.S(Raw_Data!$L$2:$L$401)</f>
        <v>3256.27762980878</v>
      </c>
      <c r="J10" s="13" t="n">
        <f aca="false">_xlfn.STDEV.S(Raw_Data!$M$2:$M$401)</f>
        <v>1.53779103442973</v>
      </c>
      <c r="K10" s="13" t="n">
        <f aca="false">_xlfn.STDEV.S(Raw_Data!$N$2:$N$401)</f>
        <v>4.64239892626587</v>
      </c>
    </row>
    <row r="11" customFormat="false" ht="15" hidden="false" customHeight="false" outlineLevel="0" collapsed="false">
      <c r="B11" s="12" t="s">
        <v>565</v>
      </c>
      <c r="C11" s="13" t="n">
        <f aca="false">_xlfn.VAR.S(Raw_Data!$F$2:$F$401)</f>
        <v>34.6337781954887</v>
      </c>
      <c r="D11" s="13" t="n">
        <f aca="false">_xlfn.VAR.S(Raw_Data!$G$2:$G$401)</f>
        <v>9.70619047619047</v>
      </c>
      <c r="E11" s="13" t="n">
        <f aca="false">_xlfn.VAR.S(Raw_Data!$H$2:$H$401)</f>
        <v>141.635408774874</v>
      </c>
      <c r="F11" s="13" t="n">
        <f aca="false">_xlfn.VAR.S(Raw_Data!$I$2:$I$401)</f>
        <v>103.380217481203</v>
      </c>
      <c r="G11" s="13" t="n">
        <f aca="false">_xlfn.VAR.S(Raw_Data!$J$2:$J$401)</f>
        <v>118.738601441103</v>
      </c>
      <c r="H11" s="13" t="n">
        <f aca="false">_xlfn.VAR.S(Raw_Data!$K$2:$K$401)</f>
        <v>105.222648558897</v>
      </c>
      <c r="I11" s="13" t="n">
        <f aca="false">_xlfn.VAR.S(Raw_Data!$L$2:$L$401)</f>
        <v>10603344.0023931</v>
      </c>
      <c r="J11" s="13" t="n">
        <f aca="false">_xlfn.VAR.S(Raw_Data!$M$2:$M$401)</f>
        <v>2.36480126557246</v>
      </c>
      <c r="K11" s="13" t="n">
        <f aca="false">_xlfn.VAR.S(Raw_Data!$N$2:$N$401)</f>
        <v>21.5518677905945</v>
      </c>
    </row>
    <row r="12" customFormat="false" ht="15" hidden="false" customHeight="false" outlineLevel="0" collapsed="false">
      <c r="B12" s="12" t="s">
        <v>566</v>
      </c>
      <c r="C12" s="13" t="n">
        <f aca="false">MIN(Raw_Data!$F$2:$F$401)</f>
        <v>21</v>
      </c>
      <c r="D12" s="13" t="n">
        <f aca="false">MIN(Raw_Data!$G$2:$G$401)</f>
        <v>0</v>
      </c>
      <c r="E12" s="13" t="n">
        <f aca="false">MIN(Raw_Data!$H$2:$H$401)</f>
        <v>5</v>
      </c>
      <c r="F12" s="13" t="n">
        <f aca="false">MIN(Raw_Data!$I$2:$I$401)</f>
        <v>33.7</v>
      </c>
      <c r="G12" s="13" t="n">
        <f aca="false">MIN(Raw_Data!$J$2:$J$401)</f>
        <v>39.3</v>
      </c>
      <c r="H12" s="13" t="n">
        <f aca="false">MIN(Raw_Data!$K$2:$K$401)</f>
        <v>57.9</v>
      </c>
      <c r="I12" s="13" t="n">
        <f aca="false">MIN(Raw_Data!$L$2:$L$401)</f>
        <v>2159.96</v>
      </c>
      <c r="J12" s="13" t="n">
        <f aca="false">MIN(Raw_Data!$M$2:$M$401)</f>
        <v>3</v>
      </c>
      <c r="K12" s="13" t="n">
        <f aca="false">MIN(Raw_Data!$N$2:$N$401)</f>
        <v>77.3</v>
      </c>
    </row>
    <row r="13" customFormat="false" ht="15" hidden="false" customHeight="false" outlineLevel="0" collapsed="false">
      <c r="B13" s="12" t="s">
        <v>567</v>
      </c>
      <c r="C13" s="13" t="n">
        <f aca="false">MAX(Raw_Data!$F$2:$F$401)</f>
        <v>49</v>
      </c>
      <c r="D13" s="13" t="n">
        <f aca="false">MAX(Raw_Data!$G$2:$G$401)</f>
        <v>15.3</v>
      </c>
      <c r="E13" s="13" t="n">
        <f aca="false">MAX(Raw_Data!$H$2:$H$401)</f>
        <v>74.3</v>
      </c>
      <c r="F13" s="13" t="n">
        <f aca="false">MAX(Raw_Data!$I$2:$I$401)</f>
        <v>88.5</v>
      </c>
      <c r="G13" s="13" t="n">
        <f aca="false">MAX(Raw_Data!$J$2:$J$401)</f>
        <v>100</v>
      </c>
      <c r="H13" s="13" t="n">
        <f aca="false">MAX(Raw_Data!$K$2:$K$401)</f>
        <v>100</v>
      </c>
      <c r="I13" s="13" t="n">
        <f aca="false">MAX(Raw_Data!$L$2:$L$401)</f>
        <v>38815.7924268404</v>
      </c>
      <c r="J13" s="13" t="n">
        <f aca="false">MAX(Raw_Data!$M$2:$M$401)</f>
        <v>10</v>
      </c>
      <c r="K13" s="13" t="n">
        <f aca="false">MAX(Raw_Data!$N$2:$N$401)</f>
        <v>100</v>
      </c>
    </row>
    <row r="14" customFormat="false" ht="15" hidden="false" customHeight="false" outlineLevel="0" collapsed="false">
      <c r="B14" s="12" t="s">
        <v>568</v>
      </c>
      <c r="C14" s="13" t="n">
        <f aca="false">MAX(Raw_Data!$F$2:$F$401)-MIN(Raw_Data!$F$2:$F$401)</f>
        <v>28</v>
      </c>
      <c r="D14" s="13" t="n">
        <f aca="false">MAX(Raw_Data!$G$2:$G$401)-MIN(Raw_Data!$G$2:$G$401)</f>
        <v>15.3</v>
      </c>
      <c r="E14" s="13" t="n">
        <f aca="false">MAX(Raw_Data!$H$2:$H$401)-MIN(Raw_Data!$H$2:$H$401)</f>
        <v>69.3</v>
      </c>
      <c r="F14" s="13" t="n">
        <f aca="false">MAX(Raw_Data!$I$2:$I$401)-MIN(Raw_Data!$I$2:$I$401)</f>
        <v>54.8</v>
      </c>
      <c r="G14" s="13" t="n">
        <f aca="false">MAX(Raw_Data!$J$2:$J$401)-MIN(Raw_Data!$J$2:$J$401)</f>
        <v>60.7</v>
      </c>
      <c r="H14" s="13" t="n">
        <f aca="false">MAX(Raw_Data!$K$2:$K$401)-MIN(Raw_Data!$K$2:$K$401)</f>
        <v>42.1</v>
      </c>
      <c r="I14" s="13" t="n">
        <f aca="false">MAX(Raw_Data!$L$2:$L$401)-MIN(Raw_Data!$L$2:$L$401)</f>
        <v>36655.8324268404</v>
      </c>
      <c r="J14" s="13" t="n">
        <f aca="false">MAX(Raw_Data!$M$2:$M$401)-MIN(Raw_Data!$M$2:$M$401)</f>
        <v>7</v>
      </c>
      <c r="K14" s="13" t="n">
        <f aca="false">MAX(Raw_Data!$N$2:$N$401)-MIN(Raw_Data!$N$2:$N$401)</f>
        <v>22.7</v>
      </c>
    </row>
    <row r="15" customFormat="false" ht="15" hidden="false" customHeight="false" outlineLevel="0" collapsed="false">
      <c r="B15" s="12" t="s">
        <v>569</v>
      </c>
      <c r="C15" s="13" t="n">
        <f aca="false">_xlfn.QUARTILE.INC(Raw_Data!$F$2:$F$401,1)</f>
        <v>27</v>
      </c>
      <c r="D15" s="13" t="n">
        <f aca="false">_xlfn.QUARTILE.INC(Raw_Data!$G$2:$G$401,1)</f>
        <v>3.2</v>
      </c>
      <c r="E15" s="13" t="n">
        <f aca="false">_xlfn.QUARTILE.INC(Raw_Data!$H$2:$H$401,1)</f>
        <v>33.125</v>
      </c>
      <c r="F15" s="13" t="n">
        <f aca="false">_xlfn.QUARTILE.INC(Raw_Data!$I$2:$I$401,1)</f>
        <v>52.6</v>
      </c>
      <c r="G15" s="13" t="n">
        <f aca="false">_xlfn.QUARTILE.INC(Raw_Data!$J$2:$J$401,1)</f>
        <v>60.775</v>
      </c>
      <c r="H15" s="13" t="n">
        <f aca="false">_xlfn.QUARTILE.INC(Raw_Data!$K$2:$K$401,1)</f>
        <v>74.35</v>
      </c>
      <c r="I15" s="13" t="n">
        <f aca="false">_xlfn.QUARTILE.INC(Raw_Data!$L$2:$L$401,1)</f>
        <v>5353.085</v>
      </c>
      <c r="J15" s="13" t="n">
        <f aca="false">_xlfn.QUARTILE.INC(Raw_Data!$M$2:$M$401,1)</f>
        <v>6</v>
      </c>
      <c r="K15" s="13" t="n">
        <f aca="false">_xlfn.QUARTILE.INC(Raw_Data!$N$2:$N$401,1)</f>
        <v>89.5</v>
      </c>
    </row>
    <row r="16" customFormat="false" ht="15" hidden="false" customHeight="false" outlineLevel="0" collapsed="false">
      <c r="B16" s="12" t="s">
        <v>570</v>
      </c>
      <c r="C16" s="13" t="n">
        <f aca="false">_xlfn.QUARTILE.INC(Raw_Data!$F$2:$F$401,3)</f>
        <v>35</v>
      </c>
      <c r="D16" s="13" t="n">
        <f aca="false">_xlfn.QUARTILE.INC(Raw_Data!$G$2:$G$401,3)</f>
        <v>7.6</v>
      </c>
      <c r="E16" s="13" t="n">
        <f aca="false">_xlfn.QUARTILE.INC(Raw_Data!$H$2:$H$401,3)</f>
        <v>47.525</v>
      </c>
      <c r="F16" s="13" t="n">
        <f aca="false">_xlfn.QUARTILE.INC(Raw_Data!$I$2:$I$401,3)</f>
        <v>66.325</v>
      </c>
      <c r="G16" s="13" t="n">
        <f aca="false">_xlfn.QUARTILE.INC(Raw_Data!$J$2:$J$401,3)</f>
        <v>74.425</v>
      </c>
      <c r="H16" s="13" t="n">
        <f aca="false">_xlfn.QUARTILE.INC(Raw_Data!$K$2:$K$401,3)</f>
        <v>89.4</v>
      </c>
      <c r="I16" s="13" t="n">
        <f aca="false">_xlfn.QUARTILE.INC(Raw_Data!$L$2:$L$401,3)</f>
        <v>7240.3725</v>
      </c>
      <c r="J16" s="13" t="n">
        <f aca="false">_xlfn.QUARTILE.INC(Raw_Data!$M$2:$M$401,3)</f>
        <v>8</v>
      </c>
      <c r="K16" s="13" t="n">
        <f aca="false">_xlfn.QUARTILE.INC(Raw_Data!$N$2:$N$401,3)</f>
        <v>96</v>
      </c>
    </row>
    <row r="17" customFormat="false" ht="15" hidden="false" customHeight="false" outlineLevel="0" collapsed="false">
      <c r="B17" s="12" t="s">
        <v>571</v>
      </c>
      <c r="C17" s="13" t="n">
        <f aca="false">C16-C15</f>
        <v>8</v>
      </c>
      <c r="D17" s="13" t="n">
        <f aca="false">D16-D15</f>
        <v>4.4</v>
      </c>
      <c r="E17" s="13" t="n">
        <f aca="false">E16-E15</f>
        <v>14.4</v>
      </c>
      <c r="F17" s="13" t="n">
        <f aca="false">F16-F15</f>
        <v>13.725</v>
      </c>
      <c r="G17" s="13" t="n">
        <f aca="false">G16-G15</f>
        <v>13.65</v>
      </c>
      <c r="H17" s="13" t="n">
        <f aca="false">H16-H15</f>
        <v>15.05</v>
      </c>
      <c r="I17" s="13" t="n">
        <f aca="false">I16-I15</f>
        <v>1887.2875</v>
      </c>
      <c r="J17" s="13" t="n">
        <f aca="false">J16-J15</f>
        <v>2</v>
      </c>
      <c r="K17" s="13" t="n">
        <f aca="false">K16-K15</f>
        <v>6.5</v>
      </c>
    </row>
    <row r="18" customFormat="false" ht="15" hidden="false" customHeight="false" outlineLevel="0" collapsed="false">
      <c r="B18" s="12" t="s">
        <v>572</v>
      </c>
      <c r="C18" s="13" t="n">
        <f aca="false">SKEW(Raw_Data!$F$2:$F$401)</f>
        <v>0.249233506935384</v>
      </c>
      <c r="D18" s="13" t="n">
        <f aca="false">SKEW(Raw_Data!$G$2:$G$401)</f>
        <v>0.189478783538528</v>
      </c>
      <c r="E18" s="13" t="n">
        <f aca="false">SKEW(Raw_Data!$H$2:$H$401)</f>
        <v>-0.0492303235492068</v>
      </c>
      <c r="F18" s="13" t="n">
        <f aca="false">SKEW(Raw_Data!$I$2:$I$401)</f>
        <v>0.196500198178884</v>
      </c>
      <c r="G18" s="13" t="n">
        <f aca="false">SKEW(Raw_Data!$J$2:$J$401)</f>
        <v>0.104315796056462</v>
      </c>
      <c r="H18" s="13" t="n">
        <f aca="false">SKEW(Raw_Data!$K$2:$K$401)</f>
        <v>-0.236846925792209</v>
      </c>
      <c r="I18" s="13" t="n">
        <f aca="false">SKEW(Raw_Data!$L$2:$L$401)</f>
        <v>7.20331251218355</v>
      </c>
      <c r="J18" s="13" t="n">
        <f aca="false">SKEW(Raw_Data!$M$2:$M$401)</f>
        <v>-0.157414962299785</v>
      </c>
      <c r="K18" s="13" t="n">
        <f aca="false">SKEW(Raw_Data!$N$2:$N$401)</f>
        <v>-0.440900806089986</v>
      </c>
    </row>
    <row r="19" customFormat="false" ht="15" hidden="false" customHeight="false" outlineLevel="0" collapsed="false">
      <c r="B19" s="12" t="s">
        <v>573</v>
      </c>
      <c r="C19" s="13" t="n">
        <f aca="false">KURT(Raw_Data!$F$2:$F$401)</f>
        <v>-0.480369072828662</v>
      </c>
      <c r="D19" s="13" t="n">
        <f aca="false">KURT(Raw_Data!$G$2:$G$401)</f>
        <v>-0.328617372142846</v>
      </c>
      <c r="E19" s="13" t="n">
        <f aca="false">KURT(Raw_Data!$H$2:$H$401)</f>
        <v>0.418522210751555</v>
      </c>
      <c r="F19" s="13" t="n">
        <f aca="false">KURT(Raw_Data!$I$2:$I$401)</f>
        <v>-0.107385890541202</v>
      </c>
      <c r="G19" s="13" t="n">
        <f aca="false">KURT(Raw_Data!$J$2:$J$401)</f>
        <v>-0.0587294988046851</v>
      </c>
      <c r="H19" s="13" t="n">
        <f aca="false">KURT(Raw_Data!$K$2:$K$401)</f>
        <v>-0.635567907838239</v>
      </c>
      <c r="I19" s="13" t="n">
        <f aca="false">KURT(Raw_Data!$L$2:$L$401)</f>
        <v>63.8572844906687</v>
      </c>
      <c r="J19" s="13" t="n">
        <f aca="false">KURT(Raw_Data!$M$2:$M$401)</f>
        <v>-0.46641375207259</v>
      </c>
      <c r="K19" s="13" t="n">
        <f aca="false">KURT(Raw_Data!$N$2:$N$401)</f>
        <v>0.0423254168835907</v>
      </c>
    </row>
    <row r="20" customFormat="false" ht="15" hidden="false" customHeight="false" outlineLevel="0" collapsed="false">
      <c r="B20" s="12" t="s">
        <v>574</v>
      </c>
      <c r="C20" s="13" t="n">
        <f aca="false">(C10/C7)*100</f>
        <v>18.9733118409886</v>
      </c>
      <c r="D20" s="13" t="n">
        <f aca="false">(D10/D7)*100</f>
        <v>56.6965598366811</v>
      </c>
      <c r="E20" s="13" t="n">
        <f aca="false">(E10/E7)*100</f>
        <v>29.370773120806</v>
      </c>
      <c r="F20" s="13" t="n">
        <f aca="false">(F10/F7)*100</f>
        <v>16.986849685773</v>
      </c>
      <c r="G20" s="13" t="n">
        <f aca="false">(G10/G7)*100</f>
        <v>16.0416388656326</v>
      </c>
      <c r="H20" s="13" t="n">
        <f aca="false">(H10/H7)*100</f>
        <v>12.6045571028545</v>
      </c>
      <c r="I20" s="13" t="n">
        <f aca="false">(I10/I7)*100</f>
        <v>49.4311033401801</v>
      </c>
      <c r="J20" s="13" t="n">
        <f aca="false">(J10/J7)*100</f>
        <v>22.016831990734</v>
      </c>
      <c r="K20" s="13" t="n">
        <f aca="false">(K10/K7)*100</f>
        <v>5.00966349107867</v>
      </c>
    </row>
    <row r="23" customFormat="false" ht="15" hidden="false" customHeight="false" outlineLevel="0" collapsed="false">
      <c r="B23" s="2" t="s">
        <v>575</v>
      </c>
    </row>
    <row r="25" customFormat="false" ht="15" hidden="false" customHeight="false" outlineLevel="0" collapsed="false">
      <c r="B25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</cols>
  <sheetData>
    <row r="2" customFormat="false" ht="16.15" hidden="false" customHeight="false" outlineLevel="0" collapsed="false">
      <c r="B2" s="5" t="s">
        <v>576</v>
      </c>
    </row>
    <row r="4" customFormat="false" ht="15" hidden="false" customHeight="false" outlineLevel="0" collapsed="false">
      <c r="B4" s="3" t="s">
        <v>577</v>
      </c>
    </row>
    <row r="5" customFormat="false" ht="15" hidden="false" customHeight="false" outlineLevel="0" collapsed="false">
      <c r="B5" s="9" t="s">
        <v>578</v>
      </c>
      <c r="C5" s="9" t="s">
        <v>579</v>
      </c>
      <c r="D5" s="9" t="s">
        <v>580</v>
      </c>
    </row>
    <row r="6" customFormat="false" ht="15" hidden="false" customHeight="false" outlineLevel="0" collapsed="false">
      <c r="B6" s="11" t="s">
        <v>90</v>
      </c>
      <c r="C6" s="11" t="n">
        <f aca="false">COUNTIF(Raw_Data!$B$2:$B$401,"Engineering")</f>
        <v>123</v>
      </c>
      <c r="D6" s="14" t="n">
        <f aca="false">C6/COUNTA(Raw_Data!$A$2:$A$401)*100</f>
        <v>30.75</v>
      </c>
    </row>
    <row r="7" customFormat="false" ht="15" hidden="false" customHeight="false" outlineLevel="0" collapsed="false">
      <c r="B7" s="11" t="s">
        <v>85</v>
      </c>
      <c r="C7" s="11" t="n">
        <f aca="false">COUNTIF(Raw_Data!$B$2:$B$401,"Marketing")</f>
        <v>81</v>
      </c>
      <c r="D7" s="14" t="n">
        <f aca="false">C7/COUNTA(Raw_Data!$A$2:$A$401)*100</f>
        <v>20.25</v>
      </c>
    </row>
    <row r="8" customFormat="false" ht="15" hidden="false" customHeight="false" outlineLevel="0" collapsed="false">
      <c r="B8" s="11" t="s">
        <v>94</v>
      </c>
      <c r="C8" s="11" t="n">
        <f aca="false">COUNTIF(Raw_Data!$B$2:$B$401,"Operations")</f>
        <v>75</v>
      </c>
      <c r="D8" s="14" t="n">
        <f aca="false">C8/COUNTA(Raw_Data!$A$2:$A$401)*100</f>
        <v>18.75</v>
      </c>
    </row>
    <row r="9" customFormat="false" ht="15" hidden="false" customHeight="false" outlineLevel="0" collapsed="false">
      <c r="B9" s="11" t="s">
        <v>99</v>
      </c>
      <c r="C9" s="11" t="n">
        <f aca="false">COUNTIF(Raw_Data!$B$2:$B$401,"Sales")</f>
        <v>121</v>
      </c>
      <c r="D9" s="14" t="n">
        <f aca="false">C9/COUNTA(Raw_Data!$A$2:$A$401)*100</f>
        <v>30.25</v>
      </c>
    </row>
    <row r="12" customFormat="false" ht="15" hidden="false" customHeight="false" outlineLevel="0" collapsed="false">
      <c r="B12" s="3" t="s">
        <v>581</v>
      </c>
    </row>
    <row r="13" customFormat="false" ht="15" hidden="false" customHeight="false" outlineLevel="0" collapsed="false">
      <c r="B13" s="9" t="s">
        <v>578</v>
      </c>
      <c r="C13" s="9" t="s">
        <v>579</v>
      </c>
      <c r="D13" s="9" t="s">
        <v>580</v>
      </c>
    </row>
    <row r="14" customFormat="false" ht="15" hidden="false" customHeight="false" outlineLevel="0" collapsed="false">
      <c r="B14" s="11" t="s">
        <v>91</v>
      </c>
      <c r="C14" s="11" t="n">
        <f aca="false">COUNTIF(Raw_Data!$C$2:$C$401,"Female")</f>
        <v>188</v>
      </c>
      <c r="D14" s="14" t="n">
        <f aca="false">C14/COUNTA(Raw_Data!$A$2:$A$401)*100</f>
        <v>47</v>
      </c>
    </row>
    <row r="15" customFormat="false" ht="15" hidden="false" customHeight="false" outlineLevel="0" collapsed="false">
      <c r="B15" s="11" t="s">
        <v>86</v>
      </c>
      <c r="C15" s="11" t="n">
        <f aca="false">COUNTIF(Raw_Data!$C$2:$C$401,"Male")</f>
        <v>212</v>
      </c>
      <c r="D15" s="14" t="n">
        <f aca="false">C15/COUNTA(Raw_Data!$A$2:$A$401)*100</f>
        <v>53</v>
      </c>
    </row>
    <row r="18" customFormat="false" ht="15" hidden="false" customHeight="false" outlineLevel="0" collapsed="false">
      <c r="B18" s="3" t="s">
        <v>582</v>
      </c>
    </row>
    <row r="19" customFormat="false" ht="15" hidden="false" customHeight="false" outlineLevel="0" collapsed="false">
      <c r="B19" s="9" t="s">
        <v>578</v>
      </c>
      <c r="C19" s="9" t="s">
        <v>579</v>
      </c>
      <c r="D19" s="9" t="s">
        <v>580</v>
      </c>
    </row>
    <row r="20" customFormat="false" ht="15" hidden="false" customHeight="false" outlineLevel="0" collapsed="false">
      <c r="B20" s="11" t="s">
        <v>92</v>
      </c>
      <c r="C20" s="11" t="n">
        <f aca="false">COUNTIF(Raw_Data!$D$2:$D$401,"North")</f>
        <v>156</v>
      </c>
      <c r="D20" s="14" t="n">
        <f aca="false">C20/COUNTA(Raw_Data!$A$2:$A$401)*100</f>
        <v>39</v>
      </c>
    </row>
    <row r="21" customFormat="false" ht="15" hidden="false" customHeight="false" outlineLevel="0" collapsed="false">
      <c r="B21" s="11" t="s">
        <v>87</v>
      </c>
      <c r="C21" s="11" t="n">
        <f aca="false">COUNTIF(Raw_Data!$D$2:$D$401,"South")</f>
        <v>135</v>
      </c>
      <c r="D21" s="14" t="n">
        <f aca="false">C21/COUNTA(Raw_Data!$A$2:$A$401)*100</f>
        <v>33.75</v>
      </c>
    </row>
    <row r="22" customFormat="false" ht="15" hidden="false" customHeight="false" outlineLevel="0" collapsed="false">
      <c r="B22" s="11" t="s">
        <v>95</v>
      </c>
      <c r="C22" s="11" t="n">
        <f aca="false">COUNTIF(Raw_Data!$D$2:$D$401,"West")</f>
        <v>109</v>
      </c>
      <c r="D22" s="14" t="n">
        <f aca="false">C22/COUNTA(Raw_Data!$A$2:$A$401)*100</f>
        <v>27.25</v>
      </c>
    </row>
    <row r="25" customFormat="false" ht="15" hidden="false" customHeight="false" outlineLevel="0" collapsed="false">
      <c r="B25" s="3" t="s">
        <v>583</v>
      </c>
    </row>
    <row r="26" customFormat="false" ht="15" hidden="false" customHeight="false" outlineLevel="0" collapsed="false">
      <c r="B26" s="9" t="s">
        <v>578</v>
      </c>
      <c r="C26" s="9" t="s">
        <v>579</v>
      </c>
      <c r="D26" s="9" t="s">
        <v>580</v>
      </c>
    </row>
    <row r="27" customFormat="false" ht="15" hidden="false" customHeight="false" outlineLevel="0" collapsed="false">
      <c r="B27" s="11" t="s">
        <v>100</v>
      </c>
      <c r="C27" s="11" t="n">
        <f aca="false">COUNTIF(Raw_Data!$E$2:$E$401,"Diploma")</f>
        <v>54</v>
      </c>
      <c r="D27" s="14" t="n">
        <f aca="false">C27/COUNTA(Raw_Data!$A$2:$A$401)*100</f>
        <v>13.5</v>
      </c>
    </row>
    <row r="28" customFormat="false" ht="15" hidden="false" customHeight="false" outlineLevel="0" collapsed="false">
      <c r="B28" s="11" t="s">
        <v>88</v>
      </c>
      <c r="C28" s="11" t="n">
        <f aca="false">COUNTIF(Raw_Data!$E$2:$E$401,"Bachelors")</f>
        <v>192</v>
      </c>
      <c r="D28" s="14" t="n">
        <f aca="false">C28/COUNTA(Raw_Data!$A$2:$A$401)*100</f>
        <v>48</v>
      </c>
    </row>
    <row r="29" customFormat="false" ht="15" hidden="false" customHeight="false" outlineLevel="0" collapsed="false">
      <c r="B29" s="11" t="s">
        <v>96</v>
      </c>
      <c r="C29" s="11" t="n">
        <f aca="false">COUNTIF(Raw_Data!$E$2:$E$401,"Masters")</f>
        <v>104</v>
      </c>
      <c r="D29" s="14" t="n">
        <f aca="false">C29/COUNTA(Raw_Data!$A$2:$A$401)*100</f>
        <v>26</v>
      </c>
    </row>
    <row r="30" customFormat="false" ht="15" hidden="false" customHeight="false" outlineLevel="0" collapsed="false">
      <c r="B30" s="11" t="s">
        <v>125</v>
      </c>
      <c r="C30" s="11" t="n">
        <f aca="false">COUNTIF(Raw_Data!$E$2:$E$401,"PhD")</f>
        <v>44</v>
      </c>
      <c r="D30" s="14" t="n">
        <f aca="false">C30/COUNTA(Raw_Data!$A$2:$A$401)*100</f>
        <v>11</v>
      </c>
    </row>
    <row r="33" customFormat="false" ht="15" hidden="false" customHeight="false" outlineLevel="0" collapsed="false">
      <c r="B33" s="3" t="s">
        <v>584</v>
      </c>
    </row>
    <row r="34" customFormat="false" ht="15" hidden="false" customHeight="false" outlineLevel="0" collapsed="false">
      <c r="B34" s="9" t="s">
        <v>578</v>
      </c>
      <c r="C34" s="9" t="s">
        <v>579</v>
      </c>
      <c r="D34" s="9" t="s">
        <v>580</v>
      </c>
    </row>
    <row r="35" customFormat="false" ht="15" hidden="false" customHeight="false" outlineLevel="0" collapsed="false">
      <c r="B35" s="11" t="n">
        <v>0</v>
      </c>
      <c r="C35" s="11" t="n">
        <f aca="false">COUNTIF(Raw_Data!$O$2:$O$401,0)</f>
        <v>148</v>
      </c>
      <c r="D35" s="14" t="n">
        <f aca="false">C35/COUNTA(Raw_Data!$A$2:$A$401)*100</f>
        <v>37</v>
      </c>
    </row>
    <row r="36" customFormat="false" ht="15" hidden="false" customHeight="false" outlineLevel="0" collapsed="false">
      <c r="B36" s="11" t="n">
        <v>1</v>
      </c>
      <c r="C36" s="11" t="n">
        <f aca="false">COUNTIF(Raw_Data!$O$2:$O$401,1)</f>
        <v>252</v>
      </c>
      <c r="D36" s="14" t="n">
        <f aca="false">C36/COUNTA(Raw_Data!$A$2:$A$401)*100</f>
        <v>63</v>
      </c>
    </row>
    <row r="38" customFormat="false" ht="15" hidden="false" customHeight="false" outlineLevel="0" collapsed="false">
      <c r="B38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9" min="3" style="0" width="14"/>
  </cols>
  <sheetData>
    <row r="2" customFormat="false" ht="16.15" hidden="false" customHeight="false" outlineLevel="0" collapsed="false">
      <c r="B2" s="5" t="s">
        <v>585</v>
      </c>
    </row>
    <row r="4" customFormat="false" ht="26.85" hidden="false" customHeight="false" outlineLevel="0" collapsed="false">
      <c r="C4" s="9" t="s">
        <v>48</v>
      </c>
      <c r="D4" s="9" t="s">
        <v>51</v>
      </c>
      <c r="E4" s="9" t="s">
        <v>54</v>
      </c>
      <c r="F4" s="9" t="s">
        <v>60</v>
      </c>
      <c r="G4" s="9" t="s">
        <v>63</v>
      </c>
      <c r="H4" s="9" t="s">
        <v>65</v>
      </c>
      <c r="I4" s="9" t="s">
        <v>68</v>
      </c>
    </row>
    <row r="5" customFormat="false" ht="15" hidden="false" customHeight="false" outlineLevel="0" collapsed="false">
      <c r="B5" s="12" t="s">
        <v>48</v>
      </c>
      <c r="C5" s="15" t="n">
        <f aca="false">CORREL(Raw_Data!$F$2:$F$401,Raw_Data!$F$2:$F$401)</f>
        <v>1</v>
      </c>
      <c r="D5" s="13" t="n">
        <f aca="false">CORREL(Raw_Data!$F$2:$F$401,Raw_Data!$G$2:$G$401)</f>
        <v>0.874661682153704</v>
      </c>
      <c r="E5" s="13" t="n">
        <f aca="false">CORREL(Raw_Data!$F$2:$F$401,Raw_Data!$H$2:$H$401)</f>
        <v>-0.0659072027830144</v>
      </c>
      <c r="F5" s="13" t="n">
        <f aca="false">CORREL(Raw_Data!$F$2:$F$401,Raw_Data!$K$2:$K$401)</f>
        <v>0.468574941735333</v>
      </c>
      <c r="G5" s="13" t="n">
        <f aca="false">CORREL(Raw_Data!$F$2:$F$401,Raw_Data!$L$2:$L$401)</f>
        <v>0.210753048697897</v>
      </c>
      <c r="H5" s="13" t="n">
        <f aca="false">CORREL(Raw_Data!$F$2:$F$401,Raw_Data!$M$2:$M$401)</f>
        <v>-0.122916596109674</v>
      </c>
      <c r="I5" s="13" t="n">
        <f aca="false">CORREL(Raw_Data!$F$2:$F$401,Raw_Data!$N$2:$N$401)</f>
        <v>-0.0482350114865579</v>
      </c>
    </row>
    <row r="6" customFormat="false" ht="15" hidden="false" customHeight="false" outlineLevel="0" collapsed="false">
      <c r="B6" s="12" t="s">
        <v>51</v>
      </c>
      <c r="C6" s="13" t="n">
        <f aca="false">CORREL(Raw_Data!$G$2:$G$401,Raw_Data!$F$2:$F$401)</f>
        <v>0.874661682153704</v>
      </c>
      <c r="D6" s="15" t="n">
        <f aca="false">CORREL(Raw_Data!$G$2:$G$401,Raw_Data!$G$2:$G$401)</f>
        <v>1</v>
      </c>
      <c r="E6" s="13" t="n">
        <f aca="false">CORREL(Raw_Data!$G$2:$G$401,Raw_Data!$H$2:$H$401)</f>
        <v>-0.0458164777239634</v>
      </c>
      <c r="F6" s="13" t="n">
        <f aca="false">CORREL(Raw_Data!$G$2:$G$401,Raw_Data!$K$2:$K$401)</f>
        <v>0.532039345643246</v>
      </c>
      <c r="G6" s="13" t="n">
        <f aca="false">CORREL(Raw_Data!$G$2:$G$401,Raw_Data!$L$2:$L$401)</f>
        <v>0.297590086090273</v>
      </c>
      <c r="H6" s="13" t="n">
        <f aca="false">CORREL(Raw_Data!$G$2:$G$401,Raw_Data!$M$2:$M$401)</f>
        <v>-0.0795928317203277</v>
      </c>
      <c r="I6" s="13" t="n">
        <f aca="false">CORREL(Raw_Data!$G$2:$G$401,Raw_Data!$N$2:$N$401)</f>
        <v>-0.0203925603174894</v>
      </c>
    </row>
    <row r="7" customFormat="false" ht="15" hidden="false" customHeight="false" outlineLevel="0" collapsed="false">
      <c r="B7" s="12" t="s">
        <v>54</v>
      </c>
      <c r="C7" s="13" t="n">
        <f aca="false">CORREL(Raw_Data!$H$2:$H$401,Raw_Data!$F$2:$F$401)</f>
        <v>-0.0659072027830144</v>
      </c>
      <c r="D7" s="13" t="n">
        <f aca="false">CORREL(Raw_Data!$H$2:$H$401,Raw_Data!$G$2:$G$401)</f>
        <v>-0.0458164777239634</v>
      </c>
      <c r="E7" s="15" t="n">
        <f aca="false">CORREL(Raw_Data!$H$2:$H$401,Raw_Data!$H$2:$H$401)</f>
        <v>1</v>
      </c>
      <c r="F7" s="13" t="n">
        <f aca="false">CORREL(Raw_Data!$H$2:$H$401,Raw_Data!$K$2:$K$401)</f>
        <v>0.412199960758472</v>
      </c>
      <c r="G7" s="13" t="n">
        <f aca="false">CORREL(Raw_Data!$H$2:$H$401,Raw_Data!$L$2:$L$401)</f>
        <v>0.16922769425156</v>
      </c>
      <c r="H7" s="13" t="n">
        <f aca="false">CORREL(Raw_Data!$H$2:$H$401,Raw_Data!$M$2:$M$401)</f>
        <v>0.000382248510468736</v>
      </c>
      <c r="I7" s="13" t="n">
        <f aca="false">CORREL(Raw_Data!$H$2:$H$401,Raw_Data!$N$2:$N$401)</f>
        <v>-0.0324099780588931</v>
      </c>
    </row>
    <row r="8" customFormat="false" ht="15" hidden="false" customHeight="false" outlineLevel="0" collapsed="false">
      <c r="B8" s="12" t="s">
        <v>60</v>
      </c>
      <c r="C8" s="13" t="n">
        <f aca="false">CORREL(Raw_Data!$K$2:$K$401,Raw_Data!$F$2:$F$401)</f>
        <v>0.468574941735333</v>
      </c>
      <c r="D8" s="13" t="n">
        <f aca="false">CORREL(Raw_Data!$K$2:$K$401,Raw_Data!$G$2:$G$401)</f>
        <v>0.532039345643246</v>
      </c>
      <c r="E8" s="13" t="n">
        <f aca="false">CORREL(Raw_Data!$K$2:$K$401,Raw_Data!$H$2:$H$401)</f>
        <v>0.412199960758472</v>
      </c>
      <c r="F8" s="15" t="n">
        <f aca="false">CORREL(Raw_Data!$K$2:$K$401,Raw_Data!$K$2:$K$401)</f>
        <v>1</v>
      </c>
      <c r="G8" s="13" t="n">
        <f aca="false">CORREL(Raw_Data!$K$2:$K$401,Raw_Data!$L$2:$L$401)</f>
        <v>0.301843651882965</v>
      </c>
      <c r="H8" s="13" t="n">
        <f aca="false">CORREL(Raw_Data!$K$2:$K$401,Raw_Data!$M$2:$M$401)</f>
        <v>-0.0475241554318612</v>
      </c>
      <c r="I8" s="13" t="n">
        <f aca="false">CORREL(Raw_Data!$K$2:$K$401,Raw_Data!$N$2:$N$401)</f>
        <v>-0.0126143389394237</v>
      </c>
    </row>
    <row r="9" customFormat="false" ht="15" hidden="false" customHeight="false" outlineLevel="0" collapsed="false">
      <c r="B9" s="12" t="s">
        <v>63</v>
      </c>
      <c r="C9" s="13" t="n">
        <f aca="false">CORREL(Raw_Data!$L$2:$L$401,Raw_Data!$F$2:$F$401)</f>
        <v>0.210753048697897</v>
      </c>
      <c r="D9" s="13" t="n">
        <f aca="false">CORREL(Raw_Data!$L$2:$L$401,Raw_Data!$G$2:$G$401)</f>
        <v>0.297590086090273</v>
      </c>
      <c r="E9" s="13" t="n">
        <f aca="false">CORREL(Raw_Data!$L$2:$L$401,Raw_Data!$H$2:$H$401)</f>
        <v>0.16922769425156</v>
      </c>
      <c r="F9" s="13" t="n">
        <f aca="false">CORREL(Raw_Data!$L$2:$L$401,Raw_Data!$K$2:$K$401)</f>
        <v>0.301843651882965</v>
      </c>
      <c r="G9" s="15" t="n">
        <f aca="false">CORREL(Raw_Data!$L$2:$L$401,Raw_Data!$L$2:$L$401)</f>
        <v>1</v>
      </c>
      <c r="H9" s="13" t="n">
        <f aca="false">CORREL(Raw_Data!$L$2:$L$401,Raw_Data!$M$2:$M$401)</f>
        <v>-0.01677502968268</v>
      </c>
      <c r="I9" s="13" t="n">
        <f aca="false">CORREL(Raw_Data!$L$2:$L$401,Raw_Data!$N$2:$N$401)</f>
        <v>-0.0388078257043559</v>
      </c>
    </row>
    <row r="10" customFormat="false" ht="15" hidden="false" customHeight="false" outlineLevel="0" collapsed="false">
      <c r="B10" s="12" t="s">
        <v>65</v>
      </c>
      <c r="C10" s="13" t="n">
        <f aca="false">CORREL(Raw_Data!$M$2:$M$401,Raw_Data!$F$2:$F$401)</f>
        <v>-0.122916596109674</v>
      </c>
      <c r="D10" s="13" t="n">
        <f aca="false">CORREL(Raw_Data!$M$2:$M$401,Raw_Data!$G$2:$G$401)</f>
        <v>-0.0795928317203277</v>
      </c>
      <c r="E10" s="13" t="n">
        <f aca="false">CORREL(Raw_Data!$M$2:$M$401,Raw_Data!$H$2:$H$401)</f>
        <v>0.000382248510468736</v>
      </c>
      <c r="F10" s="13" t="n">
        <f aca="false">CORREL(Raw_Data!$M$2:$M$401,Raw_Data!$K$2:$K$401)</f>
        <v>-0.0475241554318612</v>
      </c>
      <c r="G10" s="13" t="n">
        <f aca="false">CORREL(Raw_Data!$M$2:$M$401,Raw_Data!$L$2:$L$401)</f>
        <v>-0.01677502968268</v>
      </c>
      <c r="H10" s="15" t="n">
        <f aca="false">CORREL(Raw_Data!$M$2:$M$401,Raw_Data!$M$2:$M$401)</f>
        <v>1</v>
      </c>
      <c r="I10" s="13" t="n">
        <f aca="false">CORREL(Raw_Data!$M$2:$M$401,Raw_Data!$N$2:$N$401)</f>
        <v>-0.00303393676010816</v>
      </c>
    </row>
    <row r="11" customFormat="false" ht="15" hidden="false" customHeight="false" outlineLevel="0" collapsed="false">
      <c r="B11" s="12" t="s">
        <v>68</v>
      </c>
      <c r="C11" s="13" t="n">
        <f aca="false">CORREL(Raw_Data!$N$2:$N$401,Raw_Data!$F$2:$F$401)</f>
        <v>-0.0482350114865579</v>
      </c>
      <c r="D11" s="13" t="n">
        <f aca="false">CORREL(Raw_Data!$N$2:$N$401,Raw_Data!$G$2:$G$401)</f>
        <v>-0.0203925603174894</v>
      </c>
      <c r="E11" s="13" t="n">
        <f aca="false">CORREL(Raw_Data!$N$2:$N$401,Raw_Data!$H$2:$H$401)</f>
        <v>-0.0324099780588931</v>
      </c>
      <c r="F11" s="13" t="n">
        <f aca="false">CORREL(Raw_Data!$N$2:$N$401,Raw_Data!$K$2:$K$401)</f>
        <v>-0.0126143389394237</v>
      </c>
      <c r="G11" s="13" t="n">
        <f aca="false">CORREL(Raw_Data!$N$2:$N$401,Raw_Data!$L$2:$L$401)</f>
        <v>-0.0388078257043559</v>
      </c>
      <c r="H11" s="13" t="n">
        <f aca="false">CORREL(Raw_Data!$N$2:$N$401,Raw_Data!$M$2:$M$401)</f>
        <v>-0.00303393676010816</v>
      </c>
      <c r="I11" s="15" t="n">
        <f aca="false">CORREL(Raw_Data!$N$2:$N$401,Raw_Data!$N$2:$N$401)</f>
        <v>1</v>
      </c>
    </row>
    <row r="13" customFormat="false" ht="15" hidden="false" customHeight="false" outlineLevel="0" collapsed="false">
      <c r="B13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7" min="3" style="0" width="12"/>
  </cols>
  <sheetData>
    <row r="2" customFormat="false" ht="16.15" hidden="false" customHeight="false" outlineLevel="0" collapsed="false">
      <c r="B2" s="5" t="s">
        <v>586</v>
      </c>
    </row>
    <row r="4" customFormat="false" ht="15" hidden="false" customHeight="false" outlineLevel="0" collapsed="false">
      <c r="B4" s="3" t="s">
        <v>587</v>
      </c>
    </row>
    <row r="5" customFormat="false" ht="15" hidden="false" customHeight="false" outlineLevel="0" collapsed="false">
      <c r="B5" s="9" t="s">
        <v>36</v>
      </c>
      <c r="C5" s="9" t="s">
        <v>588</v>
      </c>
      <c r="D5" s="9" t="s">
        <v>561</v>
      </c>
      <c r="E5" s="9" t="s">
        <v>589</v>
      </c>
      <c r="F5" s="9" t="s">
        <v>590</v>
      </c>
      <c r="G5" s="9" t="s">
        <v>591</v>
      </c>
    </row>
    <row r="6" customFormat="false" ht="15" hidden="false" customHeight="false" outlineLevel="0" collapsed="false">
      <c r="B6" s="11" t="s">
        <v>90</v>
      </c>
      <c r="C6" s="16" t="n">
        <f aca="false">COUNTIF(Raw_Data!$B$2:$B$401,"Engineering")</f>
        <v>123</v>
      </c>
      <c r="D6" s="17" t="n">
        <f aca="false">AVERAGEIF(Raw_Data!$B$2:$B$401,"Engineering",Raw_Data!$K$2:$K$401)</f>
        <v>85.8707317073171</v>
      </c>
      <c r="E6" s="17" t="n">
        <f aca="false">SQRT(SUMPRODUCT((Raw_Data!$B$2:$B$401="Engineering")*(Raw_Data!$K$2:$K$401-AVERAGEIF(Raw_Data!$B$2:$B$401,"Engineering",Raw_Data!$K$2:$K$401))^2)/(COUNTIF(Raw_Data!$B$2:$B$401,"Engineering")-1))</f>
        <v>9.40511485978718</v>
      </c>
      <c r="F6" s="17" t="n">
        <f aca="false">_xlfn.MINIFS(Raw_Data!$K$2:$K$401,Raw_Data!$B$2:$B$401,"Engineering")</f>
        <v>60.8</v>
      </c>
      <c r="G6" s="17" t="n">
        <f aca="false">_xlfn.MAXIFS(Raw_Data!$K$2:$K$401,Raw_Data!$B$2:$B$401,"Engineering")</f>
        <v>100</v>
      </c>
    </row>
    <row r="7" customFormat="false" ht="15" hidden="false" customHeight="false" outlineLevel="0" collapsed="false">
      <c r="B7" s="11" t="s">
        <v>85</v>
      </c>
      <c r="C7" s="16" t="n">
        <f aca="false">COUNTIF(Raw_Data!$B$2:$B$401,"Marketing")</f>
        <v>81</v>
      </c>
      <c r="D7" s="17" t="n">
        <f aca="false">AVERAGEIF(Raw_Data!$B$2:$B$401,"Marketing",Raw_Data!$K$2:$K$401)</f>
        <v>78.2506172839506</v>
      </c>
      <c r="E7" s="17" t="n">
        <f aca="false">SQRT(SUMPRODUCT((Raw_Data!$B$2:$B$401="Marketing")*(Raw_Data!$K$2:$K$401-AVERAGEIF(Raw_Data!$B$2:$B$401,"Marketing",Raw_Data!$K$2:$K$401))^2)/(COUNTIF(Raw_Data!$B$2:$B$401,"Marketing")-1))</f>
        <v>9.69342719909721</v>
      </c>
      <c r="F7" s="17" t="n">
        <f aca="false">_xlfn.MINIFS(Raw_Data!$K$2:$K$401,Raw_Data!$B$2:$B$401,"Marketing")</f>
        <v>57.9</v>
      </c>
      <c r="G7" s="17" t="n">
        <f aca="false">_xlfn.MAXIFS(Raw_Data!$K$2:$K$401,Raw_Data!$B$2:$B$401,"Marketing")</f>
        <v>100</v>
      </c>
    </row>
    <row r="8" customFormat="false" ht="15" hidden="false" customHeight="false" outlineLevel="0" collapsed="false">
      <c r="B8" s="11" t="s">
        <v>94</v>
      </c>
      <c r="C8" s="16" t="n">
        <f aca="false">COUNTIF(Raw_Data!$B$2:$B$401,"Operations")</f>
        <v>75</v>
      </c>
      <c r="D8" s="17" t="n">
        <f aca="false">AVERAGEIF(Raw_Data!$B$2:$B$401,"Operations",Raw_Data!$K$2:$K$401)</f>
        <v>78.08</v>
      </c>
      <c r="E8" s="17" t="n">
        <f aca="false">SQRT(SUMPRODUCT((Raw_Data!$B$2:$B$401="Operations")*(Raw_Data!$K$2:$K$401-AVERAGEIF(Raw_Data!$B$2:$B$401,"Operations",Raw_Data!$K$2:$K$401))^2)/(COUNTIF(Raw_Data!$B$2:$B$401,"Operations")-1))</f>
        <v>9.99186155314901</v>
      </c>
      <c r="F8" s="17" t="n">
        <f aca="false">_xlfn.MINIFS(Raw_Data!$K$2:$K$401,Raw_Data!$B$2:$B$401,"Operations")</f>
        <v>58.4</v>
      </c>
      <c r="G8" s="17" t="n">
        <f aca="false">_xlfn.MAXIFS(Raw_Data!$K$2:$K$401,Raw_Data!$B$2:$B$401,"Operations")</f>
        <v>100</v>
      </c>
    </row>
    <row r="9" customFormat="false" ht="15" hidden="false" customHeight="false" outlineLevel="0" collapsed="false">
      <c r="B9" s="11" t="s">
        <v>99</v>
      </c>
      <c r="C9" s="16" t="n">
        <f aca="false">COUNTIF(Raw_Data!$B$2:$B$401,"Sales")</f>
        <v>121</v>
      </c>
      <c r="D9" s="17" t="n">
        <f aca="false">AVERAGEIF(Raw_Data!$B$2:$B$401,"Sales",Raw_Data!$K$2:$K$401)</f>
        <v>80.9611570247934</v>
      </c>
      <c r="E9" s="17" t="n">
        <f aca="false">SQRT(SUMPRODUCT((Raw_Data!$B$2:$B$401="Sales")*(Raw_Data!$K$2:$K$401-AVERAGEIF(Raw_Data!$B$2:$B$401,"Sales",Raw_Data!$K$2:$K$401))^2)/(COUNTIF(Raw_Data!$B$2:$B$401,"Sales")-1))</f>
        <v>10.0728626508789</v>
      </c>
      <c r="F9" s="17" t="n">
        <f aca="false">_xlfn.MINIFS(Raw_Data!$K$2:$K$401,Raw_Data!$B$2:$B$401,"Sales")</f>
        <v>59.9</v>
      </c>
      <c r="G9" s="17" t="n">
        <f aca="false">_xlfn.MAXIFS(Raw_Data!$K$2:$K$401,Raw_Data!$B$2:$B$401,"Sales")</f>
        <v>100</v>
      </c>
    </row>
    <row r="12" customFormat="false" ht="15" hidden="false" customHeight="false" outlineLevel="0" collapsed="false">
      <c r="B12" s="3" t="s">
        <v>592</v>
      </c>
    </row>
    <row r="13" customFormat="false" ht="15" hidden="false" customHeight="false" outlineLevel="0" collapsed="false">
      <c r="B13" s="9" t="s">
        <v>39</v>
      </c>
      <c r="C13" s="9" t="s">
        <v>588</v>
      </c>
      <c r="D13" s="9" t="s">
        <v>561</v>
      </c>
      <c r="E13" s="9" t="s">
        <v>589</v>
      </c>
    </row>
    <row r="14" customFormat="false" ht="15" hidden="false" customHeight="false" outlineLevel="0" collapsed="false">
      <c r="B14" s="11" t="s">
        <v>91</v>
      </c>
      <c r="C14" s="16" t="n">
        <f aca="false">COUNTIF(Raw_Data!$C$2:$C$401,"Female")</f>
        <v>188</v>
      </c>
      <c r="D14" s="17" t="n">
        <f aca="false">AVERAGEIF(Raw_Data!$C$2:$C$401,"Female",Raw_Data!$K$2:$K$401)</f>
        <v>82.5308510638298</v>
      </c>
      <c r="E14" s="16"/>
    </row>
    <row r="15" customFormat="false" ht="15" hidden="false" customHeight="false" outlineLevel="0" collapsed="false">
      <c r="B15" s="11" t="s">
        <v>86</v>
      </c>
      <c r="C15" s="16" t="n">
        <f aca="false">COUNTIF(Raw_Data!$C$2:$C$401,"Male")</f>
        <v>212</v>
      </c>
      <c r="D15" s="17" t="n">
        <f aca="false">AVERAGEIF(Raw_Data!$C$2:$C$401,"Male",Raw_Data!$K$2:$K$401)</f>
        <v>80.3627358490566</v>
      </c>
      <c r="E15" s="16"/>
    </row>
    <row r="17" customFormat="false" ht="15" hidden="false" customHeight="false" outlineLevel="0" collapsed="false">
      <c r="B17" s="2" t="s">
        <v>593</v>
      </c>
    </row>
    <row r="19" customFormat="false" ht="15" hidden="false" customHeight="false" outlineLevel="0" collapsed="false">
      <c r="B19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6.15" hidden="false" customHeight="false" outlineLevel="0" collapsed="false">
      <c r="B2" s="5" t="s">
        <v>594</v>
      </c>
    </row>
    <row r="4" customFormat="false" ht="15" hidden="false" customHeight="false" outlineLevel="0" collapsed="false">
      <c r="B4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6.15" hidden="false" customHeight="false" outlineLevel="0" collapsed="false">
      <c r="B2" s="5" t="s">
        <v>595</v>
      </c>
    </row>
    <row r="4" customFormat="false" ht="15" hidden="false" customHeight="false" outlineLevel="0" collapsed="false">
      <c r="B4" s="18" t="s">
        <v>596</v>
      </c>
    </row>
    <row r="5" customFormat="false" ht="15" hidden="false" customHeight="false" outlineLevel="0" collapsed="false">
      <c r="B5" s="18" t="s">
        <v>597</v>
      </c>
    </row>
    <row r="6" customFormat="false" ht="23.85" hidden="false" customHeight="false" outlineLevel="0" collapsed="false">
      <c r="B6" s="18" t="s">
        <v>598</v>
      </c>
    </row>
    <row r="7" customFormat="false" ht="23.85" hidden="false" customHeight="false" outlineLevel="0" collapsed="false">
      <c r="B7" s="18" t="s">
        <v>599</v>
      </c>
    </row>
    <row r="8" customFormat="false" ht="35.05" hidden="false" customHeight="false" outlineLevel="0" collapsed="false">
      <c r="B8" s="18" t="s">
        <v>600</v>
      </c>
    </row>
    <row r="9" customFormat="false" ht="23.85" hidden="false" customHeight="false" outlineLevel="0" collapsed="false">
      <c r="B9" s="18" t="s">
        <v>601</v>
      </c>
    </row>
    <row r="10" customFormat="false" ht="23.85" hidden="false" customHeight="false" outlineLevel="0" collapsed="false">
      <c r="B10" s="18" t="s">
        <v>602</v>
      </c>
    </row>
    <row r="12" customFormat="false" ht="15" hidden="false" customHeight="false" outlineLevel="0" collapsed="false">
      <c r="B12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2026-08-28T10:38:03Z</dcterms:created>
  <dc:creator>openpyxl</dc:creator>
  <dc:description/>
  <dc:language>en-US</dc:language>
  <cp:lastModifiedBy/>
  <dcterms:modified xsi:type="dcterms:W3CDTF">2026-08-28T10:38:05Z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